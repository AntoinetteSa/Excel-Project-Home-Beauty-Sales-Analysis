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https://d.docs.live.net/906b8a2543d37013/Desktop/GitHub/Excel Home ^0 Beauty Sales/"/>
    </mc:Choice>
  </mc:AlternateContent>
  <xr:revisionPtr revIDLastSave="3917" documentId="13_ncr:1_{F08AD524-60FB-44E2-BB59-AAB2E96D2C2C}" xr6:coauthVersionLast="47" xr6:coauthVersionMax="47" xr10:uidLastSave="{DF3951A3-8D9B-4B09-8365-58A9265BAA0B}"/>
  <bookViews>
    <workbookView xWindow="-110" yWindow="-110" windowWidth="19420" windowHeight="10300" tabRatio="891" activeTab="3" xr2:uid="{00000000-000D-0000-FFFF-FFFF00000000}"/>
  </bookViews>
  <sheets>
    <sheet name="Інтерактивна таблиця" sheetId="35" r:id="rId1"/>
    <sheet name="Зведена таблиця" sheetId="38" r:id="rId2"/>
    <sheet name="Аркуш2" sheetId="40" state="hidden" r:id="rId3"/>
    <sheet name="Dashboard" sheetId="28" r:id="rId4"/>
    <sheet name="тех" sheetId="26" state="hidden" r:id="rId5"/>
  </sheets>
  <definedNames>
    <definedName name="_xlnm._FilterDatabase" localSheetId="4" hidden="1">тех!$B$2:$J$3818</definedName>
    <definedName name="Власна_часова_шкала_дата">#N/A</definedName>
    <definedName name="Роздільник_категорія1">#N/A</definedName>
    <definedName name="Роздільник_область">#N/A</definedName>
    <definedName name="Роздільник_рік1">#N/A</definedName>
  </definedNames>
  <calcPr calcId="191029"/>
  <pivotCaches>
    <pivotCache cacheId="0" r:id="rId6"/>
    <pivotCache cacheId="1" r:id="rId7"/>
  </pivotCaches>
  <fileRecoveryPr autoRecover="0"/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5" l="1"/>
  <c r="J14" i="35"/>
  <c r="V8" i="35"/>
  <c r="Q8" i="35"/>
  <c r="L8" i="35"/>
  <c r="G8" i="35"/>
  <c r="F13" i="35"/>
  <c r="I13" i="35"/>
  <c r="J13" i="35"/>
  <c r="K13" i="35"/>
  <c r="N13" i="35"/>
  <c r="O13" i="35"/>
  <c r="P13" i="35"/>
  <c r="S13" i="35"/>
  <c r="T13" i="35"/>
  <c r="U13" i="35"/>
  <c r="F14" i="35"/>
  <c r="I14" i="35"/>
  <c r="K14" i="35"/>
  <c r="N14" i="35"/>
  <c r="O14" i="35"/>
  <c r="P14" i="35"/>
  <c r="S14" i="35"/>
  <c r="T14" i="35"/>
  <c r="U14" i="35"/>
  <c r="F16" i="35"/>
  <c r="I16" i="35"/>
  <c r="J16" i="35"/>
  <c r="K16" i="35"/>
  <c r="N16" i="35"/>
  <c r="O16" i="35"/>
  <c r="P16" i="35"/>
  <c r="S16" i="35"/>
  <c r="T16" i="35"/>
  <c r="U16" i="35"/>
  <c r="F17" i="35"/>
  <c r="I17" i="35"/>
  <c r="J17" i="35"/>
  <c r="K17" i="35"/>
  <c r="N17" i="35"/>
  <c r="O17" i="35"/>
  <c r="P17" i="35"/>
  <c r="S17" i="35"/>
  <c r="T17" i="35"/>
  <c r="U17" i="35"/>
  <c r="F19" i="35"/>
  <c r="I19" i="35"/>
  <c r="J19" i="35"/>
  <c r="K19" i="35"/>
  <c r="N19" i="35"/>
  <c r="O19" i="35"/>
  <c r="P19" i="35"/>
  <c r="S19" i="35"/>
  <c r="T19" i="35"/>
  <c r="U19" i="35"/>
  <c r="F20" i="35"/>
  <c r="I20" i="35"/>
  <c r="J20" i="35"/>
  <c r="K20" i="35"/>
  <c r="N20" i="35"/>
  <c r="O20" i="35"/>
  <c r="P20" i="35"/>
  <c r="S20" i="35"/>
  <c r="T20" i="35"/>
  <c r="U20" i="35"/>
  <c r="F21" i="35"/>
  <c r="I21" i="35"/>
  <c r="J21" i="35"/>
  <c r="K21" i="35"/>
  <c r="N21" i="35"/>
  <c r="O21" i="35"/>
  <c r="P21" i="35"/>
  <c r="S21" i="35"/>
  <c r="T21" i="35"/>
  <c r="U21" i="35"/>
  <c r="F22" i="35"/>
  <c r="I22" i="35"/>
  <c r="J22" i="35"/>
  <c r="K22" i="35"/>
  <c r="N22" i="35"/>
  <c r="O22" i="35"/>
  <c r="P22" i="35"/>
  <c r="S22" i="35"/>
  <c r="T22" i="35"/>
  <c r="U22" i="35"/>
  <c r="F24" i="35"/>
  <c r="I24" i="35"/>
  <c r="J24" i="35"/>
  <c r="K24" i="35"/>
  <c r="N24" i="35"/>
  <c r="O24" i="35"/>
  <c r="P24" i="35"/>
  <c r="S24" i="35"/>
  <c r="T24" i="35"/>
  <c r="U24" i="35"/>
  <c r="F25" i="35"/>
  <c r="I25" i="35"/>
  <c r="J25" i="35"/>
  <c r="K25" i="35"/>
  <c r="N25" i="35"/>
  <c r="O25" i="35"/>
  <c r="P25" i="35"/>
  <c r="S25" i="35"/>
  <c r="T25" i="35"/>
  <c r="U25" i="35"/>
  <c r="F27" i="35"/>
  <c r="I27" i="35"/>
  <c r="J27" i="35"/>
  <c r="K27" i="35"/>
  <c r="N27" i="35"/>
  <c r="O27" i="35"/>
  <c r="P27" i="35"/>
  <c r="S27" i="35"/>
  <c r="T27" i="35"/>
  <c r="U27" i="35"/>
  <c r="F28" i="35"/>
  <c r="I28" i="35"/>
  <c r="J28" i="35"/>
  <c r="K28" i="35"/>
  <c r="N28" i="35"/>
  <c r="O28" i="35"/>
  <c r="P28" i="35"/>
  <c r="S28" i="35"/>
  <c r="T28" i="35"/>
  <c r="U28" i="35"/>
  <c r="D14" i="35"/>
  <c r="E27" i="35"/>
  <c r="E28" i="35"/>
  <c r="D28" i="35"/>
  <c r="D27" i="35"/>
  <c r="E20" i="35"/>
  <c r="E13" i="35"/>
  <c r="E14" i="35"/>
  <c r="E16" i="35"/>
  <c r="E17" i="35"/>
  <c r="E19" i="35"/>
  <c r="E21" i="35"/>
  <c r="E22" i="35"/>
  <c r="E24" i="35"/>
  <c r="E25" i="35"/>
  <c r="D25" i="35"/>
  <c r="D24" i="35"/>
  <c r="D20" i="35"/>
  <c r="H20" i="35" s="1"/>
  <c r="D21" i="35"/>
  <c r="D22" i="35"/>
  <c r="D19" i="35"/>
  <c r="D17" i="35"/>
  <c r="D16" i="35"/>
  <c r="H17" i="35" l="1"/>
  <c r="H19" i="35"/>
  <c r="S26" i="35"/>
  <c r="K23" i="35"/>
  <c r="K15" i="35"/>
  <c r="E26" i="35"/>
  <c r="N26" i="35"/>
  <c r="T23" i="35"/>
  <c r="F23" i="35"/>
  <c r="T15" i="35"/>
  <c r="J15" i="35"/>
  <c r="H25" i="35"/>
  <c r="H24" i="35"/>
  <c r="H27" i="35"/>
  <c r="H13" i="35"/>
  <c r="U26" i="35"/>
  <c r="O26" i="35"/>
  <c r="M27" i="35"/>
  <c r="W25" i="35"/>
  <c r="I23" i="35"/>
  <c r="W22" i="35"/>
  <c r="M21" i="35"/>
  <c r="W20" i="35"/>
  <c r="M19" i="35"/>
  <c r="W17" i="35"/>
  <c r="I15" i="35"/>
  <c r="H22" i="35"/>
  <c r="H28" i="35"/>
  <c r="P23" i="35"/>
  <c r="P15" i="35"/>
  <c r="H14" i="35"/>
  <c r="R27" i="35"/>
  <c r="R21" i="35"/>
  <c r="R19" i="35"/>
  <c r="H16" i="35"/>
  <c r="H21" i="35"/>
  <c r="W27" i="35"/>
  <c r="M25" i="35"/>
  <c r="W24" i="35"/>
  <c r="M22" i="35"/>
  <c r="W21" i="35"/>
  <c r="W19" i="35"/>
  <c r="M17" i="35"/>
  <c r="W16" i="35"/>
  <c r="P26" i="35"/>
  <c r="J26" i="35"/>
  <c r="R25" i="35"/>
  <c r="R22" i="35"/>
  <c r="R20" i="35"/>
  <c r="R17" i="35"/>
  <c r="F15" i="35"/>
  <c r="R14" i="35"/>
  <c r="W14" i="35"/>
  <c r="U12" i="35"/>
  <c r="M14" i="35"/>
  <c r="T12" i="35"/>
  <c r="N12" i="35"/>
  <c r="F12" i="35"/>
  <c r="W28" i="35"/>
  <c r="O18" i="35"/>
  <c r="T26" i="35"/>
  <c r="F26" i="35"/>
  <c r="J23" i="35"/>
  <c r="N23" i="35"/>
  <c r="T18" i="35"/>
  <c r="F18" i="35"/>
  <c r="N15" i="35"/>
  <c r="I26" i="35"/>
  <c r="K26" i="35"/>
  <c r="U23" i="35"/>
  <c r="O23" i="35"/>
  <c r="S23" i="35"/>
  <c r="I18" i="35"/>
  <c r="K18" i="35"/>
  <c r="U15" i="35"/>
  <c r="O15" i="35"/>
  <c r="S15" i="35"/>
  <c r="S12" i="35"/>
  <c r="K12" i="35"/>
  <c r="R16" i="35"/>
  <c r="R24" i="35"/>
  <c r="R28" i="35"/>
  <c r="W13" i="35"/>
  <c r="S18" i="35"/>
  <c r="U18" i="35"/>
  <c r="N18" i="35"/>
  <c r="P18" i="35"/>
  <c r="J18" i="35"/>
  <c r="P12" i="35"/>
  <c r="J12" i="35"/>
  <c r="M16" i="35"/>
  <c r="M20" i="35"/>
  <c r="M24" i="35"/>
  <c r="M28" i="35"/>
  <c r="R13" i="35"/>
  <c r="O12" i="35"/>
  <c r="I12" i="35"/>
  <c r="M13" i="35"/>
  <c r="D12" i="35"/>
  <c r="D26" i="35"/>
  <c r="D15" i="35"/>
  <c r="E12" i="35"/>
  <c r="D18" i="35"/>
  <c r="E15" i="35"/>
  <c r="D23" i="35"/>
  <c r="E23" i="35"/>
  <c r="E18" i="35"/>
  <c r="W26" i="35" l="1"/>
  <c r="R26" i="35"/>
  <c r="M23" i="35"/>
  <c r="O10" i="35"/>
  <c r="F10" i="35"/>
  <c r="M15" i="35"/>
  <c r="Y21" i="35"/>
  <c r="W12" i="35"/>
  <c r="Y17" i="35"/>
  <c r="Y25" i="35"/>
  <c r="Y24" i="35"/>
  <c r="Y14" i="35"/>
  <c r="H12" i="35"/>
  <c r="Y20" i="35"/>
  <c r="Y27" i="35"/>
  <c r="H26" i="35"/>
  <c r="Y22" i="35"/>
  <c r="Y19" i="35"/>
  <c r="Y16" i="35"/>
  <c r="P10" i="35"/>
  <c r="N10" i="35"/>
  <c r="Y28" i="35"/>
  <c r="R18" i="35"/>
  <c r="K10" i="35"/>
  <c r="W15" i="35"/>
  <c r="T10" i="35"/>
  <c r="Y13" i="35"/>
  <c r="J10" i="35"/>
  <c r="U10" i="35"/>
  <c r="R12" i="35"/>
  <c r="R23" i="35"/>
  <c r="H18" i="35"/>
  <c r="M12" i="35"/>
  <c r="M18" i="35"/>
  <c r="E10" i="35"/>
  <c r="W18" i="35"/>
  <c r="W23" i="35"/>
  <c r="M26" i="35"/>
  <c r="S10" i="35"/>
  <c r="H23" i="35"/>
  <c r="D10" i="35"/>
  <c r="H15" i="35"/>
  <c r="I10" i="35"/>
  <c r="R15" i="35"/>
  <c r="W10" i="35" l="1"/>
  <c r="R10" i="35"/>
  <c r="Y26" i="35"/>
  <c r="M10" i="35"/>
  <c r="Y12" i="35"/>
  <c r="Y23" i="35"/>
  <c r="H10" i="35"/>
  <c r="Y18" i="35"/>
  <c r="Y15" i="35"/>
  <c r="Y10" i="35" l="1"/>
  <c r="Z13" i="35" l="1"/>
  <c r="Z19" i="35"/>
  <c r="Z27" i="35"/>
  <c r="Z21" i="35"/>
  <c r="Z14" i="35"/>
  <c r="Z16" i="35"/>
  <c r="Z20" i="35"/>
  <c r="Z24" i="35"/>
  <c r="Z25" i="35"/>
  <c r="Z22" i="35"/>
  <c r="Z28" i="35"/>
  <c r="Z17" i="3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357903-1638-4060-B8F9-DF8879916310}" keepAlive="1" name="Запит – Місто_" description="Підключення до запита &quot;Місто_&quot; у книзі." type="5" refreshedVersion="0" background="1">
    <dbPr connection="Provider=Microsoft.Mashup.OleDb.1;Data Source=$Workbook$;Location=Місто_;Extended Properties=&quot;&quot;" command="SELECT * FROM [Місто_]"/>
  </connection>
  <connection id="2" xr16:uid="{5E9DA2CC-7ACB-469F-A25C-E95792F2C00A}" keepAlive="1" name="Запит – Об'єднати1" description="Підключення до запита &quot;Об'єднати1&quot; у книзі." type="5" refreshedVersion="0" background="1" saveData="1">
    <dbPr connection="Provider=Microsoft.Mashup.OleDb.1;Data Source=$Workbook$;Location=&quot;Об'єднати1&quot;;Extended Properties=&quot;&quot;" command="SELECT * FROM [Об'єднати1]"/>
  </connection>
  <connection id="3" xr16:uid="{4EE13F6A-F9C6-4D9D-B112-788ADAFB7AD2}" keepAlive="1" name="Запит – Рейтинг" description="Підключення до запита &quot;Рейтинг&quot; у книзі." type="5" refreshedVersion="0" background="1" saveData="1">
    <dbPr connection="Provider=Microsoft.Mashup.OleDb.1;Data Source=$Workbook$;Location=Рейтинг;Extended Properties=&quot;&quot;" command="SELECT * FROM [Рейтинг]"/>
  </connection>
</connections>
</file>

<file path=xl/sharedStrings.xml><?xml version="1.0" encoding="utf-8"?>
<sst xmlns="http://schemas.openxmlformats.org/spreadsheetml/2006/main" count="38329" uniqueCount="91">
  <si>
    <t>Косметика</t>
  </si>
  <si>
    <t>область</t>
  </si>
  <si>
    <t>менеджер</t>
  </si>
  <si>
    <t>Житомирська</t>
  </si>
  <si>
    <t>Степанов Денис</t>
  </si>
  <si>
    <t>Коваль Дмитро</t>
  </si>
  <si>
    <t>Запорізька</t>
  </si>
  <si>
    <t>Київська</t>
  </si>
  <si>
    <t>Шевченко Юрій</t>
  </si>
  <si>
    <t>Савич Андрій</t>
  </si>
  <si>
    <t>Колесник Анастасія</t>
  </si>
  <si>
    <t>Іванов Іван</t>
  </si>
  <si>
    <t>Одеська</t>
  </si>
  <si>
    <t>Нечипоренко Людмила</t>
  </si>
  <si>
    <t>Харківська</t>
  </si>
  <si>
    <t>Місто</t>
  </si>
  <si>
    <t>категорія</t>
  </si>
  <si>
    <t>найменування</t>
  </si>
  <si>
    <t>рік</t>
  </si>
  <si>
    <t>місяць</t>
  </si>
  <si>
    <t>дата</t>
  </si>
  <si>
    <t>Продаж</t>
  </si>
  <si>
    <t>Житомир</t>
  </si>
  <si>
    <t>Товари для дому</t>
  </si>
  <si>
    <t>Зубочистки</t>
  </si>
  <si>
    <t>Бердичів</t>
  </si>
  <si>
    <t>Дезодорант</t>
  </si>
  <si>
    <t>Побутова хімія</t>
  </si>
  <si>
    <t>Засіб для миття посуду</t>
  </si>
  <si>
    <t>Запоріжжя</t>
  </si>
  <si>
    <t>Пекар Максим</t>
  </si>
  <si>
    <t>Засіб для посудомийних машин</t>
  </si>
  <si>
    <t>Бориспіль</t>
  </si>
  <si>
    <t>Засоби для догляду за меблями</t>
  </si>
  <si>
    <t>Одеса</t>
  </si>
  <si>
    <t>Литвин Андрій</t>
  </si>
  <si>
    <t>Серветки</t>
  </si>
  <si>
    <t>Харків</t>
  </si>
  <si>
    <t>Мірошник Сергій</t>
  </si>
  <si>
    <t>Одноразовий посуд</t>
  </si>
  <si>
    <t>Бердянськ</t>
  </si>
  <si>
    <t>Сидоров Дмитро</t>
  </si>
  <si>
    <t>Шампунь</t>
  </si>
  <si>
    <t>Біла Церква</t>
  </si>
  <si>
    <t>Чорноморськ</t>
  </si>
  <si>
    <t>Мило</t>
  </si>
  <si>
    <t>Чугуїв</t>
  </si>
  <si>
    <t>Петров Сергій</t>
  </si>
  <si>
    <t>Ірпінь</t>
  </si>
  <si>
    <t>Київ</t>
  </si>
  <si>
    <t>Total</t>
  </si>
  <si>
    <t>вихідні дані</t>
  </si>
  <si>
    <t>Підсумок</t>
  </si>
  <si>
    <t>*</t>
  </si>
  <si>
    <t>Рік</t>
  </si>
  <si>
    <t>Категорія</t>
  </si>
  <si>
    <t>Область</t>
  </si>
  <si>
    <t>Менеджер</t>
  </si>
  <si>
    <t>січ</t>
  </si>
  <si>
    <t>лют</t>
  </si>
  <si>
    <t>бер</t>
  </si>
  <si>
    <t>кві</t>
  </si>
  <si>
    <t>тра</t>
  </si>
  <si>
    <t>чер</t>
  </si>
  <si>
    <t>лип</t>
  </si>
  <si>
    <t>сер</t>
  </si>
  <si>
    <t>вер</t>
  </si>
  <si>
    <t>жов</t>
  </si>
  <si>
    <t>лис</t>
  </si>
  <si>
    <t>гру</t>
  </si>
  <si>
    <t>1 квартал</t>
  </si>
  <si>
    <t>2 квартал</t>
  </si>
  <si>
    <t>3 квартал</t>
  </si>
  <si>
    <t>4 квартал</t>
  </si>
  <si>
    <t>Загальний підсумок</t>
  </si>
  <si>
    <t>Частка</t>
  </si>
  <si>
    <t>&lt;&gt;0</t>
  </si>
  <si>
    <t>таб.1</t>
  </si>
  <si>
    <t>місто</t>
  </si>
  <si>
    <t>закупівельні ціни</t>
  </si>
  <si>
    <t>відпускні ціни</t>
  </si>
  <si>
    <t>Інтеративна табл</t>
  </si>
  <si>
    <t>для зведеної</t>
  </si>
  <si>
    <t>Значення</t>
  </si>
  <si>
    <t>Квартали</t>
  </si>
  <si>
    <t>місяці</t>
  </si>
  <si>
    <t xml:space="preserve">Відпускні ціни </t>
  </si>
  <si>
    <t>Сума з Продаж</t>
  </si>
  <si>
    <t>Продажі</t>
  </si>
  <si>
    <t>(кілька елементів)</t>
  </si>
  <si>
    <t>Дашборд з продажів товарів Home &amp;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</si>
</sst>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\ [$UAH]"/>
    <numFmt numFmtId="166" formatCode="#,##0\ [$UAH]"/>
  </numFmts>
  <fonts count="9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8"/>
      <color theme="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3" fontId="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0" fillId="0" borderId="3" xfId="0" applyBorder="1"/>
    <xf numFmtId="0" fontId="2" fillId="2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vertical="center"/>
    </xf>
    <xf numFmtId="14" fontId="1" fillId="0" borderId="3" xfId="0" applyNumberFormat="1" applyFont="1" applyBorder="1" applyAlignment="1">
      <alignment vertical="center"/>
    </xf>
    <xf numFmtId="3" fontId="1" fillId="0" borderId="3" xfId="0" applyNumberFormat="1" applyFont="1" applyBorder="1"/>
    <xf numFmtId="3" fontId="1" fillId="0" borderId="3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6" borderId="0" xfId="0" applyFill="1"/>
    <xf numFmtId="0" fontId="0" fillId="0" borderId="0" xfId="0" applyAlignment="1">
      <alignment horizontal="left"/>
    </xf>
    <xf numFmtId="164" fontId="0" fillId="0" borderId="10" xfId="1" applyNumberFormat="1" applyFont="1" applyFill="1" applyBorder="1"/>
    <xf numFmtId="164" fontId="0" fillId="0" borderId="6" xfId="1" applyNumberFormat="1" applyFont="1" applyFill="1" applyBorder="1"/>
    <xf numFmtId="0" fontId="2" fillId="7" borderId="3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9" xfId="0" applyFill="1" applyBorder="1"/>
    <xf numFmtId="0" fontId="1" fillId="9" borderId="0" xfId="0" applyFont="1" applyFill="1"/>
    <xf numFmtId="0" fontId="0" fillId="9" borderId="0" xfId="0" applyFill="1"/>
    <xf numFmtId="0" fontId="0" fillId="9" borderId="10" xfId="0" applyFill="1" applyBorder="1"/>
    <xf numFmtId="0" fontId="0" fillId="9" borderId="5" xfId="0" applyFill="1" applyBorder="1"/>
    <xf numFmtId="0" fontId="1" fillId="9" borderId="11" xfId="0" applyFont="1" applyFill="1" applyBorder="1"/>
    <xf numFmtId="0" fontId="0" fillId="9" borderId="11" xfId="0" applyFill="1" applyBorder="1"/>
    <xf numFmtId="0" fontId="0" fillId="9" borderId="6" xfId="0" applyFill="1" applyBorder="1"/>
    <xf numFmtId="0" fontId="0" fillId="7" borderId="1" xfId="0" applyFill="1" applyBorder="1"/>
    <xf numFmtId="0" fontId="0" fillId="7" borderId="12" xfId="0" applyFill="1" applyBorder="1"/>
    <xf numFmtId="0" fontId="0" fillId="7" borderId="2" xfId="0" applyFill="1" applyBorder="1"/>
    <xf numFmtId="0" fontId="0" fillId="7" borderId="3" xfId="0" applyFill="1" applyBorder="1"/>
    <xf numFmtId="0" fontId="0" fillId="10" borderId="4" xfId="0" applyFill="1" applyBorder="1"/>
    <xf numFmtId="0" fontId="0" fillId="10" borderId="8" xfId="0" applyFill="1" applyBorder="1"/>
    <xf numFmtId="0" fontId="0" fillId="10" borderId="7" xfId="0" applyFill="1" applyBorder="1"/>
    <xf numFmtId="0" fontId="1" fillId="10" borderId="9" xfId="0" applyFont="1" applyFill="1" applyBorder="1"/>
    <xf numFmtId="0" fontId="1" fillId="10" borderId="0" xfId="0" applyFont="1" applyFill="1"/>
    <xf numFmtId="0" fontId="0" fillId="10" borderId="0" xfId="0" applyFill="1"/>
    <xf numFmtId="0" fontId="0" fillId="10" borderId="10" xfId="0" applyFill="1" applyBorder="1"/>
    <xf numFmtId="0" fontId="0" fillId="10" borderId="9" xfId="0" applyFill="1" applyBorder="1"/>
    <xf numFmtId="164" fontId="0" fillId="10" borderId="10" xfId="1" applyNumberFormat="1" applyFont="1" applyFill="1" applyBorder="1"/>
    <xf numFmtId="0" fontId="4" fillId="11" borderId="1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Continuous" vertical="center"/>
    </xf>
    <xf numFmtId="0" fontId="4" fillId="11" borderId="12" xfId="0" applyFont="1" applyFill="1" applyBorder="1" applyAlignment="1">
      <alignment horizontal="centerContinuous"/>
    </xf>
    <xf numFmtId="0" fontId="4" fillId="11" borderId="2" xfId="0" applyFont="1" applyFill="1" applyBorder="1" applyAlignment="1">
      <alignment horizontal="centerContinuous"/>
    </xf>
    <xf numFmtId="0" fontId="4" fillId="11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4" fontId="1" fillId="0" borderId="0" xfId="0" applyNumberFormat="1" applyFont="1"/>
    <xf numFmtId="4" fontId="1" fillId="0" borderId="0" xfId="0" applyNumberFormat="1" applyFont="1" applyAlignment="1">
      <alignment vertical="center"/>
    </xf>
    <xf numFmtId="14" fontId="1" fillId="0" borderId="0" xfId="0" applyNumberFormat="1" applyFont="1"/>
    <xf numFmtId="14" fontId="0" fillId="0" borderId="0" xfId="0" applyNumberFormat="1"/>
    <xf numFmtId="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/>
    <xf numFmtId="10" fontId="0" fillId="3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10" fontId="0" fillId="12" borderId="0" xfId="0" applyNumberFormat="1" applyFill="1" applyAlignment="1">
      <alignment horizontal="center"/>
    </xf>
    <xf numFmtId="0" fontId="0" fillId="0" borderId="0" xfId="0" pivotButton="1"/>
    <xf numFmtId="165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166" fontId="0" fillId="0" borderId="0" xfId="0" pivotButton="1" applyNumberFormat="1"/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0" fontId="0" fillId="5" borderId="0" xfId="0" applyFill="1"/>
    <xf numFmtId="0" fontId="4" fillId="5" borderId="0" xfId="0" applyFont="1" applyFill="1" applyAlignment="1">
      <alignment horizontal="center"/>
    </xf>
    <xf numFmtId="166" fontId="0" fillId="0" borderId="0" xfId="0" pivotButton="1" applyNumberFormat="1" applyAlignment="1">
      <alignment horizontal="center"/>
    </xf>
    <xf numFmtId="0" fontId="0" fillId="3" borderId="0" xfId="0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2">
    <cellStyle name="Відсотковий" xfId="1" builtinId="5"/>
    <cellStyle name="Звичайний" xfId="0" builtinId="0"/>
  </cellStyles>
  <dxfs count="99"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numFmt numFmtId="3" formatCode="#,##0"/>
    </dxf>
    <dxf>
      <numFmt numFmtId="166" formatCode="#,##0\ [$UAH]"/>
    </dxf>
    <dxf>
      <numFmt numFmtId="166" formatCode="#,##0\ [$UAH]"/>
    </dxf>
    <dxf>
      <numFmt numFmtId="166" formatCode="#,##0\ [$UAH]"/>
    </dxf>
    <dxf>
      <numFmt numFmtId="166" formatCode="#,##0\ [$UAH]"/>
    </dxf>
    <dxf>
      <numFmt numFmtId="166" formatCode="#,##0\ [$UAH]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6" formatCode="#,##0\ [$UAH]"/>
    </dxf>
    <dxf>
      <numFmt numFmtId="166" formatCode="#,##0\ [$UAH]"/>
    </dxf>
    <dxf>
      <numFmt numFmtId="166" formatCode="#,##0\ [$UAH]"/>
    </dxf>
    <dxf>
      <numFmt numFmtId="166" formatCode="#,##0\ [$UAH]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6" formatCode="#,##0\ [$UAH]"/>
    </dxf>
    <dxf>
      <numFmt numFmtId="166" formatCode="#,##0\ [$UAH]"/>
    </dxf>
    <dxf>
      <numFmt numFmtId="166" formatCode="#,##0\ [$UAH]"/>
    </dxf>
    <dxf>
      <numFmt numFmtId="166" formatCode="#,##0\ [$UAH]"/>
    </dxf>
    <dxf>
      <numFmt numFmtId="166" formatCode="#,##0\ [$UAH]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6" formatCode="#,##0\ [$UAH]"/>
    </dxf>
    <dxf>
      <numFmt numFmtId="166" formatCode="#,##0\ [$UAH]"/>
    </dxf>
    <dxf>
      <numFmt numFmtId="166" formatCode="#,##0\ [$UAH]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0000FF"/>
      <color rgb="FFFF66FF"/>
      <color rgb="FF2AAC2D"/>
      <color rgb="FF3B7D3D"/>
      <color rgb="FFFFCC00"/>
      <color rgb="FFFBED35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Аркуш2!$B$3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Аркуш2!$A$4:$A$7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Аркуш2!$B$4:$B$7</c:f>
              <c:numCache>
                <c:formatCode>#,##0</c:formatCode>
                <c:ptCount val="3"/>
                <c:pt idx="0">
                  <c:v>4412668</c:v>
                </c:pt>
                <c:pt idx="1">
                  <c:v>4452783</c:v>
                </c:pt>
                <c:pt idx="2">
                  <c:v>4431915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E-4C11-943F-FA58756B0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1775456"/>
        <c:axId val="1911778336"/>
      </c:barChart>
      <c:catAx>
        <c:axId val="1911775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11778336"/>
        <c:crosses val="autoZero"/>
        <c:auto val="1"/>
        <c:lblAlgn val="ctr"/>
        <c:lblOffset val="100"/>
        <c:noMultiLvlLbl val="0"/>
      </c:catAx>
      <c:valAx>
        <c:axId val="191177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1177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Аркуш2!$B$18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Аркуш2!$A$19:$A$22</c:f>
              <c:strCache>
                <c:ptCount val="3"/>
                <c:pt idx="0">
                  <c:v>Косметика</c:v>
                </c:pt>
                <c:pt idx="1">
                  <c:v>Побутова хімія</c:v>
                </c:pt>
                <c:pt idx="2">
                  <c:v>Товари для дому</c:v>
                </c:pt>
              </c:strCache>
            </c:strRef>
          </c:cat>
          <c:val>
            <c:numRef>
              <c:f>Аркуш2!$B$19:$B$22</c:f>
              <c:numCache>
                <c:formatCode>#,##0</c:formatCode>
                <c:ptCount val="3"/>
                <c:pt idx="0">
                  <c:v>5473835</c:v>
                </c:pt>
                <c:pt idx="1">
                  <c:v>4913494</c:v>
                </c:pt>
                <c:pt idx="2">
                  <c:v>2910037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C-4EBE-AAE4-233F7E120A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0203328"/>
        <c:axId val="690210048"/>
      </c:barChart>
      <c:catAx>
        <c:axId val="6902033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90210048"/>
        <c:crosses val="autoZero"/>
        <c:auto val="1"/>
        <c:lblAlgn val="ctr"/>
        <c:lblOffset val="100"/>
        <c:noMultiLvlLbl val="0"/>
      </c:catAx>
      <c:valAx>
        <c:axId val="6902100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69020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258818331147181"/>
          <c:y val="9.5496485381565327E-2"/>
          <c:w val="0.83045343494091839"/>
          <c:h val="0.44445577577500428"/>
        </c:manualLayout>
      </c:layout>
      <c:areaChart>
        <c:grouping val="standard"/>
        <c:varyColors val="0"/>
        <c:ser>
          <c:idx val="0"/>
          <c:order val="0"/>
          <c:tx>
            <c:strRef>
              <c:f>Аркуш2!$F$3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0-FA07-46E5-8FBB-DCC8DEBDA3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Аркуш2!$E$4:$E$13</c:f>
              <c:strCache>
                <c:ptCount val="9"/>
                <c:pt idx="0">
                  <c:v>Одноразовий посуд</c:v>
                </c:pt>
                <c:pt idx="1">
                  <c:v>Серветки</c:v>
                </c:pt>
                <c:pt idx="2">
                  <c:v>Зубочистки</c:v>
                </c:pt>
                <c:pt idx="3">
                  <c:v>Засоби для догляду за меблями</c:v>
                </c:pt>
                <c:pt idx="4">
                  <c:v>Мило</c:v>
                </c:pt>
                <c:pt idx="5">
                  <c:v>Засіб для миття посуду</c:v>
                </c:pt>
                <c:pt idx="6">
                  <c:v>Дезодорант</c:v>
                </c:pt>
                <c:pt idx="7">
                  <c:v>Засіб для посудомийних машин</c:v>
                </c:pt>
                <c:pt idx="8">
                  <c:v>Шампунь</c:v>
                </c:pt>
              </c:strCache>
            </c:strRef>
          </c:cat>
          <c:val>
            <c:numRef>
              <c:f>Аркуш2!$F$4:$F$13</c:f>
              <c:numCache>
                <c:formatCode>General</c:formatCode>
                <c:ptCount val="9"/>
                <c:pt idx="0">
                  <c:v>887169</c:v>
                </c:pt>
                <c:pt idx="1">
                  <c:v>979781</c:v>
                </c:pt>
                <c:pt idx="2">
                  <c:v>1043087</c:v>
                </c:pt>
                <c:pt idx="3">
                  <c:v>1492620</c:v>
                </c:pt>
                <c:pt idx="4">
                  <c:v>1519990</c:v>
                </c:pt>
                <c:pt idx="5">
                  <c:v>1636345</c:v>
                </c:pt>
                <c:pt idx="6">
                  <c:v>1783563</c:v>
                </c:pt>
                <c:pt idx="7">
                  <c:v>1784529</c:v>
                </c:pt>
                <c:pt idx="8">
                  <c:v>2170282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9-4C6C-9C98-F2CE127225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85613424"/>
        <c:axId val="785622544"/>
      </c:areaChart>
      <c:catAx>
        <c:axId val="78561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85622544"/>
        <c:crosses val="autoZero"/>
        <c:auto val="1"/>
        <c:lblAlgn val="ctr"/>
        <c:lblOffset val="100"/>
        <c:noMultiLvlLbl val="0"/>
      </c:catAx>
      <c:valAx>
        <c:axId val="78562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8561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таблиця7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Аркуш2!$F$16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2F-4345-85B5-12E57D65F0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2F-4345-85B5-12E57D65F0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267-4786-A102-768C025018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2F-4345-85B5-12E57D65F0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02F-4345-85B5-12E57D65F0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02F-4345-85B5-12E57D65F0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02F-4345-85B5-12E57D65F0C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02F-4345-85B5-12E57D65F0CB}"/>
              </c:ext>
            </c:extLst>
          </c:dPt>
          <c:dPt>
            <c:idx val="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02F-4345-85B5-12E57D65F0C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02F-4345-85B5-12E57D65F0C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02F-4345-85B5-12E57D65F0C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02F-4345-85B5-12E57D65F0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Аркуш2!$E$17:$E$29</c:f>
              <c:strCache>
                <c:ptCount val="12"/>
                <c:pt idx="0">
                  <c:v>Запоріжжя</c:v>
                </c:pt>
                <c:pt idx="1">
                  <c:v>Бердянськ</c:v>
                </c:pt>
                <c:pt idx="2">
                  <c:v>Одеса</c:v>
                </c:pt>
                <c:pt idx="3">
                  <c:v>Житомир</c:v>
                </c:pt>
                <c:pt idx="4">
                  <c:v>Чугуїв</c:v>
                </c:pt>
                <c:pt idx="5">
                  <c:v>Бердичів</c:v>
                </c:pt>
                <c:pt idx="6">
                  <c:v>Чорноморськ</c:v>
                </c:pt>
                <c:pt idx="7">
                  <c:v>Біла Церква</c:v>
                </c:pt>
                <c:pt idx="8">
                  <c:v>Ірпінь</c:v>
                </c:pt>
                <c:pt idx="9">
                  <c:v>Київ</c:v>
                </c:pt>
                <c:pt idx="10">
                  <c:v>Харків</c:v>
                </c:pt>
                <c:pt idx="11">
                  <c:v>Бориспіль</c:v>
                </c:pt>
              </c:strCache>
            </c:strRef>
          </c:cat>
          <c:val>
            <c:numRef>
              <c:f>Аркуш2!$F$17:$F$29</c:f>
              <c:numCache>
                <c:formatCode>#,##0</c:formatCode>
                <c:ptCount val="12"/>
                <c:pt idx="0">
                  <c:v>938885</c:v>
                </c:pt>
                <c:pt idx="1">
                  <c:v>996405</c:v>
                </c:pt>
                <c:pt idx="2">
                  <c:v>1105925</c:v>
                </c:pt>
                <c:pt idx="3">
                  <c:v>1131903</c:v>
                </c:pt>
                <c:pt idx="4">
                  <c:v>1132409</c:v>
                </c:pt>
                <c:pt idx="5">
                  <c:v>1134327</c:v>
                </c:pt>
                <c:pt idx="6">
                  <c:v>1136340</c:v>
                </c:pt>
                <c:pt idx="7">
                  <c:v>1141176</c:v>
                </c:pt>
                <c:pt idx="8">
                  <c:v>1141343</c:v>
                </c:pt>
                <c:pt idx="9">
                  <c:v>1143098</c:v>
                </c:pt>
                <c:pt idx="10">
                  <c:v>1146467</c:v>
                </c:pt>
                <c:pt idx="11">
                  <c:v>1149088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7-4786-A102-768C02501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таблиця5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Аркуш2!$B$29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22-4CE3-875A-6C44B17BFC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DC-41EF-B257-21E13023E2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22-4CE3-875A-6C44B17BFC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DC-41EF-B257-21E13023E2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22-4CE3-875A-6C44B17BFC2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022-4CE3-875A-6C44B17BFC2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022-4CE3-875A-6C44B17BFC2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022-4CE3-875A-6C44B17BFC2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022-4CE3-875A-6C44B17BFC2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022-4CE3-875A-6C44B17BFC2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022-4CE3-875A-6C44B17BFC2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022-4CE3-875A-6C44B17BFC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Аркуш2!$A$30:$A$42</c:f>
              <c:strCache>
                <c:ptCount val="12"/>
                <c:pt idx="0">
                  <c:v>Пекар Максим</c:v>
                </c:pt>
                <c:pt idx="1">
                  <c:v>Сидоров Дмитро</c:v>
                </c:pt>
                <c:pt idx="2">
                  <c:v>Литвин Андрій</c:v>
                </c:pt>
                <c:pt idx="3">
                  <c:v>Коваль Дмитро</c:v>
                </c:pt>
                <c:pt idx="4">
                  <c:v>Петров Сергій</c:v>
                </c:pt>
                <c:pt idx="5">
                  <c:v>Степанов Денис</c:v>
                </c:pt>
                <c:pt idx="6">
                  <c:v>Нечипоренко Людмила</c:v>
                </c:pt>
                <c:pt idx="7">
                  <c:v>Колесник Анастасія</c:v>
                </c:pt>
                <c:pt idx="8">
                  <c:v>Савич Андрій</c:v>
                </c:pt>
                <c:pt idx="9">
                  <c:v>Іванов Іван</c:v>
                </c:pt>
                <c:pt idx="10">
                  <c:v>Мірошник Сергій</c:v>
                </c:pt>
                <c:pt idx="11">
                  <c:v>Шевченко Юрій</c:v>
                </c:pt>
              </c:strCache>
            </c:strRef>
          </c:cat>
          <c:val>
            <c:numRef>
              <c:f>Аркуш2!$B$30:$B$42</c:f>
              <c:numCache>
                <c:formatCode>#,##0</c:formatCode>
                <c:ptCount val="12"/>
                <c:pt idx="0">
                  <c:v>938885</c:v>
                </c:pt>
                <c:pt idx="1">
                  <c:v>996405</c:v>
                </c:pt>
                <c:pt idx="2">
                  <c:v>1105925</c:v>
                </c:pt>
                <c:pt idx="3">
                  <c:v>1131903</c:v>
                </c:pt>
                <c:pt idx="4">
                  <c:v>1132409</c:v>
                </c:pt>
                <c:pt idx="5">
                  <c:v>1134327</c:v>
                </c:pt>
                <c:pt idx="6">
                  <c:v>1136340</c:v>
                </c:pt>
                <c:pt idx="7">
                  <c:v>1141176</c:v>
                </c:pt>
                <c:pt idx="8">
                  <c:v>1141343</c:v>
                </c:pt>
                <c:pt idx="9">
                  <c:v>1143098</c:v>
                </c:pt>
                <c:pt idx="10">
                  <c:v>1146467</c:v>
                </c:pt>
                <c:pt idx="11">
                  <c:v>1149088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C-41EF-B257-21E13023E2C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1" i="0" u="none" strike="noStrike" kern="1200" spc="0" baseline="0">
                <a:solidFill>
                  <a:srgbClr val="44546A"/>
                </a:solidFill>
              </a:rPr>
              <a:t>Продажі по роках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Аркуш2!$B$46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Аркуш2!$A$47:$A$50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Аркуш2!$B$47:$B$50</c:f>
              <c:numCache>
                <c:formatCode>#,##0</c:formatCode>
                <c:ptCount val="3"/>
                <c:pt idx="0">
                  <c:v>4412668</c:v>
                </c:pt>
                <c:pt idx="1">
                  <c:v>4452783</c:v>
                </c:pt>
                <c:pt idx="2">
                  <c:v>4431915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44C-9E27-3DE5C096E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523584"/>
        <c:axId val="1916515424"/>
      </c:barChart>
      <c:catAx>
        <c:axId val="191652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16515424"/>
        <c:crosses val="autoZero"/>
        <c:auto val="1"/>
        <c:lblAlgn val="ctr"/>
        <c:lblOffset val="100"/>
        <c:noMultiLvlLbl val="0"/>
      </c:catAx>
      <c:valAx>
        <c:axId val="191651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1652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таблиця6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Аркуш2!$F$3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3C-437D-A020-DC4BC277C7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3C-437D-A020-DC4BC277C7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3C-437D-A020-DC4BC277C7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3C-437D-A020-DC4BC277C7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3C-437D-A020-DC4BC277C7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3C-437D-A020-DC4BC277C7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23C-437D-A020-DC4BC277C7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23C-437D-A020-DC4BC277C7E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23C-437D-A020-DC4BC277C7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Аркуш2!$E$4:$E$13</c:f>
              <c:strCache>
                <c:ptCount val="9"/>
                <c:pt idx="0">
                  <c:v>Одноразовий посуд</c:v>
                </c:pt>
                <c:pt idx="1">
                  <c:v>Серветки</c:v>
                </c:pt>
                <c:pt idx="2">
                  <c:v>Зубочистки</c:v>
                </c:pt>
                <c:pt idx="3">
                  <c:v>Засоби для догляду за меблями</c:v>
                </c:pt>
                <c:pt idx="4">
                  <c:v>Мило</c:v>
                </c:pt>
                <c:pt idx="5">
                  <c:v>Засіб для миття посуду</c:v>
                </c:pt>
                <c:pt idx="6">
                  <c:v>Дезодорант</c:v>
                </c:pt>
                <c:pt idx="7">
                  <c:v>Засіб для посудомийних машин</c:v>
                </c:pt>
                <c:pt idx="8">
                  <c:v>Шампунь</c:v>
                </c:pt>
              </c:strCache>
            </c:strRef>
          </c:cat>
          <c:val>
            <c:numRef>
              <c:f>Аркуш2!$F$4:$F$13</c:f>
              <c:numCache>
                <c:formatCode>General</c:formatCode>
                <c:ptCount val="9"/>
                <c:pt idx="0">
                  <c:v>887169</c:v>
                </c:pt>
                <c:pt idx="1">
                  <c:v>979781</c:v>
                </c:pt>
                <c:pt idx="2">
                  <c:v>1043087</c:v>
                </c:pt>
                <c:pt idx="3">
                  <c:v>1492620</c:v>
                </c:pt>
                <c:pt idx="4">
                  <c:v>1519990</c:v>
                </c:pt>
                <c:pt idx="5">
                  <c:v>1636345</c:v>
                </c:pt>
                <c:pt idx="6">
                  <c:v>1783563</c:v>
                </c:pt>
                <c:pt idx="7">
                  <c:v>1784529</c:v>
                </c:pt>
                <c:pt idx="8">
                  <c:v>2170282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4-4E3A-A685-49E9BAABD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487073490813654"/>
          <c:y val="5.6340405365995917E-2"/>
          <c:w val="0.30846259842519685"/>
          <c:h val="0.919122557596967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таблиця6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Аркуш2!$F$3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A33-423F-87F3-03AB9672EA5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A33-423F-87F3-03AB9672EA5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A33-423F-87F3-03AB9672EA5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A33-423F-87F3-03AB9672EA5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A33-423F-87F3-03AB9672EA5A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A33-423F-87F3-03AB9672EA5A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A33-423F-87F3-03AB9672EA5A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DA33-423F-87F3-03AB9672EA5A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DA33-423F-87F3-03AB9672EA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Аркуш2!$E$4:$E$13</c:f>
              <c:strCache>
                <c:ptCount val="9"/>
                <c:pt idx="0">
                  <c:v>Одноразовий посуд</c:v>
                </c:pt>
                <c:pt idx="1">
                  <c:v>Серветки</c:v>
                </c:pt>
                <c:pt idx="2">
                  <c:v>Зубочистки</c:v>
                </c:pt>
                <c:pt idx="3">
                  <c:v>Засоби для догляду за меблями</c:v>
                </c:pt>
                <c:pt idx="4">
                  <c:v>Мило</c:v>
                </c:pt>
                <c:pt idx="5">
                  <c:v>Засіб для миття посуду</c:v>
                </c:pt>
                <c:pt idx="6">
                  <c:v>Дезодорант</c:v>
                </c:pt>
                <c:pt idx="7">
                  <c:v>Засіб для посудомийних машин</c:v>
                </c:pt>
                <c:pt idx="8">
                  <c:v>Шампунь</c:v>
                </c:pt>
              </c:strCache>
            </c:strRef>
          </c:cat>
          <c:val>
            <c:numRef>
              <c:f>Аркуш2!$F$4:$F$13</c:f>
              <c:numCache>
                <c:formatCode>General</c:formatCode>
                <c:ptCount val="9"/>
                <c:pt idx="0">
                  <c:v>887169</c:v>
                </c:pt>
                <c:pt idx="1">
                  <c:v>979781</c:v>
                </c:pt>
                <c:pt idx="2">
                  <c:v>1043087</c:v>
                </c:pt>
                <c:pt idx="3">
                  <c:v>1492620</c:v>
                </c:pt>
                <c:pt idx="4">
                  <c:v>1519990</c:v>
                </c:pt>
                <c:pt idx="5">
                  <c:v>1636345</c:v>
                </c:pt>
                <c:pt idx="6">
                  <c:v>1783563</c:v>
                </c:pt>
                <c:pt idx="7">
                  <c:v>1784529</c:v>
                </c:pt>
                <c:pt idx="8">
                  <c:v>2170282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A33-423F-87F3-03AB9672E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89151072"/>
        <c:axId val="689154912"/>
      </c:barChart>
      <c:valAx>
        <c:axId val="68915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9151072"/>
        <c:crosses val="autoZero"/>
        <c:crossBetween val="between"/>
      </c:valAx>
      <c:catAx>
        <c:axId val="689151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9154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таблиця3</c:name>
    <c:fmtId val="3"/>
  </c:pivotSource>
  <c:chart>
    <c:title>
      <c:tx>
        <c:rich>
          <a:bodyPr rot="0" spcFirstLastPara="1" vertOverflow="ellipsis" vert="horz" wrap="square" anchor="t" anchorCtr="1"/>
          <a:lstStyle/>
          <a:p>
            <a:pPr algn="ctr" rtl="0">
              <a:defRPr lang="uk-UA" sz="1600" b="1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6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Продажі по категоріям</a:t>
            </a:r>
          </a:p>
        </c:rich>
      </c:tx>
      <c:layout>
        <c:manualLayout>
          <c:xMode val="edge"/>
          <c:yMode val="edge"/>
          <c:x val="0.28781065536756772"/>
          <c:y val="3.5856883039270815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[$₴-422]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non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Аркуш2!$B$18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\ [$₴-422]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Аркуш2!$A$19:$A$22</c:f>
              <c:strCache>
                <c:ptCount val="3"/>
                <c:pt idx="0">
                  <c:v>Косметика</c:v>
                </c:pt>
                <c:pt idx="1">
                  <c:v>Побутова хімія</c:v>
                </c:pt>
                <c:pt idx="2">
                  <c:v>Товари для дому</c:v>
                </c:pt>
              </c:strCache>
            </c:strRef>
          </c:cat>
          <c:val>
            <c:numRef>
              <c:f>Аркуш2!$B$19:$B$22</c:f>
              <c:numCache>
                <c:formatCode>#,##0</c:formatCode>
                <c:ptCount val="3"/>
                <c:pt idx="0">
                  <c:v>5473835</c:v>
                </c:pt>
                <c:pt idx="1">
                  <c:v>4913494</c:v>
                </c:pt>
                <c:pt idx="2">
                  <c:v>2910037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8-4240-936C-93FD9A82BF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0203328"/>
        <c:axId val="690210048"/>
      </c:barChart>
      <c:catAx>
        <c:axId val="69020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90210048"/>
        <c:crosses val="autoZero"/>
        <c:auto val="1"/>
        <c:lblAlgn val="ctr"/>
        <c:lblOffset val="100"/>
        <c:noMultiLvlLbl val="0"/>
      </c:catAx>
      <c:valAx>
        <c:axId val="690210048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69020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>
                <a:solidFill>
                  <a:schemeClr val="accent5">
                    <a:lumMod val="75000"/>
                  </a:schemeClr>
                </a:solidFill>
              </a:rPr>
              <a:t>Продажі</a:t>
            </a:r>
            <a:r>
              <a:rPr lang="uk-UA" baseline="0">
                <a:solidFill>
                  <a:schemeClr val="accent5">
                    <a:lumMod val="75000"/>
                  </a:schemeClr>
                </a:solidFill>
              </a:rPr>
              <a:t> по регіону</a:t>
            </a:r>
          </a:p>
          <a:p>
            <a:pPr>
              <a:defRPr>
                <a:solidFill>
                  <a:schemeClr val="accent5">
                    <a:lumMod val="75000"/>
                  </a:schemeClr>
                </a:solidFill>
              </a:defRPr>
            </a:pPr>
            <a:endParaRPr lang="uk-UA">
              <a:solidFill>
                <a:schemeClr val="accent5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166016576798402"/>
                  <c:h val="0.20719858173728109"/>
                </c:manualLayout>
              </c15:layout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687560095652877"/>
                  <c:h val="0.20498376080462014"/>
                </c:manualLayout>
              </c15:layout>
            </c:ext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Аркуш2!$F$16</c:f>
              <c:strCache>
                <c:ptCount val="1"/>
                <c:pt idx="0">
                  <c:v>Підсумок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46-4D4E-9845-97EFE1428994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46-4D4E-9845-97EFE1428994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E46-4D4E-9845-97EFE1428994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E46-4D4E-9845-97EFE1428994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E46-4D4E-9845-97EFE1428994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E46-4D4E-9845-97EFE1428994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E46-4D4E-9845-97EFE1428994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E46-4D4E-9845-97EFE1428994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E46-4D4E-9845-97EFE1428994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E46-4D4E-9845-97EFE1428994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E46-4D4E-9845-97EFE1428994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E46-4D4E-9845-97EFE1428994}"/>
              </c:ext>
            </c:extLst>
          </c:dPt>
          <c:dLbls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166016576798402"/>
                      <c:h val="0.207198581737281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E46-4D4E-9845-97EFE1428994}"/>
                </c:ext>
              </c:extLst>
            </c:dLbl>
            <c:dLbl>
              <c:idx val="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87560095652877"/>
                      <c:h val="0.204983760804620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6E46-4D4E-9845-97EFE14289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Аркуш2!$E$17:$E$29</c:f>
              <c:strCache>
                <c:ptCount val="12"/>
                <c:pt idx="0">
                  <c:v>Запоріжжя</c:v>
                </c:pt>
                <c:pt idx="1">
                  <c:v>Бердянськ</c:v>
                </c:pt>
                <c:pt idx="2">
                  <c:v>Одеса</c:v>
                </c:pt>
                <c:pt idx="3">
                  <c:v>Житомир</c:v>
                </c:pt>
                <c:pt idx="4">
                  <c:v>Чугуїв</c:v>
                </c:pt>
                <c:pt idx="5">
                  <c:v>Бердичів</c:v>
                </c:pt>
                <c:pt idx="6">
                  <c:v>Чорноморськ</c:v>
                </c:pt>
                <c:pt idx="7">
                  <c:v>Біла Церква</c:v>
                </c:pt>
                <c:pt idx="8">
                  <c:v>Ірпінь</c:v>
                </c:pt>
                <c:pt idx="9">
                  <c:v>Київ</c:v>
                </c:pt>
                <c:pt idx="10">
                  <c:v>Харків</c:v>
                </c:pt>
                <c:pt idx="11">
                  <c:v>Бориспіль</c:v>
                </c:pt>
              </c:strCache>
            </c:strRef>
          </c:cat>
          <c:val>
            <c:numRef>
              <c:f>Аркуш2!$F$17:$F$29</c:f>
              <c:numCache>
                <c:formatCode>#,##0</c:formatCode>
                <c:ptCount val="12"/>
                <c:pt idx="0">
                  <c:v>938885</c:v>
                </c:pt>
                <c:pt idx="1">
                  <c:v>996405</c:v>
                </c:pt>
                <c:pt idx="2">
                  <c:v>1105925</c:v>
                </c:pt>
                <c:pt idx="3">
                  <c:v>1131903</c:v>
                </c:pt>
                <c:pt idx="4">
                  <c:v>1132409</c:v>
                </c:pt>
                <c:pt idx="5">
                  <c:v>1134327</c:v>
                </c:pt>
                <c:pt idx="6">
                  <c:v>1136340</c:v>
                </c:pt>
                <c:pt idx="7">
                  <c:v>1141176</c:v>
                </c:pt>
                <c:pt idx="8">
                  <c:v>1141343</c:v>
                </c:pt>
                <c:pt idx="9">
                  <c:v>1143098</c:v>
                </c:pt>
                <c:pt idx="10">
                  <c:v>1146467</c:v>
                </c:pt>
                <c:pt idx="11">
                  <c:v>1149088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6-4D4E-9845-97EFE1428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14234048"/>
        <c:axId val="714234528"/>
      </c:barChart>
      <c:valAx>
        <c:axId val="71423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14234048"/>
        <c:crosses val="autoZero"/>
        <c:crossBetween val="between"/>
      </c:valAx>
      <c:catAx>
        <c:axId val="7142340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14234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uk-UA" sz="1600" b="1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600" b="1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Продажі по менеджерам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uk-UA" sz="1600" b="1" i="0" u="none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Аркуш2!$B$29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90-4580-A4BA-C99A0A97B31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90-4580-A4BA-C99A0A97B31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90-4580-A4BA-C99A0A97B31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90-4580-A4BA-C99A0A97B31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90-4580-A4BA-C99A0A97B31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590-4580-A4BA-C99A0A97B31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590-4580-A4BA-C99A0A97B31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590-4580-A4BA-C99A0A97B31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590-4580-A4BA-C99A0A97B31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590-4580-A4BA-C99A0A97B31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590-4580-A4BA-C99A0A97B31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590-4580-A4BA-C99A0A97B3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Аркуш2!$A$30:$A$42</c:f>
              <c:strCache>
                <c:ptCount val="12"/>
                <c:pt idx="0">
                  <c:v>Пекар Максим</c:v>
                </c:pt>
                <c:pt idx="1">
                  <c:v>Сидоров Дмитро</c:v>
                </c:pt>
                <c:pt idx="2">
                  <c:v>Литвин Андрій</c:v>
                </c:pt>
                <c:pt idx="3">
                  <c:v>Коваль Дмитро</c:v>
                </c:pt>
                <c:pt idx="4">
                  <c:v>Петров Сергій</c:v>
                </c:pt>
                <c:pt idx="5">
                  <c:v>Степанов Денис</c:v>
                </c:pt>
                <c:pt idx="6">
                  <c:v>Нечипоренко Людмила</c:v>
                </c:pt>
                <c:pt idx="7">
                  <c:v>Колесник Анастасія</c:v>
                </c:pt>
                <c:pt idx="8">
                  <c:v>Савич Андрій</c:v>
                </c:pt>
                <c:pt idx="9">
                  <c:v>Іванов Іван</c:v>
                </c:pt>
                <c:pt idx="10">
                  <c:v>Мірошник Сергій</c:v>
                </c:pt>
                <c:pt idx="11">
                  <c:v>Шевченко Юрій</c:v>
                </c:pt>
              </c:strCache>
            </c:strRef>
          </c:cat>
          <c:val>
            <c:numRef>
              <c:f>Аркуш2!$B$30:$B$42</c:f>
              <c:numCache>
                <c:formatCode>#,##0</c:formatCode>
                <c:ptCount val="12"/>
                <c:pt idx="0">
                  <c:v>938885</c:v>
                </c:pt>
                <c:pt idx="1">
                  <c:v>996405</c:v>
                </c:pt>
                <c:pt idx="2">
                  <c:v>1105925</c:v>
                </c:pt>
                <c:pt idx="3">
                  <c:v>1131903</c:v>
                </c:pt>
                <c:pt idx="4">
                  <c:v>1132409</c:v>
                </c:pt>
                <c:pt idx="5">
                  <c:v>1134327</c:v>
                </c:pt>
                <c:pt idx="6">
                  <c:v>1136340</c:v>
                </c:pt>
                <c:pt idx="7">
                  <c:v>1141176</c:v>
                </c:pt>
                <c:pt idx="8">
                  <c:v>1141343</c:v>
                </c:pt>
                <c:pt idx="9">
                  <c:v>1143098</c:v>
                </c:pt>
                <c:pt idx="10">
                  <c:v>1146467</c:v>
                </c:pt>
                <c:pt idx="11">
                  <c:v>1149088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590-4580-A4BA-C99A0A97B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81767360"/>
        <c:axId val="681766400"/>
      </c:barChart>
      <c:catAx>
        <c:axId val="6817673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1766400"/>
        <c:crosses val="autoZero"/>
        <c:auto val="1"/>
        <c:lblAlgn val="ctr"/>
        <c:lblOffset val="100"/>
        <c:noMultiLvlLbl val="0"/>
      </c:catAx>
      <c:valAx>
        <c:axId val="68176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17673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1" i="0" u="none" strike="noStrike" kern="1200" spc="0" baseline="0">
                <a:solidFill>
                  <a:schemeClr val="accent5">
                    <a:lumMod val="75000"/>
                  </a:schemeClr>
                </a:solidFill>
              </a:rPr>
              <a:t>Продажі по роках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\ &quot;₴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0">
              <a:spAutoFit/>
            </a:bodyPr>
            <a:lstStyle/>
            <a:p>
              <a:pPr algn="ctr">
                <a:defRPr lang="en-US"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Аркуш2!$B$46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\ &quot;₴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Аркуш2!$A$47:$A$50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Аркуш2!$B$47:$B$50</c:f>
              <c:numCache>
                <c:formatCode>#,##0</c:formatCode>
                <c:ptCount val="3"/>
                <c:pt idx="0">
                  <c:v>4412668</c:v>
                </c:pt>
                <c:pt idx="1">
                  <c:v>4452783</c:v>
                </c:pt>
                <c:pt idx="2">
                  <c:v>4431915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3-44B0-BA09-42F1403B0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523584"/>
        <c:axId val="1916515424"/>
      </c:barChart>
      <c:catAx>
        <c:axId val="191652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16515424"/>
        <c:crosses val="autoZero"/>
        <c:auto val="1"/>
        <c:lblAlgn val="ctr"/>
        <c:lblOffset val="100"/>
        <c:noMultiLvlLbl val="0"/>
      </c:catAx>
      <c:valAx>
        <c:axId val="1916515424"/>
        <c:scaling>
          <c:orientation val="minMax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1652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Home ^0 Beauty Sales.xlsx]Аркуш2!Зведена таблиця6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uk-UA" sz="1600" b="1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600" b="1" i="0" u="none" strike="noStrike" kern="1200" spc="0" baseline="0">
                <a:solidFill>
                  <a:schemeClr val="accent5">
                    <a:lumMod val="75000"/>
                  </a:schemeClr>
                </a:solidFill>
              </a:rPr>
              <a:t>Продажі по продукції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uk-UA" sz="1600" b="1" i="0" u="none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Аркуш2!$F$3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01-44E5-8FAF-F9AE6150123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01-44E5-8FAF-F9AE6150123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01-44E5-8FAF-F9AE6150123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01-44E5-8FAF-F9AE6150123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01-44E5-8FAF-F9AE615012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401-44E5-8FAF-F9AE6150123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401-44E5-8FAF-F9AE6150123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401-44E5-8FAF-F9AE6150123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401-44E5-8FAF-F9AE615012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Аркуш2!$E$4:$E$13</c:f>
              <c:strCache>
                <c:ptCount val="9"/>
                <c:pt idx="0">
                  <c:v>Одноразовий посуд</c:v>
                </c:pt>
                <c:pt idx="1">
                  <c:v>Серветки</c:v>
                </c:pt>
                <c:pt idx="2">
                  <c:v>Зубочистки</c:v>
                </c:pt>
                <c:pt idx="3">
                  <c:v>Засоби для догляду за меблями</c:v>
                </c:pt>
                <c:pt idx="4">
                  <c:v>Мило</c:v>
                </c:pt>
                <c:pt idx="5">
                  <c:v>Засіб для миття посуду</c:v>
                </c:pt>
                <c:pt idx="6">
                  <c:v>Дезодорант</c:v>
                </c:pt>
                <c:pt idx="7">
                  <c:v>Засіб для посудомийних машин</c:v>
                </c:pt>
                <c:pt idx="8">
                  <c:v>Шампунь</c:v>
                </c:pt>
              </c:strCache>
            </c:strRef>
          </c:cat>
          <c:val>
            <c:numRef>
              <c:f>Аркуш2!$F$4:$F$13</c:f>
              <c:numCache>
                <c:formatCode>General</c:formatCode>
                <c:ptCount val="9"/>
                <c:pt idx="0">
                  <c:v>887169</c:v>
                </c:pt>
                <c:pt idx="1">
                  <c:v>979781</c:v>
                </c:pt>
                <c:pt idx="2">
                  <c:v>1043087</c:v>
                </c:pt>
                <c:pt idx="3">
                  <c:v>1492620</c:v>
                </c:pt>
                <c:pt idx="4">
                  <c:v>1519990</c:v>
                </c:pt>
                <c:pt idx="5">
                  <c:v>1636345</c:v>
                </c:pt>
                <c:pt idx="6">
                  <c:v>1783563</c:v>
                </c:pt>
                <c:pt idx="7">
                  <c:v>1784529</c:v>
                </c:pt>
                <c:pt idx="8">
                  <c:v>2170282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401-44E5-8FAF-F9AE61501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89151072"/>
        <c:axId val="689154912"/>
      </c:barChart>
      <c:valAx>
        <c:axId val="68915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9151072"/>
        <c:crosses val="autoZero"/>
        <c:crossBetween val="between"/>
      </c:valAx>
      <c:catAx>
        <c:axId val="689151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9154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0</xdr:row>
      <xdr:rowOff>133350</xdr:rowOff>
    </xdr:from>
    <xdr:to>
      <xdr:col>8</xdr:col>
      <xdr:colOff>0</xdr:colOff>
      <xdr:row>9</xdr:row>
      <xdr:rowOff>11546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9CF08B9F-6C6B-173C-293B-E334E5139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0</xdr:row>
      <xdr:rowOff>101600</xdr:rowOff>
    </xdr:from>
    <xdr:to>
      <xdr:col>21</xdr:col>
      <xdr:colOff>114300</xdr:colOff>
      <xdr:row>9</xdr:row>
      <xdr:rowOff>165100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193B38A4-BC92-DFBE-F177-DB3130C67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208395</xdr:colOff>
      <xdr:row>31</xdr:row>
      <xdr:rowOff>9814</xdr:rowOff>
    </xdr:from>
    <xdr:to>
      <xdr:col>7</xdr:col>
      <xdr:colOff>1060450</xdr:colOff>
      <xdr:row>42</xdr:row>
      <xdr:rowOff>105641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51598923-3AD4-F589-5EFB-6C9146D2C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121805</xdr:colOff>
      <xdr:row>1</xdr:row>
      <xdr:rowOff>23668</xdr:rowOff>
    </xdr:from>
    <xdr:to>
      <xdr:col>27</xdr:col>
      <xdr:colOff>73891</xdr:colOff>
      <xdr:row>7</xdr:row>
      <xdr:rowOff>151244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рік 1">
              <a:extLst>
                <a:ext uri="{FF2B5EF4-FFF2-40B4-BE49-F238E27FC236}">
                  <a16:creationId xmlns:a16="http://schemas.microsoft.com/office/drawing/2014/main" id="{34DD290D-C7A0-EA86-3784-8E6E807C60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ік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41169" y="208395"/>
              <a:ext cx="1383722" cy="1235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6</xdr:col>
      <xdr:colOff>66676</xdr:colOff>
      <xdr:row>17</xdr:row>
      <xdr:rowOff>95250</xdr:rowOff>
    </xdr:from>
    <xdr:to>
      <xdr:col>7</xdr:col>
      <xdr:colOff>1824183</xdr:colOff>
      <xdr:row>30</xdr:row>
      <xdr:rowOff>107950</xdr:rowOff>
    </xdr:to>
    <xdr:graphicFrame macro="">
      <xdr:nvGraphicFramePr>
        <xdr:cNvPr id="9" name="Діаграма 8">
          <a:extLst>
            <a:ext uri="{FF2B5EF4-FFF2-40B4-BE49-F238E27FC236}">
              <a16:creationId xmlns:a16="http://schemas.microsoft.com/office/drawing/2014/main" id="{63C4E9FC-5BE3-0479-50E5-F281B5F0D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29</xdr:col>
      <xdr:colOff>190500</xdr:colOff>
      <xdr:row>0</xdr:row>
      <xdr:rowOff>158751</xdr:rowOff>
    </xdr:from>
    <xdr:to>
      <xdr:col>43</xdr:col>
      <xdr:colOff>278244</xdr:colOff>
      <xdr:row>4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область">
              <a:extLst>
                <a:ext uri="{FF2B5EF4-FFF2-40B4-BE49-F238E27FC236}">
                  <a16:creationId xmlns:a16="http://schemas.microsoft.com/office/drawing/2014/main" id="{44E91D14-E12F-216E-549E-AC4673392E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область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57318" y="158751"/>
              <a:ext cx="5098472" cy="6436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241300</xdr:colOff>
      <xdr:row>5</xdr:row>
      <xdr:rowOff>19050</xdr:rowOff>
    </xdr:from>
    <xdr:to>
      <xdr:col>43</xdr:col>
      <xdr:colOff>297294</xdr:colOff>
      <xdr:row>10</xdr:row>
      <xdr:rowOff>25400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2" name="дата">
              <a:extLst>
                <a:ext uri="{FF2B5EF4-FFF2-40B4-BE49-F238E27FC236}">
                  <a16:creationId xmlns:a16="http://schemas.microsoft.com/office/drawing/2014/main" id="{C779ED7C-1676-40E6-8B24-D03479A853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дат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08118" y="942686"/>
              <a:ext cx="5066722" cy="929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Шкала часу: працює в Excel 2013 або новішій версії. Не переміщуйте та не змінюйте розмір.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83705</xdr:colOff>
      <xdr:row>8</xdr:row>
      <xdr:rowOff>68119</xdr:rowOff>
    </xdr:from>
    <xdr:to>
      <xdr:col>27</xdr:col>
      <xdr:colOff>67541</xdr:colOff>
      <xdr:row>14</xdr:row>
      <xdr:rowOff>170296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категорія">
              <a:extLst>
                <a:ext uri="{FF2B5EF4-FFF2-40B4-BE49-F238E27FC236}">
                  <a16:creationId xmlns:a16="http://schemas.microsoft.com/office/drawing/2014/main" id="{4262DBFB-1EF5-3F60-2D96-D00E110282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і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03069" y="1545937"/>
              <a:ext cx="1415472" cy="12105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10</xdr:row>
      <xdr:rowOff>169718</xdr:rowOff>
    </xdr:from>
    <xdr:to>
      <xdr:col>22</xdr:col>
      <xdr:colOff>219364</xdr:colOff>
      <xdr:row>25</xdr:row>
      <xdr:rowOff>142009</xdr:rowOff>
    </xdr:to>
    <xdr:graphicFrame macro="">
      <xdr:nvGraphicFramePr>
        <xdr:cNvPr id="14" name="Діаграма 13">
          <a:extLst>
            <a:ext uri="{FF2B5EF4-FFF2-40B4-BE49-F238E27FC236}">
              <a16:creationId xmlns:a16="http://schemas.microsoft.com/office/drawing/2014/main" id="{73BBE0F6-2033-E29C-3442-1BE098C04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277091</xdr:colOff>
      <xdr:row>43</xdr:row>
      <xdr:rowOff>65810</xdr:rowOff>
    </xdr:from>
    <xdr:to>
      <xdr:col>7</xdr:col>
      <xdr:colOff>254001</xdr:colOff>
      <xdr:row>54</xdr:row>
      <xdr:rowOff>69273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7A6A60BF-9740-9AD1-2F5C-3D4261A9D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46182</xdr:colOff>
      <xdr:row>15</xdr:row>
      <xdr:rowOff>111991</xdr:rowOff>
    </xdr:from>
    <xdr:to>
      <xdr:col>37</xdr:col>
      <xdr:colOff>323273</xdr:colOff>
      <xdr:row>30</xdr:row>
      <xdr:rowOff>84282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AD53254B-CEBD-C7CE-41AC-5F4289BC5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184728</xdr:colOff>
      <xdr:row>15</xdr:row>
      <xdr:rowOff>0</xdr:rowOff>
    </xdr:from>
    <xdr:to>
      <xdr:col>52</xdr:col>
      <xdr:colOff>103910</xdr:colOff>
      <xdr:row>29</xdr:row>
      <xdr:rowOff>157018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22FC428E-31D2-4D4B-B189-FC9D01DF0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154547</xdr:colOff>
      <xdr:row>6</xdr:row>
      <xdr:rowOff>27912</xdr:rowOff>
    </xdr:from>
    <xdr:to>
      <xdr:col>5</xdr:col>
      <xdr:colOff>460373</xdr:colOff>
      <xdr:row>12</xdr:row>
      <xdr:rowOff>39687</xdr:rowOff>
    </xdr:to>
    <xdr:sp macro="" textlink="">
      <xdr:nvSpPr>
        <xdr:cNvPr id="8" name="Прямокутник: округлені кути 7">
          <a:extLst>
            <a:ext uri="{FF2B5EF4-FFF2-40B4-BE49-F238E27FC236}">
              <a16:creationId xmlns:a16="http://schemas.microsoft.com/office/drawing/2014/main" id="{B5B03106-5A3E-4803-BE05-D5337DDC2761}"/>
            </a:ext>
          </a:extLst>
        </xdr:cNvPr>
        <xdr:cNvSpPr/>
      </xdr:nvSpPr>
      <xdr:spPr>
        <a:xfrm>
          <a:off x="1370118" y="1116483"/>
          <a:ext cx="2129184" cy="1100347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uk-UA" sz="1100"/>
        </a:p>
      </xdr:txBody>
    </xdr:sp>
    <xdr:clientData/>
  </xdr:twoCellAnchor>
  <xdr:twoCellAnchor>
    <xdr:from>
      <xdr:col>14</xdr:col>
      <xdr:colOff>80575</xdr:colOff>
      <xdr:row>2</xdr:row>
      <xdr:rowOff>18143</xdr:rowOff>
    </xdr:from>
    <xdr:to>
      <xdr:col>17</xdr:col>
      <xdr:colOff>580570</xdr:colOff>
      <xdr:row>12</xdr:row>
      <xdr:rowOff>54428</xdr:rowOff>
    </xdr:to>
    <xdr:graphicFrame macro="">
      <xdr:nvGraphicFramePr>
        <xdr:cNvPr id="13" name="Діаграма 12">
          <a:extLst>
            <a:ext uri="{FF2B5EF4-FFF2-40B4-BE49-F238E27FC236}">
              <a16:creationId xmlns:a16="http://schemas.microsoft.com/office/drawing/2014/main" id="{3C27ABA6-B323-4384-AD59-0E0FD8F6B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53360</xdr:colOff>
      <xdr:row>12</xdr:row>
      <xdr:rowOff>124129</xdr:rowOff>
    </xdr:from>
    <xdr:to>
      <xdr:col>5</xdr:col>
      <xdr:colOff>308428</xdr:colOff>
      <xdr:row>29</xdr:row>
      <xdr:rowOff>18141</xdr:rowOff>
    </xdr:to>
    <xdr:graphicFrame macro="">
      <xdr:nvGraphicFramePr>
        <xdr:cNvPr id="16" name="Діаграма 15">
          <a:extLst>
            <a:ext uri="{FF2B5EF4-FFF2-40B4-BE49-F238E27FC236}">
              <a16:creationId xmlns:a16="http://schemas.microsoft.com/office/drawing/2014/main" id="{D4109875-7D12-4C9C-88CF-C60F0A91F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63502</xdr:colOff>
      <xdr:row>2</xdr:row>
      <xdr:rowOff>27214</xdr:rowOff>
    </xdr:from>
    <xdr:to>
      <xdr:col>9</xdr:col>
      <xdr:colOff>246062</xdr:colOff>
      <xdr:row>5</xdr:row>
      <xdr:rowOff>150811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область 1">
              <a:extLst>
                <a:ext uri="{FF2B5EF4-FFF2-40B4-BE49-F238E27FC236}">
                  <a16:creationId xmlns:a16="http://schemas.microsoft.com/office/drawing/2014/main" id="{92830C0D-4166-4A4A-A666-DC2DD291FB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область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2" y="390071"/>
              <a:ext cx="5307917" cy="6678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71438</xdr:colOff>
      <xdr:row>5</xdr:row>
      <xdr:rowOff>175690</xdr:rowOff>
    </xdr:from>
    <xdr:to>
      <xdr:col>2</xdr:col>
      <xdr:colOff>79375</xdr:colOff>
      <xdr:row>12</xdr:row>
      <xdr:rowOff>36885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рік 3">
              <a:extLst>
                <a:ext uri="{FF2B5EF4-FFF2-40B4-BE49-F238E27FC236}">
                  <a16:creationId xmlns:a16="http://schemas.microsoft.com/office/drawing/2014/main" id="{0E6315BE-DFD2-42E8-8073-4934F32794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ік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8" y="1082833"/>
              <a:ext cx="1223508" cy="1131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11</xdr:col>
      <xdr:colOff>600557</xdr:colOff>
      <xdr:row>12</xdr:row>
      <xdr:rowOff>136071</xdr:rowOff>
    </xdr:from>
    <xdr:to>
      <xdr:col>17</xdr:col>
      <xdr:colOff>580571</xdr:colOff>
      <xdr:row>29</xdr:row>
      <xdr:rowOff>18141</xdr:rowOff>
    </xdr:to>
    <xdr:graphicFrame macro="">
      <xdr:nvGraphicFramePr>
        <xdr:cNvPr id="26" name="Діаграма 25">
          <a:extLst>
            <a:ext uri="{FF2B5EF4-FFF2-40B4-BE49-F238E27FC236}">
              <a16:creationId xmlns:a16="http://schemas.microsoft.com/office/drawing/2014/main" id="{51313503-D9D8-4A0B-B605-83CA1EC55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356053</xdr:colOff>
      <xdr:row>6</xdr:row>
      <xdr:rowOff>70632</xdr:rowOff>
    </xdr:from>
    <xdr:to>
      <xdr:col>5</xdr:col>
      <xdr:colOff>316365</xdr:colOff>
      <xdr:row>11</xdr:row>
      <xdr:rowOff>154215</xdr:rowOff>
    </xdr:to>
    <xdr:sp macro="" textlink="Аркуш2!$A$26">
      <xdr:nvSpPr>
        <xdr:cNvPr id="29" name="TextBox 28">
          <a:extLst>
            <a:ext uri="{FF2B5EF4-FFF2-40B4-BE49-F238E27FC236}">
              <a16:creationId xmlns:a16="http://schemas.microsoft.com/office/drawing/2014/main" id="{1BD8C405-9D05-84BE-5228-C6E544494B4F}"/>
            </a:ext>
          </a:extLst>
        </xdr:cNvPr>
        <xdr:cNvSpPr txBox="1"/>
      </xdr:nvSpPr>
      <xdr:spPr>
        <a:xfrm>
          <a:off x="1571624" y="1159203"/>
          <a:ext cx="1783670" cy="9907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uk-UA" sz="1800" b="1" i="0" u="none" strike="noStrike">
              <a:solidFill>
                <a:schemeClr val="accent5">
                  <a:lumMod val="75000"/>
                </a:schemeClr>
              </a:solidFill>
              <a:latin typeface="Calibri"/>
              <a:ea typeface="Calibri"/>
              <a:cs typeface="Calibri"/>
            </a:rPr>
            <a:t>Підсумкові продажі</a:t>
          </a:r>
          <a:endParaRPr lang="en-US" sz="1800" b="1" i="0" u="none" strike="noStrike">
            <a:solidFill>
              <a:schemeClr val="accent5">
                <a:lumMod val="75000"/>
              </a:schemeClr>
            </a:solidFill>
            <a:latin typeface="Calibri"/>
            <a:ea typeface="Calibri"/>
            <a:cs typeface="Calibri"/>
          </a:endParaRPr>
        </a:p>
        <a:p>
          <a:pPr algn="ctr"/>
          <a:fld id="{06E74A4D-B0B5-4E0F-9E21-3A455C904376}" type="TxLink">
            <a:rPr lang="en-US" sz="1800" b="1" i="0" u="none" strike="noStrike">
              <a:solidFill>
                <a:schemeClr val="accent5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13 297 366</a:t>
          </a:fld>
          <a:r>
            <a:rPr lang="uk-UA" sz="1800" b="1" i="0" u="none" strike="noStrike">
              <a:solidFill>
                <a:schemeClr val="accent5">
                  <a:lumMod val="75000"/>
                </a:schemeClr>
              </a:solidFill>
              <a:latin typeface="Calibri"/>
              <a:ea typeface="Calibri"/>
              <a:cs typeface="Calibri"/>
            </a:rPr>
            <a:t> грн</a:t>
          </a:r>
          <a:endParaRPr lang="uk-UA" sz="18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oneCellAnchor>
    <xdr:from>
      <xdr:col>2</xdr:col>
      <xdr:colOff>508000</xdr:colOff>
      <xdr:row>14</xdr:row>
      <xdr:rowOff>134470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63AE313-D203-75FB-58EF-F1DACF4D46B2}"/>
            </a:ext>
          </a:extLst>
        </xdr:cNvPr>
        <xdr:cNvSpPr txBox="1"/>
      </xdr:nvSpPr>
      <xdr:spPr>
        <a:xfrm>
          <a:off x="1733176" y="274917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uk-UA" sz="1100"/>
        </a:p>
      </xdr:txBody>
    </xdr:sp>
    <xdr:clientData/>
  </xdr:oneCellAnchor>
  <xdr:twoCellAnchor editAs="oneCell">
    <xdr:from>
      <xdr:col>5</xdr:col>
      <xdr:colOff>539748</xdr:colOff>
      <xdr:row>6</xdr:row>
      <xdr:rowOff>12702</xdr:rowOff>
    </xdr:from>
    <xdr:to>
      <xdr:col>9</xdr:col>
      <xdr:colOff>253999</xdr:colOff>
      <xdr:row>12</xdr:row>
      <xdr:rowOff>72571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категорія 2">
              <a:extLst>
                <a:ext uri="{FF2B5EF4-FFF2-40B4-BE49-F238E27FC236}">
                  <a16:creationId xmlns:a16="http://schemas.microsoft.com/office/drawing/2014/main" id="{F24A976B-05D8-7B83-D9BD-6854F15246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ія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8678" y="1101273"/>
              <a:ext cx="1782536" cy="11484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9</xdr:col>
      <xdr:colOff>317501</xdr:colOff>
      <xdr:row>2</xdr:row>
      <xdr:rowOff>9072</xdr:rowOff>
    </xdr:from>
    <xdr:to>
      <xdr:col>14</xdr:col>
      <xdr:colOff>0</xdr:colOff>
      <xdr:row>12</xdr:row>
      <xdr:rowOff>54429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C0E0BD92-4A4B-4B24-B543-BF32E5EA9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408215</xdr:colOff>
      <xdr:row>12</xdr:row>
      <xdr:rowOff>117928</xdr:rowOff>
    </xdr:from>
    <xdr:to>
      <xdr:col>11</xdr:col>
      <xdr:colOff>517073</xdr:colOff>
      <xdr:row>29</xdr:row>
      <xdr:rowOff>18141</xdr:rowOff>
    </xdr:to>
    <xdr:graphicFrame macro="">
      <xdr:nvGraphicFramePr>
        <xdr:cNvPr id="6" name="Діаграма 5">
          <a:extLst>
            <a:ext uri="{FF2B5EF4-FFF2-40B4-BE49-F238E27FC236}">
              <a16:creationId xmlns:a16="http://schemas.microsoft.com/office/drawing/2014/main" id="{092BC5AD-CB08-4D3F-B907-3BCE9F6DE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оутбук" refreshedDate="46055.507701388888" createdVersion="8" refreshedVersion="8" minRefreshableVersion="3" recordCount="3816" xr:uid="{2C9E53BC-B062-4E1B-850F-61D2695EF86F}">
  <cacheSource type="worksheet">
    <worksheetSource ref="B2:J3818" sheet="тех"/>
  </cacheSource>
  <cacheFields count="9">
    <cacheField name="область" numFmtId="0">
      <sharedItems count="5">
        <s v="Житомирська"/>
        <s v="Запорізька"/>
        <s v="Київська"/>
        <s v="Одеська"/>
        <s v="Харківська"/>
      </sharedItems>
    </cacheField>
    <cacheField name="Місто" numFmtId="0">
      <sharedItems count="12">
        <s v="Житомир"/>
        <s v="Бердичів"/>
        <s v="Запоріжжя"/>
        <s v="Бориспіль"/>
        <s v="Одеса"/>
        <s v="Харків"/>
        <s v="Бердянськ"/>
        <s v="Біла Церква"/>
        <s v="Чорноморськ"/>
        <s v="Чугуїв"/>
        <s v="Ірпінь"/>
        <s v="Київ"/>
      </sharedItems>
    </cacheField>
    <cacheField name="менеджер" numFmtId="0">
      <sharedItems count="12">
        <s v="Коваль Дмитро"/>
        <s v="Степанов Денис"/>
        <s v="Пекар Максим"/>
        <s v="Шевченко Юрій"/>
        <s v="Литвин Андрій"/>
        <s v="Мірошник Сергій"/>
        <s v="Сидоров Дмитро"/>
        <s v="Колесник Анастасія"/>
        <s v="Нечипоренко Людмила"/>
        <s v="Петров Сергій"/>
        <s v="Савич Андрій"/>
        <s v="Іванов Іван"/>
      </sharedItems>
    </cacheField>
    <cacheField name="категорія" numFmtId="0">
      <sharedItems count="3">
        <s v="Товари для дому"/>
        <s v="Косметика"/>
        <s v="Побутова хімія"/>
      </sharedItems>
    </cacheField>
    <cacheField name="найменування" numFmtId="0">
      <sharedItems count="9">
        <s v="Зубочистки"/>
        <s v="Дезодорант"/>
        <s v="Засіб для миття посуду"/>
        <s v="Засіб для посудомийних машин"/>
        <s v="Засоби для догляду за меблями"/>
        <s v="Серветки"/>
        <s v="Одноразовий посуд"/>
        <s v="Шампунь"/>
        <s v="Мило"/>
      </sharedItems>
    </cacheField>
    <cacheField name="рік" numFmtId="0">
      <sharedItems containsSemiMixedTypes="0" containsString="0" containsNumber="1" containsInteger="1" minValue="2015" maxValue="2017" count="3">
        <n v="2017"/>
        <n v="2016"/>
        <n v="2015"/>
      </sharedItems>
    </cacheField>
    <cacheField name="місяць" numFmtId="0">
      <sharedItems containsSemiMixedTypes="0" containsString="0" containsNumber="1" containsInteger="1" minValue="1" maxValue="12"/>
    </cacheField>
    <cacheField name="дата" numFmtId="14">
      <sharedItems containsSemiMixedTypes="0" containsNonDate="0" containsDate="1" containsString="0" minDate="2015-01-01T00:00:00" maxDate="2017-12-02T00:00:00" count="36"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</sharedItems>
    </cacheField>
    <cacheField name="Продаж" numFmtId="0">
      <sharedItems containsSemiMixedTypes="0" containsString="0" containsNumber="1" containsInteger="1" minValue="1203" maxValue="6995"/>
    </cacheField>
  </cacheFields>
  <extLst>
    <ext xmlns:x14="http://schemas.microsoft.com/office/spreadsheetml/2009/9/main" uri="{725AE2AE-9491-48be-B2B4-4EB974FC3084}">
      <x14:pivotCacheDefinition pivotCacheId="81393197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оутбук" refreshedDate="46055.507708912039" createdVersion="8" refreshedVersion="8" minRefreshableVersion="3" recordCount="3817" xr:uid="{C157325E-04F5-49A2-945B-0F5CD3D6BD5C}">
  <cacheSource type="worksheet">
    <worksheetSource ref="O2:X1048576" sheet="тех"/>
  </cacheSource>
  <cacheFields count="14">
    <cacheField name="область" numFmtId="0">
      <sharedItems containsBlank="1" count="6">
        <s v="Житомирська"/>
        <s v="Запорізька"/>
        <s v="Київська"/>
        <s v="Одеська"/>
        <s v="Харківська"/>
        <m/>
      </sharedItems>
    </cacheField>
    <cacheField name="місто" numFmtId="0">
      <sharedItems containsBlank="1"/>
    </cacheField>
    <cacheField name="менеджер" numFmtId="0">
      <sharedItems containsBlank="1" count="13">
        <s v="Коваль Дмитро"/>
        <s v="Степанов Денис"/>
        <s v="Пекар Максим"/>
        <s v="Шевченко Юрій"/>
        <s v="Литвин Андрій"/>
        <s v="Мірошник Сергій"/>
        <s v="Сидоров Дмитро"/>
        <s v="Колесник Анастасія"/>
        <s v="Нечипоренко Людмила"/>
        <s v="Петров Сергій"/>
        <s v="Савич Андрій"/>
        <s v="Іванов Іван"/>
        <m/>
      </sharedItems>
    </cacheField>
    <cacheField name="категорія" numFmtId="0">
      <sharedItems containsBlank="1"/>
    </cacheField>
    <cacheField name="найменування" numFmtId="0">
      <sharedItems containsBlank="1"/>
    </cacheField>
    <cacheField name="рік" numFmtId="0">
      <sharedItems containsString="0" containsBlank="1" containsNumber="1" containsInteger="1" minValue="2015" maxValue="2017" count="4">
        <n v="2017"/>
        <n v="2016"/>
        <n v="2015"/>
        <m/>
      </sharedItems>
    </cacheField>
    <cacheField name="місяць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  <fieldGroup par="13"/>
    </cacheField>
    <cacheField name="дата" numFmtId="0">
      <sharedItems containsNonDate="0" containsDate="1" containsString="0" containsBlank="1" minDate="2015-01-01T00:00:00" maxDate="2017-12-02T00:00:00" count="37"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m/>
      </sharedItems>
      <fieldGroup par="12"/>
    </cacheField>
    <cacheField name="закупівельні ціни" numFmtId="0">
      <sharedItems containsString="0" containsBlank="1" containsNumber="1" minValue="1038.0200000000002" maxValue="6515.1399999999994"/>
    </cacheField>
    <cacheField name="відпускні ціни" numFmtId="0">
      <sharedItems containsString="0" containsBlank="1" containsNumber="1" containsInteger="1" minValue="1203" maxValue="6995"/>
    </cacheField>
    <cacheField name="Місяці (дата)" numFmtId="0" databaseField="0">
      <fieldGroup base="7">
        <rangePr groupBy="months" startDate="2015-01-01T00:00:00" endDate="2017-12-02T00:00:00"/>
        <groupItems count="14">
          <s v="&lt;01.01.2015"/>
          <s v="Січ"/>
          <s v="Лют"/>
          <s v="Бер"/>
          <s v="Кві"/>
          <s v="Тра"/>
          <s v="Чер"/>
          <s v="Лип"/>
          <s v="Сер"/>
          <s v="Вер"/>
          <s v="Жов"/>
          <s v="Лис"/>
          <s v="Гру"/>
          <s v="&gt;02.12.2017"/>
        </groupItems>
      </fieldGroup>
    </cacheField>
    <cacheField name="Квартали (дата)" numFmtId="0" databaseField="0">
      <fieldGroup base="7">
        <rangePr groupBy="quarters" startDate="2015-01-01T00:00:00" endDate="2017-12-02T00:00:00"/>
        <groupItems count="6">
          <s v="&lt;01.01.2015"/>
          <s v="Кв.1"/>
          <s v="Кв.2"/>
          <s v="Кв.3"/>
          <s v="Кв.4"/>
          <s v="&gt;02.12.2017"/>
        </groupItems>
      </fieldGroup>
    </cacheField>
    <cacheField name="Роки (дата)" numFmtId="0" databaseField="0">
      <fieldGroup base="7">
        <rangePr groupBy="years" startDate="2015-01-01T00:00:00" endDate="2017-12-02T00:00:00"/>
        <groupItems count="5">
          <s v="&lt;01.01.2015"/>
          <s v="2015"/>
          <s v="2016"/>
          <s v="2017"/>
          <s v="&gt;02.12.2017"/>
        </groupItems>
      </fieldGroup>
    </cacheField>
    <cacheField name="місяць2" numFmtId="0" databaseField="0">
      <fieldGroup base="6">
        <discretePr count="13">
          <x v="1"/>
          <x v="1"/>
          <x v="1"/>
          <x v="2"/>
          <x v="2"/>
          <x v="2"/>
          <x v="3"/>
          <x v="3"/>
          <x v="3"/>
          <x v="4"/>
          <x v="4"/>
          <x v="4"/>
          <x v="0"/>
        </discretePr>
        <groupItems count="5">
          <m/>
          <s v="Групувати1"/>
          <s v="Групувати2"/>
          <s v="Групувати3"/>
          <s v="Групувати4"/>
        </groupItems>
      </fieldGroup>
    </cacheField>
  </cacheFields>
  <extLst>
    <ext xmlns:x14="http://schemas.microsoft.com/office/spreadsheetml/2009/9/main" uri="{725AE2AE-9491-48be-B2B4-4EB974FC3084}">
      <x14:pivotCacheDefinition pivotCacheId="6838419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6">
  <r>
    <x v="0"/>
    <x v="0"/>
    <x v="0"/>
    <x v="0"/>
    <x v="0"/>
    <x v="0"/>
    <n v="1"/>
    <x v="0"/>
    <n v="2350"/>
  </r>
  <r>
    <x v="0"/>
    <x v="1"/>
    <x v="1"/>
    <x v="0"/>
    <x v="0"/>
    <x v="0"/>
    <n v="1"/>
    <x v="0"/>
    <n v="3154"/>
  </r>
  <r>
    <x v="0"/>
    <x v="1"/>
    <x v="1"/>
    <x v="1"/>
    <x v="1"/>
    <x v="0"/>
    <n v="1"/>
    <x v="0"/>
    <n v="4924"/>
  </r>
  <r>
    <x v="0"/>
    <x v="0"/>
    <x v="0"/>
    <x v="1"/>
    <x v="1"/>
    <x v="0"/>
    <n v="1"/>
    <x v="0"/>
    <n v="3557"/>
  </r>
  <r>
    <x v="0"/>
    <x v="0"/>
    <x v="0"/>
    <x v="2"/>
    <x v="2"/>
    <x v="0"/>
    <n v="1"/>
    <x v="0"/>
    <n v="4195"/>
  </r>
  <r>
    <x v="1"/>
    <x v="2"/>
    <x v="2"/>
    <x v="2"/>
    <x v="3"/>
    <x v="0"/>
    <n v="1"/>
    <x v="0"/>
    <n v="2717"/>
  </r>
  <r>
    <x v="2"/>
    <x v="3"/>
    <x v="3"/>
    <x v="2"/>
    <x v="4"/>
    <x v="0"/>
    <n v="1"/>
    <x v="0"/>
    <n v="2942"/>
  </r>
  <r>
    <x v="3"/>
    <x v="4"/>
    <x v="4"/>
    <x v="0"/>
    <x v="5"/>
    <x v="0"/>
    <n v="1"/>
    <x v="0"/>
    <n v="2288"/>
  </r>
  <r>
    <x v="4"/>
    <x v="5"/>
    <x v="5"/>
    <x v="0"/>
    <x v="0"/>
    <x v="0"/>
    <n v="1"/>
    <x v="0"/>
    <n v="2652"/>
  </r>
  <r>
    <x v="0"/>
    <x v="1"/>
    <x v="1"/>
    <x v="0"/>
    <x v="6"/>
    <x v="0"/>
    <n v="1"/>
    <x v="0"/>
    <n v="2310"/>
  </r>
  <r>
    <x v="1"/>
    <x v="6"/>
    <x v="6"/>
    <x v="1"/>
    <x v="7"/>
    <x v="0"/>
    <n v="1"/>
    <x v="0"/>
    <n v="5391"/>
  </r>
  <r>
    <x v="2"/>
    <x v="7"/>
    <x v="7"/>
    <x v="1"/>
    <x v="1"/>
    <x v="0"/>
    <n v="1"/>
    <x v="0"/>
    <n v="3591"/>
  </r>
  <r>
    <x v="3"/>
    <x v="8"/>
    <x v="8"/>
    <x v="1"/>
    <x v="8"/>
    <x v="0"/>
    <n v="1"/>
    <x v="0"/>
    <n v="3813"/>
  </r>
  <r>
    <x v="4"/>
    <x v="9"/>
    <x v="9"/>
    <x v="2"/>
    <x v="2"/>
    <x v="0"/>
    <n v="1"/>
    <x v="0"/>
    <n v="3905"/>
  </r>
  <r>
    <x v="0"/>
    <x v="0"/>
    <x v="0"/>
    <x v="2"/>
    <x v="3"/>
    <x v="0"/>
    <n v="1"/>
    <x v="0"/>
    <n v="3482"/>
  </r>
  <r>
    <x v="1"/>
    <x v="2"/>
    <x v="2"/>
    <x v="2"/>
    <x v="4"/>
    <x v="0"/>
    <n v="1"/>
    <x v="0"/>
    <n v="3358"/>
  </r>
  <r>
    <x v="2"/>
    <x v="3"/>
    <x v="3"/>
    <x v="0"/>
    <x v="5"/>
    <x v="0"/>
    <n v="1"/>
    <x v="0"/>
    <n v="2040"/>
  </r>
  <r>
    <x v="3"/>
    <x v="4"/>
    <x v="4"/>
    <x v="0"/>
    <x v="0"/>
    <x v="0"/>
    <n v="1"/>
    <x v="0"/>
    <n v="2215"/>
  </r>
  <r>
    <x v="4"/>
    <x v="5"/>
    <x v="5"/>
    <x v="0"/>
    <x v="6"/>
    <x v="0"/>
    <n v="1"/>
    <x v="0"/>
    <n v="2892"/>
  </r>
  <r>
    <x v="0"/>
    <x v="1"/>
    <x v="1"/>
    <x v="1"/>
    <x v="7"/>
    <x v="0"/>
    <n v="1"/>
    <x v="0"/>
    <n v="4079"/>
  </r>
  <r>
    <x v="1"/>
    <x v="6"/>
    <x v="6"/>
    <x v="1"/>
    <x v="1"/>
    <x v="0"/>
    <n v="1"/>
    <x v="0"/>
    <n v="3019"/>
  </r>
  <r>
    <x v="2"/>
    <x v="7"/>
    <x v="7"/>
    <x v="1"/>
    <x v="8"/>
    <x v="0"/>
    <n v="1"/>
    <x v="0"/>
    <n v="3329"/>
  </r>
  <r>
    <x v="3"/>
    <x v="8"/>
    <x v="8"/>
    <x v="2"/>
    <x v="2"/>
    <x v="0"/>
    <n v="1"/>
    <x v="0"/>
    <n v="3661"/>
  </r>
  <r>
    <x v="4"/>
    <x v="9"/>
    <x v="9"/>
    <x v="2"/>
    <x v="3"/>
    <x v="0"/>
    <n v="1"/>
    <x v="0"/>
    <n v="5004"/>
  </r>
  <r>
    <x v="0"/>
    <x v="0"/>
    <x v="0"/>
    <x v="2"/>
    <x v="4"/>
    <x v="0"/>
    <n v="1"/>
    <x v="0"/>
    <n v="4009"/>
  </r>
  <r>
    <x v="1"/>
    <x v="2"/>
    <x v="2"/>
    <x v="0"/>
    <x v="5"/>
    <x v="0"/>
    <n v="1"/>
    <x v="0"/>
    <n v="2948"/>
  </r>
  <r>
    <x v="2"/>
    <x v="3"/>
    <x v="3"/>
    <x v="0"/>
    <x v="0"/>
    <x v="0"/>
    <n v="1"/>
    <x v="0"/>
    <n v="3067"/>
  </r>
  <r>
    <x v="3"/>
    <x v="4"/>
    <x v="4"/>
    <x v="0"/>
    <x v="6"/>
    <x v="0"/>
    <n v="1"/>
    <x v="0"/>
    <n v="2376"/>
  </r>
  <r>
    <x v="4"/>
    <x v="5"/>
    <x v="5"/>
    <x v="1"/>
    <x v="7"/>
    <x v="0"/>
    <n v="1"/>
    <x v="0"/>
    <n v="5334"/>
  </r>
  <r>
    <x v="1"/>
    <x v="2"/>
    <x v="2"/>
    <x v="1"/>
    <x v="8"/>
    <x v="0"/>
    <n v="1"/>
    <x v="0"/>
    <n v="4432"/>
  </r>
  <r>
    <x v="2"/>
    <x v="7"/>
    <x v="7"/>
    <x v="2"/>
    <x v="2"/>
    <x v="0"/>
    <n v="1"/>
    <x v="0"/>
    <n v="5012"/>
  </r>
  <r>
    <x v="3"/>
    <x v="8"/>
    <x v="8"/>
    <x v="2"/>
    <x v="3"/>
    <x v="0"/>
    <n v="1"/>
    <x v="0"/>
    <n v="3339"/>
  </r>
  <r>
    <x v="4"/>
    <x v="9"/>
    <x v="9"/>
    <x v="2"/>
    <x v="4"/>
    <x v="0"/>
    <n v="1"/>
    <x v="0"/>
    <n v="3625"/>
  </r>
  <r>
    <x v="0"/>
    <x v="0"/>
    <x v="0"/>
    <x v="0"/>
    <x v="5"/>
    <x v="0"/>
    <n v="1"/>
    <x v="0"/>
    <n v="1648"/>
  </r>
  <r>
    <x v="1"/>
    <x v="6"/>
    <x v="6"/>
    <x v="0"/>
    <x v="0"/>
    <x v="0"/>
    <n v="1"/>
    <x v="0"/>
    <n v="2748"/>
  </r>
  <r>
    <x v="2"/>
    <x v="3"/>
    <x v="3"/>
    <x v="0"/>
    <x v="6"/>
    <x v="0"/>
    <n v="1"/>
    <x v="0"/>
    <n v="2729"/>
  </r>
  <r>
    <x v="3"/>
    <x v="4"/>
    <x v="4"/>
    <x v="1"/>
    <x v="7"/>
    <x v="0"/>
    <n v="1"/>
    <x v="0"/>
    <n v="4961"/>
  </r>
  <r>
    <x v="4"/>
    <x v="5"/>
    <x v="5"/>
    <x v="1"/>
    <x v="1"/>
    <x v="0"/>
    <n v="1"/>
    <x v="0"/>
    <n v="5501"/>
  </r>
  <r>
    <x v="0"/>
    <x v="1"/>
    <x v="1"/>
    <x v="1"/>
    <x v="8"/>
    <x v="0"/>
    <n v="1"/>
    <x v="0"/>
    <n v="4331"/>
  </r>
  <r>
    <x v="1"/>
    <x v="2"/>
    <x v="2"/>
    <x v="2"/>
    <x v="2"/>
    <x v="0"/>
    <n v="1"/>
    <x v="0"/>
    <n v="3688"/>
  </r>
  <r>
    <x v="2"/>
    <x v="7"/>
    <x v="7"/>
    <x v="2"/>
    <x v="3"/>
    <x v="0"/>
    <n v="1"/>
    <x v="0"/>
    <n v="3976"/>
  </r>
  <r>
    <x v="3"/>
    <x v="8"/>
    <x v="8"/>
    <x v="2"/>
    <x v="4"/>
    <x v="0"/>
    <n v="1"/>
    <x v="0"/>
    <n v="3469"/>
  </r>
  <r>
    <x v="4"/>
    <x v="9"/>
    <x v="9"/>
    <x v="0"/>
    <x v="5"/>
    <x v="0"/>
    <n v="1"/>
    <x v="0"/>
    <n v="1989"/>
  </r>
  <r>
    <x v="1"/>
    <x v="2"/>
    <x v="2"/>
    <x v="0"/>
    <x v="6"/>
    <x v="0"/>
    <n v="1"/>
    <x v="0"/>
    <n v="1900"/>
  </r>
  <r>
    <x v="2"/>
    <x v="3"/>
    <x v="3"/>
    <x v="1"/>
    <x v="7"/>
    <x v="0"/>
    <n v="1"/>
    <x v="0"/>
    <n v="5752"/>
  </r>
  <r>
    <x v="3"/>
    <x v="8"/>
    <x v="8"/>
    <x v="1"/>
    <x v="1"/>
    <x v="0"/>
    <n v="1"/>
    <x v="0"/>
    <n v="3810"/>
  </r>
  <r>
    <x v="4"/>
    <x v="5"/>
    <x v="5"/>
    <x v="1"/>
    <x v="8"/>
    <x v="0"/>
    <n v="1"/>
    <x v="0"/>
    <n v="4204"/>
  </r>
  <r>
    <x v="0"/>
    <x v="1"/>
    <x v="1"/>
    <x v="2"/>
    <x v="2"/>
    <x v="0"/>
    <n v="1"/>
    <x v="0"/>
    <n v="4727"/>
  </r>
  <r>
    <x v="0"/>
    <x v="1"/>
    <x v="1"/>
    <x v="2"/>
    <x v="3"/>
    <x v="0"/>
    <n v="1"/>
    <x v="0"/>
    <n v="5439"/>
  </r>
  <r>
    <x v="1"/>
    <x v="6"/>
    <x v="6"/>
    <x v="2"/>
    <x v="4"/>
    <x v="0"/>
    <n v="1"/>
    <x v="0"/>
    <n v="3503"/>
  </r>
  <r>
    <x v="1"/>
    <x v="6"/>
    <x v="6"/>
    <x v="0"/>
    <x v="5"/>
    <x v="0"/>
    <n v="1"/>
    <x v="0"/>
    <n v="2961"/>
  </r>
  <r>
    <x v="2"/>
    <x v="7"/>
    <x v="7"/>
    <x v="0"/>
    <x v="0"/>
    <x v="0"/>
    <n v="1"/>
    <x v="0"/>
    <n v="1902"/>
  </r>
  <r>
    <x v="2"/>
    <x v="7"/>
    <x v="7"/>
    <x v="0"/>
    <x v="6"/>
    <x v="0"/>
    <n v="1"/>
    <x v="0"/>
    <n v="1629"/>
  </r>
  <r>
    <x v="2"/>
    <x v="3"/>
    <x v="3"/>
    <x v="1"/>
    <x v="1"/>
    <x v="0"/>
    <n v="1"/>
    <x v="0"/>
    <n v="4629"/>
  </r>
  <r>
    <x v="0"/>
    <x v="0"/>
    <x v="0"/>
    <x v="1"/>
    <x v="8"/>
    <x v="0"/>
    <n v="1"/>
    <x v="0"/>
    <n v="2756"/>
  </r>
  <r>
    <x v="2"/>
    <x v="10"/>
    <x v="10"/>
    <x v="0"/>
    <x v="5"/>
    <x v="0"/>
    <n v="1"/>
    <x v="0"/>
    <n v="1809"/>
  </r>
  <r>
    <x v="2"/>
    <x v="10"/>
    <x v="10"/>
    <x v="0"/>
    <x v="0"/>
    <x v="0"/>
    <n v="1"/>
    <x v="0"/>
    <n v="1620"/>
  </r>
  <r>
    <x v="2"/>
    <x v="11"/>
    <x v="11"/>
    <x v="0"/>
    <x v="6"/>
    <x v="0"/>
    <n v="1"/>
    <x v="0"/>
    <n v="1573"/>
  </r>
  <r>
    <x v="2"/>
    <x v="11"/>
    <x v="11"/>
    <x v="1"/>
    <x v="7"/>
    <x v="0"/>
    <n v="1"/>
    <x v="0"/>
    <n v="5711"/>
  </r>
  <r>
    <x v="3"/>
    <x v="4"/>
    <x v="4"/>
    <x v="1"/>
    <x v="1"/>
    <x v="0"/>
    <n v="1"/>
    <x v="0"/>
    <n v="5479"/>
  </r>
  <r>
    <x v="3"/>
    <x v="4"/>
    <x v="4"/>
    <x v="1"/>
    <x v="8"/>
    <x v="0"/>
    <n v="1"/>
    <x v="0"/>
    <n v="2034"/>
  </r>
  <r>
    <x v="4"/>
    <x v="5"/>
    <x v="5"/>
    <x v="2"/>
    <x v="2"/>
    <x v="0"/>
    <n v="1"/>
    <x v="0"/>
    <n v="3452"/>
  </r>
  <r>
    <x v="4"/>
    <x v="5"/>
    <x v="5"/>
    <x v="2"/>
    <x v="3"/>
    <x v="0"/>
    <n v="1"/>
    <x v="0"/>
    <n v="2885"/>
  </r>
  <r>
    <x v="3"/>
    <x v="8"/>
    <x v="8"/>
    <x v="0"/>
    <x v="5"/>
    <x v="0"/>
    <n v="1"/>
    <x v="0"/>
    <n v="1655"/>
  </r>
  <r>
    <x v="4"/>
    <x v="9"/>
    <x v="9"/>
    <x v="0"/>
    <x v="0"/>
    <x v="0"/>
    <n v="1"/>
    <x v="0"/>
    <n v="2044"/>
  </r>
  <r>
    <x v="4"/>
    <x v="9"/>
    <x v="9"/>
    <x v="0"/>
    <x v="6"/>
    <x v="0"/>
    <n v="1"/>
    <x v="0"/>
    <n v="2115"/>
  </r>
  <r>
    <x v="2"/>
    <x v="7"/>
    <x v="7"/>
    <x v="1"/>
    <x v="7"/>
    <x v="0"/>
    <n v="1"/>
    <x v="0"/>
    <n v="6564"/>
  </r>
  <r>
    <x v="1"/>
    <x v="6"/>
    <x v="6"/>
    <x v="2"/>
    <x v="3"/>
    <x v="0"/>
    <n v="1"/>
    <x v="0"/>
    <n v="2721"/>
  </r>
  <r>
    <x v="0"/>
    <x v="0"/>
    <x v="0"/>
    <x v="0"/>
    <x v="6"/>
    <x v="0"/>
    <n v="1"/>
    <x v="0"/>
    <n v="2638"/>
  </r>
  <r>
    <x v="0"/>
    <x v="0"/>
    <x v="0"/>
    <x v="1"/>
    <x v="7"/>
    <x v="0"/>
    <n v="1"/>
    <x v="0"/>
    <n v="6651"/>
  </r>
  <r>
    <x v="1"/>
    <x v="2"/>
    <x v="2"/>
    <x v="1"/>
    <x v="1"/>
    <x v="0"/>
    <n v="1"/>
    <x v="0"/>
    <n v="2998"/>
  </r>
  <r>
    <x v="2"/>
    <x v="10"/>
    <x v="10"/>
    <x v="2"/>
    <x v="2"/>
    <x v="0"/>
    <n v="1"/>
    <x v="0"/>
    <n v="3922"/>
  </r>
  <r>
    <x v="2"/>
    <x v="10"/>
    <x v="10"/>
    <x v="2"/>
    <x v="3"/>
    <x v="0"/>
    <n v="1"/>
    <x v="0"/>
    <n v="4066"/>
  </r>
  <r>
    <x v="2"/>
    <x v="11"/>
    <x v="11"/>
    <x v="2"/>
    <x v="4"/>
    <x v="0"/>
    <n v="1"/>
    <x v="0"/>
    <n v="2986"/>
  </r>
  <r>
    <x v="2"/>
    <x v="11"/>
    <x v="11"/>
    <x v="0"/>
    <x v="5"/>
    <x v="0"/>
    <n v="1"/>
    <x v="0"/>
    <n v="1616"/>
  </r>
  <r>
    <x v="2"/>
    <x v="7"/>
    <x v="7"/>
    <x v="0"/>
    <x v="5"/>
    <x v="0"/>
    <n v="1"/>
    <x v="0"/>
    <n v="2876"/>
  </r>
  <r>
    <x v="1"/>
    <x v="6"/>
    <x v="6"/>
    <x v="1"/>
    <x v="8"/>
    <x v="0"/>
    <n v="1"/>
    <x v="0"/>
    <n v="4510"/>
  </r>
  <r>
    <x v="2"/>
    <x v="3"/>
    <x v="3"/>
    <x v="2"/>
    <x v="2"/>
    <x v="0"/>
    <n v="1"/>
    <x v="0"/>
    <n v="4022"/>
  </r>
  <r>
    <x v="2"/>
    <x v="3"/>
    <x v="3"/>
    <x v="2"/>
    <x v="3"/>
    <x v="0"/>
    <n v="1"/>
    <x v="0"/>
    <n v="2682"/>
  </r>
  <r>
    <x v="1"/>
    <x v="2"/>
    <x v="2"/>
    <x v="0"/>
    <x v="0"/>
    <x v="0"/>
    <n v="1"/>
    <x v="0"/>
    <n v="2628"/>
  </r>
  <r>
    <x v="2"/>
    <x v="10"/>
    <x v="10"/>
    <x v="1"/>
    <x v="7"/>
    <x v="0"/>
    <n v="1"/>
    <x v="0"/>
    <n v="5747"/>
  </r>
  <r>
    <x v="2"/>
    <x v="10"/>
    <x v="10"/>
    <x v="1"/>
    <x v="1"/>
    <x v="0"/>
    <n v="1"/>
    <x v="0"/>
    <n v="5466"/>
  </r>
  <r>
    <x v="2"/>
    <x v="11"/>
    <x v="11"/>
    <x v="1"/>
    <x v="8"/>
    <x v="0"/>
    <n v="1"/>
    <x v="0"/>
    <n v="2376"/>
  </r>
  <r>
    <x v="2"/>
    <x v="11"/>
    <x v="11"/>
    <x v="2"/>
    <x v="2"/>
    <x v="0"/>
    <n v="1"/>
    <x v="0"/>
    <n v="3896"/>
  </r>
  <r>
    <x v="3"/>
    <x v="4"/>
    <x v="4"/>
    <x v="2"/>
    <x v="3"/>
    <x v="0"/>
    <n v="1"/>
    <x v="0"/>
    <n v="4019"/>
  </r>
  <r>
    <x v="3"/>
    <x v="4"/>
    <x v="4"/>
    <x v="2"/>
    <x v="4"/>
    <x v="0"/>
    <n v="1"/>
    <x v="0"/>
    <n v="2892"/>
  </r>
  <r>
    <x v="4"/>
    <x v="5"/>
    <x v="5"/>
    <x v="0"/>
    <x v="5"/>
    <x v="0"/>
    <n v="1"/>
    <x v="0"/>
    <n v="2036"/>
  </r>
  <r>
    <x v="3"/>
    <x v="8"/>
    <x v="8"/>
    <x v="0"/>
    <x v="6"/>
    <x v="0"/>
    <n v="1"/>
    <x v="0"/>
    <n v="1911"/>
  </r>
  <r>
    <x v="3"/>
    <x v="8"/>
    <x v="8"/>
    <x v="1"/>
    <x v="7"/>
    <x v="0"/>
    <n v="1"/>
    <x v="0"/>
    <n v="5799"/>
  </r>
  <r>
    <x v="4"/>
    <x v="9"/>
    <x v="9"/>
    <x v="1"/>
    <x v="1"/>
    <x v="0"/>
    <n v="1"/>
    <x v="0"/>
    <n v="2643"/>
  </r>
  <r>
    <x v="4"/>
    <x v="9"/>
    <x v="9"/>
    <x v="1"/>
    <x v="8"/>
    <x v="0"/>
    <n v="1"/>
    <x v="0"/>
    <n v="3859"/>
  </r>
  <r>
    <x v="0"/>
    <x v="1"/>
    <x v="1"/>
    <x v="2"/>
    <x v="4"/>
    <x v="0"/>
    <n v="1"/>
    <x v="0"/>
    <n v="2904"/>
  </r>
  <r>
    <x v="0"/>
    <x v="1"/>
    <x v="1"/>
    <x v="0"/>
    <x v="5"/>
    <x v="0"/>
    <n v="1"/>
    <x v="0"/>
    <n v="1890"/>
  </r>
  <r>
    <x v="1"/>
    <x v="6"/>
    <x v="6"/>
    <x v="0"/>
    <x v="6"/>
    <x v="0"/>
    <n v="1"/>
    <x v="0"/>
    <n v="2301"/>
  </r>
  <r>
    <x v="2"/>
    <x v="10"/>
    <x v="10"/>
    <x v="1"/>
    <x v="8"/>
    <x v="0"/>
    <n v="1"/>
    <x v="0"/>
    <n v="3497"/>
  </r>
  <r>
    <x v="2"/>
    <x v="11"/>
    <x v="11"/>
    <x v="2"/>
    <x v="3"/>
    <x v="0"/>
    <n v="1"/>
    <x v="0"/>
    <n v="4184"/>
  </r>
  <r>
    <x v="2"/>
    <x v="7"/>
    <x v="7"/>
    <x v="2"/>
    <x v="4"/>
    <x v="0"/>
    <n v="1"/>
    <x v="0"/>
    <n v="3465"/>
  </r>
  <r>
    <x v="2"/>
    <x v="3"/>
    <x v="3"/>
    <x v="1"/>
    <x v="8"/>
    <x v="0"/>
    <n v="1"/>
    <x v="0"/>
    <n v="2683"/>
  </r>
  <r>
    <x v="2"/>
    <x v="10"/>
    <x v="10"/>
    <x v="0"/>
    <x v="6"/>
    <x v="0"/>
    <n v="1"/>
    <x v="0"/>
    <n v="2103"/>
  </r>
  <r>
    <x v="2"/>
    <x v="11"/>
    <x v="11"/>
    <x v="1"/>
    <x v="1"/>
    <x v="0"/>
    <n v="1"/>
    <x v="0"/>
    <n v="5452"/>
  </r>
  <r>
    <x v="3"/>
    <x v="4"/>
    <x v="4"/>
    <x v="2"/>
    <x v="2"/>
    <x v="0"/>
    <n v="1"/>
    <x v="0"/>
    <n v="4410"/>
  </r>
  <r>
    <x v="4"/>
    <x v="5"/>
    <x v="5"/>
    <x v="2"/>
    <x v="4"/>
    <x v="0"/>
    <n v="1"/>
    <x v="0"/>
    <n v="3807"/>
  </r>
  <r>
    <x v="3"/>
    <x v="8"/>
    <x v="8"/>
    <x v="0"/>
    <x v="0"/>
    <x v="0"/>
    <n v="1"/>
    <x v="0"/>
    <n v="2187"/>
  </r>
  <r>
    <x v="4"/>
    <x v="9"/>
    <x v="9"/>
    <x v="1"/>
    <x v="7"/>
    <x v="0"/>
    <n v="1"/>
    <x v="0"/>
    <n v="5341"/>
  </r>
  <r>
    <x v="2"/>
    <x v="10"/>
    <x v="10"/>
    <x v="2"/>
    <x v="4"/>
    <x v="0"/>
    <n v="1"/>
    <x v="0"/>
    <n v="3344"/>
  </r>
  <r>
    <x v="2"/>
    <x v="11"/>
    <x v="11"/>
    <x v="0"/>
    <x v="0"/>
    <x v="0"/>
    <n v="1"/>
    <x v="0"/>
    <n v="2608"/>
  </r>
  <r>
    <x v="0"/>
    <x v="0"/>
    <x v="0"/>
    <x v="0"/>
    <x v="0"/>
    <x v="0"/>
    <n v="2"/>
    <x v="1"/>
    <n v="2667"/>
  </r>
  <r>
    <x v="0"/>
    <x v="1"/>
    <x v="1"/>
    <x v="0"/>
    <x v="0"/>
    <x v="0"/>
    <n v="2"/>
    <x v="1"/>
    <n v="3191"/>
  </r>
  <r>
    <x v="0"/>
    <x v="1"/>
    <x v="1"/>
    <x v="1"/>
    <x v="1"/>
    <x v="0"/>
    <n v="2"/>
    <x v="1"/>
    <n v="2635"/>
  </r>
  <r>
    <x v="0"/>
    <x v="0"/>
    <x v="0"/>
    <x v="1"/>
    <x v="1"/>
    <x v="0"/>
    <n v="2"/>
    <x v="1"/>
    <n v="3382"/>
  </r>
  <r>
    <x v="0"/>
    <x v="0"/>
    <x v="0"/>
    <x v="2"/>
    <x v="2"/>
    <x v="0"/>
    <n v="2"/>
    <x v="1"/>
    <n v="4163"/>
  </r>
  <r>
    <x v="1"/>
    <x v="2"/>
    <x v="2"/>
    <x v="2"/>
    <x v="3"/>
    <x v="0"/>
    <n v="2"/>
    <x v="1"/>
    <n v="5244"/>
  </r>
  <r>
    <x v="2"/>
    <x v="3"/>
    <x v="3"/>
    <x v="2"/>
    <x v="4"/>
    <x v="0"/>
    <n v="2"/>
    <x v="1"/>
    <n v="3864"/>
  </r>
  <r>
    <x v="3"/>
    <x v="4"/>
    <x v="4"/>
    <x v="0"/>
    <x v="5"/>
    <x v="0"/>
    <n v="2"/>
    <x v="1"/>
    <n v="1786"/>
  </r>
  <r>
    <x v="4"/>
    <x v="5"/>
    <x v="5"/>
    <x v="0"/>
    <x v="0"/>
    <x v="0"/>
    <n v="2"/>
    <x v="1"/>
    <n v="2567"/>
  </r>
  <r>
    <x v="0"/>
    <x v="1"/>
    <x v="1"/>
    <x v="0"/>
    <x v="6"/>
    <x v="0"/>
    <n v="2"/>
    <x v="1"/>
    <n v="1267"/>
  </r>
  <r>
    <x v="1"/>
    <x v="6"/>
    <x v="6"/>
    <x v="1"/>
    <x v="7"/>
    <x v="0"/>
    <n v="2"/>
    <x v="1"/>
    <n v="6002"/>
  </r>
  <r>
    <x v="2"/>
    <x v="7"/>
    <x v="7"/>
    <x v="1"/>
    <x v="1"/>
    <x v="0"/>
    <n v="2"/>
    <x v="1"/>
    <n v="3278"/>
  </r>
  <r>
    <x v="3"/>
    <x v="8"/>
    <x v="8"/>
    <x v="1"/>
    <x v="8"/>
    <x v="0"/>
    <n v="2"/>
    <x v="1"/>
    <n v="3827"/>
  </r>
  <r>
    <x v="4"/>
    <x v="9"/>
    <x v="9"/>
    <x v="2"/>
    <x v="2"/>
    <x v="0"/>
    <n v="2"/>
    <x v="1"/>
    <n v="3994"/>
  </r>
  <r>
    <x v="0"/>
    <x v="0"/>
    <x v="0"/>
    <x v="2"/>
    <x v="3"/>
    <x v="0"/>
    <n v="2"/>
    <x v="1"/>
    <n v="3180"/>
  </r>
  <r>
    <x v="1"/>
    <x v="2"/>
    <x v="2"/>
    <x v="2"/>
    <x v="4"/>
    <x v="0"/>
    <n v="2"/>
    <x v="1"/>
    <n v="3706"/>
  </r>
  <r>
    <x v="2"/>
    <x v="3"/>
    <x v="3"/>
    <x v="0"/>
    <x v="5"/>
    <x v="0"/>
    <n v="2"/>
    <x v="1"/>
    <n v="1955"/>
  </r>
  <r>
    <x v="3"/>
    <x v="4"/>
    <x v="4"/>
    <x v="0"/>
    <x v="0"/>
    <x v="0"/>
    <n v="2"/>
    <x v="1"/>
    <n v="3387"/>
  </r>
  <r>
    <x v="4"/>
    <x v="5"/>
    <x v="5"/>
    <x v="0"/>
    <x v="6"/>
    <x v="0"/>
    <n v="2"/>
    <x v="1"/>
    <n v="2279"/>
  </r>
  <r>
    <x v="0"/>
    <x v="1"/>
    <x v="1"/>
    <x v="1"/>
    <x v="7"/>
    <x v="0"/>
    <n v="2"/>
    <x v="1"/>
    <n v="6124"/>
  </r>
  <r>
    <x v="1"/>
    <x v="6"/>
    <x v="6"/>
    <x v="1"/>
    <x v="1"/>
    <x v="0"/>
    <n v="2"/>
    <x v="1"/>
    <n v="5592"/>
  </r>
  <r>
    <x v="2"/>
    <x v="7"/>
    <x v="7"/>
    <x v="1"/>
    <x v="8"/>
    <x v="0"/>
    <n v="2"/>
    <x v="1"/>
    <n v="3507"/>
  </r>
  <r>
    <x v="3"/>
    <x v="8"/>
    <x v="8"/>
    <x v="2"/>
    <x v="2"/>
    <x v="0"/>
    <n v="2"/>
    <x v="1"/>
    <n v="4265"/>
  </r>
  <r>
    <x v="4"/>
    <x v="9"/>
    <x v="9"/>
    <x v="2"/>
    <x v="3"/>
    <x v="0"/>
    <n v="2"/>
    <x v="1"/>
    <n v="4242"/>
  </r>
  <r>
    <x v="0"/>
    <x v="0"/>
    <x v="0"/>
    <x v="2"/>
    <x v="4"/>
    <x v="0"/>
    <n v="2"/>
    <x v="1"/>
    <n v="3258"/>
  </r>
  <r>
    <x v="1"/>
    <x v="2"/>
    <x v="2"/>
    <x v="0"/>
    <x v="5"/>
    <x v="0"/>
    <n v="2"/>
    <x v="1"/>
    <n v="2757"/>
  </r>
  <r>
    <x v="2"/>
    <x v="3"/>
    <x v="3"/>
    <x v="0"/>
    <x v="0"/>
    <x v="0"/>
    <n v="2"/>
    <x v="1"/>
    <n v="2349"/>
  </r>
  <r>
    <x v="3"/>
    <x v="4"/>
    <x v="4"/>
    <x v="0"/>
    <x v="6"/>
    <x v="0"/>
    <n v="2"/>
    <x v="1"/>
    <n v="2421"/>
  </r>
  <r>
    <x v="4"/>
    <x v="5"/>
    <x v="5"/>
    <x v="1"/>
    <x v="7"/>
    <x v="0"/>
    <n v="2"/>
    <x v="1"/>
    <n v="5140"/>
  </r>
  <r>
    <x v="1"/>
    <x v="2"/>
    <x v="2"/>
    <x v="1"/>
    <x v="8"/>
    <x v="0"/>
    <n v="2"/>
    <x v="1"/>
    <n v="3952"/>
  </r>
  <r>
    <x v="2"/>
    <x v="7"/>
    <x v="7"/>
    <x v="2"/>
    <x v="2"/>
    <x v="0"/>
    <n v="2"/>
    <x v="1"/>
    <n v="3625"/>
  </r>
  <r>
    <x v="3"/>
    <x v="8"/>
    <x v="8"/>
    <x v="2"/>
    <x v="3"/>
    <x v="0"/>
    <n v="2"/>
    <x v="1"/>
    <n v="3363"/>
  </r>
  <r>
    <x v="4"/>
    <x v="9"/>
    <x v="9"/>
    <x v="2"/>
    <x v="4"/>
    <x v="0"/>
    <n v="2"/>
    <x v="1"/>
    <n v="3395"/>
  </r>
  <r>
    <x v="0"/>
    <x v="0"/>
    <x v="0"/>
    <x v="0"/>
    <x v="5"/>
    <x v="0"/>
    <n v="2"/>
    <x v="1"/>
    <n v="1731"/>
  </r>
  <r>
    <x v="1"/>
    <x v="6"/>
    <x v="6"/>
    <x v="0"/>
    <x v="0"/>
    <x v="0"/>
    <n v="2"/>
    <x v="1"/>
    <n v="1935"/>
  </r>
  <r>
    <x v="2"/>
    <x v="3"/>
    <x v="3"/>
    <x v="0"/>
    <x v="6"/>
    <x v="0"/>
    <n v="2"/>
    <x v="1"/>
    <n v="1703"/>
  </r>
  <r>
    <x v="3"/>
    <x v="4"/>
    <x v="4"/>
    <x v="1"/>
    <x v="7"/>
    <x v="0"/>
    <n v="2"/>
    <x v="1"/>
    <n v="4941"/>
  </r>
  <r>
    <x v="4"/>
    <x v="5"/>
    <x v="5"/>
    <x v="1"/>
    <x v="1"/>
    <x v="0"/>
    <n v="2"/>
    <x v="1"/>
    <n v="4192"/>
  </r>
  <r>
    <x v="0"/>
    <x v="1"/>
    <x v="1"/>
    <x v="1"/>
    <x v="8"/>
    <x v="0"/>
    <n v="2"/>
    <x v="1"/>
    <n v="3720"/>
  </r>
  <r>
    <x v="1"/>
    <x v="2"/>
    <x v="2"/>
    <x v="2"/>
    <x v="2"/>
    <x v="0"/>
    <n v="2"/>
    <x v="1"/>
    <n v="4720"/>
  </r>
  <r>
    <x v="2"/>
    <x v="7"/>
    <x v="7"/>
    <x v="2"/>
    <x v="3"/>
    <x v="0"/>
    <n v="2"/>
    <x v="1"/>
    <n v="5013"/>
  </r>
  <r>
    <x v="3"/>
    <x v="8"/>
    <x v="8"/>
    <x v="2"/>
    <x v="4"/>
    <x v="0"/>
    <n v="2"/>
    <x v="1"/>
    <n v="4034"/>
  </r>
  <r>
    <x v="4"/>
    <x v="9"/>
    <x v="9"/>
    <x v="0"/>
    <x v="5"/>
    <x v="0"/>
    <n v="2"/>
    <x v="1"/>
    <n v="1877"/>
  </r>
  <r>
    <x v="1"/>
    <x v="2"/>
    <x v="2"/>
    <x v="0"/>
    <x v="6"/>
    <x v="0"/>
    <n v="2"/>
    <x v="1"/>
    <n v="2252"/>
  </r>
  <r>
    <x v="2"/>
    <x v="3"/>
    <x v="3"/>
    <x v="1"/>
    <x v="7"/>
    <x v="0"/>
    <n v="2"/>
    <x v="1"/>
    <n v="4615"/>
  </r>
  <r>
    <x v="3"/>
    <x v="8"/>
    <x v="8"/>
    <x v="1"/>
    <x v="1"/>
    <x v="0"/>
    <n v="2"/>
    <x v="1"/>
    <n v="2644"/>
  </r>
  <r>
    <x v="4"/>
    <x v="5"/>
    <x v="5"/>
    <x v="1"/>
    <x v="8"/>
    <x v="0"/>
    <n v="2"/>
    <x v="1"/>
    <n v="2969"/>
  </r>
  <r>
    <x v="0"/>
    <x v="1"/>
    <x v="1"/>
    <x v="2"/>
    <x v="2"/>
    <x v="0"/>
    <n v="2"/>
    <x v="1"/>
    <n v="4999"/>
  </r>
  <r>
    <x v="0"/>
    <x v="1"/>
    <x v="1"/>
    <x v="2"/>
    <x v="3"/>
    <x v="0"/>
    <n v="2"/>
    <x v="1"/>
    <n v="4166"/>
  </r>
  <r>
    <x v="1"/>
    <x v="6"/>
    <x v="6"/>
    <x v="2"/>
    <x v="4"/>
    <x v="0"/>
    <n v="2"/>
    <x v="1"/>
    <n v="2968"/>
  </r>
  <r>
    <x v="1"/>
    <x v="6"/>
    <x v="6"/>
    <x v="0"/>
    <x v="5"/>
    <x v="0"/>
    <n v="2"/>
    <x v="1"/>
    <n v="2328"/>
  </r>
  <r>
    <x v="2"/>
    <x v="7"/>
    <x v="7"/>
    <x v="0"/>
    <x v="0"/>
    <x v="0"/>
    <n v="2"/>
    <x v="1"/>
    <n v="2549"/>
  </r>
  <r>
    <x v="2"/>
    <x v="7"/>
    <x v="7"/>
    <x v="0"/>
    <x v="6"/>
    <x v="0"/>
    <n v="2"/>
    <x v="1"/>
    <n v="2374"/>
  </r>
  <r>
    <x v="2"/>
    <x v="3"/>
    <x v="3"/>
    <x v="1"/>
    <x v="1"/>
    <x v="0"/>
    <n v="2"/>
    <x v="1"/>
    <n v="3172"/>
  </r>
  <r>
    <x v="0"/>
    <x v="0"/>
    <x v="0"/>
    <x v="1"/>
    <x v="8"/>
    <x v="0"/>
    <n v="2"/>
    <x v="1"/>
    <n v="2154"/>
  </r>
  <r>
    <x v="2"/>
    <x v="10"/>
    <x v="10"/>
    <x v="0"/>
    <x v="5"/>
    <x v="0"/>
    <n v="2"/>
    <x v="1"/>
    <n v="2684"/>
  </r>
  <r>
    <x v="2"/>
    <x v="10"/>
    <x v="10"/>
    <x v="0"/>
    <x v="0"/>
    <x v="0"/>
    <n v="2"/>
    <x v="1"/>
    <n v="1959"/>
  </r>
  <r>
    <x v="2"/>
    <x v="11"/>
    <x v="11"/>
    <x v="0"/>
    <x v="6"/>
    <x v="0"/>
    <n v="2"/>
    <x v="1"/>
    <n v="2731"/>
  </r>
  <r>
    <x v="2"/>
    <x v="11"/>
    <x v="11"/>
    <x v="1"/>
    <x v="7"/>
    <x v="0"/>
    <n v="2"/>
    <x v="1"/>
    <n v="6991"/>
  </r>
  <r>
    <x v="3"/>
    <x v="4"/>
    <x v="4"/>
    <x v="1"/>
    <x v="1"/>
    <x v="0"/>
    <n v="2"/>
    <x v="1"/>
    <n v="2885"/>
  </r>
  <r>
    <x v="3"/>
    <x v="4"/>
    <x v="4"/>
    <x v="1"/>
    <x v="8"/>
    <x v="0"/>
    <n v="2"/>
    <x v="1"/>
    <n v="2674"/>
  </r>
  <r>
    <x v="4"/>
    <x v="5"/>
    <x v="5"/>
    <x v="2"/>
    <x v="2"/>
    <x v="0"/>
    <n v="2"/>
    <x v="1"/>
    <n v="4523"/>
  </r>
  <r>
    <x v="4"/>
    <x v="5"/>
    <x v="5"/>
    <x v="2"/>
    <x v="3"/>
    <x v="0"/>
    <n v="2"/>
    <x v="1"/>
    <n v="5236"/>
  </r>
  <r>
    <x v="3"/>
    <x v="8"/>
    <x v="8"/>
    <x v="0"/>
    <x v="5"/>
    <x v="0"/>
    <n v="2"/>
    <x v="1"/>
    <n v="2758"/>
  </r>
  <r>
    <x v="4"/>
    <x v="9"/>
    <x v="9"/>
    <x v="0"/>
    <x v="0"/>
    <x v="0"/>
    <n v="2"/>
    <x v="1"/>
    <n v="1509"/>
  </r>
  <r>
    <x v="4"/>
    <x v="9"/>
    <x v="9"/>
    <x v="0"/>
    <x v="6"/>
    <x v="0"/>
    <n v="2"/>
    <x v="1"/>
    <n v="1670"/>
  </r>
  <r>
    <x v="2"/>
    <x v="7"/>
    <x v="7"/>
    <x v="1"/>
    <x v="7"/>
    <x v="0"/>
    <n v="2"/>
    <x v="1"/>
    <n v="6502"/>
  </r>
  <r>
    <x v="1"/>
    <x v="6"/>
    <x v="6"/>
    <x v="2"/>
    <x v="3"/>
    <x v="0"/>
    <n v="2"/>
    <x v="1"/>
    <n v="4421"/>
  </r>
  <r>
    <x v="0"/>
    <x v="0"/>
    <x v="0"/>
    <x v="0"/>
    <x v="6"/>
    <x v="0"/>
    <n v="2"/>
    <x v="1"/>
    <n v="2264"/>
  </r>
  <r>
    <x v="0"/>
    <x v="0"/>
    <x v="0"/>
    <x v="1"/>
    <x v="7"/>
    <x v="0"/>
    <n v="2"/>
    <x v="1"/>
    <n v="5107"/>
  </r>
  <r>
    <x v="1"/>
    <x v="2"/>
    <x v="2"/>
    <x v="1"/>
    <x v="1"/>
    <x v="0"/>
    <n v="2"/>
    <x v="1"/>
    <n v="3484"/>
  </r>
  <r>
    <x v="2"/>
    <x v="10"/>
    <x v="10"/>
    <x v="2"/>
    <x v="2"/>
    <x v="0"/>
    <n v="2"/>
    <x v="1"/>
    <n v="3333"/>
  </r>
  <r>
    <x v="2"/>
    <x v="10"/>
    <x v="10"/>
    <x v="2"/>
    <x v="3"/>
    <x v="0"/>
    <n v="2"/>
    <x v="1"/>
    <n v="3323"/>
  </r>
  <r>
    <x v="2"/>
    <x v="11"/>
    <x v="11"/>
    <x v="2"/>
    <x v="4"/>
    <x v="0"/>
    <n v="2"/>
    <x v="1"/>
    <n v="3672"/>
  </r>
  <r>
    <x v="2"/>
    <x v="11"/>
    <x v="11"/>
    <x v="0"/>
    <x v="5"/>
    <x v="0"/>
    <n v="2"/>
    <x v="1"/>
    <n v="1592"/>
  </r>
  <r>
    <x v="2"/>
    <x v="7"/>
    <x v="7"/>
    <x v="0"/>
    <x v="5"/>
    <x v="0"/>
    <n v="2"/>
    <x v="1"/>
    <n v="2568"/>
  </r>
  <r>
    <x v="1"/>
    <x v="6"/>
    <x v="6"/>
    <x v="1"/>
    <x v="8"/>
    <x v="0"/>
    <n v="2"/>
    <x v="1"/>
    <n v="4298"/>
  </r>
  <r>
    <x v="2"/>
    <x v="3"/>
    <x v="3"/>
    <x v="2"/>
    <x v="2"/>
    <x v="0"/>
    <n v="2"/>
    <x v="1"/>
    <n v="5092"/>
  </r>
  <r>
    <x v="2"/>
    <x v="3"/>
    <x v="3"/>
    <x v="2"/>
    <x v="3"/>
    <x v="0"/>
    <n v="2"/>
    <x v="1"/>
    <n v="3147"/>
  </r>
  <r>
    <x v="1"/>
    <x v="2"/>
    <x v="2"/>
    <x v="0"/>
    <x v="0"/>
    <x v="0"/>
    <n v="2"/>
    <x v="1"/>
    <n v="2914"/>
  </r>
  <r>
    <x v="2"/>
    <x v="10"/>
    <x v="10"/>
    <x v="1"/>
    <x v="7"/>
    <x v="0"/>
    <n v="2"/>
    <x v="1"/>
    <n v="5851"/>
  </r>
  <r>
    <x v="2"/>
    <x v="10"/>
    <x v="10"/>
    <x v="1"/>
    <x v="1"/>
    <x v="0"/>
    <n v="2"/>
    <x v="1"/>
    <n v="4919"/>
  </r>
  <r>
    <x v="2"/>
    <x v="11"/>
    <x v="11"/>
    <x v="1"/>
    <x v="8"/>
    <x v="0"/>
    <n v="2"/>
    <x v="1"/>
    <n v="2345"/>
  </r>
  <r>
    <x v="2"/>
    <x v="11"/>
    <x v="11"/>
    <x v="2"/>
    <x v="2"/>
    <x v="0"/>
    <n v="2"/>
    <x v="1"/>
    <n v="4895"/>
  </r>
  <r>
    <x v="3"/>
    <x v="4"/>
    <x v="4"/>
    <x v="2"/>
    <x v="3"/>
    <x v="0"/>
    <n v="2"/>
    <x v="1"/>
    <n v="3916"/>
  </r>
  <r>
    <x v="3"/>
    <x v="4"/>
    <x v="4"/>
    <x v="2"/>
    <x v="4"/>
    <x v="0"/>
    <n v="2"/>
    <x v="1"/>
    <n v="3311"/>
  </r>
  <r>
    <x v="4"/>
    <x v="5"/>
    <x v="5"/>
    <x v="0"/>
    <x v="5"/>
    <x v="0"/>
    <n v="2"/>
    <x v="1"/>
    <n v="2914"/>
  </r>
  <r>
    <x v="3"/>
    <x v="8"/>
    <x v="8"/>
    <x v="0"/>
    <x v="6"/>
    <x v="0"/>
    <n v="2"/>
    <x v="1"/>
    <n v="1981"/>
  </r>
  <r>
    <x v="3"/>
    <x v="8"/>
    <x v="8"/>
    <x v="1"/>
    <x v="7"/>
    <x v="0"/>
    <n v="2"/>
    <x v="1"/>
    <n v="4453"/>
  </r>
  <r>
    <x v="4"/>
    <x v="9"/>
    <x v="9"/>
    <x v="1"/>
    <x v="1"/>
    <x v="0"/>
    <n v="2"/>
    <x v="1"/>
    <n v="5299"/>
  </r>
  <r>
    <x v="4"/>
    <x v="9"/>
    <x v="9"/>
    <x v="1"/>
    <x v="8"/>
    <x v="0"/>
    <n v="2"/>
    <x v="1"/>
    <n v="2954"/>
  </r>
  <r>
    <x v="0"/>
    <x v="1"/>
    <x v="1"/>
    <x v="2"/>
    <x v="4"/>
    <x v="0"/>
    <n v="2"/>
    <x v="1"/>
    <n v="3339"/>
  </r>
  <r>
    <x v="0"/>
    <x v="1"/>
    <x v="1"/>
    <x v="0"/>
    <x v="5"/>
    <x v="0"/>
    <n v="2"/>
    <x v="1"/>
    <n v="2262"/>
  </r>
  <r>
    <x v="1"/>
    <x v="6"/>
    <x v="6"/>
    <x v="0"/>
    <x v="6"/>
    <x v="0"/>
    <n v="2"/>
    <x v="1"/>
    <n v="2515"/>
  </r>
  <r>
    <x v="2"/>
    <x v="10"/>
    <x v="10"/>
    <x v="1"/>
    <x v="8"/>
    <x v="0"/>
    <n v="2"/>
    <x v="1"/>
    <n v="4031"/>
  </r>
  <r>
    <x v="2"/>
    <x v="11"/>
    <x v="11"/>
    <x v="2"/>
    <x v="3"/>
    <x v="0"/>
    <n v="2"/>
    <x v="1"/>
    <n v="3055"/>
  </r>
  <r>
    <x v="2"/>
    <x v="7"/>
    <x v="7"/>
    <x v="2"/>
    <x v="4"/>
    <x v="0"/>
    <n v="2"/>
    <x v="1"/>
    <n v="3676"/>
  </r>
  <r>
    <x v="2"/>
    <x v="3"/>
    <x v="3"/>
    <x v="1"/>
    <x v="8"/>
    <x v="0"/>
    <n v="2"/>
    <x v="1"/>
    <n v="4582"/>
  </r>
  <r>
    <x v="2"/>
    <x v="10"/>
    <x v="10"/>
    <x v="0"/>
    <x v="6"/>
    <x v="0"/>
    <n v="2"/>
    <x v="1"/>
    <n v="1718"/>
  </r>
  <r>
    <x v="2"/>
    <x v="11"/>
    <x v="11"/>
    <x v="1"/>
    <x v="1"/>
    <x v="0"/>
    <n v="2"/>
    <x v="1"/>
    <n v="4706"/>
  </r>
  <r>
    <x v="3"/>
    <x v="4"/>
    <x v="4"/>
    <x v="2"/>
    <x v="2"/>
    <x v="0"/>
    <n v="2"/>
    <x v="1"/>
    <n v="3409"/>
  </r>
  <r>
    <x v="4"/>
    <x v="5"/>
    <x v="5"/>
    <x v="2"/>
    <x v="4"/>
    <x v="0"/>
    <n v="2"/>
    <x v="1"/>
    <n v="4092"/>
  </r>
  <r>
    <x v="3"/>
    <x v="8"/>
    <x v="8"/>
    <x v="0"/>
    <x v="0"/>
    <x v="0"/>
    <n v="2"/>
    <x v="1"/>
    <n v="1594"/>
  </r>
  <r>
    <x v="4"/>
    <x v="9"/>
    <x v="9"/>
    <x v="1"/>
    <x v="7"/>
    <x v="0"/>
    <n v="2"/>
    <x v="1"/>
    <n v="6995"/>
  </r>
  <r>
    <x v="2"/>
    <x v="10"/>
    <x v="10"/>
    <x v="2"/>
    <x v="4"/>
    <x v="0"/>
    <n v="2"/>
    <x v="1"/>
    <n v="4052"/>
  </r>
  <r>
    <x v="2"/>
    <x v="11"/>
    <x v="11"/>
    <x v="0"/>
    <x v="0"/>
    <x v="0"/>
    <n v="2"/>
    <x v="1"/>
    <n v="2259"/>
  </r>
  <r>
    <x v="0"/>
    <x v="0"/>
    <x v="0"/>
    <x v="0"/>
    <x v="0"/>
    <x v="0"/>
    <n v="3"/>
    <x v="2"/>
    <n v="2086"/>
  </r>
  <r>
    <x v="0"/>
    <x v="1"/>
    <x v="1"/>
    <x v="0"/>
    <x v="0"/>
    <x v="0"/>
    <n v="3"/>
    <x v="2"/>
    <n v="1987"/>
  </r>
  <r>
    <x v="0"/>
    <x v="1"/>
    <x v="1"/>
    <x v="1"/>
    <x v="1"/>
    <x v="0"/>
    <n v="3"/>
    <x v="2"/>
    <n v="3499"/>
  </r>
  <r>
    <x v="0"/>
    <x v="0"/>
    <x v="0"/>
    <x v="1"/>
    <x v="1"/>
    <x v="0"/>
    <n v="3"/>
    <x v="2"/>
    <n v="3839"/>
  </r>
  <r>
    <x v="0"/>
    <x v="0"/>
    <x v="0"/>
    <x v="2"/>
    <x v="2"/>
    <x v="0"/>
    <n v="3"/>
    <x v="2"/>
    <n v="4142"/>
  </r>
  <r>
    <x v="1"/>
    <x v="2"/>
    <x v="2"/>
    <x v="2"/>
    <x v="3"/>
    <x v="0"/>
    <n v="3"/>
    <x v="2"/>
    <n v="4954"/>
  </r>
  <r>
    <x v="2"/>
    <x v="3"/>
    <x v="3"/>
    <x v="2"/>
    <x v="4"/>
    <x v="0"/>
    <n v="3"/>
    <x v="2"/>
    <n v="3653"/>
  </r>
  <r>
    <x v="3"/>
    <x v="4"/>
    <x v="4"/>
    <x v="0"/>
    <x v="5"/>
    <x v="0"/>
    <n v="3"/>
    <x v="2"/>
    <n v="2232"/>
  </r>
  <r>
    <x v="4"/>
    <x v="5"/>
    <x v="5"/>
    <x v="0"/>
    <x v="0"/>
    <x v="0"/>
    <n v="3"/>
    <x v="2"/>
    <n v="3344"/>
  </r>
  <r>
    <x v="0"/>
    <x v="1"/>
    <x v="1"/>
    <x v="0"/>
    <x v="6"/>
    <x v="0"/>
    <n v="3"/>
    <x v="2"/>
    <n v="2555"/>
  </r>
  <r>
    <x v="1"/>
    <x v="6"/>
    <x v="6"/>
    <x v="1"/>
    <x v="7"/>
    <x v="0"/>
    <n v="3"/>
    <x v="2"/>
    <n v="6834"/>
  </r>
  <r>
    <x v="2"/>
    <x v="7"/>
    <x v="7"/>
    <x v="1"/>
    <x v="1"/>
    <x v="0"/>
    <n v="3"/>
    <x v="2"/>
    <n v="4808"/>
  </r>
  <r>
    <x v="3"/>
    <x v="8"/>
    <x v="8"/>
    <x v="1"/>
    <x v="8"/>
    <x v="0"/>
    <n v="3"/>
    <x v="2"/>
    <n v="4698"/>
  </r>
  <r>
    <x v="4"/>
    <x v="9"/>
    <x v="9"/>
    <x v="2"/>
    <x v="2"/>
    <x v="0"/>
    <n v="3"/>
    <x v="2"/>
    <n v="3767"/>
  </r>
  <r>
    <x v="0"/>
    <x v="0"/>
    <x v="0"/>
    <x v="2"/>
    <x v="3"/>
    <x v="0"/>
    <n v="3"/>
    <x v="2"/>
    <n v="3211"/>
  </r>
  <r>
    <x v="1"/>
    <x v="2"/>
    <x v="2"/>
    <x v="2"/>
    <x v="4"/>
    <x v="0"/>
    <n v="3"/>
    <x v="2"/>
    <n v="3667"/>
  </r>
  <r>
    <x v="2"/>
    <x v="3"/>
    <x v="3"/>
    <x v="0"/>
    <x v="5"/>
    <x v="0"/>
    <n v="3"/>
    <x v="2"/>
    <n v="2374"/>
  </r>
  <r>
    <x v="3"/>
    <x v="4"/>
    <x v="4"/>
    <x v="0"/>
    <x v="0"/>
    <x v="0"/>
    <n v="3"/>
    <x v="2"/>
    <n v="2971"/>
  </r>
  <r>
    <x v="4"/>
    <x v="5"/>
    <x v="5"/>
    <x v="0"/>
    <x v="6"/>
    <x v="0"/>
    <n v="3"/>
    <x v="2"/>
    <n v="1314"/>
  </r>
  <r>
    <x v="0"/>
    <x v="1"/>
    <x v="1"/>
    <x v="1"/>
    <x v="7"/>
    <x v="0"/>
    <n v="3"/>
    <x v="2"/>
    <n v="6155"/>
  </r>
  <r>
    <x v="1"/>
    <x v="6"/>
    <x v="6"/>
    <x v="1"/>
    <x v="1"/>
    <x v="0"/>
    <n v="3"/>
    <x v="2"/>
    <n v="5477"/>
  </r>
  <r>
    <x v="2"/>
    <x v="7"/>
    <x v="7"/>
    <x v="1"/>
    <x v="8"/>
    <x v="0"/>
    <n v="3"/>
    <x v="2"/>
    <n v="3122"/>
  </r>
  <r>
    <x v="3"/>
    <x v="8"/>
    <x v="8"/>
    <x v="2"/>
    <x v="2"/>
    <x v="0"/>
    <n v="3"/>
    <x v="2"/>
    <n v="3389"/>
  </r>
  <r>
    <x v="4"/>
    <x v="9"/>
    <x v="9"/>
    <x v="2"/>
    <x v="3"/>
    <x v="0"/>
    <n v="3"/>
    <x v="2"/>
    <n v="3444"/>
  </r>
  <r>
    <x v="0"/>
    <x v="0"/>
    <x v="0"/>
    <x v="2"/>
    <x v="4"/>
    <x v="0"/>
    <n v="3"/>
    <x v="2"/>
    <n v="3662"/>
  </r>
  <r>
    <x v="1"/>
    <x v="2"/>
    <x v="2"/>
    <x v="0"/>
    <x v="5"/>
    <x v="0"/>
    <n v="3"/>
    <x v="2"/>
    <n v="2051"/>
  </r>
  <r>
    <x v="2"/>
    <x v="3"/>
    <x v="3"/>
    <x v="0"/>
    <x v="0"/>
    <x v="0"/>
    <n v="3"/>
    <x v="2"/>
    <n v="2545"/>
  </r>
  <r>
    <x v="3"/>
    <x v="4"/>
    <x v="4"/>
    <x v="0"/>
    <x v="6"/>
    <x v="0"/>
    <n v="3"/>
    <x v="2"/>
    <n v="1320"/>
  </r>
  <r>
    <x v="4"/>
    <x v="5"/>
    <x v="5"/>
    <x v="1"/>
    <x v="7"/>
    <x v="0"/>
    <n v="3"/>
    <x v="2"/>
    <n v="5893"/>
  </r>
  <r>
    <x v="1"/>
    <x v="2"/>
    <x v="2"/>
    <x v="1"/>
    <x v="8"/>
    <x v="0"/>
    <n v="3"/>
    <x v="2"/>
    <n v="3244"/>
  </r>
  <r>
    <x v="2"/>
    <x v="7"/>
    <x v="7"/>
    <x v="2"/>
    <x v="2"/>
    <x v="0"/>
    <n v="3"/>
    <x v="2"/>
    <n v="3822"/>
  </r>
  <r>
    <x v="3"/>
    <x v="8"/>
    <x v="8"/>
    <x v="2"/>
    <x v="3"/>
    <x v="0"/>
    <n v="3"/>
    <x v="2"/>
    <n v="3870"/>
  </r>
  <r>
    <x v="4"/>
    <x v="9"/>
    <x v="9"/>
    <x v="2"/>
    <x v="4"/>
    <x v="0"/>
    <n v="3"/>
    <x v="2"/>
    <n v="3564"/>
  </r>
  <r>
    <x v="0"/>
    <x v="0"/>
    <x v="0"/>
    <x v="0"/>
    <x v="5"/>
    <x v="0"/>
    <n v="3"/>
    <x v="2"/>
    <n v="2671"/>
  </r>
  <r>
    <x v="1"/>
    <x v="6"/>
    <x v="6"/>
    <x v="0"/>
    <x v="0"/>
    <x v="0"/>
    <n v="3"/>
    <x v="2"/>
    <n v="2317"/>
  </r>
  <r>
    <x v="2"/>
    <x v="3"/>
    <x v="3"/>
    <x v="0"/>
    <x v="6"/>
    <x v="0"/>
    <n v="3"/>
    <x v="2"/>
    <n v="2711"/>
  </r>
  <r>
    <x v="3"/>
    <x v="4"/>
    <x v="4"/>
    <x v="1"/>
    <x v="7"/>
    <x v="0"/>
    <n v="3"/>
    <x v="2"/>
    <n v="4291"/>
  </r>
  <r>
    <x v="4"/>
    <x v="5"/>
    <x v="5"/>
    <x v="1"/>
    <x v="1"/>
    <x v="0"/>
    <n v="3"/>
    <x v="2"/>
    <n v="3390"/>
  </r>
  <r>
    <x v="0"/>
    <x v="1"/>
    <x v="1"/>
    <x v="1"/>
    <x v="8"/>
    <x v="0"/>
    <n v="3"/>
    <x v="2"/>
    <n v="2002"/>
  </r>
  <r>
    <x v="1"/>
    <x v="2"/>
    <x v="2"/>
    <x v="2"/>
    <x v="2"/>
    <x v="0"/>
    <n v="3"/>
    <x v="2"/>
    <n v="4865"/>
  </r>
  <r>
    <x v="2"/>
    <x v="7"/>
    <x v="7"/>
    <x v="2"/>
    <x v="3"/>
    <x v="0"/>
    <n v="3"/>
    <x v="2"/>
    <n v="3454"/>
  </r>
  <r>
    <x v="3"/>
    <x v="8"/>
    <x v="8"/>
    <x v="2"/>
    <x v="4"/>
    <x v="0"/>
    <n v="3"/>
    <x v="2"/>
    <n v="2932"/>
  </r>
  <r>
    <x v="4"/>
    <x v="9"/>
    <x v="9"/>
    <x v="0"/>
    <x v="5"/>
    <x v="0"/>
    <n v="3"/>
    <x v="2"/>
    <n v="2357"/>
  </r>
  <r>
    <x v="1"/>
    <x v="2"/>
    <x v="2"/>
    <x v="0"/>
    <x v="6"/>
    <x v="0"/>
    <n v="3"/>
    <x v="2"/>
    <n v="1527"/>
  </r>
  <r>
    <x v="2"/>
    <x v="3"/>
    <x v="3"/>
    <x v="1"/>
    <x v="7"/>
    <x v="0"/>
    <n v="3"/>
    <x v="2"/>
    <n v="4502"/>
  </r>
  <r>
    <x v="3"/>
    <x v="8"/>
    <x v="8"/>
    <x v="1"/>
    <x v="1"/>
    <x v="0"/>
    <n v="3"/>
    <x v="2"/>
    <n v="4875"/>
  </r>
  <r>
    <x v="4"/>
    <x v="5"/>
    <x v="5"/>
    <x v="1"/>
    <x v="8"/>
    <x v="0"/>
    <n v="3"/>
    <x v="2"/>
    <n v="2185"/>
  </r>
  <r>
    <x v="0"/>
    <x v="1"/>
    <x v="1"/>
    <x v="2"/>
    <x v="2"/>
    <x v="0"/>
    <n v="3"/>
    <x v="2"/>
    <n v="5003"/>
  </r>
  <r>
    <x v="0"/>
    <x v="1"/>
    <x v="1"/>
    <x v="2"/>
    <x v="3"/>
    <x v="0"/>
    <n v="3"/>
    <x v="2"/>
    <n v="5264"/>
  </r>
  <r>
    <x v="1"/>
    <x v="6"/>
    <x v="6"/>
    <x v="2"/>
    <x v="4"/>
    <x v="0"/>
    <n v="3"/>
    <x v="2"/>
    <n v="3596"/>
  </r>
  <r>
    <x v="1"/>
    <x v="6"/>
    <x v="6"/>
    <x v="0"/>
    <x v="5"/>
    <x v="0"/>
    <n v="3"/>
    <x v="2"/>
    <n v="1897"/>
  </r>
  <r>
    <x v="2"/>
    <x v="7"/>
    <x v="7"/>
    <x v="0"/>
    <x v="0"/>
    <x v="0"/>
    <n v="3"/>
    <x v="2"/>
    <n v="2249"/>
  </r>
  <r>
    <x v="2"/>
    <x v="7"/>
    <x v="7"/>
    <x v="0"/>
    <x v="6"/>
    <x v="0"/>
    <n v="3"/>
    <x v="2"/>
    <n v="2820"/>
  </r>
  <r>
    <x v="2"/>
    <x v="3"/>
    <x v="3"/>
    <x v="1"/>
    <x v="1"/>
    <x v="0"/>
    <n v="3"/>
    <x v="2"/>
    <n v="5047"/>
  </r>
  <r>
    <x v="0"/>
    <x v="0"/>
    <x v="0"/>
    <x v="1"/>
    <x v="8"/>
    <x v="0"/>
    <n v="3"/>
    <x v="2"/>
    <n v="3583"/>
  </r>
  <r>
    <x v="2"/>
    <x v="10"/>
    <x v="10"/>
    <x v="0"/>
    <x v="5"/>
    <x v="0"/>
    <n v="3"/>
    <x v="2"/>
    <n v="2714"/>
  </r>
  <r>
    <x v="2"/>
    <x v="10"/>
    <x v="10"/>
    <x v="0"/>
    <x v="0"/>
    <x v="0"/>
    <n v="3"/>
    <x v="2"/>
    <n v="2541"/>
  </r>
  <r>
    <x v="2"/>
    <x v="11"/>
    <x v="11"/>
    <x v="0"/>
    <x v="6"/>
    <x v="0"/>
    <n v="3"/>
    <x v="2"/>
    <n v="2195"/>
  </r>
  <r>
    <x v="2"/>
    <x v="11"/>
    <x v="11"/>
    <x v="1"/>
    <x v="7"/>
    <x v="0"/>
    <n v="3"/>
    <x v="2"/>
    <n v="4258"/>
  </r>
  <r>
    <x v="3"/>
    <x v="4"/>
    <x v="4"/>
    <x v="1"/>
    <x v="1"/>
    <x v="0"/>
    <n v="3"/>
    <x v="2"/>
    <n v="3882"/>
  </r>
  <r>
    <x v="3"/>
    <x v="4"/>
    <x v="4"/>
    <x v="1"/>
    <x v="8"/>
    <x v="0"/>
    <n v="3"/>
    <x v="2"/>
    <n v="2453"/>
  </r>
  <r>
    <x v="4"/>
    <x v="5"/>
    <x v="5"/>
    <x v="2"/>
    <x v="2"/>
    <x v="0"/>
    <n v="3"/>
    <x v="2"/>
    <n v="4902"/>
  </r>
  <r>
    <x v="4"/>
    <x v="5"/>
    <x v="5"/>
    <x v="2"/>
    <x v="3"/>
    <x v="0"/>
    <n v="3"/>
    <x v="2"/>
    <n v="3807"/>
  </r>
  <r>
    <x v="3"/>
    <x v="8"/>
    <x v="8"/>
    <x v="0"/>
    <x v="5"/>
    <x v="0"/>
    <n v="3"/>
    <x v="2"/>
    <n v="2185"/>
  </r>
  <r>
    <x v="4"/>
    <x v="9"/>
    <x v="9"/>
    <x v="0"/>
    <x v="0"/>
    <x v="0"/>
    <n v="3"/>
    <x v="2"/>
    <n v="3242"/>
  </r>
  <r>
    <x v="4"/>
    <x v="9"/>
    <x v="9"/>
    <x v="0"/>
    <x v="6"/>
    <x v="0"/>
    <n v="3"/>
    <x v="2"/>
    <n v="1909"/>
  </r>
  <r>
    <x v="2"/>
    <x v="7"/>
    <x v="7"/>
    <x v="1"/>
    <x v="7"/>
    <x v="0"/>
    <n v="3"/>
    <x v="2"/>
    <n v="4461"/>
  </r>
  <r>
    <x v="1"/>
    <x v="6"/>
    <x v="6"/>
    <x v="2"/>
    <x v="3"/>
    <x v="0"/>
    <n v="3"/>
    <x v="2"/>
    <n v="3749"/>
  </r>
  <r>
    <x v="0"/>
    <x v="0"/>
    <x v="0"/>
    <x v="0"/>
    <x v="6"/>
    <x v="0"/>
    <n v="3"/>
    <x v="2"/>
    <n v="2829"/>
  </r>
  <r>
    <x v="0"/>
    <x v="0"/>
    <x v="0"/>
    <x v="1"/>
    <x v="7"/>
    <x v="0"/>
    <n v="3"/>
    <x v="2"/>
    <n v="5973"/>
  </r>
  <r>
    <x v="1"/>
    <x v="2"/>
    <x v="2"/>
    <x v="1"/>
    <x v="1"/>
    <x v="0"/>
    <n v="3"/>
    <x v="2"/>
    <n v="2717"/>
  </r>
  <r>
    <x v="2"/>
    <x v="10"/>
    <x v="10"/>
    <x v="2"/>
    <x v="2"/>
    <x v="0"/>
    <n v="3"/>
    <x v="2"/>
    <n v="4626"/>
  </r>
  <r>
    <x v="2"/>
    <x v="10"/>
    <x v="10"/>
    <x v="2"/>
    <x v="3"/>
    <x v="0"/>
    <n v="3"/>
    <x v="2"/>
    <n v="3746"/>
  </r>
  <r>
    <x v="2"/>
    <x v="11"/>
    <x v="11"/>
    <x v="2"/>
    <x v="4"/>
    <x v="0"/>
    <n v="3"/>
    <x v="2"/>
    <n v="3837"/>
  </r>
  <r>
    <x v="2"/>
    <x v="11"/>
    <x v="11"/>
    <x v="0"/>
    <x v="5"/>
    <x v="0"/>
    <n v="3"/>
    <x v="2"/>
    <n v="2241"/>
  </r>
  <r>
    <x v="2"/>
    <x v="7"/>
    <x v="7"/>
    <x v="0"/>
    <x v="5"/>
    <x v="0"/>
    <n v="3"/>
    <x v="2"/>
    <n v="1878"/>
  </r>
  <r>
    <x v="1"/>
    <x v="6"/>
    <x v="6"/>
    <x v="1"/>
    <x v="8"/>
    <x v="0"/>
    <n v="3"/>
    <x v="2"/>
    <n v="3270"/>
  </r>
  <r>
    <x v="2"/>
    <x v="3"/>
    <x v="3"/>
    <x v="2"/>
    <x v="2"/>
    <x v="0"/>
    <n v="3"/>
    <x v="2"/>
    <n v="4004"/>
  </r>
  <r>
    <x v="2"/>
    <x v="3"/>
    <x v="3"/>
    <x v="2"/>
    <x v="3"/>
    <x v="0"/>
    <n v="3"/>
    <x v="2"/>
    <n v="3732"/>
  </r>
  <r>
    <x v="1"/>
    <x v="2"/>
    <x v="2"/>
    <x v="0"/>
    <x v="0"/>
    <x v="0"/>
    <n v="3"/>
    <x v="2"/>
    <n v="2575"/>
  </r>
  <r>
    <x v="2"/>
    <x v="10"/>
    <x v="10"/>
    <x v="1"/>
    <x v="7"/>
    <x v="0"/>
    <n v="3"/>
    <x v="2"/>
    <n v="4995"/>
  </r>
  <r>
    <x v="2"/>
    <x v="10"/>
    <x v="10"/>
    <x v="1"/>
    <x v="1"/>
    <x v="0"/>
    <n v="3"/>
    <x v="2"/>
    <n v="2706"/>
  </r>
  <r>
    <x v="2"/>
    <x v="11"/>
    <x v="11"/>
    <x v="1"/>
    <x v="8"/>
    <x v="0"/>
    <n v="3"/>
    <x v="2"/>
    <n v="2776"/>
  </r>
  <r>
    <x v="2"/>
    <x v="11"/>
    <x v="11"/>
    <x v="2"/>
    <x v="2"/>
    <x v="0"/>
    <n v="3"/>
    <x v="2"/>
    <n v="4139"/>
  </r>
  <r>
    <x v="3"/>
    <x v="4"/>
    <x v="4"/>
    <x v="2"/>
    <x v="3"/>
    <x v="0"/>
    <n v="3"/>
    <x v="2"/>
    <n v="4770"/>
  </r>
  <r>
    <x v="3"/>
    <x v="4"/>
    <x v="4"/>
    <x v="2"/>
    <x v="4"/>
    <x v="0"/>
    <n v="3"/>
    <x v="2"/>
    <n v="3136"/>
  </r>
  <r>
    <x v="4"/>
    <x v="5"/>
    <x v="5"/>
    <x v="0"/>
    <x v="5"/>
    <x v="0"/>
    <n v="3"/>
    <x v="2"/>
    <n v="2026"/>
  </r>
  <r>
    <x v="3"/>
    <x v="8"/>
    <x v="8"/>
    <x v="0"/>
    <x v="6"/>
    <x v="0"/>
    <n v="3"/>
    <x v="2"/>
    <n v="2777"/>
  </r>
  <r>
    <x v="3"/>
    <x v="8"/>
    <x v="8"/>
    <x v="1"/>
    <x v="7"/>
    <x v="0"/>
    <n v="3"/>
    <x v="2"/>
    <n v="4604"/>
  </r>
  <r>
    <x v="4"/>
    <x v="9"/>
    <x v="9"/>
    <x v="1"/>
    <x v="1"/>
    <x v="0"/>
    <n v="3"/>
    <x v="2"/>
    <n v="4340"/>
  </r>
  <r>
    <x v="4"/>
    <x v="9"/>
    <x v="9"/>
    <x v="1"/>
    <x v="8"/>
    <x v="0"/>
    <n v="3"/>
    <x v="2"/>
    <n v="2691"/>
  </r>
  <r>
    <x v="0"/>
    <x v="1"/>
    <x v="1"/>
    <x v="2"/>
    <x v="4"/>
    <x v="0"/>
    <n v="3"/>
    <x v="2"/>
    <n v="3068"/>
  </r>
  <r>
    <x v="0"/>
    <x v="1"/>
    <x v="1"/>
    <x v="0"/>
    <x v="5"/>
    <x v="0"/>
    <n v="3"/>
    <x v="2"/>
    <n v="2505"/>
  </r>
  <r>
    <x v="1"/>
    <x v="6"/>
    <x v="6"/>
    <x v="0"/>
    <x v="6"/>
    <x v="0"/>
    <n v="3"/>
    <x v="2"/>
    <n v="1340"/>
  </r>
  <r>
    <x v="2"/>
    <x v="10"/>
    <x v="10"/>
    <x v="1"/>
    <x v="8"/>
    <x v="0"/>
    <n v="3"/>
    <x v="2"/>
    <n v="4828"/>
  </r>
  <r>
    <x v="2"/>
    <x v="11"/>
    <x v="11"/>
    <x v="2"/>
    <x v="3"/>
    <x v="0"/>
    <n v="3"/>
    <x v="2"/>
    <n v="4995"/>
  </r>
  <r>
    <x v="2"/>
    <x v="7"/>
    <x v="7"/>
    <x v="2"/>
    <x v="4"/>
    <x v="0"/>
    <n v="3"/>
    <x v="2"/>
    <n v="3994"/>
  </r>
  <r>
    <x v="2"/>
    <x v="3"/>
    <x v="3"/>
    <x v="1"/>
    <x v="8"/>
    <x v="0"/>
    <n v="3"/>
    <x v="2"/>
    <n v="2111"/>
  </r>
  <r>
    <x v="2"/>
    <x v="10"/>
    <x v="10"/>
    <x v="0"/>
    <x v="6"/>
    <x v="0"/>
    <n v="3"/>
    <x v="2"/>
    <n v="1432"/>
  </r>
  <r>
    <x v="2"/>
    <x v="11"/>
    <x v="11"/>
    <x v="1"/>
    <x v="1"/>
    <x v="0"/>
    <n v="3"/>
    <x v="2"/>
    <n v="4147"/>
  </r>
  <r>
    <x v="3"/>
    <x v="4"/>
    <x v="4"/>
    <x v="2"/>
    <x v="2"/>
    <x v="0"/>
    <n v="3"/>
    <x v="2"/>
    <n v="4814"/>
  </r>
  <r>
    <x v="4"/>
    <x v="5"/>
    <x v="5"/>
    <x v="2"/>
    <x v="4"/>
    <x v="0"/>
    <n v="3"/>
    <x v="2"/>
    <n v="3093"/>
  </r>
  <r>
    <x v="3"/>
    <x v="8"/>
    <x v="8"/>
    <x v="0"/>
    <x v="0"/>
    <x v="0"/>
    <n v="3"/>
    <x v="2"/>
    <n v="1614"/>
  </r>
  <r>
    <x v="4"/>
    <x v="9"/>
    <x v="9"/>
    <x v="1"/>
    <x v="7"/>
    <x v="0"/>
    <n v="3"/>
    <x v="2"/>
    <n v="5991"/>
  </r>
  <r>
    <x v="2"/>
    <x v="10"/>
    <x v="10"/>
    <x v="2"/>
    <x v="4"/>
    <x v="0"/>
    <n v="3"/>
    <x v="2"/>
    <n v="4095"/>
  </r>
  <r>
    <x v="2"/>
    <x v="11"/>
    <x v="11"/>
    <x v="0"/>
    <x v="0"/>
    <x v="0"/>
    <n v="3"/>
    <x v="2"/>
    <n v="3096"/>
  </r>
  <r>
    <x v="0"/>
    <x v="0"/>
    <x v="0"/>
    <x v="0"/>
    <x v="0"/>
    <x v="0"/>
    <n v="4"/>
    <x v="3"/>
    <n v="2256"/>
  </r>
  <r>
    <x v="0"/>
    <x v="1"/>
    <x v="1"/>
    <x v="0"/>
    <x v="0"/>
    <x v="0"/>
    <n v="4"/>
    <x v="3"/>
    <n v="2061"/>
  </r>
  <r>
    <x v="0"/>
    <x v="1"/>
    <x v="1"/>
    <x v="1"/>
    <x v="1"/>
    <x v="0"/>
    <n v="4"/>
    <x v="3"/>
    <n v="5206"/>
  </r>
  <r>
    <x v="0"/>
    <x v="0"/>
    <x v="0"/>
    <x v="1"/>
    <x v="1"/>
    <x v="0"/>
    <n v="4"/>
    <x v="3"/>
    <n v="4606"/>
  </r>
  <r>
    <x v="0"/>
    <x v="0"/>
    <x v="0"/>
    <x v="2"/>
    <x v="2"/>
    <x v="0"/>
    <n v="4"/>
    <x v="3"/>
    <n v="3789"/>
  </r>
  <r>
    <x v="1"/>
    <x v="2"/>
    <x v="2"/>
    <x v="2"/>
    <x v="3"/>
    <x v="0"/>
    <n v="4"/>
    <x v="3"/>
    <n v="5261"/>
  </r>
  <r>
    <x v="2"/>
    <x v="3"/>
    <x v="3"/>
    <x v="2"/>
    <x v="4"/>
    <x v="0"/>
    <n v="4"/>
    <x v="3"/>
    <n v="3815"/>
  </r>
  <r>
    <x v="3"/>
    <x v="4"/>
    <x v="4"/>
    <x v="0"/>
    <x v="5"/>
    <x v="0"/>
    <n v="4"/>
    <x v="3"/>
    <n v="2771"/>
  </r>
  <r>
    <x v="4"/>
    <x v="5"/>
    <x v="5"/>
    <x v="0"/>
    <x v="0"/>
    <x v="0"/>
    <n v="4"/>
    <x v="3"/>
    <n v="2988"/>
  </r>
  <r>
    <x v="0"/>
    <x v="1"/>
    <x v="1"/>
    <x v="0"/>
    <x v="6"/>
    <x v="0"/>
    <n v="4"/>
    <x v="3"/>
    <n v="2153"/>
  </r>
  <r>
    <x v="1"/>
    <x v="6"/>
    <x v="6"/>
    <x v="1"/>
    <x v="7"/>
    <x v="0"/>
    <n v="4"/>
    <x v="3"/>
    <n v="4503"/>
  </r>
  <r>
    <x v="2"/>
    <x v="7"/>
    <x v="7"/>
    <x v="1"/>
    <x v="1"/>
    <x v="0"/>
    <n v="4"/>
    <x v="3"/>
    <n v="3900"/>
  </r>
  <r>
    <x v="3"/>
    <x v="8"/>
    <x v="8"/>
    <x v="1"/>
    <x v="8"/>
    <x v="0"/>
    <n v="4"/>
    <x v="3"/>
    <n v="2244"/>
  </r>
  <r>
    <x v="4"/>
    <x v="9"/>
    <x v="9"/>
    <x v="2"/>
    <x v="2"/>
    <x v="0"/>
    <n v="4"/>
    <x v="3"/>
    <n v="4744"/>
  </r>
  <r>
    <x v="0"/>
    <x v="0"/>
    <x v="0"/>
    <x v="2"/>
    <x v="3"/>
    <x v="0"/>
    <n v="4"/>
    <x v="3"/>
    <n v="2822"/>
  </r>
  <r>
    <x v="1"/>
    <x v="2"/>
    <x v="2"/>
    <x v="2"/>
    <x v="4"/>
    <x v="0"/>
    <n v="4"/>
    <x v="3"/>
    <n v="3578"/>
  </r>
  <r>
    <x v="2"/>
    <x v="3"/>
    <x v="3"/>
    <x v="0"/>
    <x v="5"/>
    <x v="0"/>
    <n v="4"/>
    <x v="3"/>
    <n v="1864"/>
  </r>
  <r>
    <x v="3"/>
    <x v="4"/>
    <x v="4"/>
    <x v="0"/>
    <x v="0"/>
    <x v="0"/>
    <n v="4"/>
    <x v="3"/>
    <n v="2835"/>
  </r>
  <r>
    <x v="4"/>
    <x v="5"/>
    <x v="5"/>
    <x v="0"/>
    <x v="6"/>
    <x v="0"/>
    <n v="4"/>
    <x v="3"/>
    <n v="1464"/>
  </r>
  <r>
    <x v="0"/>
    <x v="1"/>
    <x v="1"/>
    <x v="1"/>
    <x v="7"/>
    <x v="0"/>
    <n v="4"/>
    <x v="3"/>
    <n v="5729"/>
  </r>
  <r>
    <x v="1"/>
    <x v="6"/>
    <x v="6"/>
    <x v="1"/>
    <x v="1"/>
    <x v="0"/>
    <n v="4"/>
    <x v="3"/>
    <n v="4266"/>
  </r>
  <r>
    <x v="2"/>
    <x v="7"/>
    <x v="7"/>
    <x v="1"/>
    <x v="8"/>
    <x v="0"/>
    <n v="4"/>
    <x v="3"/>
    <n v="3506"/>
  </r>
  <r>
    <x v="3"/>
    <x v="8"/>
    <x v="8"/>
    <x v="2"/>
    <x v="2"/>
    <x v="0"/>
    <n v="4"/>
    <x v="3"/>
    <n v="4965"/>
  </r>
  <r>
    <x v="4"/>
    <x v="9"/>
    <x v="9"/>
    <x v="2"/>
    <x v="3"/>
    <x v="0"/>
    <n v="4"/>
    <x v="3"/>
    <n v="3174"/>
  </r>
  <r>
    <x v="0"/>
    <x v="0"/>
    <x v="0"/>
    <x v="2"/>
    <x v="4"/>
    <x v="0"/>
    <n v="4"/>
    <x v="3"/>
    <n v="2991"/>
  </r>
  <r>
    <x v="1"/>
    <x v="2"/>
    <x v="2"/>
    <x v="0"/>
    <x v="5"/>
    <x v="0"/>
    <n v="4"/>
    <x v="3"/>
    <n v="2669"/>
  </r>
  <r>
    <x v="2"/>
    <x v="3"/>
    <x v="3"/>
    <x v="0"/>
    <x v="0"/>
    <x v="0"/>
    <n v="4"/>
    <x v="3"/>
    <n v="2022"/>
  </r>
  <r>
    <x v="3"/>
    <x v="4"/>
    <x v="4"/>
    <x v="0"/>
    <x v="6"/>
    <x v="0"/>
    <n v="4"/>
    <x v="3"/>
    <n v="1345"/>
  </r>
  <r>
    <x v="4"/>
    <x v="5"/>
    <x v="5"/>
    <x v="1"/>
    <x v="7"/>
    <x v="0"/>
    <n v="4"/>
    <x v="3"/>
    <n v="4623"/>
  </r>
  <r>
    <x v="1"/>
    <x v="2"/>
    <x v="2"/>
    <x v="1"/>
    <x v="8"/>
    <x v="0"/>
    <n v="4"/>
    <x v="3"/>
    <n v="4917"/>
  </r>
  <r>
    <x v="2"/>
    <x v="7"/>
    <x v="7"/>
    <x v="2"/>
    <x v="2"/>
    <x v="0"/>
    <n v="4"/>
    <x v="3"/>
    <n v="4809"/>
  </r>
  <r>
    <x v="3"/>
    <x v="8"/>
    <x v="8"/>
    <x v="2"/>
    <x v="3"/>
    <x v="0"/>
    <n v="4"/>
    <x v="3"/>
    <n v="4242"/>
  </r>
  <r>
    <x v="4"/>
    <x v="9"/>
    <x v="9"/>
    <x v="2"/>
    <x v="4"/>
    <x v="0"/>
    <n v="4"/>
    <x v="3"/>
    <n v="3578"/>
  </r>
  <r>
    <x v="0"/>
    <x v="0"/>
    <x v="0"/>
    <x v="0"/>
    <x v="5"/>
    <x v="0"/>
    <n v="4"/>
    <x v="3"/>
    <n v="2738"/>
  </r>
  <r>
    <x v="1"/>
    <x v="6"/>
    <x v="6"/>
    <x v="0"/>
    <x v="0"/>
    <x v="0"/>
    <n v="4"/>
    <x v="3"/>
    <n v="2658"/>
  </r>
  <r>
    <x v="2"/>
    <x v="3"/>
    <x v="3"/>
    <x v="0"/>
    <x v="6"/>
    <x v="0"/>
    <n v="4"/>
    <x v="3"/>
    <n v="1967"/>
  </r>
  <r>
    <x v="3"/>
    <x v="4"/>
    <x v="4"/>
    <x v="1"/>
    <x v="7"/>
    <x v="0"/>
    <n v="4"/>
    <x v="3"/>
    <n v="5014"/>
  </r>
  <r>
    <x v="4"/>
    <x v="5"/>
    <x v="5"/>
    <x v="1"/>
    <x v="1"/>
    <x v="0"/>
    <n v="4"/>
    <x v="3"/>
    <n v="5279"/>
  </r>
  <r>
    <x v="0"/>
    <x v="1"/>
    <x v="1"/>
    <x v="1"/>
    <x v="8"/>
    <x v="0"/>
    <n v="4"/>
    <x v="3"/>
    <n v="4476"/>
  </r>
  <r>
    <x v="1"/>
    <x v="2"/>
    <x v="2"/>
    <x v="2"/>
    <x v="2"/>
    <x v="0"/>
    <n v="4"/>
    <x v="3"/>
    <n v="4134"/>
  </r>
  <r>
    <x v="2"/>
    <x v="7"/>
    <x v="7"/>
    <x v="2"/>
    <x v="3"/>
    <x v="0"/>
    <n v="4"/>
    <x v="3"/>
    <n v="4475"/>
  </r>
  <r>
    <x v="3"/>
    <x v="8"/>
    <x v="8"/>
    <x v="2"/>
    <x v="4"/>
    <x v="0"/>
    <n v="4"/>
    <x v="3"/>
    <n v="3222"/>
  </r>
  <r>
    <x v="4"/>
    <x v="9"/>
    <x v="9"/>
    <x v="0"/>
    <x v="5"/>
    <x v="0"/>
    <n v="4"/>
    <x v="3"/>
    <n v="1774"/>
  </r>
  <r>
    <x v="1"/>
    <x v="2"/>
    <x v="2"/>
    <x v="0"/>
    <x v="6"/>
    <x v="0"/>
    <n v="4"/>
    <x v="3"/>
    <n v="1667"/>
  </r>
  <r>
    <x v="2"/>
    <x v="3"/>
    <x v="3"/>
    <x v="1"/>
    <x v="7"/>
    <x v="0"/>
    <n v="4"/>
    <x v="3"/>
    <n v="5162"/>
  </r>
  <r>
    <x v="3"/>
    <x v="8"/>
    <x v="8"/>
    <x v="1"/>
    <x v="1"/>
    <x v="0"/>
    <n v="4"/>
    <x v="3"/>
    <n v="3580"/>
  </r>
  <r>
    <x v="4"/>
    <x v="5"/>
    <x v="5"/>
    <x v="1"/>
    <x v="8"/>
    <x v="0"/>
    <n v="4"/>
    <x v="3"/>
    <n v="2510"/>
  </r>
  <r>
    <x v="0"/>
    <x v="1"/>
    <x v="1"/>
    <x v="2"/>
    <x v="2"/>
    <x v="0"/>
    <n v="4"/>
    <x v="3"/>
    <n v="4552"/>
  </r>
  <r>
    <x v="0"/>
    <x v="1"/>
    <x v="1"/>
    <x v="2"/>
    <x v="3"/>
    <x v="0"/>
    <n v="4"/>
    <x v="3"/>
    <n v="4662"/>
  </r>
  <r>
    <x v="1"/>
    <x v="6"/>
    <x v="6"/>
    <x v="2"/>
    <x v="4"/>
    <x v="0"/>
    <n v="4"/>
    <x v="3"/>
    <n v="2808"/>
  </r>
  <r>
    <x v="1"/>
    <x v="6"/>
    <x v="6"/>
    <x v="0"/>
    <x v="5"/>
    <x v="0"/>
    <n v="4"/>
    <x v="3"/>
    <n v="1859"/>
  </r>
  <r>
    <x v="2"/>
    <x v="7"/>
    <x v="7"/>
    <x v="0"/>
    <x v="0"/>
    <x v="0"/>
    <n v="4"/>
    <x v="3"/>
    <n v="3227"/>
  </r>
  <r>
    <x v="2"/>
    <x v="7"/>
    <x v="7"/>
    <x v="0"/>
    <x v="6"/>
    <x v="0"/>
    <n v="4"/>
    <x v="3"/>
    <n v="1626"/>
  </r>
  <r>
    <x v="2"/>
    <x v="3"/>
    <x v="3"/>
    <x v="1"/>
    <x v="1"/>
    <x v="0"/>
    <n v="4"/>
    <x v="3"/>
    <n v="4706"/>
  </r>
  <r>
    <x v="0"/>
    <x v="0"/>
    <x v="0"/>
    <x v="1"/>
    <x v="8"/>
    <x v="0"/>
    <n v="4"/>
    <x v="3"/>
    <n v="3246"/>
  </r>
  <r>
    <x v="2"/>
    <x v="10"/>
    <x v="10"/>
    <x v="0"/>
    <x v="5"/>
    <x v="0"/>
    <n v="4"/>
    <x v="3"/>
    <n v="1750"/>
  </r>
  <r>
    <x v="2"/>
    <x v="10"/>
    <x v="10"/>
    <x v="0"/>
    <x v="0"/>
    <x v="0"/>
    <n v="4"/>
    <x v="3"/>
    <n v="2019"/>
  </r>
  <r>
    <x v="2"/>
    <x v="11"/>
    <x v="11"/>
    <x v="0"/>
    <x v="6"/>
    <x v="0"/>
    <n v="4"/>
    <x v="3"/>
    <n v="2862"/>
  </r>
  <r>
    <x v="2"/>
    <x v="11"/>
    <x v="11"/>
    <x v="1"/>
    <x v="7"/>
    <x v="0"/>
    <n v="4"/>
    <x v="3"/>
    <n v="4280"/>
  </r>
  <r>
    <x v="3"/>
    <x v="4"/>
    <x v="4"/>
    <x v="1"/>
    <x v="1"/>
    <x v="0"/>
    <n v="4"/>
    <x v="3"/>
    <n v="3684"/>
  </r>
  <r>
    <x v="3"/>
    <x v="4"/>
    <x v="4"/>
    <x v="1"/>
    <x v="8"/>
    <x v="0"/>
    <n v="4"/>
    <x v="3"/>
    <n v="4455"/>
  </r>
  <r>
    <x v="4"/>
    <x v="5"/>
    <x v="5"/>
    <x v="2"/>
    <x v="2"/>
    <x v="0"/>
    <n v="4"/>
    <x v="3"/>
    <n v="3906"/>
  </r>
  <r>
    <x v="4"/>
    <x v="5"/>
    <x v="5"/>
    <x v="2"/>
    <x v="3"/>
    <x v="0"/>
    <n v="4"/>
    <x v="3"/>
    <n v="3310"/>
  </r>
  <r>
    <x v="3"/>
    <x v="8"/>
    <x v="8"/>
    <x v="0"/>
    <x v="5"/>
    <x v="0"/>
    <n v="4"/>
    <x v="3"/>
    <n v="2299"/>
  </r>
  <r>
    <x v="4"/>
    <x v="9"/>
    <x v="9"/>
    <x v="0"/>
    <x v="0"/>
    <x v="0"/>
    <n v="4"/>
    <x v="3"/>
    <n v="3029"/>
  </r>
  <r>
    <x v="4"/>
    <x v="9"/>
    <x v="9"/>
    <x v="0"/>
    <x v="6"/>
    <x v="0"/>
    <n v="4"/>
    <x v="3"/>
    <n v="2419"/>
  </r>
  <r>
    <x v="2"/>
    <x v="7"/>
    <x v="7"/>
    <x v="1"/>
    <x v="7"/>
    <x v="0"/>
    <n v="4"/>
    <x v="3"/>
    <n v="4420"/>
  </r>
  <r>
    <x v="1"/>
    <x v="6"/>
    <x v="6"/>
    <x v="2"/>
    <x v="3"/>
    <x v="0"/>
    <n v="4"/>
    <x v="3"/>
    <n v="4632"/>
  </r>
  <r>
    <x v="0"/>
    <x v="0"/>
    <x v="0"/>
    <x v="0"/>
    <x v="6"/>
    <x v="0"/>
    <n v="4"/>
    <x v="3"/>
    <n v="1219"/>
  </r>
  <r>
    <x v="0"/>
    <x v="0"/>
    <x v="0"/>
    <x v="1"/>
    <x v="7"/>
    <x v="0"/>
    <n v="4"/>
    <x v="3"/>
    <n v="5519"/>
  </r>
  <r>
    <x v="1"/>
    <x v="2"/>
    <x v="2"/>
    <x v="1"/>
    <x v="1"/>
    <x v="0"/>
    <n v="4"/>
    <x v="3"/>
    <n v="3611"/>
  </r>
  <r>
    <x v="2"/>
    <x v="10"/>
    <x v="10"/>
    <x v="2"/>
    <x v="2"/>
    <x v="0"/>
    <n v="4"/>
    <x v="3"/>
    <n v="4663"/>
  </r>
  <r>
    <x v="2"/>
    <x v="10"/>
    <x v="10"/>
    <x v="2"/>
    <x v="3"/>
    <x v="0"/>
    <n v="4"/>
    <x v="3"/>
    <n v="5597"/>
  </r>
  <r>
    <x v="2"/>
    <x v="11"/>
    <x v="11"/>
    <x v="2"/>
    <x v="4"/>
    <x v="0"/>
    <n v="4"/>
    <x v="3"/>
    <n v="3981"/>
  </r>
  <r>
    <x v="2"/>
    <x v="11"/>
    <x v="11"/>
    <x v="0"/>
    <x v="5"/>
    <x v="0"/>
    <n v="4"/>
    <x v="3"/>
    <n v="2831"/>
  </r>
  <r>
    <x v="2"/>
    <x v="7"/>
    <x v="7"/>
    <x v="0"/>
    <x v="5"/>
    <x v="0"/>
    <n v="4"/>
    <x v="3"/>
    <n v="2234"/>
  </r>
  <r>
    <x v="1"/>
    <x v="6"/>
    <x v="6"/>
    <x v="1"/>
    <x v="8"/>
    <x v="0"/>
    <n v="4"/>
    <x v="3"/>
    <n v="2973"/>
  </r>
  <r>
    <x v="2"/>
    <x v="3"/>
    <x v="3"/>
    <x v="2"/>
    <x v="2"/>
    <x v="0"/>
    <n v="4"/>
    <x v="3"/>
    <n v="4686"/>
  </r>
  <r>
    <x v="2"/>
    <x v="3"/>
    <x v="3"/>
    <x v="2"/>
    <x v="3"/>
    <x v="0"/>
    <n v="4"/>
    <x v="3"/>
    <n v="3225"/>
  </r>
  <r>
    <x v="1"/>
    <x v="2"/>
    <x v="2"/>
    <x v="0"/>
    <x v="0"/>
    <x v="0"/>
    <n v="4"/>
    <x v="3"/>
    <n v="1560"/>
  </r>
  <r>
    <x v="2"/>
    <x v="10"/>
    <x v="10"/>
    <x v="1"/>
    <x v="7"/>
    <x v="0"/>
    <n v="4"/>
    <x v="3"/>
    <n v="5515"/>
  </r>
  <r>
    <x v="2"/>
    <x v="10"/>
    <x v="10"/>
    <x v="1"/>
    <x v="1"/>
    <x v="0"/>
    <n v="4"/>
    <x v="3"/>
    <n v="5599"/>
  </r>
  <r>
    <x v="2"/>
    <x v="11"/>
    <x v="11"/>
    <x v="1"/>
    <x v="8"/>
    <x v="0"/>
    <n v="4"/>
    <x v="3"/>
    <n v="4764"/>
  </r>
  <r>
    <x v="2"/>
    <x v="11"/>
    <x v="11"/>
    <x v="2"/>
    <x v="2"/>
    <x v="0"/>
    <n v="4"/>
    <x v="3"/>
    <n v="3424"/>
  </r>
  <r>
    <x v="3"/>
    <x v="4"/>
    <x v="4"/>
    <x v="2"/>
    <x v="3"/>
    <x v="0"/>
    <n v="4"/>
    <x v="3"/>
    <n v="3379"/>
  </r>
  <r>
    <x v="3"/>
    <x v="4"/>
    <x v="4"/>
    <x v="2"/>
    <x v="4"/>
    <x v="0"/>
    <n v="4"/>
    <x v="3"/>
    <n v="4048"/>
  </r>
  <r>
    <x v="4"/>
    <x v="5"/>
    <x v="5"/>
    <x v="0"/>
    <x v="5"/>
    <x v="0"/>
    <n v="4"/>
    <x v="3"/>
    <n v="2990"/>
  </r>
  <r>
    <x v="3"/>
    <x v="8"/>
    <x v="8"/>
    <x v="0"/>
    <x v="6"/>
    <x v="0"/>
    <n v="4"/>
    <x v="3"/>
    <n v="2299"/>
  </r>
  <r>
    <x v="3"/>
    <x v="8"/>
    <x v="8"/>
    <x v="1"/>
    <x v="7"/>
    <x v="0"/>
    <n v="4"/>
    <x v="3"/>
    <n v="5781"/>
  </r>
  <r>
    <x v="4"/>
    <x v="9"/>
    <x v="9"/>
    <x v="1"/>
    <x v="1"/>
    <x v="0"/>
    <n v="4"/>
    <x v="3"/>
    <n v="4397"/>
  </r>
  <r>
    <x v="4"/>
    <x v="9"/>
    <x v="9"/>
    <x v="1"/>
    <x v="8"/>
    <x v="0"/>
    <n v="4"/>
    <x v="3"/>
    <n v="4223"/>
  </r>
  <r>
    <x v="0"/>
    <x v="1"/>
    <x v="1"/>
    <x v="2"/>
    <x v="4"/>
    <x v="0"/>
    <n v="4"/>
    <x v="3"/>
    <n v="2914"/>
  </r>
  <r>
    <x v="0"/>
    <x v="1"/>
    <x v="1"/>
    <x v="0"/>
    <x v="5"/>
    <x v="0"/>
    <n v="4"/>
    <x v="3"/>
    <n v="1776"/>
  </r>
  <r>
    <x v="1"/>
    <x v="6"/>
    <x v="6"/>
    <x v="0"/>
    <x v="6"/>
    <x v="0"/>
    <n v="4"/>
    <x v="3"/>
    <n v="1224"/>
  </r>
  <r>
    <x v="2"/>
    <x v="10"/>
    <x v="10"/>
    <x v="1"/>
    <x v="8"/>
    <x v="0"/>
    <n v="4"/>
    <x v="3"/>
    <n v="3070"/>
  </r>
  <r>
    <x v="2"/>
    <x v="11"/>
    <x v="11"/>
    <x v="2"/>
    <x v="3"/>
    <x v="0"/>
    <n v="4"/>
    <x v="3"/>
    <n v="3971"/>
  </r>
  <r>
    <x v="2"/>
    <x v="7"/>
    <x v="7"/>
    <x v="2"/>
    <x v="4"/>
    <x v="0"/>
    <n v="4"/>
    <x v="3"/>
    <n v="3279"/>
  </r>
  <r>
    <x v="2"/>
    <x v="3"/>
    <x v="3"/>
    <x v="1"/>
    <x v="8"/>
    <x v="0"/>
    <n v="4"/>
    <x v="3"/>
    <n v="4228"/>
  </r>
  <r>
    <x v="2"/>
    <x v="10"/>
    <x v="10"/>
    <x v="0"/>
    <x v="6"/>
    <x v="0"/>
    <n v="4"/>
    <x v="3"/>
    <n v="1771"/>
  </r>
  <r>
    <x v="2"/>
    <x v="11"/>
    <x v="11"/>
    <x v="1"/>
    <x v="1"/>
    <x v="0"/>
    <n v="4"/>
    <x v="3"/>
    <n v="4694"/>
  </r>
  <r>
    <x v="3"/>
    <x v="4"/>
    <x v="4"/>
    <x v="2"/>
    <x v="2"/>
    <x v="0"/>
    <n v="4"/>
    <x v="3"/>
    <n v="4187"/>
  </r>
  <r>
    <x v="4"/>
    <x v="5"/>
    <x v="5"/>
    <x v="2"/>
    <x v="4"/>
    <x v="0"/>
    <n v="4"/>
    <x v="3"/>
    <n v="3282"/>
  </r>
  <r>
    <x v="3"/>
    <x v="8"/>
    <x v="8"/>
    <x v="0"/>
    <x v="0"/>
    <x v="0"/>
    <n v="4"/>
    <x v="3"/>
    <n v="3320"/>
  </r>
  <r>
    <x v="4"/>
    <x v="9"/>
    <x v="9"/>
    <x v="1"/>
    <x v="7"/>
    <x v="0"/>
    <n v="4"/>
    <x v="3"/>
    <n v="5610"/>
  </r>
  <r>
    <x v="2"/>
    <x v="10"/>
    <x v="10"/>
    <x v="2"/>
    <x v="4"/>
    <x v="0"/>
    <n v="4"/>
    <x v="3"/>
    <n v="3361"/>
  </r>
  <r>
    <x v="2"/>
    <x v="11"/>
    <x v="11"/>
    <x v="0"/>
    <x v="0"/>
    <x v="0"/>
    <n v="4"/>
    <x v="3"/>
    <n v="2375"/>
  </r>
  <r>
    <x v="0"/>
    <x v="0"/>
    <x v="0"/>
    <x v="0"/>
    <x v="0"/>
    <x v="0"/>
    <n v="5"/>
    <x v="4"/>
    <n v="3158"/>
  </r>
  <r>
    <x v="0"/>
    <x v="1"/>
    <x v="1"/>
    <x v="0"/>
    <x v="0"/>
    <x v="0"/>
    <n v="5"/>
    <x v="4"/>
    <n v="2994"/>
  </r>
  <r>
    <x v="0"/>
    <x v="1"/>
    <x v="1"/>
    <x v="1"/>
    <x v="1"/>
    <x v="0"/>
    <n v="5"/>
    <x v="4"/>
    <n v="5099"/>
  </r>
  <r>
    <x v="0"/>
    <x v="0"/>
    <x v="0"/>
    <x v="1"/>
    <x v="1"/>
    <x v="0"/>
    <n v="5"/>
    <x v="4"/>
    <n v="4857"/>
  </r>
  <r>
    <x v="0"/>
    <x v="0"/>
    <x v="0"/>
    <x v="2"/>
    <x v="2"/>
    <x v="0"/>
    <n v="5"/>
    <x v="4"/>
    <n v="4346"/>
  </r>
  <r>
    <x v="1"/>
    <x v="2"/>
    <x v="2"/>
    <x v="2"/>
    <x v="3"/>
    <x v="0"/>
    <n v="5"/>
    <x v="4"/>
    <n v="3461"/>
  </r>
  <r>
    <x v="2"/>
    <x v="3"/>
    <x v="3"/>
    <x v="2"/>
    <x v="4"/>
    <x v="0"/>
    <n v="5"/>
    <x v="4"/>
    <n v="3749"/>
  </r>
  <r>
    <x v="3"/>
    <x v="4"/>
    <x v="4"/>
    <x v="0"/>
    <x v="5"/>
    <x v="0"/>
    <n v="5"/>
    <x v="4"/>
    <n v="1824"/>
  </r>
  <r>
    <x v="4"/>
    <x v="5"/>
    <x v="5"/>
    <x v="0"/>
    <x v="0"/>
    <x v="0"/>
    <n v="5"/>
    <x v="4"/>
    <n v="3049"/>
  </r>
  <r>
    <x v="0"/>
    <x v="1"/>
    <x v="1"/>
    <x v="0"/>
    <x v="6"/>
    <x v="0"/>
    <n v="5"/>
    <x v="4"/>
    <n v="2117"/>
  </r>
  <r>
    <x v="1"/>
    <x v="6"/>
    <x v="6"/>
    <x v="1"/>
    <x v="7"/>
    <x v="0"/>
    <n v="5"/>
    <x v="4"/>
    <n v="4770"/>
  </r>
  <r>
    <x v="2"/>
    <x v="7"/>
    <x v="7"/>
    <x v="1"/>
    <x v="1"/>
    <x v="0"/>
    <n v="5"/>
    <x v="4"/>
    <n v="3729"/>
  </r>
  <r>
    <x v="3"/>
    <x v="8"/>
    <x v="8"/>
    <x v="1"/>
    <x v="8"/>
    <x v="0"/>
    <n v="5"/>
    <x v="4"/>
    <n v="3630"/>
  </r>
  <r>
    <x v="4"/>
    <x v="9"/>
    <x v="9"/>
    <x v="2"/>
    <x v="2"/>
    <x v="0"/>
    <n v="5"/>
    <x v="4"/>
    <n v="4539"/>
  </r>
  <r>
    <x v="0"/>
    <x v="0"/>
    <x v="0"/>
    <x v="2"/>
    <x v="3"/>
    <x v="0"/>
    <n v="5"/>
    <x v="4"/>
    <n v="5114"/>
  </r>
  <r>
    <x v="1"/>
    <x v="2"/>
    <x v="2"/>
    <x v="2"/>
    <x v="4"/>
    <x v="0"/>
    <n v="5"/>
    <x v="4"/>
    <n v="3885"/>
  </r>
  <r>
    <x v="2"/>
    <x v="3"/>
    <x v="3"/>
    <x v="0"/>
    <x v="5"/>
    <x v="0"/>
    <n v="5"/>
    <x v="4"/>
    <n v="1978"/>
  </r>
  <r>
    <x v="3"/>
    <x v="4"/>
    <x v="4"/>
    <x v="0"/>
    <x v="0"/>
    <x v="0"/>
    <n v="5"/>
    <x v="4"/>
    <n v="2909"/>
  </r>
  <r>
    <x v="4"/>
    <x v="5"/>
    <x v="5"/>
    <x v="0"/>
    <x v="6"/>
    <x v="0"/>
    <n v="5"/>
    <x v="4"/>
    <n v="2663"/>
  </r>
  <r>
    <x v="0"/>
    <x v="1"/>
    <x v="1"/>
    <x v="1"/>
    <x v="7"/>
    <x v="0"/>
    <n v="5"/>
    <x v="4"/>
    <n v="4920"/>
  </r>
  <r>
    <x v="1"/>
    <x v="6"/>
    <x v="6"/>
    <x v="1"/>
    <x v="1"/>
    <x v="0"/>
    <n v="5"/>
    <x v="4"/>
    <n v="3678"/>
  </r>
  <r>
    <x v="2"/>
    <x v="7"/>
    <x v="7"/>
    <x v="1"/>
    <x v="8"/>
    <x v="0"/>
    <n v="5"/>
    <x v="4"/>
    <n v="3872"/>
  </r>
  <r>
    <x v="3"/>
    <x v="8"/>
    <x v="8"/>
    <x v="2"/>
    <x v="2"/>
    <x v="0"/>
    <n v="5"/>
    <x v="4"/>
    <n v="4127"/>
  </r>
  <r>
    <x v="4"/>
    <x v="9"/>
    <x v="9"/>
    <x v="2"/>
    <x v="3"/>
    <x v="0"/>
    <n v="5"/>
    <x v="4"/>
    <n v="4512"/>
  </r>
  <r>
    <x v="0"/>
    <x v="0"/>
    <x v="0"/>
    <x v="2"/>
    <x v="4"/>
    <x v="0"/>
    <n v="5"/>
    <x v="4"/>
    <n v="3420"/>
  </r>
  <r>
    <x v="1"/>
    <x v="2"/>
    <x v="2"/>
    <x v="0"/>
    <x v="5"/>
    <x v="0"/>
    <n v="5"/>
    <x v="4"/>
    <n v="2810"/>
  </r>
  <r>
    <x v="2"/>
    <x v="3"/>
    <x v="3"/>
    <x v="0"/>
    <x v="0"/>
    <x v="0"/>
    <n v="5"/>
    <x v="4"/>
    <n v="1907"/>
  </r>
  <r>
    <x v="3"/>
    <x v="4"/>
    <x v="4"/>
    <x v="0"/>
    <x v="6"/>
    <x v="0"/>
    <n v="5"/>
    <x v="4"/>
    <n v="1310"/>
  </r>
  <r>
    <x v="4"/>
    <x v="5"/>
    <x v="5"/>
    <x v="1"/>
    <x v="7"/>
    <x v="0"/>
    <n v="5"/>
    <x v="4"/>
    <n v="5826"/>
  </r>
  <r>
    <x v="1"/>
    <x v="2"/>
    <x v="2"/>
    <x v="1"/>
    <x v="8"/>
    <x v="0"/>
    <n v="5"/>
    <x v="4"/>
    <n v="4977"/>
  </r>
  <r>
    <x v="2"/>
    <x v="7"/>
    <x v="7"/>
    <x v="2"/>
    <x v="2"/>
    <x v="0"/>
    <n v="5"/>
    <x v="4"/>
    <n v="4210"/>
  </r>
  <r>
    <x v="3"/>
    <x v="8"/>
    <x v="8"/>
    <x v="2"/>
    <x v="3"/>
    <x v="0"/>
    <n v="5"/>
    <x v="4"/>
    <n v="3965"/>
  </r>
  <r>
    <x v="4"/>
    <x v="9"/>
    <x v="9"/>
    <x v="2"/>
    <x v="4"/>
    <x v="0"/>
    <n v="5"/>
    <x v="4"/>
    <n v="3484"/>
  </r>
  <r>
    <x v="0"/>
    <x v="0"/>
    <x v="0"/>
    <x v="0"/>
    <x v="5"/>
    <x v="0"/>
    <n v="5"/>
    <x v="4"/>
    <n v="2349"/>
  </r>
  <r>
    <x v="1"/>
    <x v="6"/>
    <x v="6"/>
    <x v="0"/>
    <x v="0"/>
    <x v="0"/>
    <n v="5"/>
    <x v="4"/>
    <n v="2598"/>
  </r>
  <r>
    <x v="2"/>
    <x v="3"/>
    <x v="3"/>
    <x v="0"/>
    <x v="6"/>
    <x v="0"/>
    <n v="5"/>
    <x v="4"/>
    <n v="1807"/>
  </r>
  <r>
    <x v="3"/>
    <x v="4"/>
    <x v="4"/>
    <x v="1"/>
    <x v="7"/>
    <x v="0"/>
    <n v="5"/>
    <x v="4"/>
    <n v="5511"/>
  </r>
  <r>
    <x v="4"/>
    <x v="5"/>
    <x v="5"/>
    <x v="1"/>
    <x v="1"/>
    <x v="0"/>
    <n v="5"/>
    <x v="4"/>
    <n v="5009"/>
  </r>
  <r>
    <x v="0"/>
    <x v="1"/>
    <x v="1"/>
    <x v="1"/>
    <x v="8"/>
    <x v="0"/>
    <n v="5"/>
    <x v="4"/>
    <n v="4218"/>
  </r>
  <r>
    <x v="1"/>
    <x v="2"/>
    <x v="2"/>
    <x v="2"/>
    <x v="2"/>
    <x v="0"/>
    <n v="5"/>
    <x v="4"/>
    <n v="4611"/>
  </r>
  <r>
    <x v="2"/>
    <x v="7"/>
    <x v="7"/>
    <x v="2"/>
    <x v="3"/>
    <x v="0"/>
    <n v="5"/>
    <x v="4"/>
    <n v="3910"/>
  </r>
  <r>
    <x v="3"/>
    <x v="8"/>
    <x v="8"/>
    <x v="2"/>
    <x v="4"/>
    <x v="0"/>
    <n v="5"/>
    <x v="4"/>
    <n v="4097"/>
  </r>
  <r>
    <x v="4"/>
    <x v="9"/>
    <x v="9"/>
    <x v="0"/>
    <x v="5"/>
    <x v="0"/>
    <n v="5"/>
    <x v="4"/>
    <n v="2828"/>
  </r>
  <r>
    <x v="1"/>
    <x v="2"/>
    <x v="2"/>
    <x v="0"/>
    <x v="6"/>
    <x v="0"/>
    <n v="5"/>
    <x v="4"/>
    <n v="2741"/>
  </r>
  <r>
    <x v="2"/>
    <x v="3"/>
    <x v="3"/>
    <x v="1"/>
    <x v="7"/>
    <x v="0"/>
    <n v="5"/>
    <x v="4"/>
    <n v="4689"/>
  </r>
  <r>
    <x v="3"/>
    <x v="8"/>
    <x v="8"/>
    <x v="1"/>
    <x v="1"/>
    <x v="0"/>
    <n v="5"/>
    <x v="4"/>
    <n v="3070"/>
  </r>
  <r>
    <x v="4"/>
    <x v="5"/>
    <x v="5"/>
    <x v="1"/>
    <x v="8"/>
    <x v="0"/>
    <n v="5"/>
    <x v="4"/>
    <n v="4819"/>
  </r>
  <r>
    <x v="0"/>
    <x v="1"/>
    <x v="1"/>
    <x v="2"/>
    <x v="2"/>
    <x v="0"/>
    <n v="5"/>
    <x v="4"/>
    <n v="3793"/>
  </r>
  <r>
    <x v="0"/>
    <x v="1"/>
    <x v="1"/>
    <x v="2"/>
    <x v="3"/>
    <x v="0"/>
    <n v="5"/>
    <x v="4"/>
    <n v="4590"/>
  </r>
  <r>
    <x v="1"/>
    <x v="6"/>
    <x v="6"/>
    <x v="2"/>
    <x v="4"/>
    <x v="0"/>
    <n v="5"/>
    <x v="4"/>
    <n v="3850"/>
  </r>
  <r>
    <x v="1"/>
    <x v="6"/>
    <x v="6"/>
    <x v="0"/>
    <x v="5"/>
    <x v="0"/>
    <n v="5"/>
    <x v="4"/>
    <n v="2507"/>
  </r>
  <r>
    <x v="2"/>
    <x v="7"/>
    <x v="7"/>
    <x v="0"/>
    <x v="0"/>
    <x v="0"/>
    <n v="5"/>
    <x v="4"/>
    <n v="2888"/>
  </r>
  <r>
    <x v="2"/>
    <x v="7"/>
    <x v="7"/>
    <x v="0"/>
    <x v="6"/>
    <x v="0"/>
    <n v="5"/>
    <x v="4"/>
    <n v="1734"/>
  </r>
  <r>
    <x v="2"/>
    <x v="3"/>
    <x v="3"/>
    <x v="1"/>
    <x v="1"/>
    <x v="0"/>
    <n v="5"/>
    <x v="4"/>
    <n v="4289"/>
  </r>
  <r>
    <x v="0"/>
    <x v="0"/>
    <x v="0"/>
    <x v="1"/>
    <x v="8"/>
    <x v="0"/>
    <n v="5"/>
    <x v="4"/>
    <n v="4345"/>
  </r>
  <r>
    <x v="2"/>
    <x v="10"/>
    <x v="10"/>
    <x v="0"/>
    <x v="5"/>
    <x v="0"/>
    <n v="5"/>
    <x v="4"/>
    <n v="2539"/>
  </r>
  <r>
    <x v="2"/>
    <x v="10"/>
    <x v="10"/>
    <x v="0"/>
    <x v="0"/>
    <x v="0"/>
    <n v="5"/>
    <x v="4"/>
    <n v="1907"/>
  </r>
  <r>
    <x v="2"/>
    <x v="11"/>
    <x v="11"/>
    <x v="0"/>
    <x v="6"/>
    <x v="0"/>
    <n v="5"/>
    <x v="4"/>
    <n v="1402"/>
  </r>
  <r>
    <x v="2"/>
    <x v="11"/>
    <x v="11"/>
    <x v="1"/>
    <x v="7"/>
    <x v="0"/>
    <n v="5"/>
    <x v="4"/>
    <n v="5201"/>
  </r>
  <r>
    <x v="3"/>
    <x v="4"/>
    <x v="4"/>
    <x v="1"/>
    <x v="1"/>
    <x v="0"/>
    <n v="5"/>
    <x v="4"/>
    <n v="4142"/>
  </r>
  <r>
    <x v="3"/>
    <x v="4"/>
    <x v="4"/>
    <x v="1"/>
    <x v="8"/>
    <x v="0"/>
    <n v="5"/>
    <x v="4"/>
    <n v="3124"/>
  </r>
  <r>
    <x v="4"/>
    <x v="5"/>
    <x v="5"/>
    <x v="2"/>
    <x v="2"/>
    <x v="0"/>
    <n v="5"/>
    <x v="4"/>
    <n v="3217"/>
  </r>
  <r>
    <x v="4"/>
    <x v="5"/>
    <x v="5"/>
    <x v="2"/>
    <x v="3"/>
    <x v="0"/>
    <n v="5"/>
    <x v="4"/>
    <n v="4376"/>
  </r>
  <r>
    <x v="3"/>
    <x v="8"/>
    <x v="8"/>
    <x v="0"/>
    <x v="5"/>
    <x v="0"/>
    <n v="5"/>
    <x v="4"/>
    <n v="2815"/>
  </r>
  <r>
    <x v="4"/>
    <x v="9"/>
    <x v="9"/>
    <x v="0"/>
    <x v="0"/>
    <x v="0"/>
    <n v="5"/>
    <x v="4"/>
    <n v="2962"/>
  </r>
  <r>
    <x v="4"/>
    <x v="9"/>
    <x v="9"/>
    <x v="0"/>
    <x v="6"/>
    <x v="0"/>
    <n v="5"/>
    <x v="4"/>
    <n v="1835"/>
  </r>
  <r>
    <x v="2"/>
    <x v="7"/>
    <x v="7"/>
    <x v="1"/>
    <x v="7"/>
    <x v="0"/>
    <n v="5"/>
    <x v="4"/>
    <n v="6984"/>
  </r>
  <r>
    <x v="1"/>
    <x v="6"/>
    <x v="6"/>
    <x v="2"/>
    <x v="3"/>
    <x v="0"/>
    <n v="5"/>
    <x v="4"/>
    <n v="5563"/>
  </r>
  <r>
    <x v="0"/>
    <x v="0"/>
    <x v="0"/>
    <x v="0"/>
    <x v="6"/>
    <x v="0"/>
    <n v="5"/>
    <x v="4"/>
    <n v="2313"/>
  </r>
  <r>
    <x v="0"/>
    <x v="0"/>
    <x v="0"/>
    <x v="1"/>
    <x v="7"/>
    <x v="0"/>
    <n v="5"/>
    <x v="4"/>
    <n v="4048"/>
  </r>
  <r>
    <x v="1"/>
    <x v="2"/>
    <x v="2"/>
    <x v="1"/>
    <x v="1"/>
    <x v="0"/>
    <n v="5"/>
    <x v="4"/>
    <n v="3626"/>
  </r>
  <r>
    <x v="2"/>
    <x v="10"/>
    <x v="10"/>
    <x v="2"/>
    <x v="2"/>
    <x v="0"/>
    <n v="5"/>
    <x v="4"/>
    <n v="3449"/>
  </r>
  <r>
    <x v="2"/>
    <x v="10"/>
    <x v="10"/>
    <x v="2"/>
    <x v="3"/>
    <x v="0"/>
    <n v="5"/>
    <x v="4"/>
    <n v="4387"/>
  </r>
  <r>
    <x v="2"/>
    <x v="11"/>
    <x v="11"/>
    <x v="2"/>
    <x v="4"/>
    <x v="0"/>
    <n v="5"/>
    <x v="4"/>
    <n v="3652"/>
  </r>
  <r>
    <x v="2"/>
    <x v="11"/>
    <x v="11"/>
    <x v="0"/>
    <x v="5"/>
    <x v="0"/>
    <n v="5"/>
    <x v="4"/>
    <n v="1656"/>
  </r>
  <r>
    <x v="2"/>
    <x v="7"/>
    <x v="7"/>
    <x v="0"/>
    <x v="5"/>
    <x v="0"/>
    <n v="5"/>
    <x v="4"/>
    <n v="2408"/>
  </r>
  <r>
    <x v="1"/>
    <x v="6"/>
    <x v="6"/>
    <x v="1"/>
    <x v="8"/>
    <x v="0"/>
    <n v="5"/>
    <x v="4"/>
    <n v="2194"/>
  </r>
  <r>
    <x v="2"/>
    <x v="3"/>
    <x v="3"/>
    <x v="2"/>
    <x v="2"/>
    <x v="0"/>
    <n v="5"/>
    <x v="4"/>
    <n v="3848"/>
  </r>
  <r>
    <x v="2"/>
    <x v="3"/>
    <x v="3"/>
    <x v="2"/>
    <x v="3"/>
    <x v="0"/>
    <n v="5"/>
    <x v="4"/>
    <n v="4301"/>
  </r>
  <r>
    <x v="1"/>
    <x v="2"/>
    <x v="2"/>
    <x v="0"/>
    <x v="0"/>
    <x v="0"/>
    <n v="5"/>
    <x v="4"/>
    <n v="2798"/>
  </r>
  <r>
    <x v="2"/>
    <x v="10"/>
    <x v="10"/>
    <x v="1"/>
    <x v="7"/>
    <x v="0"/>
    <n v="5"/>
    <x v="4"/>
    <n v="5207"/>
  </r>
  <r>
    <x v="2"/>
    <x v="10"/>
    <x v="10"/>
    <x v="1"/>
    <x v="1"/>
    <x v="0"/>
    <n v="5"/>
    <x v="4"/>
    <n v="3902"/>
  </r>
  <r>
    <x v="2"/>
    <x v="11"/>
    <x v="11"/>
    <x v="1"/>
    <x v="8"/>
    <x v="0"/>
    <n v="5"/>
    <x v="4"/>
    <n v="4371"/>
  </r>
  <r>
    <x v="2"/>
    <x v="11"/>
    <x v="11"/>
    <x v="2"/>
    <x v="2"/>
    <x v="0"/>
    <n v="5"/>
    <x v="4"/>
    <n v="3834"/>
  </r>
  <r>
    <x v="3"/>
    <x v="4"/>
    <x v="4"/>
    <x v="2"/>
    <x v="3"/>
    <x v="0"/>
    <n v="5"/>
    <x v="4"/>
    <n v="3203"/>
  </r>
  <r>
    <x v="3"/>
    <x v="4"/>
    <x v="4"/>
    <x v="2"/>
    <x v="4"/>
    <x v="0"/>
    <n v="5"/>
    <x v="4"/>
    <n v="3068"/>
  </r>
  <r>
    <x v="4"/>
    <x v="5"/>
    <x v="5"/>
    <x v="0"/>
    <x v="5"/>
    <x v="0"/>
    <n v="5"/>
    <x v="4"/>
    <n v="2465"/>
  </r>
  <r>
    <x v="3"/>
    <x v="8"/>
    <x v="8"/>
    <x v="0"/>
    <x v="6"/>
    <x v="0"/>
    <n v="5"/>
    <x v="4"/>
    <n v="1210"/>
  </r>
  <r>
    <x v="3"/>
    <x v="8"/>
    <x v="8"/>
    <x v="1"/>
    <x v="7"/>
    <x v="0"/>
    <n v="5"/>
    <x v="4"/>
    <n v="5166"/>
  </r>
  <r>
    <x v="4"/>
    <x v="9"/>
    <x v="9"/>
    <x v="1"/>
    <x v="1"/>
    <x v="0"/>
    <n v="5"/>
    <x v="4"/>
    <n v="2825"/>
  </r>
  <r>
    <x v="4"/>
    <x v="9"/>
    <x v="9"/>
    <x v="1"/>
    <x v="8"/>
    <x v="0"/>
    <n v="5"/>
    <x v="4"/>
    <n v="2904"/>
  </r>
  <r>
    <x v="0"/>
    <x v="1"/>
    <x v="1"/>
    <x v="2"/>
    <x v="4"/>
    <x v="0"/>
    <n v="5"/>
    <x v="4"/>
    <n v="3333"/>
  </r>
  <r>
    <x v="0"/>
    <x v="1"/>
    <x v="1"/>
    <x v="0"/>
    <x v="5"/>
    <x v="0"/>
    <n v="5"/>
    <x v="4"/>
    <n v="1528"/>
  </r>
  <r>
    <x v="1"/>
    <x v="6"/>
    <x v="6"/>
    <x v="0"/>
    <x v="6"/>
    <x v="0"/>
    <n v="5"/>
    <x v="4"/>
    <n v="2802"/>
  </r>
  <r>
    <x v="2"/>
    <x v="10"/>
    <x v="10"/>
    <x v="1"/>
    <x v="8"/>
    <x v="0"/>
    <n v="5"/>
    <x v="4"/>
    <n v="2662"/>
  </r>
  <r>
    <x v="2"/>
    <x v="11"/>
    <x v="11"/>
    <x v="2"/>
    <x v="3"/>
    <x v="0"/>
    <n v="5"/>
    <x v="4"/>
    <n v="5166"/>
  </r>
  <r>
    <x v="2"/>
    <x v="7"/>
    <x v="7"/>
    <x v="2"/>
    <x v="4"/>
    <x v="0"/>
    <n v="5"/>
    <x v="4"/>
    <n v="2820"/>
  </r>
  <r>
    <x v="2"/>
    <x v="3"/>
    <x v="3"/>
    <x v="1"/>
    <x v="8"/>
    <x v="0"/>
    <n v="5"/>
    <x v="4"/>
    <n v="4455"/>
  </r>
  <r>
    <x v="2"/>
    <x v="10"/>
    <x v="10"/>
    <x v="0"/>
    <x v="6"/>
    <x v="0"/>
    <n v="5"/>
    <x v="4"/>
    <n v="2270"/>
  </r>
  <r>
    <x v="2"/>
    <x v="11"/>
    <x v="11"/>
    <x v="1"/>
    <x v="1"/>
    <x v="0"/>
    <n v="5"/>
    <x v="4"/>
    <n v="4263"/>
  </r>
  <r>
    <x v="3"/>
    <x v="4"/>
    <x v="4"/>
    <x v="2"/>
    <x v="2"/>
    <x v="0"/>
    <n v="5"/>
    <x v="4"/>
    <n v="5054"/>
  </r>
  <r>
    <x v="4"/>
    <x v="5"/>
    <x v="5"/>
    <x v="2"/>
    <x v="4"/>
    <x v="0"/>
    <n v="5"/>
    <x v="4"/>
    <n v="3956"/>
  </r>
  <r>
    <x v="3"/>
    <x v="8"/>
    <x v="8"/>
    <x v="0"/>
    <x v="0"/>
    <x v="0"/>
    <n v="5"/>
    <x v="4"/>
    <n v="3206"/>
  </r>
  <r>
    <x v="4"/>
    <x v="9"/>
    <x v="9"/>
    <x v="1"/>
    <x v="7"/>
    <x v="0"/>
    <n v="5"/>
    <x v="4"/>
    <n v="5194"/>
  </r>
  <r>
    <x v="2"/>
    <x v="10"/>
    <x v="10"/>
    <x v="2"/>
    <x v="4"/>
    <x v="0"/>
    <n v="5"/>
    <x v="4"/>
    <n v="3157"/>
  </r>
  <r>
    <x v="2"/>
    <x v="11"/>
    <x v="11"/>
    <x v="0"/>
    <x v="0"/>
    <x v="0"/>
    <n v="5"/>
    <x v="4"/>
    <n v="2843"/>
  </r>
  <r>
    <x v="0"/>
    <x v="0"/>
    <x v="0"/>
    <x v="0"/>
    <x v="0"/>
    <x v="0"/>
    <n v="6"/>
    <x v="5"/>
    <n v="2301"/>
  </r>
  <r>
    <x v="0"/>
    <x v="1"/>
    <x v="1"/>
    <x v="0"/>
    <x v="0"/>
    <x v="0"/>
    <n v="6"/>
    <x v="5"/>
    <n v="2411"/>
  </r>
  <r>
    <x v="0"/>
    <x v="1"/>
    <x v="1"/>
    <x v="1"/>
    <x v="1"/>
    <x v="0"/>
    <n v="6"/>
    <x v="5"/>
    <n v="5343"/>
  </r>
  <r>
    <x v="0"/>
    <x v="0"/>
    <x v="0"/>
    <x v="1"/>
    <x v="1"/>
    <x v="0"/>
    <n v="6"/>
    <x v="5"/>
    <n v="4955"/>
  </r>
  <r>
    <x v="0"/>
    <x v="0"/>
    <x v="0"/>
    <x v="2"/>
    <x v="2"/>
    <x v="0"/>
    <n v="6"/>
    <x v="5"/>
    <n v="4022"/>
  </r>
  <r>
    <x v="1"/>
    <x v="2"/>
    <x v="2"/>
    <x v="2"/>
    <x v="3"/>
    <x v="0"/>
    <n v="6"/>
    <x v="5"/>
    <n v="3565"/>
  </r>
  <r>
    <x v="2"/>
    <x v="3"/>
    <x v="3"/>
    <x v="2"/>
    <x v="4"/>
    <x v="0"/>
    <n v="6"/>
    <x v="5"/>
    <n v="3841"/>
  </r>
  <r>
    <x v="3"/>
    <x v="4"/>
    <x v="4"/>
    <x v="0"/>
    <x v="5"/>
    <x v="0"/>
    <n v="6"/>
    <x v="5"/>
    <n v="2694"/>
  </r>
  <r>
    <x v="4"/>
    <x v="5"/>
    <x v="5"/>
    <x v="0"/>
    <x v="0"/>
    <x v="0"/>
    <n v="6"/>
    <x v="5"/>
    <n v="2300"/>
  </r>
  <r>
    <x v="0"/>
    <x v="1"/>
    <x v="1"/>
    <x v="0"/>
    <x v="6"/>
    <x v="0"/>
    <n v="6"/>
    <x v="5"/>
    <n v="2258"/>
  </r>
  <r>
    <x v="1"/>
    <x v="6"/>
    <x v="6"/>
    <x v="1"/>
    <x v="7"/>
    <x v="0"/>
    <n v="6"/>
    <x v="5"/>
    <n v="5362"/>
  </r>
  <r>
    <x v="2"/>
    <x v="7"/>
    <x v="7"/>
    <x v="1"/>
    <x v="1"/>
    <x v="0"/>
    <n v="6"/>
    <x v="5"/>
    <n v="3124"/>
  </r>
  <r>
    <x v="3"/>
    <x v="8"/>
    <x v="8"/>
    <x v="1"/>
    <x v="8"/>
    <x v="0"/>
    <n v="6"/>
    <x v="5"/>
    <n v="4405"/>
  </r>
  <r>
    <x v="4"/>
    <x v="9"/>
    <x v="9"/>
    <x v="2"/>
    <x v="2"/>
    <x v="0"/>
    <n v="6"/>
    <x v="5"/>
    <n v="3442"/>
  </r>
  <r>
    <x v="0"/>
    <x v="0"/>
    <x v="0"/>
    <x v="2"/>
    <x v="3"/>
    <x v="0"/>
    <n v="6"/>
    <x v="5"/>
    <n v="4643"/>
  </r>
  <r>
    <x v="1"/>
    <x v="2"/>
    <x v="2"/>
    <x v="2"/>
    <x v="4"/>
    <x v="0"/>
    <n v="6"/>
    <x v="5"/>
    <n v="3061"/>
  </r>
  <r>
    <x v="2"/>
    <x v="3"/>
    <x v="3"/>
    <x v="0"/>
    <x v="5"/>
    <x v="0"/>
    <n v="6"/>
    <x v="5"/>
    <n v="2533"/>
  </r>
  <r>
    <x v="3"/>
    <x v="4"/>
    <x v="4"/>
    <x v="0"/>
    <x v="0"/>
    <x v="0"/>
    <n v="6"/>
    <x v="5"/>
    <n v="2605"/>
  </r>
  <r>
    <x v="4"/>
    <x v="5"/>
    <x v="5"/>
    <x v="0"/>
    <x v="6"/>
    <x v="0"/>
    <n v="6"/>
    <x v="5"/>
    <n v="1889"/>
  </r>
  <r>
    <x v="0"/>
    <x v="1"/>
    <x v="1"/>
    <x v="1"/>
    <x v="7"/>
    <x v="0"/>
    <n v="6"/>
    <x v="5"/>
    <n v="4490"/>
  </r>
  <r>
    <x v="1"/>
    <x v="6"/>
    <x v="6"/>
    <x v="1"/>
    <x v="1"/>
    <x v="0"/>
    <n v="6"/>
    <x v="5"/>
    <n v="4529"/>
  </r>
  <r>
    <x v="2"/>
    <x v="7"/>
    <x v="7"/>
    <x v="1"/>
    <x v="8"/>
    <x v="0"/>
    <n v="6"/>
    <x v="5"/>
    <n v="3890"/>
  </r>
  <r>
    <x v="3"/>
    <x v="8"/>
    <x v="8"/>
    <x v="2"/>
    <x v="2"/>
    <x v="0"/>
    <n v="6"/>
    <x v="5"/>
    <n v="4714"/>
  </r>
  <r>
    <x v="4"/>
    <x v="9"/>
    <x v="9"/>
    <x v="2"/>
    <x v="3"/>
    <x v="0"/>
    <n v="6"/>
    <x v="5"/>
    <n v="4445"/>
  </r>
  <r>
    <x v="0"/>
    <x v="0"/>
    <x v="0"/>
    <x v="2"/>
    <x v="4"/>
    <x v="0"/>
    <n v="6"/>
    <x v="5"/>
    <n v="4000"/>
  </r>
  <r>
    <x v="1"/>
    <x v="2"/>
    <x v="2"/>
    <x v="0"/>
    <x v="5"/>
    <x v="0"/>
    <n v="6"/>
    <x v="5"/>
    <n v="1810"/>
  </r>
  <r>
    <x v="2"/>
    <x v="3"/>
    <x v="3"/>
    <x v="0"/>
    <x v="0"/>
    <x v="0"/>
    <n v="6"/>
    <x v="5"/>
    <n v="3376"/>
  </r>
  <r>
    <x v="3"/>
    <x v="4"/>
    <x v="4"/>
    <x v="0"/>
    <x v="6"/>
    <x v="0"/>
    <n v="6"/>
    <x v="5"/>
    <n v="1696"/>
  </r>
  <r>
    <x v="4"/>
    <x v="5"/>
    <x v="5"/>
    <x v="1"/>
    <x v="7"/>
    <x v="0"/>
    <n v="6"/>
    <x v="5"/>
    <n v="4442"/>
  </r>
  <r>
    <x v="1"/>
    <x v="2"/>
    <x v="2"/>
    <x v="1"/>
    <x v="8"/>
    <x v="0"/>
    <n v="6"/>
    <x v="5"/>
    <n v="2740"/>
  </r>
  <r>
    <x v="2"/>
    <x v="7"/>
    <x v="7"/>
    <x v="2"/>
    <x v="2"/>
    <x v="0"/>
    <n v="6"/>
    <x v="5"/>
    <n v="3379"/>
  </r>
  <r>
    <x v="3"/>
    <x v="8"/>
    <x v="8"/>
    <x v="2"/>
    <x v="3"/>
    <x v="0"/>
    <n v="6"/>
    <x v="5"/>
    <n v="4065"/>
  </r>
  <r>
    <x v="4"/>
    <x v="9"/>
    <x v="9"/>
    <x v="2"/>
    <x v="4"/>
    <x v="0"/>
    <n v="6"/>
    <x v="5"/>
    <n v="3964"/>
  </r>
  <r>
    <x v="0"/>
    <x v="0"/>
    <x v="0"/>
    <x v="0"/>
    <x v="5"/>
    <x v="0"/>
    <n v="6"/>
    <x v="5"/>
    <n v="2100"/>
  </r>
  <r>
    <x v="1"/>
    <x v="6"/>
    <x v="6"/>
    <x v="0"/>
    <x v="0"/>
    <x v="0"/>
    <n v="6"/>
    <x v="5"/>
    <n v="1875"/>
  </r>
  <r>
    <x v="2"/>
    <x v="3"/>
    <x v="3"/>
    <x v="0"/>
    <x v="6"/>
    <x v="0"/>
    <n v="6"/>
    <x v="5"/>
    <n v="2634"/>
  </r>
  <r>
    <x v="3"/>
    <x v="4"/>
    <x v="4"/>
    <x v="1"/>
    <x v="7"/>
    <x v="0"/>
    <n v="6"/>
    <x v="5"/>
    <n v="6810"/>
  </r>
  <r>
    <x v="4"/>
    <x v="5"/>
    <x v="5"/>
    <x v="1"/>
    <x v="1"/>
    <x v="0"/>
    <n v="6"/>
    <x v="5"/>
    <n v="4909"/>
  </r>
  <r>
    <x v="0"/>
    <x v="1"/>
    <x v="1"/>
    <x v="1"/>
    <x v="8"/>
    <x v="0"/>
    <n v="6"/>
    <x v="5"/>
    <n v="2953"/>
  </r>
  <r>
    <x v="1"/>
    <x v="2"/>
    <x v="2"/>
    <x v="2"/>
    <x v="2"/>
    <x v="0"/>
    <n v="6"/>
    <x v="5"/>
    <n v="3817"/>
  </r>
  <r>
    <x v="2"/>
    <x v="7"/>
    <x v="7"/>
    <x v="2"/>
    <x v="3"/>
    <x v="0"/>
    <n v="6"/>
    <x v="5"/>
    <n v="4740"/>
  </r>
  <r>
    <x v="3"/>
    <x v="8"/>
    <x v="8"/>
    <x v="2"/>
    <x v="4"/>
    <x v="0"/>
    <n v="6"/>
    <x v="5"/>
    <n v="3841"/>
  </r>
  <r>
    <x v="4"/>
    <x v="9"/>
    <x v="9"/>
    <x v="0"/>
    <x v="5"/>
    <x v="0"/>
    <n v="6"/>
    <x v="5"/>
    <n v="1855"/>
  </r>
  <r>
    <x v="1"/>
    <x v="2"/>
    <x v="2"/>
    <x v="0"/>
    <x v="6"/>
    <x v="0"/>
    <n v="6"/>
    <x v="5"/>
    <n v="1891"/>
  </r>
  <r>
    <x v="2"/>
    <x v="3"/>
    <x v="3"/>
    <x v="1"/>
    <x v="7"/>
    <x v="0"/>
    <n v="6"/>
    <x v="5"/>
    <n v="5878"/>
  </r>
  <r>
    <x v="3"/>
    <x v="8"/>
    <x v="8"/>
    <x v="1"/>
    <x v="1"/>
    <x v="0"/>
    <n v="6"/>
    <x v="5"/>
    <n v="3924"/>
  </r>
  <r>
    <x v="4"/>
    <x v="5"/>
    <x v="5"/>
    <x v="1"/>
    <x v="8"/>
    <x v="0"/>
    <n v="6"/>
    <x v="5"/>
    <n v="2899"/>
  </r>
  <r>
    <x v="0"/>
    <x v="1"/>
    <x v="1"/>
    <x v="2"/>
    <x v="2"/>
    <x v="0"/>
    <n v="6"/>
    <x v="5"/>
    <n v="4324"/>
  </r>
  <r>
    <x v="0"/>
    <x v="1"/>
    <x v="1"/>
    <x v="2"/>
    <x v="3"/>
    <x v="0"/>
    <n v="6"/>
    <x v="5"/>
    <n v="2749"/>
  </r>
  <r>
    <x v="1"/>
    <x v="6"/>
    <x v="6"/>
    <x v="2"/>
    <x v="4"/>
    <x v="0"/>
    <n v="6"/>
    <x v="5"/>
    <n v="2867"/>
  </r>
  <r>
    <x v="1"/>
    <x v="6"/>
    <x v="6"/>
    <x v="0"/>
    <x v="5"/>
    <x v="0"/>
    <n v="6"/>
    <x v="5"/>
    <n v="1971"/>
  </r>
  <r>
    <x v="2"/>
    <x v="7"/>
    <x v="7"/>
    <x v="0"/>
    <x v="0"/>
    <x v="0"/>
    <n v="6"/>
    <x v="5"/>
    <n v="1651"/>
  </r>
  <r>
    <x v="2"/>
    <x v="7"/>
    <x v="7"/>
    <x v="0"/>
    <x v="6"/>
    <x v="0"/>
    <n v="6"/>
    <x v="5"/>
    <n v="2593"/>
  </r>
  <r>
    <x v="2"/>
    <x v="3"/>
    <x v="3"/>
    <x v="1"/>
    <x v="1"/>
    <x v="0"/>
    <n v="6"/>
    <x v="5"/>
    <n v="2775"/>
  </r>
  <r>
    <x v="0"/>
    <x v="0"/>
    <x v="0"/>
    <x v="1"/>
    <x v="8"/>
    <x v="0"/>
    <n v="6"/>
    <x v="5"/>
    <n v="2109"/>
  </r>
  <r>
    <x v="2"/>
    <x v="10"/>
    <x v="10"/>
    <x v="0"/>
    <x v="5"/>
    <x v="0"/>
    <n v="6"/>
    <x v="5"/>
    <n v="2020"/>
  </r>
  <r>
    <x v="2"/>
    <x v="10"/>
    <x v="10"/>
    <x v="0"/>
    <x v="0"/>
    <x v="0"/>
    <n v="6"/>
    <x v="5"/>
    <n v="2067"/>
  </r>
  <r>
    <x v="2"/>
    <x v="11"/>
    <x v="11"/>
    <x v="0"/>
    <x v="6"/>
    <x v="0"/>
    <n v="6"/>
    <x v="5"/>
    <n v="2388"/>
  </r>
  <r>
    <x v="2"/>
    <x v="11"/>
    <x v="11"/>
    <x v="1"/>
    <x v="7"/>
    <x v="0"/>
    <n v="6"/>
    <x v="5"/>
    <n v="5807"/>
  </r>
  <r>
    <x v="3"/>
    <x v="4"/>
    <x v="4"/>
    <x v="1"/>
    <x v="1"/>
    <x v="0"/>
    <n v="6"/>
    <x v="5"/>
    <n v="3981"/>
  </r>
  <r>
    <x v="3"/>
    <x v="4"/>
    <x v="4"/>
    <x v="1"/>
    <x v="8"/>
    <x v="0"/>
    <n v="6"/>
    <x v="5"/>
    <n v="3158"/>
  </r>
  <r>
    <x v="4"/>
    <x v="5"/>
    <x v="5"/>
    <x v="2"/>
    <x v="2"/>
    <x v="0"/>
    <n v="6"/>
    <x v="5"/>
    <n v="4167"/>
  </r>
  <r>
    <x v="4"/>
    <x v="5"/>
    <x v="5"/>
    <x v="2"/>
    <x v="3"/>
    <x v="0"/>
    <n v="6"/>
    <x v="5"/>
    <n v="3672"/>
  </r>
  <r>
    <x v="3"/>
    <x v="8"/>
    <x v="8"/>
    <x v="0"/>
    <x v="5"/>
    <x v="0"/>
    <n v="6"/>
    <x v="5"/>
    <n v="2516"/>
  </r>
  <r>
    <x v="4"/>
    <x v="9"/>
    <x v="9"/>
    <x v="0"/>
    <x v="0"/>
    <x v="0"/>
    <n v="6"/>
    <x v="5"/>
    <n v="2105"/>
  </r>
  <r>
    <x v="4"/>
    <x v="9"/>
    <x v="9"/>
    <x v="0"/>
    <x v="6"/>
    <x v="0"/>
    <n v="6"/>
    <x v="5"/>
    <n v="2207"/>
  </r>
  <r>
    <x v="2"/>
    <x v="7"/>
    <x v="7"/>
    <x v="1"/>
    <x v="7"/>
    <x v="0"/>
    <n v="6"/>
    <x v="5"/>
    <n v="6240"/>
  </r>
  <r>
    <x v="1"/>
    <x v="6"/>
    <x v="6"/>
    <x v="2"/>
    <x v="3"/>
    <x v="0"/>
    <n v="6"/>
    <x v="5"/>
    <n v="3725"/>
  </r>
  <r>
    <x v="0"/>
    <x v="0"/>
    <x v="0"/>
    <x v="0"/>
    <x v="6"/>
    <x v="0"/>
    <n v="6"/>
    <x v="5"/>
    <n v="2138"/>
  </r>
  <r>
    <x v="0"/>
    <x v="0"/>
    <x v="0"/>
    <x v="1"/>
    <x v="7"/>
    <x v="0"/>
    <n v="6"/>
    <x v="5"/>
    <n v="4620"/>
  </r>
  <r>
    <x v="1"/>
    <x v="2"/>
    <x v="2"/>
    <x v="1"/>
    <x v="1"/>
    <x v="0"/>
    <n v="6"/>
    <x v="5"/>
    <n v="5582"/>
  </r>
  <r>
    <x v="2"/>
    <x v="10"/>
    <x v="10"/>
    <x v="2"/>
    <x v="2"/>
    <x v="0"/>
    <n v="6"/>
    <x v="5"/>
    <n v="4138"/>
  </r>
  <r>
    <x v="2"/>
    <x v="10"/>
    <x v="10"/>
    <x v="2"/>
    <x v="3"/>
    <x v="0"/>
    <n v="6"/>
    <x v="5"/>
    <n v="4788"/>
  </r>
  <r>
    <x v="2"/>
    <x v="11"/>
    <x v="11"/>
    <x v="2"/>
    <x v="4"/>
    <x v="0"/>
    <n v="6"/>
    <x v="5"/>
    <n v="3245"/>
  </r>
  <r>
    <x v="2"/>
    <x v="11"/>
    <x v="11"/>
    <x v="0"/>
    <x v="5"/>
    <x v="0"/>
    <n v="6"/>
    <x v="5"/>
    <n v="2126"/>
  </r>
  <r>
    <x v="2"/>
    <x v="7"/>
    <x v="7"/>
    <x v="0"/>
    <x v="5"/>
    <x v="0"/>
    <n v="6"/>
    <x v="5"/>
    <n v="2097"/>
  </r>
  <r>
    <x v="1"/>
    <x v="6"/>
    <x v="6"/>
    <x v="1"/>
    <x v="8"/>
    <x v="0"/>
    <n v="6"/>
    <x v="5"/>
    <n v="4480"/>
  </r>
  <r>
    <x v="2"/>
    <x v="3"/>
    <x v="3"/>
    <x v="2"/>
    <x v="2"/>
    <x v="0"/>
    <n v="6"/>
    <x v="5"/>
    <n v="3557"/>
  </r>
  <r>
    <x v="2"/>
    <x v="3"/>
    <x v="3"/>
    <x v="2"/>
    <x v="3"/>
    <x v="0"/>
    <n v="6"/>
    <x v="5"/>
    <n v="5142"/>
  </r>
  <r>
    <x v="1"/>
    <x v="2"/>
    <x v="2"/>
    <x v="0"/>
    <x v="0"/>
    <x v="0"/>
    <n v="6"/>
    <x v="5"/>
    <n v="3043"/>
  </r>
  <r>
    <x v="2"/>
    <x v="10"/>
    <x v="10"/>
    <x v="1"/>
    <x v="7"/>
    <x v="0"/>
    <n v="6"/>
    <x v="5"/>
    <n v="4377"/>
  </r>
  <r>
    <x v="2"/>
    <x v="10"/>
    <x v="10"/>
    <x v="1"/>
    <x v="1"/>
    <x v="0"/>
    <n v="6"/>
    <x v="5"/>
    <n v="4861"/>
  </r>
  <r>
    <x v="2"/>
    <x v="11"/>
    <x v="11"/>
    <x v="1"/>
    <x v="8"/>
    <x v="0"/>
    <n v="6"/>
    <x v="5"/>
    <n v="3584"/>
  </r>
  <r>
    <x v="2"/>
    <x v="11"/>
    <x v="11"/>
    <x v="2"/>
    <x v="2"/>
    <x v="0"/>
    <n v="6"/>
    <x v="5"/>
    <n v="5070"/>
  </r>
  <r>
    <x v="3"/>
    <x v="4"/>
    <x v="4"/>
    <x v="2"/>
    <x v="3"/>
    <x v="0"/>
    <n v="6"/>
    <x v="5"/>
    <n v="3197"/>
  </r>
  <r>
    <x v="3"/>
    <x v="4"/>
    <x v="4"/>
    <x v="2"/>
    <x v="4"/>
    <x v="0"/>
    <n v="6"/>
    <x v="5"/>
    <n v="2876"/>
  </r>
  <r>
    <x v="4"/>
    <x v="5"/>
    <x v="5"/>
    <x v="0"/>
    <x v="5"/>
    <x v="0"/>
    <n v="6"/>
    <x v="5"/>
    <n v="2841"/>
  </r>
  <r>
    <x v="3"/>
    <x v="8"/>
    <x v="8"/>
    <x v="0"/>
    <x v="6"/>
    <x v="0"/>
    <n v="6"/>
    <x v="5"/>
    <n v="2029"/>
  </r>
  <r>
    <x v="3"/>
    <x v="8"/>
    <x v="8"/>
    <x v="1"/>
    <x v="7"/>
    <x v="0"/>
    <n v="6"/>
    <x v="5"/>
    <n v="5037"/>
  </r>
  <r>
    <x v="4"/>
    <x v="9"/>
    <x v="9"/>
    <x v="1"/>
    <x v="1"/>
    <x v="0"/>
    <n v="6"/>
    <x v="5"/>
    <n v="2899"/>
  </r>
  <r>
    <x v="4"/>
    <x v="9"/>
    <x v="9"/>
    <x v="1"/>
    <x v="8"/>
    <x v="0"/>
    <n v="6"/>
    <x v="5"/>
    <n v="4387"/>
  </r>
  <r>
    <x v="0"/>
    <x v="1"/>
    <x v="1"/>
    <x v="2"/>
    <x v="4"/>
    <x v="0"/>
    <n v="6"/>
    <x v="5"/>
    <n v="3996"/>
  </r>
  <r>
    <x v="0"/>
    <x v="1"/>
    <x v="1"/>
    <x v="0"/>
    <x v="5"/>
    <x v="0"/>
    <n v="6"/>
    <x v="5"/>
    <n v="2869"/>
  </r>
  <r>
    <x v="1"/>
    <x v="6"/>
    <x v="6"/>
    <x v="0"/>
    <x v="6"/>
    <x v="0"/>
    <n v="6"/>
    <x v="5"/>
    <n v="2083"/>
  </r>
  <r>
    <x v="2"/>
    <x v="10"/>
    <x v="10"/>
    <x v="1"/>
    <x v="8"/>
    <x v="0"/>
    <n v="6"/>
    <x v="5"/>
    <n v="3506"/>
  </r>
  <r>
    <x v="2"/>
    <x v="11"/>
    <x v="11"/>
    <x v="2"/>
    <x v="3"/>
    <x v="0"/>
    <n v="6"/>
    <x v="5"/>
    <n v="5201"/>
  </r>
  <r>
    <x v="2"/>
    <x v="7"/>
    <x v="7"/>
    <x v="2"/>
    <x v="4"/>
    <x v="0"/>
    <n v="6"/>
    <x v="5"/>
    <n v="3699"/>
  </r>
  <r>
    <x v="2"/>
    <x v="3"/>
    <x v="3"/>
    <x v="1"/>
    <x v="8"/>
    <x v="0"/>
    <n v="6"/>
    <x v="5"/>
    <n v="4921"/>
  </r>
  <r>
    <x v="2"/>
    <x v="10"/>
    <x v="10"/>
    <x v="0"/>
    <x v="6"/>
    <x v="0"/>
    <n v="6"/>
    <x v="5"/>
    <n v="1965"/>
  </r>
  <r>
    <x v="2"/>
    <x v="11"/>
    <x v="11"/>
    <x v="1"/>
    <x v="1"/>
    <x v="0"/>
    <n v="6"/>
    <x v="5"/>
    <n v="2631"/>
  </r>
  <r>
    <x v="3"/>
    <x v="4"/>
    <x v="4"/>
    <x v="2"/>
    <x v="2"/>
    <x v="0"/>
    <n v="6"/>
    <x v="5"/>
    <n v="3849"/>
  </r>
  <r>
    <x v="4"/>
    <x v="5"/>
    <x v="5"/>
    <x v="2"/>
    <x v="4"/>
    <x v="0"/>
    <n v="6"/>
    <x v="5"/>
    <n v="3232"/>
  </r>
  <r>
    <x v="3"/>
    <x v="8"/>
    <x v="8"/>
    <x v="0"/>
    <x v="0"/>
    <x v="0"/>
    <n v="6"/>
    <x v="5"/>
    <n v="3196"/>
  </r>
  <r>
    <x v="4"/>
    <x v="9"/>
    <x v="9"/>
    <x v="1"/>
    <x v="7"/>
    <x v="0"/>
    <n v="6"/>
    <x v="5"/>
    <n v="4666"/>
  </r>
  <r>
    <x v="2"/>
    <x v="10"/>
    <x v="10"/>
    <x v="2"/>
    <x v="4"/>
    <x v="0"/>
    <n v="6"/>
    <x v="5"/>
    <n v="3059"/>
  </r>
  <r>
    <x v="2"/>
    <x v="11"/>
    <x v="11"/>
    <x v="0"/>
    <x v="0"/>
    <x v="0"/>
    <n v="6"/>
    <x v="5"/>
    <n v="2171"/>
  </r>
  <r>
    <x v="0"/>
    <x v="0"/>
    <x v="0"/>
    <x v="0"/>
    <x v="0"/>
    <x v="0"/>
    <n v="7"/>
    <x v="6"/>
    <n v="3005"/>
  </r>
  <r>
    <x v="0"/>
    <x v="1"/>
    <x v="1"/>
    <x v="0"/>
    <x v="0"/>
    <x v="0"/>
    <n v="7"/>
    <x v="6"/>
    <n v="1781"/>
  </r>
  <r>
    <x v="0"/>
    <x v="1"/>
    <x v="1"/>
    <x v="1"/>
    <x v="1"/>
    <x v="0"/>
    <n v="7"/>
    <x v="6"/>
    <n v="3711"/>
  </r>
  <r>
    <x v="0"/>
    <x v="0"/>
    <x v="0"/>
    <x v="1"/>
    <x v="1"/>
    <x v="0"/>
    <n v="7"/>
    <x v="6"/>
    <n v="4344"/>
  </r>
  <r>
    <x v="0"/>
    <x v="0"/>
    <x v="0"/>
    <x v="2"/>
    <x v="2"/>
    <x v="0"/>
    <n v="7"/>
    <x v="6"/>
    <n v="3460"/>
  </r>
  <r>
    <x v="1"/>
    <x v="2"/>
    <x v="2"/>
    <x v="2"/>
    <x v="3"/>
    <x v="0"/>
    <n v="7"/>
    <x v="6"/>
    <n v="4828"/>
  </r>
  <r>
    <x v="2"/>
    <x v="3"/>
    <x v="3"/>
    <x v="2"/>
    <x v="4"/>
    <x v="0"/>
    <n v="7"/>
    <x v="6"/>
    <n v="3740"/>
  </r>
  <r>
    <x v="3"/>
    <x v="4"/>
    <x v="4"/>
    <x v="0"/>
    <x v="5"/>
    <x v="0"/>
    <n v="7"/>
    <x v="6"/>
    <n v="2448"/>
  </r>
  <r>
    <x v="4"/>
    <x v="5"/>
    <x v="5"/>
    <x v="0"/>
    <x v="0"/>
    <x v="0"/>
    <n v="7"/>
    <x v="6"/>
    <n v="2855"/>
  </r>
  <r>
    <x v="0"/>
    <x v="1"/>
    <x v="1"/>
    <x v="0"/>
    <x v="6"/>
    <x v="0"/>
    <n v="7"/>
    <x v="6"/>
    <n v="2802"/>
  </r>
  <r>
    <x v="1"/>
    <x v="6"/>
    <x v="6"/>
    <x v="1"/>
    <x v="7"/>
    <x v="0"/>
    <n v="7"/>
    <x v="6"/>
    <n v="4534"/>
  </r>
  <r>
    <x v="2"/>
    <x v="7"/>
    <x v="7"/>
    <x v="1"/>
    <x v="1"/>
    <x v="0"/>
    <n v="7"/>
    <x v="6"/>
    <n v="5582"/>
  </r>
  <r>
    <x v="3"/>
    <x v="8"/>
    <x v="8"/>
    <x v="1"/>
    <x v="8"/>
    <x v="0"/>
    <n v="7"/>
    <x v="6"/>
    <n v="2226"/>
  </r>
  <r>
    <x v="4"/>
    <x v="9"/>
    <x v="9"/>
    <x v="2"/>
    <x v="2"/>
    <x v="0"/>
    <n v="7"/>
    <x v="6"/>
    <n v="4456"/>
  </r>
  <r>
    <x v="0"/>
    <x v="0"/>
    <x v="0"/>
    <x v="2"/>
    <x v="3"/>
    <x v="0"/>
    <n v="7"/>
    <x v="6"/>
    <n v="3766"/>
  </r>
  <r>
    <x v="1"/>
    <x v="2"/>
    <x v="2"/>
    <x v="2"/>
    <x v="4"/>
    <x v="0"/>
    <n v="7"/>
    <x v="6"/>
    <n v="3873"/>
  </r>
  <r>
    <x v="2"/>
    <x v="3"/>
    <x v="3"/>
    <x v="0"/>
    <x v="5"/>
    <x v="0"/>
    <n v="7"/>
    <x v="6"/>
    <n v="1876"/>
  </r>
  <r>
    <x v="3"/>
    <x v="4"/>
    <x v="4"/>
    <x v="0"/>
    <x v="0"/>
    <x v="0"/>
    <n v="7"/>
    <x v="6"/>
    <n v="2135"/>
  </r>
  <r>
    <x v="4"/>
    <x v="5"/>
    <x v="5"/>
    <x v="0"/>
    <x v="6"/>
    <x v="0"/>
    <n v="7"/>
    <x v="6"/>
    <n v="1683"/>
  </r>
  <r>
    <x v="0"/>
    <x v="1"/>
    <x v="1"/>
    <x v="1"/>
    <x v="7"/>
    <x v="0"/>
    <n v="7"/>
    <x v="6"/>
    <n v="6262"/>
  </r>
  <r>
    <x v="1"/>
    <x v="6"/>
    <x v="6"/>
    <x v="1"/>
    <x v="1"/>
    <x v="0"/>
    <n v="7"/>
    <x v="6"/>
    <n v="5506"/>
  </r>
  <r>
    <x v="2"/>
    <x v="7"/>
    <x v="7"/>
    <x v="1"/>
    <x v="8"/>
    <x v="0"/>
    <n v="7"/>
    <x v="6"/>
    <n v="3148"/>
  </r>
  <r>
    <x v="3"/>
    <x v="8"/>
    <x v="8"/>
    <x v="2"/>
    <x v="2"/>
    <x v="0"/>
    <n v="7"/>
    <x v="6"/>
    <n v="4163"/>
  </r>
  <r>
    <x v="4"/>
    <x v="9"/>
    <x v="9"/>
    <x v="2"/>
    <x v="3"/>
    <x v="0"/>
    <n v="7"/>
    <x v="6"/>
    <n v="4157"/>
  </r>
  <r>
    <x v="0"/>
    <x v="0"/>
    <x v="0"/>
    <x v="2"/>
    <x v="4"/>
    <x v="0"/>
    <n v="7"/>
    <x v="6"/>
    <n v="3072"/>
  </r>
  <r>
    <x v="1"/>
    <x v="2"/>
    <x v="2"/>
    <x v="0"/>
    <x v="5"/>
    <x v="0"/>
    <n v="7"/>
    <x v="6"/>
    <n v="1894"/>
  </r>
  <r>
    <x v="2"/>
    <x v="3"/>
    <x v="3"/>
    <x v="0"/>
    <x v="0"/>
    <x v="0"/>
    <n v="7"/>
    <x v="6"/>
    <n v="2901"/>
  </r>
  <r>
    <x v="3"/>
    <x v="4"/>
    <x v="4"/>
    <x v="0"/>
    <x v="6"/>
    <x v="0"/>
    <n v="7"/>
    <x v="6"/>
    <n v="1959"/>
  </r>
  <r>
    <x v="4"/>
    <x v="5"/>
    <x v="5"/>
    <x v="1"/>
    <x v="7"/>
    <x v="0"/>
    <n v="7"/>
    <x v="6"/>
    <n v="6147"/>
  </r>
  <r>
    <x v="1"/>
    <x v="2"/>
    <x v="2"/>
    <x v="1"/>
    <x v="8"/>
    <x v="0"/>
    <n v="7"/>
    <x v="6"/>
    <n v="3041"/>
  </r>
  <r>
    <x v="2"/>
    <x v="7"/>
    <x v="7"/>
    <x v="2"/>
    <x v="2"/>
    <x v="0"/>
    <n v="7"/>
    <x v="6"/>
    <n v="3578"/>
  </r>
  <r>
    <x v="3"/>
    <x v="8"/>
    <x v="8"/>
    <x v="2"/>
    <x v="3"/>
    <x v="0"/>
    <n v="7"/>
    <x v="6"/>
    <n v="4646"/>
  </r>
  <r>
    <x v="4"/>
    <x v="9"/>
    <x v="9"/>
    <x v="2"/>
    <x v="4"/>
    <x v="0"/>
    <n v="7"/>
    <x v="6"/>
    <n v="4026"/>
  </r>
  <r>
    <x v="0"/>
    <x v="0"/>
    <x v="0"/>
    <x v="0"/>
    <x v="5"/>
    <x v="0"/>
    <n v="7"/>
    <x v="6"/>
    <n v="1715"/>
  </r>
  <r>
    <x v="1"/>
    <x v="6"/>
    <x v="6"/>
    <x v="0"/>
    <x v="0"/>
    <x v="0"/>
    <n v="7"/>
    <x v="6"/>
    <n v="2529"/>
  </r>
  <r>
    <x v="2"/>
    <x v="3"/>
    <x v="3"/>
    <x v="0"/>
    <x v="6"/>
    <x v="0"/>
    <n v="7"/>
    <x v="6"/>
    <n v="2321"/>
  </r>
  <r>
    <x v="3"/>
    <x v="4"/>
    <x v="4"/>
    <x v="1"/>
    <x v="7"/>
    <x v="0"/>
    <n v="7"/>
    <x v="6"/>
    <n v="6554"/>
  </r>
  <r>
    <x v="4"/>
    <x v="5"/>
    <x v="5"/>
    <x v="1"/>
    <x v="1"/>
    <x v="0"/>
    <n v="7"/>
    <x v="6"/>
    <n v="3470"/>
  </r>
  <r>
    <x v="0"/>
    <x v="1"/>
    <x v="1"/>
    <x v="1"/>
    <x v="8"/>
    <x v="0"/>
    <n v="7"/>
    <x v="6"/>
    <n v="2141"/>
  </r>
  <r>
    <x v="1"/>
    <x v="2"/>
    <x v="2"/>
    <x v="2"/>
    <x v="2"/>
    <x v="0"/>
    <n v="7"/>
    <x v="6"/>
    <n v="3203"/>
  </r>
  <r>
    <x v="2"/>
    <x v="7"/>
    <x v="7"/>
    <x v="2"/>
    <x v="3"/>
    <x v="0"/>
    <n v="7"/>
    <x v="6"/>
    <n v="3294"/>
  </r>
  <r>
    <x v="3"/>
    <x v="8"/>
    <x v="8"/>
    <x v="2"/>
    <x v="4"/>
    <x v="0"/>
    <n v="7"/>
    <x v="6"/>
    <n v="3599"/>
  </r>
  <r>
    <x v="4"/>
    <x v="9"/>
    <x v="9"/>
    <x v="0"/>
    <x v="5"/>
    <x v="0"/>
    <n v="7"/>
    <x v="6"/>
    <n v="2938"/>
  </r>
  <r>
    <x v="1"/>
    <x v="2"/>
    <x v="2"/>
    <x v="0"/>
    <x v="6"/>
    <x v="0"/>
    <n v="7"/>
    <x v="6"/>
    <n v="2862"/>
  </r>
  <r>
    <x v="2"/>
    <x v="3"/>
    <x v="3"/>
    <x v="1"/>
    <x v="7"/>
    <x v="0"/>
    <n v="7"/>
    <x v="6"/>
    <n v="4069"/>
  </r>
  <r>
    <x v="3"/>
    <x v="8"/>
    <x v="8"/>
    <x v="1"/>
    <x v="1"/>
    <x v="0"/>
    <n v="7"/>
    <x v="6"/>
    <n v="3477"/>
  </r>
  <r>
    <x v="4"/>
    <x v="5"/>
    <x v="5"/>
    <x v="1"/>
    <x v="8"/>
    <x v="0"/>
    <n v="7"/>
    <x v="6"/>
    <n v="4291"/>
  </r>
  <r>
    <x v="0"/>
    <x v="1"/>
    <x v="1"/>
    <x v="2"/>
    <x v="2"/>
    <x v="0"/>
    <n v="7"/>
    <x v="6"/>
    <n v="3890"/>
  </r>
  <r>
    <x v="0"/>
    <x v="1"/>
    <x v="1"/>
    <x v="2"/>
    <x v="3"/>
    <x v="0"/>
    <n v="7"/>
    <x v="6"/>
    <n v="5556"/>
  </r>
  <r>
    <x v="1"/>
    <x v="6"/>
    <x v="6"/>
    <x v="2"/>
    <x v="4"/>
    <x v="0"/>
    <n v="7"/>
    <x v="6"/>
    <n v="2991"/>
  </r>
  <r>
    <x v="1"/>
    <x v="6"/>
    <x v="6"/>
    <x v="0"/>
    <x v="5"/>
    <x v="0"/>
    <n v="7"/>
    <x v="6"/>
    <n v="2625"/>
  </r>
  <r>
    <x v="2"/>
    <x v="7"/>
    <x v="7"/>
    <x v="0"/>
    <x v="0"/>
    <x v="0"/>
    <n v="7"/>
    <x v="6"/>
    <n v="2924"/>
  </r>
  <r>
    <x v="2"/>
    <x v="7"/>
    <x v="7"/>
    <x v="0"/>
    <x v="6"/>
    <x v="0"/>
    <n v="7"/>
    <x v="6"/>
    <n v="1357"/>
  </r>
  <r>
    <x v="2"/>
    <x v="3"/>
    <x v="3"/>
    <x v="1"/>
    <x v="1"/>
    <x v="0"/>
    <n v="7"/>
    <x v="6"/>
    <n v="5391"/>
  </r>
  <r>
    <x v="0"/>
    <x v="0"/>
    <x v="0"/>
    <x v="1"/>
    <x v="8"/>
    <x v="0"/>
    <n v="7"/>
    <x v="6"/>
    <n v="3814"/>
  </r>
  <r>
    <x v="2"/>
    <x v="10"/>
    <x v="10"/>
    <x v="0"/>
    <x v="5"/>
    <x v="0"/>
    <n v="7"/>
    <x v="6"/>
    <n v="1998"/>
  </r>
  <r>
    <x v="2"/>
    <x v="10"/>
    <x v="10"/>
    <x v="0"/>
    <x v="0"/>
    <x v="0"/>
    <n v="7"/>
    <x v="6"/>
    <n v="2417"/>
  </r>
  <r>
    <x v="2"/>
    <x v="11"/>
    <x v="11"/>
    <x v="0"/>
    <x v="6"/>
    <x v="0"/>
    <n v="7"/>
    <x v="6"/>
    <n v="1678"/>
  </r>
  <r>
    <x v="2"/>
    <x v="11"/>
    <x v="11"/>
    <x v="1"/>
    <x v="7"/>
    <x v="0"/>
    <n v="7"/>
    <x v="6"/>
    <n v="4617"/>
  </r>
  <r>
    <x v="3"/>
    <x v="4"/>
    <x v="4"/>
    <x v="1"/>
    <x v="1"/>
    <x v="0"/>
    <n v="7"/>
    <x v="6"/>
    <n v="4511"/>
  </r>
  <r>
    <x v="3"/>
    <x v="4"/>
    <x v="4"/>
    <x v="1"/>
    <x v="8"/>
    <x v="0"/>
    <n v="7"/>
    <x v="6"/>
    <n v="2241"/>
  </r>
  <r>
    <x v="4"/>
    <x v="5"/>
    <x v="5"/>
    <x v="2"/>
    <x v="2"/>
    <x v="0"/>
    <n v="7"/>
    <x v="6"/>
    <n v="3251"/>
  </r>
  <r>
    <x v="4"/>
    <x v="5"/>
    <x v="5"/>
    <x v="2"/>
    <x v="3"/>
    <x v="0"/>
    <n v="7"/>
    <x v="6"/>
    <n v="3984"/>
  </r>
  <r>
    <x v="3"/>
    <x v="8"/>
    <x v="8"/>
    <x v="0"/>
    <x v="5"/>
    <x v="0"/>
    <n v="7"/>
    <x v="6"/>
    <n v="2637"/>
  </r>
  <r>
    <x v="4"/>
    <x v="9"/>
    <x v="9"/>
    <x v="0"/>
    <x v="0"/>
    <x v="0"/>
    <n v="7"/>
    <x v="6"/>
    <n v="3098"/>
  </r>
  <r>
    <x v="4"/>
    <x v="9"/>
    <x v="9"/>
    <x v="0"/>
    <x v="6"/>
    <x v="0"/>
    <n v="7"/>
    <x v="6"/>
    <n v="2461"/>
  </r>
  <r>
    <x v="2"/>
    <x v="7"/>
    <x v="7"/>
    <x v="1"/>
    <x v="7"/>
    <x v="0"/>
    <n v="7"/>
    <x v="6"/>
    <n v="6965"/>
  </r>
  <r>
    <x v="1"/>
    <x v="6"/>
    <x v="6"/>
    <x v="2"/>
    <x v="3"/>
    <x v="0"/>
    <n v="7"/>
    <x v="6"/>
    <n v="5235"/>
  </r>
  <r>
    <x v="0"/>
    <x v="0"/>
    <x v="0"/>
    <x v="0"/>
    <x v="6"/>
    <x v="0"/>
    <n v="7"/>
    <x v="6"/>
    <n v="1842"/>
  </r>
  <r>
    <x v="0"/>
    <x v="0"/>
    <x v="0"/>
    <x v="1"/>
    <x v="7"/>
    <x v="0"/>
    <n v="7"/>
    <x v="6"/>
    <n v="4256"/>
  </r>
  <r>
    <x v="1"/>
    <x v="2"/>
    <x v="2"/>
    <x v="1"/>
    <x v="1"/>
    <x v="0"/>
    <n v="7"/>
    <x v="6"/>
    <n v="4191"/>
  </r>
  <r>
    <x v="2"/>
    <x v="10"/>
    <x v="10"/>
    <x v="2"/>
    <x v="2"/>
    <x v="0"/>
    <n v="7"/>
    <x v="6"/>
    <n v="4072"/>
  </r>
  <r>
    <x v="2"/>
    <x v="10"/>
    <x v="10"/>
    <x v="2"/>
    <x v="3"/>
    <x v="0"/>
    <n v="7"/>
    <x v="6"/>
    <n v="4114"/>
  </r>
  <r>
    <x v="2"/>
    <x v="11"/>
    <x v="11"/>
    <x v="2"/>
    <x v="4"/>
    <x v="0"/>
    <n v="7"/>
    <x v="6"/>
    <n v="3045"/>
  </r>
  <r>
    <x v="2"/>
    <x v="11"/>
    <x v="11"/>
    <x v="0"/>
    <x v="5"/>
    <x v="0"/>
    <n v="7"/>
    <x v="6"/>
    <n v="1735"/>
  </r>
  <r>
    <x v="2"/>
    <x v="7"/>
    <x v="7"/>
    <x v="0"/>
    <x v="5"/>
    <x v="0"/>
    <n v="7"/>
    <x v="6"/>
    <n v="1761"/>
  </r>
  <r>
    <x v="1"/>
    <x v="6"/>
    <x v="6"/>
    <x v="1"/>
    <x v="8"/>
    <x v="0"/>
    <n v="7"/>
    <x v="6"/>
    <n v="4259"/>
  </r>
  <r>
    <x v="2"/>
    <x v="3"/>
    <x v="3"/>
    <x v="2"/>
    <x v="2"/>
    <x v="0"/>
    <n v="7"/>
    <x v="6"/>
    <n v="3520"/>
  </r>
  <r>
    <x v="2"/>
    <x v="3"/>
    <x v="3"/>
    <x v="2"/>
    <x v="3"/>
    <x v="0"/>
    <n v="7"/>
    <x v="6"/>
    <n v="2931"/>
  </r>
  <r>
    <x v="1"/>
    <x v="2"/>
    <x v="2"/>
    <x v="0"/>
    <x v="0"/>
    <x v="0"/>
    <n v="7"/>
    <x v="6"/>
    <n v="1993"/>
  </r>
  <r>
    <x v="2"/>
    <x v="10"/>
    <x v="10"/>
    <x v="1"/>
    <x v="7"/>
    <x v="0"/>
    <n v="7"/>
    <x v="6"/>
    <n v="5614"/>
  </r>
  <r>
    <x v="2"/>
    <x v="10"/>
    <x v="10"/>
    <x v="1"/>
    <x v="1"/>
    <x v="0"/>
    <n v="7"/>
    <x v="6"/>
    <n v="5462"/>
  </r>
  <r>
    <x v="2"/>
    <x v="11"/>
    <x v="11"/>
    <x v="1"/>
    <x v="8"/>
    <x v="0"/>
    <n v="7"/>
    <x v="6"/>
    <n v="3006"/>
  </r>
  <r>
    <x v="2"/>
    <x v="11"/>
    <x v="11"/>
    <x v="2"/>
    <x v="2"/>
    <x v="0"/>
    <n v="7"/>
    <x v="6"/>
    <n v="4888"/>
  </r>
  <r>
    <x v="3"/>
    <x v="4"/>
    <x v="4"/>
    <x v="2"/>
    <x v="3"/>
    <x v="0"/>
    <n v="7"/>
    <x v="6"/>
    <n v="4070"/>
  </r>
  <r>
    <x v="3"/>
    <x v="4"/>
    <x v="4"/>
    <x v="2"/>
    <x v="4"/>
    <x v="0"/>
    <n v="7"/>
    <x v="6"/>
    <n v="2990"/>
  </r>
  <r>
    <x v="4"/>
    <x v="5"/>
    <x v="5"/>
    <x v="0"/>
    <x v="5"/>
    <x v="0"/>
    <n v="7"/>
    <x v="6"/>
    <n v="2144"/>
  </r>
  <r>
    <x v="3"/>
    <x v="8"/>
    <x v="8"/>
    <x v="0"/>
    <x v="6"/>
    <x v="0"/>
    <n v="7"/>
    <x v="6"/>
    <n v="1954"/>
  </r>
  <r>
    <x v="3"/>
    <x v="8"/>
    <x v="8"/>
    <x v="1"/>
    <x v="7"/>
    <x v="0"/>
    <n v="7"/>
    <x v="6"/>
    <n v="6851"/>
  </r>
  <r>
    <x v="4"/>
    <x v="9"/>
    <x v="9"/>
    <x v="1"/>
    <x v="1"/>
    <x v="0"/>
    <n v="7"/>
    <x v="6"/>
    <n v="3124"/>
  </r>
  <r>
    <x v="4"/>
    <x v="9"/>
    <x v="9"/>
    <x v="1"/>
    <x v="8"/>
    <x v="0"/>
    <n v="7"/>
    <x v="6"/>
    <n v="2031"/>
  </r>
  <r>
    <x v="0"/>
    <x v="1"/>
    <x v="1"/>
    <x v="2"/>
    <x v="4"/>
    <x v="0"/>
    <n v="7"/>
    <x v="6"/>
    <n v="3268"/>
  </r>
  <r>
    <x v="0"/>
    <x v="1"/>
    <x v="1"/>
    <x v="0"/>
    <x v="5"/>
    <x v="0"/>
    <n v="7"/>
    <x v="6"/>
    <n v="2119"/>
  </r>
  <r>
    <x v="1"/>
    <x v="6"/>
    <x v="6"/>
    <x v="0"/>
    <x v="6"/>
    <x v="0"/>
    <n v="7"/>
    <x v="6"/>
    <n v="1656"/>
  </r>
  <r>
    <x v="2"/>
    <x v="10"/>
    <x v="10"/>
    <x v="1"/>
    <x v="8"/>
    <x v="0"/>
    <n v="7"/>
    <x v="6"/>
    <n v="2326"/>
  </r>
  <r>
    <x v="2"/>
    <x v="11"/>
    <x v="11"/>
    <x v="2"/>
    <x v="3"/>
    <x v="0"/>
    <n v="7"/>
    <x v="6"/>
    <n v="5352"/>
  </r>
  <r>
    <x v="2"/>
    <x v="7"/>
    <x v="7"/>
    <x v="2"/>
    <x v="4"/>
    <x v="0"/>
    <n v="7"/>
    <x v="6"/>
    <n v="3081"/>
  </r>
  <r>
    <x v="2"/>
    <x v="3"/>
    <x v="3"/>
    <x v="1"/>
    <x v="8"/>
    <x v="0"/>
    <n v="7"/>
    <x v="6"/>
    <n v="2801"/>
  </r>
  <r>
    <x v="2"/>
    <x v="10"/>
    <x v="10"/>
    <x v="0"/>
    <x v="6"/>
    <x v="0"/>
    <n v="7"/>
    <x v="6"/>
    <n v="1699"/>
  </r>
  <r>
    <x v="2"/>
    <x v="11"/>
    <x v="11"/>
    <x v="1"/>
    <x v="1"/>
    <x v="0"/>
    <n v="7"/>
    <x v="6"/>
    <n v="4944"/>
  </r>
  <r>
    <x v="3"/>
    <x v="4"/>
    <x v="4"/>
    <x v="2"/>
    <x v="2"/>
    <x v="0"/>
    <n v="7"/>
    <x v="6"/>
    <n v="4195"/>
  </r>
  <r>
    <x v="4"/>
    <x v="5"/>
    <x v="5"/>
    <x v="2"/>
    <x v="4"/>
    <x v="0"/>
    <n v="7"/>
    <x v="6"/>
    <n v="3301"/>
  </r>
  <r>
    <x v="3"/>
    <x v="8"/>
    <x v="8"/>
    <x v="0"/>
    <x v="0"/>
    <x v="0"/>
    <n v="7"/>
    <x v="6"/>
    <n v="2544"/>
  </r>
  <r>
    <x v="4"/>
    <x v="9"/>
    <x v="9"/>
    <x v="1"/>
    <x v="7"/>
    <x v="0"/>
    <n v="7"/>
    <x v="6"/>
    <n v="4389"/>
  </r>
  <r>
    <x v="2"/>
    <x v="10"/>
    <x v="10"/>
    <x v="2"/>
    <x v="4"/>
    <x v="0"/>
    <n v="7"/>
    <x v="6"/>
    <n v="2804"/>
  </r>
  <r>
    <x v="2"/>
    <x v="11"/>
    <x v="11"/>
    <x v="0"/>
    <x v="0"/>
    <x v="0"/>
    <n v="7"/>
    <x v="6"/>
    <n v="1761"/>
  </r>
  <r>
    <x v="0"/>
    <x v="0"/>
    <x v="0"/>
    <x v="0"/>
    <x v="0"/>
    <x v="0"/>
    <n v="8"/>
    <x v="7"/>
    <n v="1628"/>
  </r>
  <r>
    <x v="0"/>
    <x v="1"/>
    <x v="1"/>
    <x v="0"/>
    <x v="0"/>
    <x v="0"/>
    <n v="8"/>
    <x v="7"/>
    <n v="3262"/>
  </r>
  <r>
    <x v="0"/>
    <x v="1"/>
    <x v="1"/>
    <x v="1"/>
    <x v="1"/>
    <x v="0"/>
    <n v="8"/>
    <x v="7"/>
    <n v="3067"/>
  </r>
  <r>
    <x v="0"/>
    <x v="0"/>
    <x v="0"/>
    <x v="1"/>
    <x v="1"/>
    <x v="0"/>
    <n v="8"/>
    <x v="7"/>
    <n v="4325"/>
  </r>
  <r>
    <x v="0"/>
    <x v="0"/>
    <x v="0"/>
    <x v="2"/>
    <x v="2"/>
    <x v="0"/>
    <n v="8"/>
    <x v="7"/>
    <n v="3250"/>
  </r>
  <r>
    <x v="1"/>
    <x v="2"/>
    <x v="2"/>
    <x v="2"/>
    <x v="3"/>
    <x v="0"/>
    <n v="8"/>
    <x v="7"/>
    <n v="3991"/>
  </r>
  <r>
    <x v="2"/>
    <x v="3"/>
    <x v="3"/>
    <x v="2"/>
    <x v="4"/>
    <x v="0"/>
    <n v="8"/>
    <x v="7"/>
    <n v="3322"/>
  </r>
  <r>
    <x v="3"/>
    <x v="4"/>
    <x v="4"/>
    <x v="0"/>
    <x v="5"/>
    <x v="0"/>
    <n v="8"/>
    <x v="7"/>
    <n v="2218"/>
  </r>
  <r>
    <x v="4"/>
    <x v="5"/>
    <x v="5"/>
    <x v="0"/>
    <x v="0"/>
    <x v="0"/>
    <n v="8"/>
    <x v="7"/>
    <n v="2803"/>
  </r>
  <r>
    <x v="0"/>
    <x v="1"/>
    <x v="1"/>
    <x v="0"/>
    <x v="6"/>
    <x v="0"/>
    <n v="8"/>
    <x v="7"/>
    <n v="1935"/>
  </r>
  <r>
    <x v="1"/>
    <x v="6"/>
    <x v="6"/>
    <x v="1"/>
    <x v="7"/>
    <x v="0"/>
    <n v="8"/>
    <x v="7"/>
    <n v="4056"/>
  </r>
  <r>
    <x v="2"/>
    <x v="7"/>
    <x v="7"/>
    <x v="1"/>
    <x v="1"/>
    <x v="0"/>
    <n v="8"/>
    <x v="7"/>
    <n v="3247"/>
  </r>
  <r>
    <x v="3"/>
    <x v="8"/>
    <x v="8"/>
    <x v="1"/>
    <x v="8"/>
    <x v="0"/>
    <n v="8"/>
    <x v="7"/>
    <n v="2814"/>
  </r>
  <r>
    <x v="4"/>
    <x v="9"/>
    <x v="9"/>
    <x v="2"/>
    <x v="2"/>
    <x v="0"/>
    <n v="8"/>
    <x v="7"/>
    <n v="4359"/>
  </r>
  <r>
    <x v="0"/>
    <x v="0"/>
    <x v="0"/>
    <x v="2"/>
    <x v="3"/>
    <x v="0"/>
    <n v="8"/>
    <x v="7"/>
    <n v="3671"/>
  </r>
  <r>
    <x v="1"/>
    <x v="2"/>
    <x v="2"/>
    <x v="2"/>
    <x v="4"/>
    <x v="0"/>
    <n v="8"/>
    <x v="7"/>
    <n v="3785"/>
  </r>
  <r>
    <x v="2"/>
    <x v="3"/>
    <x v="3"/>
    <x v="0"/>
    <x v="5"/>
    <x v="0"/>
    <n v="8"/>
    <x v="7"/>
    <n v="1954"/>
  </r>
  <r>
    <x v="3"/>
    <x v="4"/>
    <x v="4"/>
    <x v="0"/>
    <x v="0"/>
    <x v="0"/>
    <n v="8"/>
    <x v="7"/>
    <n v="2575"/>
  </r>
  <r>
    <x v="4"/>
    <x v="5"/>
    <x v="5"/>
    <x v="0"/>
    <x v="6"/>
    <x v="0"/>
    <n v="8"/>
    <x v="7"/>
    <n v="1708"/>
  </r>
  <r>
    <x v="0"/>
    <x v="1"/>
    <x v="1"/>
    <x v="1"/>
    <x v="7"/>
    <x v="0"/>
    <n v="8"/>
    <x v="7"/>
    <n v="5919"/>
  </r>
  <r>
    <x v="1"/>
    <x v="6"/>
    <x v="6"/>
    <x v="1"/>
    <x v="1"/>
    <x v="0"/>
    <n v="8"/>
    <x v="7"/>
    <n v="4803"/>
  </r>
  <r>
    <x v="2"/>
    <x v="7"/>
    <x v="7"/>
    <x v="1"/>
    <x v="8"/>
    <x v="0"/>
    <n v="8"/>
    <x v="7"/>
    <n v="2294"/>
  </r>
  <r>
    <x v="3"/>
    <x v="8"/>
    <x v="8"/>
    <x v="2"/>
    <x v="2"/>
    <x v="0"/>
    <n v="8"/>
    <x v="7"/>
    <n v="4509"/>
  </r>
  <r>
    <x v="4"/>
    <x v="9"/>
    <x v="9"/>
    <x v="2"/>
    <x v="3"/>
    <x v="0"/>
    <n v="8"/>
    <x v="7"/>
    <n v="4634"/>
  </r>
  <r>
    <x v="0"/>
    <x v="0"/>
    <x v="0"/>
    <x v="2"/>
    <x v="4"/>
    <x v="0"/>
    <n v="8"/>
    <x v="7"/>
    <n v="3909"/>
  </r>
  <r>
    <x v="1"/>
    <x v="2"/>
    <x v="2"/>
    <x v="0"/>
    <x v="5"/>
    <x v="0"/>
    <n v="8"/>
    <x v="7"/>
    <n v="2666"/>
  </r>
  <r>
    <x v="2"/>
    <x v="3"/>
    <x v="3"/>
    <x v="0"/>
    <x v="0"/>
    <x v="0"/>
    <n v="8"/>
    <x v="7"/>
    <n v="1545"/>
  </r>
  <r>
    <x v="3"/>
    <x v="4"/>
    <x v="4"/>
    <x v="0"/>
    <x v="6"/>
    <x v="0"/>
    <n v="8"/>
    <x v="7"/>
    <n v="2650"/>
  </r>
  <r>
    <x v="4"/>
    <x v="5"/>
    <x v="5"/>
    <x v="1"/>
    <x v="7"/>
    <x v="0"/>
    <n v="8"/>
    <x v="7"/>
    <n v="5831"/>
  </r>
  <r>
    <x v="1"/>
    <x v="2"/>
    <x v="2"/>
    <x v="1"/>
    <x v="8"/>
    <x v="0"/>
    <n v="8"/>
    <x v="7"/>
    <n v="2682"/>
  </r>
  <r>
    <x v="2"/>
    <x v="7"/>
    <x v="7"/>
    <x v="2"/>
    <x v="2"/>
    <x v="0"/>
    <n v="8"/>
    <x v="7"/>
    <n v="3770"/>
  </r>
  <r>
    <x v="3"/>
    <x v="8"/>
    <x v="8"/>
    <x v="2"/>
    <x v="3"/>
    <x v="0"/>
    <n v="8"/>
    <x v="7"/>
    <n v="4672"/>
  </r>
  <r>
    <x v="4"/>
    <x v="9"/>
    <x v="9"/>
    <x v="2"/>
    <x v="4"/>
    <x v="0"/>
    <n v="8"/>
    <x v="7"/>
    <n v="3852"/>
  </r>
  <r>
    <x v="0"/>
    <x v="0"/>
    <x v="0"/>
    <x v="0"/>
    <x v="5"/>
    <x v="0"/>
    <n v="8"/>
    <x v="7"/>
    <n v="2250"/>
  </r>
  <r>
    <x v="1"/>
    <x v="6"/>
    <x v="6"/>
    <x v="0"/>
    <x v="0"/>
    <x v="0"/>
    <n v="8"/>
    <x v="7"/>
    <n v="1651"/>
  </r>
  <r>
    <x v="2"/>
    <x v="3"/>
    <x v="3"/>
    <x v="0"/>
    <x v="6"/>
    <x v="0"/>
    <n v="8"/>
    <x v="7"/>
    <n v="2233"/>
  </r>
  <r>
    <x v="3"/>
    <x v="4"/>
    <x v="4"/>
    <x v="1"/>
    <x v="7"/>
    <x v="0"/>
    <n v="8"/>
    <x v="7"/>
    <n v="5063"/>
  </r>
  <r>
    <x v="4"/>
    <x v="5"/>
    <x v="5"/>
    <x v="1"/>
    <x v="1"/>
    <x v="0"/>
    <n v="8"/>
    <x v="7"/>
    <n v="3862"/>
  </r>
  <r>
    <x v="0"/>
    <x v="1"/>
    <x v="1"/>
    <x v="1"/>
    <x v="8"/>
    <x v="0"/>
    <n v="8"/>
    <x v="7"/>
    <n v="4489"/>
  </r>
  <r>
    <x v="1"/>
    <x v="2"/>
    <x v="2"/>
    <x v="2"/>
    <x v="2"/>
    <x v="0"/>
    <n v="8"/>
    <x v="7"/>
    <n v="4056"/>
  </r>
  <r>
    <x v="2"/>
    <x v="7"/>
    <x v="7"/>
    <x v="2"/>
    <x v="3"/>
    <x v="0"/>
    <n v="8"/>
    <x v="7"/>
    <n v="3545"/>
  </r>
  <r>
    <x v="3"/>
    <x v="8"/>
    <x v="8"/>
    <x v="2"/>
    <x v="4"/>
    <x v="0"/>
    <n v="8"/>
    <x v="7"/>
    <n v="3186"/>
  </r>
  <r>
    <x v="4"/>
    <x v="9"/>
    <x v="9"/>
    <x v="0"/>
    <x v="5"/>
    <x v="0"/>
    <n v="8"/>
    <x v="7"/>
    <n v="1807"/>
  </r>
  <r>
    <x v="1"/>
    <x v="2"/>
    <x v="2"/>
    <x v="0"/>
    <x v="6"/>
    <x v="0"/>
    <n v="8"/>
    <x v="7"/>
    <n v="2687"/>
  </r>
  <r>
    <x v="2"/>
    <x v="3"/>
    <x v="3"/>
    <x v="1"/>
    <x v="7"/>
    <x v="0"/>
    <n v="8"/>
    <x v="7"/>
    <n v="4420"/>
  </r>
  <r>
    <x v="3"/>
    <x v="8"/>
    <x v="8"/>
    <x v="1"/>
    <x v="1"/>
    <x v="0"/>
    <n v="8"/>
    <x v="7"/>
    <n v="3724"/>
  </r>
  <r>
    <x v="4"/>
    <x v="5"/>
    <x v="5"/>
    <x v="1"/>
    <x v="8"/>
    <x v="0"/>
    <n v="8"/>
    <x v="7"/>
    <n v="3517"/>
  </r>
  <r>
    <x v="0"/>
    <x v="1"/>
    <x v="1"/>
    <x v="2"/>
    <x v="2"/>
    <x v="0"/>
    <n v="8"/>
    <x v="7"/>
    <n v="3892"/>
  </r>
  <r>
    <x v="0"/>
    <x v="1"/>
    <x v="1"/>
    <x v="2"/>
    <x v="3"/>
    <x v="0"/>
    <n v="8"/>
    <x v="7"/>
    <n v="5069"/>
  </r>
  <r>
    <x v="1"/>
    <x v="6"/>
    <x v="6"/>
    <x v="2"/>
    <x v="4"/>
    <x v="0"/>
    <n v="8"/>
    <x v="7"/>
    <n v="3876"/>
  </r>
  <r>
    <x v="1"/>
    <x v="6"/>
    <x v="6"/>
    <x v="0"/>
    <x v="5"/>
    <x v="0"/>
    <n v="8"/>
    <x v="7"/>
    <n v="2684"/>
  </r>
  <r>
    <x v="2"/>
    <x v="7"/>
    <x v="7"/>
    <x v="0"/>
    <x v="0"/>
    <x v="0"/>
    <n v="8"/>
    <x v="7"/>
    <n v="1938"/>
  </r>
  <r>
    <x v="2"/>
    <x v="7"/>
    <x v="7"/>
    <x v="0"/>
    <x v="6"/>
    <x v="0"/>
    <n v="8"/>
    <x v="7"/>
    <n v="1234"/>
  </r>
  <r>
    <x v="2"/>
    <x v="3"/>
    <x v="3"/>
    <x v="1"/>
    <x v="1"/>
    <x v="0"/>
    <n v="8"/>
    <x v="7"/>
    <n v="5391"/>
  </r>
  <r>
    <x v="0"/>
    <x v="0"/>
    <x v="0"/>
    <x v="1"/>
    <x v="8"/>
    <x v="0"/>
    <n v="8"/>
    <x v="7"/>
    <n v="4691"/>
  </r>
  <r>
    <x v="2"/>
    <x v="10"/>
    <x v="10"/>
    <x v="0"/>
    <x v="5"/>
    <x v="0"/>
    <n v="8"/>
    <x v="7"/>
    <n v="2146"/>
  </r>
  <r>
    <x v="2"/>
    <x v="10"/>
    <x v="10"/>
    <x v="0"/>
    <x v="0"/>
    <x v="0"/>
    <n v="8"/>
    <x v="7"/>
    <n v="1800"/>
  </r>
  <r>
    <x v="2"/>
    <x v="11"/>
    <x v="11"/>
    <x v="0"/>
    <x v="6"/>
    <x v="0"/>
    <n v="8"/>
    <x v="7"/>
    <n v="1714"/>
  </r>
  <r>
    <x v="2"/>
    <x v="11"/>
    <x v="11"/>
    <x v="1"/>
    <x v="7"/>
    <x v="0"/>
    <n v="8"/>
    <x v="7"/>
    <n v="5759"/>
  </r>
  <r>
    <x v="3"/>
    <x v="4"/>
    <x v="4"/>
    <x v="1"/>
    <x v="1"/>
    <x v="0"/>
    <n v="8"/>
    <x v="7"/>
    <n v="3486"/>
  </r>
  <r>
    <x v="3"/>
    <x v="4"/>
    <x v="4"/>
    <x v="1"/>
    <x v="8"/>
    <x v="0"/>
    <n v="8"/>
    <x v="7"/>
    <n v="4085"/>
  </r>
  <r>
    <x v="4"/>
    <x v="5"/>
    <x v="5"/>
    <x v="2"/>
    <x v="2"/>
    <x v="0"/>
    <n v="8"/>
    <x v="7"/>
    <n v="4060"/>
  </r>
  <r>
    <x v="4"/>
    <x v="5"/>
    <x v="5"/>
    <x v="2"/>
    <x v="3"/>
    <x v="0"/>
    <n v="8"/>
    <x v="7"/>
    <n v="5034"/>
  </r>
  <r>
    <x v="3"/>
    <x v="8"/>
    <x v="8"/>
    <x v="0"/>
    <x v="5"/>
    <x v="0"/>
    <n v="8"/>
    <x v="7"/>
    <n v="2517"/>
  </r>
  <r>
    <x v="4"/>
    <x v="9"/>
    <x v="9"/>
    <x v="0"/>
    <x v="0"/>
    <x v="0"/>
    <n v="8"/>
    <x v="7"/>
    <n v="2238"/>
  </r>
  <r>
    <x v="4"/>
    <x v="9"/>
    <x v="9"/>
    <x v="0"/>
    <x v="6"/>
    <x v="0"/>
    <n v="8"/>
    <x v="7"/>
    <n v="2595"/>
  </r>
  <r>
    <x v="2"/>
    <x v="7"/>
    <x v="7"/>
    <x v="1"/>
    <x v="7"/>
    <x v="0"/>
    <n v="8"/>
    <x v="7"/>
    <n v="5435"/>
  </r>
  <r>
    <x v="1"/>
    <x v="6"/>
    <x v="6"/>
    <x v="2"/>
    <x v="3"/>
    <x v="0"/>
    <n v="8"/>
    <x v="7"/>
    <n v="3353"/>
  </r>
  <r>
    <x v="0"/>
    <x v="0"/>
    <x v="0"/>
    <x v="0"/>
    <x v="6"/>
    <x v="0"/>
    <n v="8"/>
    <x v="7"/>
    <n v="2612"/>
  </r>
  <r>
    <x v="0"/>
    <x v="0"/>
    <x v="0"/>
    <x v="1"/>
    <x v="7"/>
    <x v="0"/>
    <n v="8"/>
    <x v="7"/>
    <n v="4106"/>
  </r>
  <r>
    <x v="1"/>
    <x v="2"/>
    <x v="2"/>
    <x v="1"/>
    <x v="1"/>
    <x v="0"/>
    <n v="8"/>
    <x v="7"/>
    <n v="3146"/>
  </r>
  <r>
    <x v="2"/>
    <x v="10"/>
    <x v="10"/>
    <x v="2"/>
    <x v="2"/>
    <x v="0"/>
    <n v="8"/>
    <x v="7"/>
    <n v="4856"/>
  </r>
  <r>
    <x v="2"/>
    <x v="10"/>
    <x v="10"/>
    <x v="2"/>
    <x v="3"/>
    <x v="0"/>
    <n v="8"/>
    <x v="7"/>
    <n v="3607"/>
  </r>
  <r>
    <x v="2"/>
    <x v="11"/>
    <x v="11"/>
    <x v="2"/>
    <x v="4"/>
    <x v="0"/>
    <n v="8"/>
    <x v="7"/>
    <n v="3226"/>
  </r>
  <r>
    <x v="2"/>
    <x v="11"/>
    <x v="11"/>
    <x v="0"/>
    <x v="5"/>
    <x v="0"/>
    <n v="8"/>
    <x v="7"/>
    <n v="1708"/>
  </r>
  <r>
    <x v="2"/>
    <x v="7"/>
    <x v="7"/>
    <x v="0"/>
    <x v="5"/>
    <x v="0"/>
    <n v="8"/>
    <x v="7"/>
    <n v="2922"/>
  </r>
  <r>
    <x v="1"/>
    <x v="6"/>
    <x v="6"/>
    <x v="1"/>
    <x v="8"/>
    <x v="0"/>
    <n v="8"/>
    <x v="7"/>
    <n v="4136"/>
  </r>
  <r>
    <x v="2"/>
    <x v="3"/>
    <x v="3"/>
    <x v="2"/>
    <x v="2"/>
    <x v="0"/>
    <n v="8"/>
    <x v="7"/>
    <n v="4032"/>
  </r>
  <r>
    <x v="2"/>
    <x v="3"/>
    <x v="3"/>
    <x v="2"/>
    <x v="3"/>
    <x v="0"/>
    <n v="8"/>
    <x v="7"/>
    <n v="4346"/>
  </r>
  <r>
    <x v="1"/>
    <x v="2"/>
    <x v="2"/>
    <x v="0"/>
    <x v="0"/>
    <x v="0"/>
    <n v="8"/>
    <x v="7"/>
    <n v="2728"/>
  </r>
  <r>
    <x v="2"/>
    <x v="10"/>
    <x v="10"/>
    <x v="1"/>
    <x v="7"/>
    <x v="0"/>
    <n v="8"/>
    <x v="7"/>
    <n v="5601"/>
  </r>
  <r>
    <x v="2"/>
    <x v="10"/>
    <x v="10"/>
    <x v="1"/>
    <x v="1"/>
    <x v="0"/>
    <n v="8"/>
    <x v="7"/>
    <n v="4277"/>
  </r>
  <r>
    <x v="2"/>
    <x v="11"/>
    <x v="11"/>
    <x v="1"/>
    <x v="8"/>
    <x v="0"/>
    <n v="8"/>
    <x v="7"/>
    <n v="4616"/>
  </r>
  <r>
    <x v="2"/>
    <x v="11"/>
    <x v="11"/>
    <x v="2"/>
    <x v="2"/>
    <x v="0"/>
    <n v="8"/>
    <x v="7"/>
    <n v="3716"/>
  </r>
  <r>
    <x v="3"/>
    <x v="4"/>
    <x v="4"/>
    <x v="2"/>
    <x v="3"/>
    <x v="0"/>
    <n v="8"/>
    <x v="7"/>
    <n v="4813"/>
  </r>
  <r>
    <x v="3"/>
    <x v="4"/>
    <x v="4"/>
    <x v="2"/>
    <x v="4"/>
    <x v="0"/>
    <n v="8"/>
    <x v="7"/>
    <n v="2872"/>
  </r>
  <r>
    <x v="4"/>
    <x v="5"/>
    <x v="5"/>
    <x v="0"/>
    <x v="5"/>
    <x v="0"/>
    <n v="8"/>
    <x v="7"/>
    <n v="2271"/>
  </r>
  <r>
    <x v="3"/>
    <x v="8"/>
    <x v="8"/>
    <x v="0"/>
    <x v="6"/>
    <x v="0"/>
    <n v="8"/>
    <x v="7"/>
    <n v="2446"/>
  </r>
  <r>
    <x v="3"/>
    <x v="8"/>
    <x v="8"/>
    <x v="1"/>
    <x v="7"/>
    <x v="0"/>
    <n v="8"/>
    <x v="7"/>
    <n v="5353"/>
  </r>
  <r>
    <x v="4"/>
    <x v="9"/>
    <x v="9"/>
    <x v="1"/>
    <x v="1"/>
    <x v="0"/>
    <n v="8"/>
    <x v="7"/>
    <n v="4637"/>
  </r>
  <r>
    <x v="4"/>
    <x v="9"/>
    <x v="9"/>
    <x v="1"/>
    <x v="8"/>
    <x v="0"/>
    <n v="8"/>
    <x v="7"/>
    <n v="4069"/>
  </r>
  <r>
    <x v="0"/>
    <x v="1"/>
    <x v="1"/>
    <x v="2"/>
    <x v="4"/>
    <x v="0"/>
    <n v="8"/>
    <x v="7"/>
    <n v="3691"/>
  </r>
  <r>
    <x v="0"/>
    <x v="1"/>
    <x v="1"/>
    <x v="0"/>
    <x v="5"/>
    <x v="0"/>
    <n v="8"/>
    <x v="7"/>
    <n v="2109"/>
  </r>
  <r>
    <x v="1"/>
    <x v="6"/>
    <x v="6"/>
    <x v="0"/>
    <x v="6"/>
    <x v="0"/>
    <n v="8"/>
    <x v="7"/>
    <n v="2157"/>
  </r>
  <r>
    <x v="2"/>
    <x v="10"/>
    <x v="10"/>
    <x v="1"/>
    <x v="8"/>
    <x v="0"/>
    <n v="8"/>
    <x v="7"/>
    <n v="2496"/>
  </r>
  <r>
    <x v="2"/>
    <x v="11"/>
    <x v="11"/>
    <x v="2"/>
    <x v="3"/>
    <x v="0"/>
    <n v="8"/>
    <x v="7"/>
    <n v="3174"/>
  </r>
  <r>
    <x v="2"/>
    <x v="7"/>
    <x v="7"/>
    <x v="2"/>
    <x v="4"/>
    <x v="0"/>
    <n v="8"/>
    <x v="7"/>
    <n v="2821"/>
  </r>
  <r>
    <x v="2"/>
    <x v="3"/>
    <x v="3"/>
    <x v="1"/>
    <x v="8"/>
    <x v="0"/>
    <n v="8"/>
    <x v="7"/>
    <n v="4826"/>
  </r>
  <r>
    <x v="2"/>
    <x v="10"/>
    <x v="10"/>
    <x v="0"/>
    <x v="6"/>
    <x v="0"/>
    <n v="8"/>
    <x v="7"/>
    <n v="2432"/>
  </r>
  <r>
    <x v="2"/>
    <x v="11"/>
    <x v="11"/>
    <x v="1"/>
    <x v="1"/>
    <x v="0"/>
    <n v="8"/>
    <x v="7"/>
    <n v="5168"/>
  </r>
  <r>
    <x v="3"/>
    <x v="4"/>
    <x v="4"/>
    <x v="2"/>
    <x v="2"/>
    <x v="0"/>
    <n v="8"/>
    <x v="7"/>
    <n v="4602"/>
  </r>
  <r>
    <x v="4"/>
    <x v="5"/>
    <x v="5"/>
    <x v="2"/>
    <x v="4"/>
    <x v="0"/>
    <n v="8"/>
    <x v="7"/>
    <n v="3538"/>
  </r>
  <r>
    <x v="3"/>
    <x v="8"/>
    <x v="8"/>
    <x v="0"/>
    <x v="0"/>
    <x v="0"/>
    <n v="8"/>
    <x v="7"/>
    <n v="1763"/>
  </r>
  <r>
    <x v="4"/>
    <x v="9"/>
    <x v="9"/>
    <x v="1"/>
    <x v="7"/>
    <x v="0"/>
    <n v="8"/>
    <x v="7"/>
    <n v="4156"/>
  </r>
  <r>
    <x v="2"/>
    <x v="10"/>
    <x v="10"/>
    <x v="2"/>
    <x v="4"/>
    <x v="0"/>
    <n v="8"/>
    <x v="7"/>
    <n v="4067"/>
  </r>
  <r>
    <x v="2"/>
    <x v="11"/>
    <x v="11"/>
    <x v="0"/>
    <x v="0"/>
    <x v="0"/>
    <n v="8"/>
    <x v="7"/>
    <n v="1522"/>
  </r>
  <r>
    <x v="0"/>
    <x v="0"/>
    <x v="0"/>
    <x v="0"/>
    <x v="0"/>
    <x v="0"/>
    <n v="9"/>
    <x v="8"/>
    <n v="2629"/>
  </r>
  <r>
    <x v="0"/>
    <x v="1"/>
    <x v="1"/>
    <x v="0"/>
    <x v="0"/>
    <x v="0"/>
    <n v="9"/>
    <x v="8"/>
    <n v="2465"/>
  </r>
  <r>
    <x v="0"/>
    <x v="1"/>
    <x v="1"/>
    <x v="1"/>
    <x v="1"/>
    <x v="0"/>
    <n v="9"/>
    <x v="8"/>
    <n v="3826"/>
  </r>
  <r>
    <x v="0"/>
    <x v="0"/>
    <x v="0"/>
    <x v="1"/>
    <x v="1"/>
    <x v="0"/>
    <n v="9"/>
    <x v="8"/>
    <n v="4874"/>
  </r>
  <r>
    <x v="0"/>
    <x v="0"/>
    <x v="0"/>
    <x v="2"/>
    <x v="2"/>
    <x v="0"/>
    <n v="9"/>
    <x v="8"/>
    <n v="3752"/>
  </r>
  <r>
    <x v="1"/>
    <x v="2"/>
    <x v="2"/>
    <x v="2"/>
    <x v="3"/>
    <x v="0"/>
    <n v="9"/>
    <x v="8"/>
    <n v="3787"/>
  </r>
  <r>
    <x v="2"/>
    <x v="3"/>
    <x v="3"/>
    <x v="2"/>
    <x v="4"/>
    <x v="0"/>
    <n v="9"/>
    <x v="8"/>
    <n v="3138"/>
  </r>
  <r>
    <x v="3"/>
    <x v="4"/>
    <x v="4"/>
    <x v="0"/>
    <x v="5"/>
    <x v="0"/>
    <n v="9"/>
    <x v="8"/>
    <n v="2018"/>
  </r>
  <r>
    <x v="4"/>
    <x v="5"/>
    <x v="5"/>
    <x v="0"/>
    <x v="0"/>
    <x v="0"/>
    <n v="9"/>
    <x v="8"/>
    <n v="2253"/>
  </r>
  <r>
    <x v="0"/>
    <x v="1"/>
    <x v="1"/>
    <x v="0"/>
    <x v="6"/>
    <x v="0"/>
    <n v="9"/>
    <x v="8"/>
    <n v="2026"/>
  </r>
  <r>
    <x v="1"/>
    <x v="6"/>
    <x v="6"/>
    <x v="1"/>
    <x v="7"/>
    <x v="0"/>
    <n v="9"/>
    <x v="8"/>
    <n v="4819"/>
  </r>
  <r>
    <x v="2"/>
    <x v="7"/>
    <x v="7"/>
    <x v="1"/>
    <x v="1"/>
    <x v="0"/>
    <n v="9"/>
    <x v="8"/>
    <n v="5457"/>
  </r>
  <r>
    <x v="3"/>
    <x v="8"/>
    <x v="8"/>
    <x v="1"/>
    <x v="8"/>
    <x v="0"/>
    <n v="9"/>
    <x v="8"/>
    <n v="3241"/>
  </r>
  <r>
    <x v="4"/>
    <x v="9"/>
    <x v="9"/>
    <x v="2"/>
    <x v="2"/>
    <x v="0"/>
    <n v="9"/>
    <x v="8"/>
    <n v="3509"/>
  </r>
  <r>
    <x v="0"/>
    <x v="0"/>
    <x v="0"/>
    <x v="2"/>
    <x v="3"/>
    <x v="0"/>
    <n v="9"/>
    <x v="8"/>
    <n v="3226"/>
  </r>
  <r>
    <x v="1"/>
    <x v="2"/>
    <x v="2"/>
    <x v="2"/>
    <x v="4"/>
    <x v="0"/>
    <n v="9"/>
    <x v="8"/>
    <n v="3059"/>
  </r>
  <r>
    <x v="2"/>
    <x v="3"/>
    <x v="3"/>
    <x v="0"/>
    <x v="5"/>
    <x v="0"/>
    <n v="9"/>
    <x v="8"/>
    <n v="2841"/>
  </r>
  <r>
    <x v="3"/>
    <x v="4"/>
    <x v="4"/>
    <x v="0"/>
    <x v="0"/>
    <x v="0"/>
    <n v="9"/>
    <x v="8"/>
    <n v="2053"/>
  </r>
  <r>
    <x v="4"/>
    <x v="5"/>
    <x v="5"/>
    <x v="0"/>
    <x v="6"/>
    <x v="0"/>
    <n v="9"/>
    <x v="8"/>
    <n v="2633"/>
  </r>
  <r>
    <x v="0"/>
    <x v="1"/>
    <x v="1"/>
    <x v="1"/>
    <x v="7"/>
    <x v="0"/>
    <n v="9"/>
    <x v="8"/>
    <n v="6604"/>
  </r>
  <r>
    <x v="1"/>
    <x v="6"/>
    <x v="6"/>
    <x v="1"/>
    <x v="1"/>
    <x v="0"/>
    <n v="9"/>
    <x v="8"/>
    <n v="3914"/>
  </r>
  <r>
    <x v="2"/>
    <x v="7"/>
    <x v="7"/>
    <x v="1"/>
    <x v="8"/>
    <x v="0"/>
    <n v="9"/>
    <x v="8"/>
    <n v="2227"/>
  </r>
  <r>
    <x v="3"/>
    <x v="8"/>
    <x v="8"/>
    <x v="2"/>
    <x v="2"/>
    <x v="0"/>
    <n v="9"/>
    <x v="8"/>
    <n v="3585"/>
  </r>
  <r>
    <x v="4"/>
    <x v="9"/>
    <x v="9"/>
    <x v="2"/>
    <x v="3"/>
    <x v="0"/>
    <n v="9"/>
    <x v="8"/>
    <n v="3508"/>
  </r>
  <r>
    <x v="0"/>
    <x v="0"/>
    <x v="0"/>
    <x v="2"/>
    <x v="4"/>
    <x v="0"/>
    <n v="9"/>
    <x v="8"/>
    <n v="4047"/>
  </r>
  <r>
    <x v="1"/>
    <x v="2"/>
    <x v="2"/>
    <x v="0"/>
    <x v="5"/>
    <x v="0"/>
    <n v="9"/>
    <x v="8"/>
    <n v="1531"/>
  </r>
  <r>
    <x v="2"/>
    <x v="3"/>
    <x v="3"/>
    <x v="0"/>
    <x v="0"/>
    <x v="0"/>
    <n v="9"/>
    <x v="8"/>
    <n v="1576"/>
  </r>
  <r>
    <x v="3"/>
    <x v="4"/>
    <x v="4"/>
    <x v="0"/>
    <x v="6"/>
    <x v="0"/>
    <n v="9"/>
    <x v="8"/>
    <n v="1676"/>
  </r>
  <r>
    <x v="4"/>
    <x v="5"/>
    <x v="5"/>
    <x v="1"/>
    <x v="7"/>
    <x v="0"/>
    <n v="9"/>
    <x v="8"/>
    <n v="5887"/>
  </r>
  <r>
    <x v="1"/>
    <x v="2"/>
    <x v="2"/>
    <x v="1"/>
    <x v="8"/>
    <x v="0"/>
    <n v="9"/>
    <x v="8"/>
    <n v="4598"/>
  </r>
  <r>
    <x v="2"/>
    <x v="7"/>
    <x v="7"/>
    <x v="2"/>
    <x v="2"/>
    <x v="0"/>
    <n v="9"/>
    <x v="8"/>
    <n v="4611"/>
  </r>
  <r>
    <x v="3"/>
    <x v="8"/>
    <x v="8"/>
    <x v="2"/>
    <x v="3"/>
    <x v="0"/>
    <n v="9"/>
    <x v="8"/>
    <n v="5417"/>
  </r>
  <r>
    <x v="4"/>
    <x v="9"/>
    <x v="9"/>
    <x v="2"/>
    <x v="4"/>
    <x v="0"/>
    <n v="9"/>
    <x v="8"/>
    <n v="3240"/>
  </r>
  <r>
    <x v="0"/>
    <x v="0"/>
    <x v="0"/>
    <x v="0"/>
    <x v="5"/>
    <x v="0"/>
    <n v="9"/>
    <x v="8"/>
    <n v="1797"/>
  </r>
  <r>
    <x v="1"/>
    <x v="6"/>
    <x v="6"/>
    <x v="0"/>
    <x v="0"/>
    <x v="0"/>
    <n v="9"/>
    <x v="8"/>
    <n v="2981"/>
  </r>
  <r>
    <x v="2"/>
    <x v="3"/>
    <x v="3"/>
    <x v="0"/>
    <x v="6"/>
    <x v="0"/>
    <n v="9"/>
    <x v="8"/>
    <n v="1365"/>
  </r>
  <r>
    <x v="3"/>
    <x v="4"/>
    <x v="4"/>
    <x v="1"/>
    <x v="7"/>
    <x v="0"/>
    <n v="9"/>
    <x v="8"/>
    <n v="5121"/>
  </r>
  <r>
    <x v="4"/>
    <x v="5"/>
    <x v="5"/>
    <x v="1"/>
    <x v="1"/>
    <x v="0"/>
    <n v="9"/>
    <x v="8"/>
    <n v="2940"/>
  </r>
  <r>
    <x v="0"/>
    <x v="1"/>
    <x v="1"/>
    <x v="1"/>
    <x v="8"/>
    <x v="0"/>
    <n v="9"/>
    <x v="8"/>
    <n v="3731"/>
  </r>
  <r>
    <x v="1"/>
    <x v="2"/>
    <x v="2"/>
    <x v="2"/>
    <x v="2"/>
    <x v="0"/>
    <n v="9"/>
    <x v="8"/>
    <n v="3945"/>
  </r>
  <r>
    <x v="2"/>
    <x v="7"/>
    <x v="7"/>
    <x v="2"/>
    <x v="3"/>
    <x v="0"/>
    <n v="9"/>
    <x v="8"/>
    <n v="2896"/>
  </r>
  <r>
    <x v="3"/>
    <x v="8"/>
    <x v="8"/>
    <x v="2"/>
    <x v="4"/>
    <x v="0"/>
    <n v="9"/>
    <x v="8"/>
    <n v="3906"/>
  </r>
  <r>
    <x v="4"/>
    <x v="9"/>
    <x v="9"/>
    <x v="0"/>
    <x v="5"/>
    <x v="0"/>
    <n v="9"/>
    <x v="8"/>
    <n v="2322"/>
  </r>
  <r>
    <x v="1"/>
    <x v="2"/>
    <x v="2"/>
    <x v="0"/>
    <x v="6"/>
    <x v="0"/>
    <n v="9"/>
    <x v="8"/>
    <n v="1636"/>
  </r>
  <r>
    <x v="2"/>
    <x v="3"/>
    <x v="3"/>
    <x v="1"/>
    <x v="7"/>
    <x v="0"/>
    <n v="9"/>
    <x v="8"/>
    <n v="6807"/>
  </r>
  <r>
    <x v="3"/>
    <x v="8"/>
    <x v="8"/>
    <x v="1"/>
    <x v="1"/>
    <x v="0"/>
    <n v="9"/>
    <x v="8"/>
    <n v="2630"/>
  </r>
  <r>
    <x v="4"/>
    <x v="5"/>
    <x v="5"/>
    <x v="1"/>
    <x v="8"/>
    <x v="0"/>
    <n v="9"/>
    <x v="8"/>
    <n v="2551"/>
  </r>
  <r>
    <x v="0"/>
    <x v="1"/>
    <x v="1"/>
    <x v="2"/>
    <x v="2"/>
    <x v="0"/>
    <n v="9"/>
    <x v="8"/>
    <n v="4635"/>
  </r>
  <r>
    <x v="0"/>
    <x v="1"/>
    <x v="1"/>
    <x v="2"/>
    <x v="3"/>
    <x v="0"/>
    <n v="9"/>
    <x v="8"/>
    <n v="3888"/>
  </r>
  <r>
    <x v="1"/>
    <x v="6"/>
    <x v="6"/>
    <x v="2"/>
    <x v="4"/>
    <x v="0"/>
    <n v="9"/>
    <x v="8"/>
    <n v="3923"/>
  </r>
  <r>
    <x v="1"/>
    <x v="6"/>
    <x v="6"/>
    <x v="0"/>
    <x v="5"/>
    <x v="0"/>
    <n v="9"/>
    <x v="8"/>
    <n v="2655"/>
  </r>
  <r>
    <x v="2"/>
    <x v="7"/>
    <x v="7"/>
    <x v="0"/>
    <x v="0"/>
    <x v="0"/>
    <n v="9"/>
    <x v="8"/>
    <n v="2320"/>
  </r>
  <r>
    <x v="2"/>
    <x v="7"/>
    <x v="7"/>
    <x v="0"/>
    <x v="6"/>
    <x v="0"/>
    <n v="9"/>
    <x v="8"/>
    <n v="2491"/>
  </r>
  <r>
    <x v="2"/>
    <x v="3"/>
    <x v="3"/>
    <x v="1"/>
    <x v="1"/>
    <x v="0"/>
    <n v="9"/>
    <x v="8"/>
    <n v="5372"/>
  </r>
  <r>
    <x v="0"/>
    <x v="0"/>
    <x v="0"/>
    <x v="1"/>
    <x v="8"/>
    <x v="0"/>
    <n v="9"/>
    <x v="8"/>
    <n v="2506"/>
  </r>
  <r>
    <x v="2"/>
    <x v="10"/>
    <x v="10"/>
    <x v="0"/>
    <x v="5"/>
    <x v="0"/>
    <n v="9"/>
    <x v="8"/>
    <n v="2013"/>
  </r>
  <r>
    <x v="2"/>
    <x v="10"/>
    <x v="10"/>
    <x v="0"/>
    <x v="0"/>
    <x v="0"/>
    <n v="9"/>
    <x v="8"/>
    <n v="3002"/>
  </r>
  <r>
    <x v="2"/>
    <x v="11"/>
    <x v="11"/>
    <x v="0"/>
    <x v="6"/>
    <x v="0"/>
    <n v="9"/>
    <x v="8"/>
    <n v="2716"/>
  </r>
  <r>
    <x v="2"/>
    <x v="11"/>
    <x v="11"/>
    <x v="1"/>
    <x v="7"/>
    <x v="0"/>
    <n v="9"/>
    <x v="8"/>
    <n v="4052"/>
  </r>
  <r>
    <x v="3"/>
    <x v="4"/>
    <x v="4"/>
    <x v="1"/>
    <x v="1"/>
    <x v="0"/>
    <n v="9"/>
    <x v="8"/>
    <n v="3052"/>
  </r>
  <r>
    <x v="3"/>
    <x v="4"/>
    <x v="4"/>
    <x v="1"/>
    <x v="8"/>
    <x v="0"/>
    <n v="9"/>
    <x v="8"/>
    <n v="4322"/>
  </r>
  <r>
    <x v="4"/>
    <x v="5"/>
    <x v="5"/>
    <x v="2"/>
    <x v="2"/>
    <x v="0"/>
    <n v="9"/>
    <x v="8"/>
    <n v="3960"/>
  </r>
  <r>
    <x v="4"/>
    <x v="5"/>
    <x v="5"/>
    <x v="2"/>
    <x v="3"/>
    <x v="0"/>
    <n v="9"/>
    <x v="8"/>
    <n v="5527"/>
  </r>
  <r>
    <x v="3"/>
    <x v="8"/>
    <x v="8"/>
    <x v="0"/>
    <x v="5"/>
    <x v="0"/>
    <n v="9"/>
    <x v="8"/>
    <n v="2572"/>
  </r>
  <r>
    <x v="4"/>
    <x v="9"/>
    <x v="9"/>
    <x v="0"/>
    <x v="0"/>
    <x v="0"/>
    <n v="9"/>
    <x v="8"/>
    <n v="1965"/>
  </r>
  <r>
    <x v="4"/>
    <x v="9"/>
    <x v="9"/>
    <x v="0"/>
    <x v="6"/>
    <x v="0"/>
    <n v="9"/>
    <x v="8"/>
    <n v="1341"/>
  </r>
  <r>
    <x v="2"/>
    <x v="7"/>
    <x v="7"/>
    <x v="1"/>
    <x v="7"/>
    <x v="0"/>
    <n v="9"/>
    <x v="8"/>
    <n v="4660"/>
  </r>
  <r>
    <x v="1"/>
    <x v="6"/>
    <x v="6"/>
    <x v="2"/>
    <x v="3"/>
    <x v="0"/>
    <n v="9"/>
    <x v="8"/>
    <n v="4783"/>
  </r>
  <r>
    <x v="0"/>
    <x v="0"/>
    <x v="0"/>
    <x v="0"/>
    <x v="6"/>
    <x v="0"/>
    <n v="9"/>
    <x v="8"/>
    <n v="1991"/>
  </r>
  <r>
    <x v="0"/>
    <x v="0"/>
    <x v="0"/>
    <x v="1"/>
    <x v="7"/>
    <x v="0"/>
    <n v="9"/>
    <x v="8"/>
    <n v="4576"/>
  </r>
  <r>
    <x v="1"/>
    <x v="2"/>
    <x v="2"/>
    <x v="1"/>
    <x v="1"/>
    <x v="0"/>
    <n v="9"/>
    <x v="8"/>
    <n v="3794"/>
  </r>
  <r>
    <x v="2"/>
    <x v="10"/>
    <x v="10"/>
    <x v="2"/>
    <x v="2"/>
    <x v="0"/>
    <n v="9"/>
    <x v="8"/>
    <n v="3262"/>
  </r>
  <r>
    <x v="2"/>
    <x v="10"/>
    <x v="10"/>
    <x v="2"/>
    <x v="3"/>
    <x v="0"/>
    <n v="9"/>
    <x v="8"/>
    <n v="2612"/>
  </r>
  <r>
    <x v="2"/>
    <x v="11"/>
    <x v="11"/>
    <x v="2"/>
    <x v="4"/>
    <x v="0"/>
    <n v="9"/>
    <x v="8"/>
    <n v="3406"/>
  </r>
  <r>
    <x v="2"/>
    <x v="11"/>
    <x v="11"/>
    <x v="0"/>
    <x v="5"/>
    <x v="0"/>
    <n v="9"/>
    <x v="8"/>
    <n v="1713"/>
  </r>
  <r>
    <x v="2"/>
    <x v="7"/>
    <x v="7"/>
    <x v="0"/>
    <x v="5"/>
    <x v="0"/>
    <n v="9"/>
    <x v="8"/>
    <n v="2216"/>
  </r>
  <r>
    <x v="1"/>
    <x v="6"/>
    <x v="6"/>
    <x v="1"/>
    <x v="8"/>
    <x v="0"/>
    <n v="9"/>
    <x v="8"/>
    <n v="3714"/>
  </r>
  <r>
    <x v="2"/>
    <x v="3"/>
    <x v="3"/>
    <x v="2"/>
    <x v="2"/>
    <x v="0"/>
    <n v="9"/>
    <x v="8"/>
    <n v="4910"/>
  </r>
  <r>
    <x v="2"/>
    <x v="3"/>
    <x v="3"/>
    <x v="2"/>
    <x v="3"/>
    <x v="0"/>
    <n v="9"/>
    <x v="8"/>
    <n v="2639"/>
  </r>
  <r>
    <x v="1"/>
    <x v="2"/>
    <x v="2"/>
    <x v="0"/>
    <x v="0"/>
    <x v="0"/>
    <n v="9"/>
    <x v="8"/>
    <n v="2312"/>
  </r>
  <r>
    <x v="2"/>
    <x v="10"/>
    <x v="10"/>
    <x v="1"/>
    <x v="7"/>
    <x v="0"/>
    <n v="9"/>
    <x v="8"/>
    <n v="6713"/>
  </r>
  <r>
    <x v="2"/>
    <x v="10"/>
    <x v="10"/>
    <x v="1"/>
    <x v="1"/>
    <x v="0"/>
    <n v="9"/>
    <x v="8"/>
    <n v="2718"/>
  </r>
  <r>
    <x v="2"/>
    <x v="11"/>
    <x v="11"/>
    <x v="1"/>
    <x v="8"/>
    <x v="0"/>
    <n v="9"/>
    <x v="8"/>
    <n v="4346"/>
  </r>
  <r>
    <x v="2"/>
    <x v="11"/>
    <x v="11"/>
    <x v="2"/>
    <x v="2"/>
    <x v="0"/>
    <n v="9"/>
    <x v="8"/>
    <n v="3492"/>
  </r>
  <r>
    <x v="3"/>
    <x v="4"/>
    <x v="4"/>
    <x v="2"/>
    <x v="3"/>
    <x v="0"/>
    <n v="9"/>
    <x v="8"/>
    <n v="4167"/>
  </r>
  <r>
    <x v="3"/>
    <x v="4"/>
    <x v="4"/>
    <x v="2"/>
    <x v="4"/>
    <x v="0"/>
    <n v="9"/>
    <x v="8"/>
    <n v="3269"/>
  </r>
  <r>
    <x v="4"/>
    <x v="5"/>
    <x v="5"/>
    <x v="0"/>
    <x v="5"/>
    <x v="0"/>
    <n v="9"/>
    <x v="8"/>
    <n v="1696"/>
  </r>
  <r>
    <x v="3"/>
    <x v="8"/>
    <x v="8"/>
    <x v="0"/>
    <x v="6"/>
    <x v="0"/>
    <n v="9"/>
    <x v="8"/>
    <n v="1650"/>
  </r>
  <r>
    <x v="3"/>
    <x v="8"/>
    <x v="8"/>
    <x v="1"/>
    <x v="7"/>
    <x v="0"/>
    <n v="9"/>
    <x v="8"/>
    <n v="6290"/>
  </r>
  <r>
    <x v="4"/>
    <x v="9"/>
    <x v="9"/>
    <x v="1"/>
    <x v="1"/>
    <x v="0"/>
    <n v="9"/>
    <x v="8"/>
    <n v="3715"/>
  </r>
  <r>
    <x v="4"/>
    <x v="9"/>
    <x v="9"/>
    <x v="1"/>
    <x v="8"/>
    <x v="0"/>
    <n v="9"/>
    <x v="8"/>
    <n v="3950"/>
  </r>
  <r>
    <x v="0"/>
    <x v="1"/>
    <x v="1"/>
    <x v="2"/>
    <x v="4"/>
    <x v="0"/>
    <n v="9"/>
    <x v="8"/>
    <n v="3856"/>
  </r>
  <r>
    <x v="0"/>
    <x v="1"/>
    <x v="1"/>
    <x v="0"/>
    <x v="5"/>
    <x v="0"/>
    <n v="9"/>
    <x v="8"/>
    <n v="1993"/>
  </r>
  <r>
    <x v="1"/>
    <x v="6"/>
    <x v="6"/>
    <x v="0"/>
    <x v="6"/>
    <x v="0"/>
    <n v="9"/>
    <x v="8"/>
    <n v="1873"/>
  </r>
  <r>
    <x v="2"/>
    <x v="10"/>
    <x v="10"/>
    <x v="1"/>
    <x v="8"/>
    <x v="0"/>
    <n v="9"/>
    <x v="8"/>
    <n v="3926"/>
  </r>
  <r>
    <x v="2"/>
    <x v="11"/>
    <x v="11"/>
    <x v="2"/>
    <x v="3"/>
    <x v="0"/>
    <n v="9"/>
    <x v="8"/>
    <n v="2780"/>
  </r>
  <r>
    <x v="2"/>
    <x v="7"/>
    <x v="7"/>
    <x v="2"/>
    <x v="4"/>
    <x v="0"/>
    <n v="9"/>
    <x v="8"/>
    <n v="3296"/>
  </r>
  <r>
    <x v="2"/>
    <x v="3"/>
    <x v="3"/>
    <x v="1"/>
    <x v="8"/>
    <x v="0"/>
    <n v="9"/>
    <x v="8"/>
    <n v="2635"/>
  </r>
  <r>
    <x v="2"/>
    <x v="10"/>
    <x v="10"/>
    <x v="0"/>
    <x v="6"/>
    <x v="0"/>
    <n v="9"/>
    <x v="8"/>
    <n v="2528"/>
  </r>
  <r>
    <x v="2"/>
    <x v="11"/>
    <x v="11"/>
    <x v="1"/>
    <x v="1"/>
    <x v="0"/>
    <n v="9"/>
    <x v="8"/>
    <n v="3343"/>
  </r>
  <r>
    <x v="3"/>
    <x v="4"/>
    <x v="4"/>
    <x v="2"/>
    <x v="2"/>
    <x v="0"/>
    <n v="9"/>
    <x v="8"/>
    <n v="4333"/>
  </r>
  <r>
    <x v="4"/>
    <x v="5"/>
    <x v="5"/>
    <x v="2"/>
    <x v="4"/>
    <x v="0"/>
    <n v="9"/>
    <x v="8"/>
    <n v="3572"/>
  </r>
  <r>
    <x v="3"/>
    <x v="8"/>
    <x v="8"/>
    <x v="0"/>
    <x v="0"/>
    <x v="0"/>
    <n v="9"/>
    <x v="8"/>
    <n v="3117"/>
  </r>
  <r>
    <x v="4"/>
    <x v="9"/>
    <x v="9"/>
    <x v="1"/>
    <x v="7"/>
    <x v="0"/>
    <n v="9"/>
    <x v="8"/>
    <n v="5137"/>
  </r>
  <r>
    <x v="2"/>
    <x v="10"/>
    <x v="10"/>
    <x v="2"/>
    <x v="4"/>
    <x v="0"/>
    <n v="9"/>
    <x v="8"/>
    <n v="3709"/>
  </r>
  <r>
    <x v="2"/>
    <x v="11"/>
    <x v="11"/>
    <x v="0"/>
    <x v="0"/>
    <x v="0"/>
    <n v="9"/>
    <x v="8"/>
    <n v="1889"/>
  </r>
  <r>
    <x v="0"/>
    <x v="0"/>
    <x v="0"/>
    <x v="0"/>
    <x v="0"/>
    <x v="0"/>
    <n v="10"/>
    <x v="9"/>
    <n v="2014"/>
  </r>
  <r>
    <x v="0"/>
    <x v="1"/>
    <x v="1"/>
    <x v="0"/>
    <x v="0"/>
    <x v="0"/>
    <n v="10"/>
    <x v="9"/>
    <n v="2246"/>
  </r>
  <r>
    <x v="0"/>
    <x v="1"/>
    <x v="1"/>
    <x v="1"/>
    <x v="1"/>
    <x v="0"/>
    <n v="10"/>
    <x v="9"/>
    <n v="3928"/>
  </r>
  <r>
    <x v="0"/>
    <x v="0"/>
    <x v="0"/>
    <x v="1"/>
    <x v="1"/>
    <x v="0"/>
    <n v="10"/>
    <x v="9"/>
    <n v="4054"/>
  </r>
  <r>
    <x v="0"/>
    <x v="0"/>
    <x v="0"/>
    <x v="2"/>
    <x v="2"/>
    <x v="0"/>
    <n v="10"/>
    <x v="9"/>
    <n v="4047"/>
  </r>
  <r>
    <x v="1"/>
    <x v="2"/>
    <x v="2"/>
    <x v="2"/>
    <x v="3"/>
    <x v="0"/>
    <n v="10"/>
    <x v="9"/>
    <n v="5004"/>
  </r>
  <r>
    <x v="2"/>
    <x v="3"/>
    <x v="3"/>
    <x v="2"/>
    <x v="4"/>
    <x v="0"/>
    <n v="10"/>
    <x v="9"/>
    <n v="3550"/>
  </r>
  <r>
    <x v="3"/>
    <x v="4"/>
    <x v="4"/>
    <x v="0"/>
    <x v="5"/>
    <x v="0"/>
    <n v="10"/>
    <x v="9"/>
    <n v="2804"/>
  </r>
  <r>
    <x v="4"/>
    <x v="5"/>
    <x v="5"/>
    <x v="0"/>
    <x v="0"/>
    <x v="0"/>
    <n v="10"/>
    <x v="9"/>
    <n v="1684"/>
  </r>
  <r>
    <x v="0"/>
    <x v="1"/>
    <x v="1"/>
    <x v="0"/>
    <x v="6"/>
    <x v="0"/>
    <n v="10"/>
    <x v="9"/>
    <n v="2278"/>
  </r>
  <r>
    <x v="1"/>
    <x v="6"/>
    <x v="6"/>
    <x v="1"/>
    <x v="7"/>
    <x v="0"/>
    <n v="10"/>
    <x v="9"/>
    <n v="6611"/>
  </r>
  <r>
    <x v="2"/>
    <x v="7"/>
    <x v="7"/>
    <x v="1"/>
    <x v="1"/>
    <x v="0"/>
    <n v="10"/>
    <x v="9"/>
    <n v="3125"/>
  </r>
  <r>
    <x v="3"/>
    <x v="8"/>
    <x v="8"/>
    <x v="1"/>
    <x v="8"/>
    <x v="0"/>
    <n v="10"/>
    <x v="9"/>
    <n v="4367"/>
  </r>
  <r>
    <x v="4"/>
    <x v="9"/>
    <x v="9"/>
    <x v="2"/>
    <x v="2"/>
    <x v="0"/>
    <n v="10"/>
    <x v="9"/>
    <n v="3716"/>
  </r>
  <r>
    <x v="0"/>
    <x v="0"/>
    <x v="0"/>
    <x v="2"/>
    <x v="3"/>
    <x v="0"/>
    <n v="10"/>
    <x v="9"/>
    <n v="4374"/>
  </r>
  <r>
    <x v="1"/>
    <x v="2"/>
    <x v="2"/>
    <x v="2"/>
    <x v="4"/>
    <x v="0"/>
    <n v="10"/>
    <x v="9"/>
    <n v="3297"/>
  </r>
  <r>
    <x v="2"/>
    <x v="3"/>
    <x v="3"/>
    <x v="0"/>
    <x v="5"/>
    <x v="0"/>
    <n v="10"/>
    <x v="9"/>
    <n v="2002"/>
  </r>
  <r>
    <x v="3"/>
    <x v="4"/>
    <x v="4"/>
    <x v="0"/>
    <x v="0"/>
    <x v="0"/>
    <n v="10"/>
    <x v="9"/>
    <n v="3012"/>
  </r>
  <r>
    <x v="4"/>
    <x v="5"/>
    <x v="5"/>
    <x v="0"/>
    <x v="6"/>
    <x v="0"/>
    <n v="10"/>
    <x v="9"/>
    <n v="2725"/>
  </r>
  <r>
    <x v="0"/>
    <x v="1"/>
    <x v="1"/>
    <x v="1"/>
    <x v="7"/>
    <x v="0"/>
    <n v="10"/>
    <x v="9"/>
    <n v="4188"/>
  </r>
  <r>
    <x v="1"/>
    <x v="6"/>
    <x v="6"/>
    <x v="1"/>
    <x v="1"/>
    <x v="0"/>
    <n v="10"/>
    <x v="9"/>
    <n v="5393"/>
  </r>
  <r>
    <x v="2"/>
    <x v="7"/>
    <x v="7"/>
    <x v="1"/>
    <x v="8"/>
    <x v="0"/>
    <n v="10"/>
    <x v="9"/>
    <n v="3990"/>
  </r>
  <r>
    <x v="3"/>
    <x v="8"/>
    <x v="8"/>
    <x v="2"/>
    <x v="2"/>
    <x v="0"/>
    <n v="10"/>
    <x v="9"/>
    <n v="3284"/>
  </r>
  <r>
    <x v="4"/>
    <x v="9"/>
    <x v="9"/>
    <x v="2"/>
    <x v="3"/>
    <x v="0"/>
    <n v="10"/>
    <x v="9"/>
    <n v="4013"/>
  </r>
  <r>
    <x v="0"/>
    <x v="0"/>
    <x v="0"/>
    <x v="2"/>
    <x v="4"/>
    <x v="0"/>
    <n v="10"/>
    <x v="9"/>
    <n v="3265"/>
  </r>
  <r>
    <x v="1"/>
    <x v="2"/>
    <x v="2"/>
    <x v="0"/>
    <x v="5"/>
    <x v="0"/>
    <n v="10"/>
    <x v="9"/>
    <n v="2224"/>
  </r>
  <r>
    <x v="2"/>
    <x v="3"/>
    <x v="3"/>
    <x v="0"/>
    <x v="0"/>
    <x v="0"/>
    <n v="10"/>
    <x v="9"/>
    <n v="3107"/>
  </r>
  <r>
    <x v="3"/>
    <x v="4"/>
    <x v="4"/>
    <x v="0"/>
    <x v="6"/>
    <x v="0"/>
    <n v="10"/>
    <x v="9"/>
    <n v="1942"/>
  </r>
  <r>
    <x v="4"/>
    <x v="5"/>
    <x v="5"/>
    <x v="1"/>
    <x v="7"/>
    <x v="0"/>
    <n v="10"/>
    <x v="9"/>
    <n v="6525"/>
  </r>
  <r>
    <x v="1"/>
    <x v="2"/>
    <x v="2"/>
    <x v="1"/>
    <x v="8"/>
    <x v="0"/>
    <n v="10"/>
    <x v="9"/>
    <n v="3199"/>
  </r>
  <r>
    <x v="2"/>
    <x v="7"/>
    <x v="7"/>
    <x v="2"/>
    <x v="2"/>
    <x v="0"/>
    <n v="10"/>
    <x v="9"/>
    <n v="4325"/>
  </r>
  <r>
    <x v="3"/>
    <x v="8"/>
    <x v="8"/>
    <x v="2"/>
    <x v="3"/>
    <x v="0"/>
    <n v="10"/>
    <x v="9"/>
    <n v="4076"/>
  </r>
  <r>
    <x v="4"/>
    <x v="9"/>
    <x v="9"/>
    <x v="2"/>
    <x v="4"/>
    <x v="0"/>
    <n v="10"/>
    <x v="9"/>
    <n v="3989"/>
  </r>
  <r>
    <x v="0"/>
    <x v="0"/>
    <x v="0"/>
    <x v="0"/>
    <x v="5"/>
    <x v="0"/>
    <n v="10"/>
    <x v="9"/>
    <n v="2683"/>
  </r>
  <r>
    <x v="1"/>
    <x v="6"/>
    <x v="6"/>
    <x v="0"/>
    <x v="0"/>
    <x v="0"/>
    <n v="10"/>
    <x v="9"/>
    <n v="2385"/>
  </r>
  <r>
    <x v="2"/>
    <x v="3"/>
    <x v="3"/>
    <x v="0"/>
    <x v="6"/>
    <x v="0"/>
    <n v="10"/>
    <x v="9"/>
    <n v="2340"/>
  </r>
  <r>
    <x v="3"/>
    <x v="4"/>
    <x v="4"/>
    <x v="1"/>
    <x v="7"/>
    <x v="0"/>
    <n v="10"/>
    <x v="9"/>
    <n v="5602"/>
  </r>
  <r>
    <x v="4"/>
    <x v="5"/>
    <x v="5"/>
    <x v="1"/>
    <x v="1"/>
    <x v="0"/>
    <n v="10"/>
    <x v="9"/>
    <n v="3083"/>
  </r>
  <r>
    <x v="0"/>
    <x v="1"/>
    <x v="1"/>
    <x v="1"/>
    <x v="8"/>
    <x v="0"/>
    <n v="10"/>
    <x v="9"/>
    <n v="2798"/>
  </r>
  <r>
    <x v="1"/>
    <x v="2"/>
    <x v="2"/>
    <x v="2"/>
    <x v="2"/>
    <x v="0"/>
    <n v="10"/>
    <x v="9"/>
    <n v="4883"/>
  </r>
  <r>
    <x v="2"/>
    <x v="7"/>
    <x v="7"/>
    <x v="2"/>
    <x v="3"/>
    <x v="0"/>
    <n v="10"/>
    <x v="9"/>
    <n v="3632"/>
  </r>
  <r>
    <x v="3"/>
    <x v="8"/>
    <x v="8"/>
    <x v="2"/>
    <x v="4"/>
    <x v="0"/>
    <n v="10"/>
    <x v="9"/>
    <n v="3656"/>
  </r>
  <r>
    <x v="4"/>
    <x v="9"/>
    <x v="9"/>
    <x v="0"/>
    <x v="5"/>
    <x v="0"/>
    <n v="10"/>
    <x v="9"/>
    <n v="2547"/>
  </r>
  <r>
    <x v="1"/>
    <x v="2"/>
    <x v="2"/>
    <x v="0"/>
    <x v="6"/>
    <x v="0"/>
    <n v="10"/>
    <x v="9"/>
    <n v="1582"/>
  </r>
  <r>
    <x v="2"/>
    <x v="3"/>
    <x v="3"/>
    <x v="1"/>
    <x v="7"/>
    <x v="0"/>
    <n v="10"/>
    <x v="9"/>
    <n v="5687"/>
  </r>
  <r>
    <x v="3"/>
    <x v="8"/>
    <x v="8"/>
    <x v="1"/>
    <x v="1"/>
    <x v="0"/>
    <n v="10"/>
    <x v="9"/>
    <n v="4787"/>
  </r>
  <r>
    <x v="4"/>
    <x v="5"/>
    <x v="5"/>
    <x v="1"/>
    <x v="8"/>
    <x v="0"/>
    <n v="10"/>
    <x v="9"/>
    <n v="4998"/>
  </r>
  <r>
    <x v="0"/>
    <x v="1"/>
    <x v="1"/>
    <x v="2"/>
    <x v="2"/>
    <x v="0"/>
    <n v="10"/>
    <x v="9"/>
    <n v="5073"/>
  </r>
  <r>
    <x v="0"/>
    <x v="1"/>
    <x v="1"/>
    <x v="2"/>
    <x v="3"/>
    <x v="0"/>
    <n v="10"/>
    <x v="9"/>
    <n v="5273"/>
  </r>
  <r>
    <x v="1"/>
    <x v="6"/>
    <x v="6"/>
    <x v="2"/>
    <x v="4"/>
    <x v="0"/>
    <n v="10"/>
    <x v="9"/>
    <n v="3404"/>
  </r>
  <r>
    <x v="1"/>
    <x v="6"/>
    <x v="6"/>
    <x v="0"/>
    <x v="5"/>
    <x v="0"/>
    <n v="10"/>
    <x v="9"/>
    <n v="1829"/>
  </r>
  <r>
    <x v="2"/>
    <x v="7"/>
    <x v="7"/>
    <x v="0"/>
    <x v="0"/>
    <x v="0"/>
    <n v="10"/>
    <x v="9"/>
    <n v="2878"/>
  </r>
  <r>
    <x v="2"/>
    <x v="7"/>
    <x v="7"/>
    <x v="0"/>
    <x v="6"/>
    <x v="0"/>
    <n v="10"/>
    <x v="9"/>
    <n v="1332"/>
  </r>
  <r>
    <x v="2"/>
    <x v="3"/>
    <x v="3"/>
    <x v="1"/>
    <x v="1"/>
    <x v="0"/>
    <n v="10"/>
    <x v="9"/>
    <n v="3329"/>
  </r>
  <r>
    <x v="0"/>
    <x v="0"/>
    <x v="0"/>
    <x v="1"/>
    <x v="8"/>
    <x v="0"/>
    <n v="10"/>
    <x v="9"/>
    <n v="2680"/>
  </r>
  <r>
    <x v="2"/>
    <x v="10"/>
    <x v="10"/>
    <x v="0"/>
    <x v="5"/>
    <x v="0"/>
    <n v="10"/>
    <x v="9"/>
    <n v="1691"/>
  </r>
  <r>
    <x v="2"/>
    <x v="10"/>
    <x v="10"/>
    <x v="0"/>
    <x v="0"/>
    <x v="0"/>
    <n v="10"/>
    <x v="9"/>
    <n v="2659"/>
  </r>
  <r>
    <x v="2"/>
    <x v="11"/>
    <x v="11"/>
    <x v="0"/>
    <x v="6"/>
    <x v="0"/>
    <n v="10"/>
    <x v="9"/>
    <n v="2751"/>
  </r>
  <r>
    <x v="2"/>
    <x v="11"/>
    <x v="11"/>
    <x v="1"/>
    <x v="7"/>
    <x v="0"/>
    <n v="10"/>
    <x v="9"/>
    <n v="6190"/>
  </r>
  <r>
    <x v="3"/>
    <x v="4"/>
    <x v="4"/>
    <x v="1"/>
    <x v="1"/>
    <x v="0"/>
    <n v="10"/>
    <x v="9"/>
    <n v="5474"/>
  </r>
  <r>
    <x v="3"/>
    <x v="4"/>
    <x v="4"/>
    <x v="1"/>
    <x v="8"/>
    <x v="0"/>
    <n v="10"/>
    <x v="9"/>
    <n v="3737"/>
  </r>
  <r>
    <x v="4"/>
    <x v="5"/>
    <x v="5"/>
    <x v="2"/>
    <x v="2"/>
    <x v="0"/>
    <n v="10"/>
    <x v="9"/>
    <n v="5012"/>
  </r>
  <r>
    <x v="4"/>
    <x v="5"/>
    <x v="5"/>
    <x v="2"/>
    <x v="3"/>
    <x v="0"/>
    <n v="10"/>
    <x v="9"/>
    <n v="4324"/>
  </r>
  <r>
    <x v="3"/>
    <x v="8"/>
    <x v="8"/>
    <x v="0"/>
    <x v="5"/>
    <x v="0"/>
    <n v="10"/>
    <x v="9"/>
    <n v="2553"/>
  </r>
  <r>
    <x v="4"/>
    <x v="9"/>
    <x v="9"/>
    <x v="0"/>
    <x v="0"/>
    <x v="0"/>
    <n v="10"/>
    <x v="9"/>
    <n v="2053"/>
  </r>
  <r>
    <x v="4"/>
    <x v="9"/>
    <x v="9"/>
    <x v="0"/>
    <x v="6"/>
    <x v="0"/>
    <n v="10"/>
    <x v="9"/>
    <n v="1380"/>
  </r>
  <r>
    <x v="2"/>
    <x v="7"/>
    <x v="7"/>
    <x v="1"/>
    <x v="7"/>
    <x v="0"/>
    <n v="10"/>
    <x v="9"/>
    <n v="6372"/>
  </r>
  <r>
    <x v="1"/>
    <x v="6"/>
    <x v="6"/>
    <x v="2"/>
    <x v="3"/>
    <x v="0"/>
    <n v="10"/>
    <x v="9"/>
    <n v="4382"/>
  </r>
  <r>
    <x v="0"/>
    <x v="0"/>
    <x v="0"/>
    <x v="0"/>
    <x v="6"/>
    <x v="0"/>
    <n v="10"/>
    <x v="9"/>
    <n v="1493"/>
  </r>
  <r>
    <x v="0"/>
    <x v="0"/>
    <x v="0"/>
    <x v="1"/>
    <x v="7"/>
    <x v="0"/>
    <n v="10"/>
    <x v="9"/>
    <n v="5210"/>
  </r>
  <r>
    <x v="1"/>
    <x v="2"/>
    <x v="2"/>
    <x v="1"/>
    <x v="1"/>
    <x v="0"/>
    <n v="10"/>
    <x v="9"/>
    <n v="2961"/>
  </r>
  <r>
    <x v="2"/>
    <x v="10"/>
    <x v="10"/>
    <x v="2"/>
    <x v="2"/>
    <x v="0"/>
    <n v="10"/>
    <x v="9"/>
    <n v="4663"/>
  </r>
  <r>
    <x v="2"/>
    <x v="10"/>
    <x v="10"/>
    <x v="2"/>
    <x v="3"/>
    <x v="0"/>
    <n v="10"/>
    <x v="9"/>
    <n v="2859"/>
  </r>
  <r>
    <x v="2"/>
    <x v="11"/>
    <x v="11"/>
    <x v="2"/>
    <x v="4"/>
    <x v="0"/>
    <n v="10"/>
    <x v="9"/>
    <n v="3797"/>
  </r>
  <r>
    <x v="2"/>
    <x v="11"/>
    <x v="11"/>
    <x v="0"/>
    <x v="5"/>
    <x v="0"/>
    <n v="10"/>
    <x v="9"/>
    <n v="2071"/>
  </r>
  <r>
    <x v="2"/>
    <x v="7"/>
    <x v="7"/>
    <x v="0"/>
    <x v="5"/>
    <x v="0"/>
    <n v="10"/>
    <x v="9"/>
    <n v="2377"/>
  </r>
  <r>
    <x v="1"/>
    <x v="6"/>
    <x v="6"/>
    <x v="1"/>
    <x v="8"/>
    <x v="0"/>
    <n v="10"/>
    <x v="9"/>
    <n v="4257"/>
  </r>
  <r>
    <x v="2"/>
    <x v="3"/>
    <x v="3"/>
    <x v="2"/>
    <x v="2"/>
    <x v="0"/>
    <n v="10"/>
    <x v="9"/>
    <n v="3602"/>
  </r>
  <r>
    <x v="2"/>
    <x v="3"/>
    <x v="3"/>
    <x v="2"/>
    <x v="3"/>
    <x v="0"/>
    <n v="10"/>
    <x v="9"/>
    <n v="2946"/>
  </r>
  <r>
    <x v="1"/>
    <x v="2"/>
    <x v="2"/>
    <x v="0"/>
    <x v="0"/>
    <x v="0"/>
    <n v="10"/>
    <x v="9"/>
    <n v="1551"/>
  </r>
  <r>
    <x v="2"/>
    <x v="10"/>
    <x v="10"/>
    <x v="1"/>
    <x v="7"/>
    <x v="0"/>
    <n v="10"/>
    <x v="9"/>
    <n v="4336"/>
  </r>
  <r>
    <x v="2"/>
    <x v="10"/>
    <x v="10"/>
    <x v="1"/>
    <x v="1"/>
    <x v="0"/>
    <n v="10"/>
    <x v="9"/>
    <n v="4173"/>
  </r>
  <r>
    <x v="2"/>
    <x v="11"/>
    <x v="11"/>
    <x v="1"/>
    <x v="8"/>
    <x v="0"/>
    <n v="10"/>
    <x v="9"/>
    <n v="4013"/>
  </r>
  <r>
    <x v="2"/>
    <x v="11"/>
    <x v="11"/>
    <x v="2"/>
    <x v="2"/>
    <x v="0"/>
    <n v="10"/>
    <x v="9"/>
    <n v="3533"/>
  </r>
  <r>
    <x v="3"/>
    <x v="4"/>
    <x v="4"/>
    <x v="2"/>
    <x v="3"/>
    <x v="0"/>
    <n v="10"/>
    <x v="9"/>
    <n v="3848"/>
  </r>
  <r>
    <x v="3"/>
    <x v="4"/>
    <x v="4"/>
    <x v="2"/>
    <x v="4"/>
    <x v="0"/>
    <n v="10"/>
    <x v="9"/>
    <n v="3699"/>
  </r>
  <r>
    <x v="4"/>
    <x v="5"/>
    <x v="5"/>
    <x v="0"/>
    <x v="5"/>
    <x v="0"/>
    <n v="10"/>
    <x v="9"/>
    <n v="2484"/>
  </r>
  <r>
    <x v="3"/>
    <x v="8"/>
    <x v="8"/>
    <x v="0"/>
    <x v="6"/>
    <x v="0"/>
    <n v="10"/>
    <x v="9"/>
    <n v="2037"/>
  </r>
  <r>
    <x v="3"/>
    <x v="8"/>
    <x v="8"/>
    <x v="1"/>
    <x v="7"/>
    <x v="0"/>
    <n v="10"/>
    <x v="9"/>
    <n v="4620"/>
  </r>
  <r>
    <x v="4"/>
    <x v="9"/>
    <x v="9"/>
    <x v="1"/>
    <x v="1"/>
    <x v="0"/>
    <n v="10"/>
    <x v="9"/>
    <n v="3166"/>
  </r>
  <r>
    <x v="4"/>
    <x v="9"/>
    <x v="9"/>
    <x v="1"/>
    <x v="8"/>
    <x v="0"/>
    <n v="10"/>
    <x v="9"/>
    <n v="2920"/>
  </r>
  <r>
    <x v="0"/>
    <x v="1"/>
    <x v="1"/>
    <x v="2"/>
    <x v="4"/>
    <x v="0"/>
    <n v="10"/>
    <x v="9"/>
    <n v="3541"/>
  </r>
  <r>
    <x v="0"/>
    <x v="1"/>
    <x v="1"/>
    <x v="0"/>
    <x v="5"/>
    <x v="0"/>
    <n v="10"/>
    <x v="9"/>
    <n v="2676"/>
  </r>
  <r>
    <x v="1"/>
    <x v="6"/>
    <x v="6"/>
    <x v="0"/>
    <x v="6"/>
    <x v="0"/>
    <n v="10"/>
    <x v="9"/>
    <n v="2528"/>
  </r>
  <r>
    <x v="2"/>
    <x v="10"/>
    <x v="10"/>
    <x v="1"/>
    <x v="8"/>
    <x v="0"/>
    <n v="10"/>
    <x v="9"/>
    <n v="3904"/>
  </r>
  <r>
    <x v="2"/>
    <x v="11"/>
    <x v="11"/>
    <x v="2"/>
    <x v="3"/>
    <x v="0"/>
    <n v="10"/>
    <x v="9"/>
    <n v="5090"/>
  </r>
  <r>
    <x v="2"/>
    <x v="7"/>
    <x v="7"/>
    <x v="2"/>
    <x v="4"/>
    <x v="0"/>
    <n v="10"/>
    <x v="9"/>
    <n v="3578"/>
  </r>
  <r>
    <x v="2"/>
    <x v="3"/>
    <x v="3"/>
    <x v="1"/>
    <x v="8"/>
    <x v="0"/>
    <n v="10"/>
    <x v="9"/>
    <n v="4368"/>
  </r>
  <r>
    <x v="2"/>
    <x v="10"/>
    <x v="10"/>
    <x v="0"/>
    <x v="6"/>
    <x v="0"/>
    <n v="10"/>
    <x v="9"/>
    <n v="2871"/>
  </r>
  <r>
    <x v="2"/>
    <x v="11"/>
    <x v="11"/>
    <x v="1"/>
    <x v="1"/>
    <x v="0"/>
    <n v="10"/>
    <x v="9"/>
    <n v="4124"/>
  </r>
  <r>
    <x v="3"/>
    <x v="4"/>
    <x v="4"/>
    <x v="2"/>
    <x v="2"/>
    <x v="0"/>
    <n v="10"/>
    <x v="9"/>
    <n v="4401"/>
  </r>
  <r>
    <x v="4"/>
    <x v="5"/>
    <x v="5"/>
    <x v="2"/>
    <x v="4"/>
    <x v="0"/>
    <n v="10"/>
    <x v="9"/>
    <n v="3380"/>
  </r>
  <r>
    <x v="3"/>
    <x v="8"/>
    <x v="8"/>
    <x v="0"/>
    <x v="0"/>
    <x v="0"/>
    <n v="10"/>
    <x v="9"/>
    <n v="2729"/>
  </r>
  <r>
    <x v="4"/>
    <x v="9"/>
    <x v="9"/>
    <x v="1"/>
    <x v="7"/>
    <x v="0"/>
    <n v="10"/>
    <x v="9"/>
    <n v="6002"/>
  </r>
  <r>
    <x v="2"/>
    <x v="10"/>
    <x v="10"/>
    <x v="2"/>
    <x v="4"/>
    <x v="0"/>
    <n v="10"/>
    <x v="9"/>
    <n v="3988"/>
  </r>
  <r>
    <x v="2"/>
    <x v="11"/>
    <x v="11"/>
    <x v="0"/>
    <x v="0"/>
    <x v="0"/>
    <n v="10"/>
    <x v="9"/>
    <n v="2298"/>
  </r>
  <r>
    <x v="0"/>
    <x v="0"/>
    <x v="0"/>
    <x v="0"/>
    <x v="0"/>
    <x v="0"/>
    <n v="11"/>
    <x v="10"/>
    <n v="2044"/>
  </r>
  <r>
    <x v="0"/>
    <x v="1"/>
    <x v="1"/>
    <x v="0"/>
    <x v="0"/>
    <x v="0"/>
    <n v="11"/>
    <x v="10"/>
    <n v="2060"/>
  </r>
  <r>
    <x v="0"/>
    <x v="1"/>
    <x v="1"/>
    <x v="1"/>
    <x v="1"/>
    <x v="0"/>
    <n v="11"/>
    <x v="10"/>
    <n v="4539"/>
  </r>
  <r>
    <x v="0"/>
    <x v="0"/>
    <x v="0"/>
    <x v="1"/>
    <x v="1"/>
    <x v="0"/>
    <n v="11"/>
    <x v="10"/>
    <n v="3309"/>
  </r>
  <r>
    <x v="0"/>
    <x v="0"/>
    <x v="0"/>
    <x v="2"/>
    <x v="2"/>
    <x v="0"/>
    <n v="11"/>
    <x v="10"/>
    <n v="5005"/>
  </r>
  <r>
    <x v="1"/>
    <x v="2"/>
    <x v="2"/>
    <x v="2"/>
    <x v="3"/>
    <x v="0"/>
    <n v="11"/>
    <x v="10"/>
    <n v="2689"/>
  </r>
  <r>
    <x v="2"/>
    <x v="3"/>
    <x v="3"/>
    <x v="2"/>
    <x v="4"/>
    <x v="0"/>
    <n v="11"/>
    <x v="10"/>
    <n v="3480"/>
  </r>
  <r>
    <x v="3"/>
    <x v="4"/>
    <x v="4"/>
    <x v="0"/>
    <x v="5"/>
    <x v="0"/>
    <n v="11"/>
    <x v="10"/>
    <n v="2617"/>
  </r>
  <r>
    <x v="4"/>
    <x v="5"/>
    <x v="5"/>
    <x v="0"/>
    <x v="0"/>
    <x v="0"/>
    <n v="11"/>
    <x v="10"/>
    <n v="3357"/>
  </r>
  <r>
    <x v="0"/>
    <x v="1"/>
    <x v="1"/>
    <x v="0"/>
    <x v="6"/>
    <x v="0"/>
    <n v="11"/>
    <x v="10"/>
    <n v="1368"/>
  </r>
  <r>
    <x v="1"/>
    <x v="6"/>
    <x v="6"/>
    <x v="1"/>
    <x v="7"/>
    <x v="0"/>
    <n v="11"/>
    <x v="10"/>
    <n v="6195"/>
  </r>
  <r>
    <x v="2"/>
    <x v="7"/>
    <x v="7"/>
    <x v="1"/>
    <x v="1"/>
    <x v="0"/>
    <n v="11"/>
    <x v="10"/>
    <n v="3080"/>
  </r>
  <r>
    <x v="3"/>
    <x v="8"/>
    <x v="8"/>
    <x v="1"/>
    <x v="8"/>
    <x v="0"/>
    <n v="11"/>
    <x v="10"/>
    <n v="4572"/>
  </r>
  <r>
    <x v="4"/>
    <x v="9"/>
    <x v="9"/>
    <x v="2"/>
    <x v="2"/>
    <x v="0"/>
    <n v="11"/>
    <x v="10"/>
    <n v="3952"/>
  </r>
  <r>
    <x v="0"/>
    <x v="0"/>
    <x v="0"/>
    <x v="2"/>
    <x v="3"/>
    <x v="0"/>
    <n v="11"/>
    <x v="10"/>
    <n v="4606"/>
  </r>
  <r>
    <x v="1"/>
    <x v="2"/>
    <x v="2"/>
    <x v="2"/>
    <x v="4"/>
    <x v="0"/>
    <n v="11"/>
    <x v="10"/>
    <n v="3310"/>
  </r>
  <r>
    <x v="2"/>
    <x v="3"/>
    <x v="3"/>
    <x v="0"/>
    <x v="5"/>
    <x v="0"/>
    <n v="11"/>
    <x v="10"/>
    <n v="2742"/>
  </r>
  <r>
    <x v="3"/>
    <x v="4"/>
    <x v="4"/>
    <x v="0"/>
    <x v="0"/>
    <x v="0"/>
    <n v="11"/>
    <x v="10"/>
    <n v="1947"/>
  </r>
  <r>
    <x v="4"/>
    <x v="5"/>
    <x v="5"/>
    <x v="0"/>
    <x v="6"/>
    <x v="0"/>
    <n v="11"/>
    <x v="10"/>
    <n v="2296"/>
  </r>
  <r>
    <x v="0"/>
    <x v="1"/>
    <x v="1"/>
    <x v="1"/>
    <x v="7"/>
    <x v="0"/>
    <n v="11"/>
    <x v="10"/>
    <n v="4295"/>
  </r>
  <r>
    <x v="1"/>
    <x v="6"/>
    <x v="6"/>
    <x v="1"/>
    <x v="1"/>
    <x v="0"/>
    <n v="11"/>
    <x v="10"/>
    <n v="5000"/>
  </r>
  <r>
    <x v="2"/>
    <x v="7"/>
    <x v="7"/>
    <x v="1"/>
    <x v="8"/>
    <x v="0"/>
    <n v="11"/>
    <x v="10"/>
    <n v="3086"/>
  </r>
  <r>
    <x v="3"/>
    <x v="8"/>
    <x v="8"/>
    <x v="2"/>
    <x v="2"/>
    <x v="0"/>
    <n v="11"/>
    <x v="10"/>
    <n v="4233"/>
  </r>
  <r>
    <x v="4"/>
    <x v="9"/>
    <x v="9"/>
    <x v="2"/>
    <x v="3"/>
    <x v="0"/>
    <n v="11"/>
    <x v="10"/>
    <n v="3819"/>
  </r>
  <r>
    <x v="0"/>
    <x v="0"/>
    <x v="0"/>
    <x v="2"/>
    <x v="4"/>
    <x v="0"/>
    <n v="11"/>
    <x v="10"/>
    <n v="3285"/>
  </r>
  <r>
    <x v="1"/>
    <x v="2"/>
    <x v="2"/>
    <x v="0"/>
    <x v="5"/>
    <x v="0"/>
    <n v="11"/>
    <x v="10"/>
    <n v="1708"/>
  </r>
  <r>
    <x v="2"/>
    <x v="3"/>
    <x v="3"/>
    <x v="0"/>
    <x v="0"/>
    <x v="0"/>
    <n v="11"/>
    <x v="10"/>
    <n v="1852"/>
  </r>
  <r>
    <x v="3"/>
    <x v="4"/>
    <x v="4"/>
    <x v="0"/>
    <x v="6"/>
    <x v="0"/>
    <n v="11"/>
    <x v="10"/>
    <n v="1440"/>
  </r>
  <r>
    <x v="4"/>
    <x v="5"/>
    <x v="5"/>
    <x v="1"/>
    <x v="7"/>
    <x v="0"/>
    <n v="11"/>
    <x v="10"/>
    <n v="6412"/>
  </r>
  <r>
    <x v="1"/>
    <x v="2"/>
    <x v="2"/>
    <x v="1"/>
    <x v="8"/>
    <x v="0"/>
    <n v="11"/>
    <x v="10"/>
    <n v="3704"/>
  </r>
  <r>
    <x v="2"/>
    <x v="7"/>
    <x v="7"/>
    <x v="2"/>
    <x v="2"/>
    <x v="0"/>
    <n v="11"/>
    <x v="10"/>
    <n v="4477"/>
  </r>
  <r>
    <x v="3"/>
    <x v="8"/>
    <x v="8"/>
    <x v="2"/>
    <x v="3"/>
    <x v="0"/>
    <n v="11"/>
    <x v="10"/>
    <n v="5165"/>
  </r>
  <r>
    <x v="4"/>
    <x v="9"/>
    <x v="9"/>
    <x v="2"/>
    <x v="4"/>
    <x v="0"/>
    <n v="11"/>
    <x v="10"/>
    <n v="3464"/>
  </r>
  <r>
    <x v="0"/>
    <x v="0"/>
    <x v="0"/>
    <x v="0"/>
    <x v="5"/>
    <x v="0"/>
    <n v="11"/>
    <x v="10"/>
    <n v="1915"/>
  </r>
  <r>
    <x v="1"/>
    <x v="6"/>
    <x v="6"/>
    <x v="0"/>
    <x v="0"/>
    <x v="0"/>
    <n v="11"/>
    <x v="10"/>
    <n v="3080"/>
  </r>
  <r>
    <x v="2"/>
    <x v="3"/>
    <x v="3"/>
    <x v="0"/>
    <x v="6"/>
    <x v="0"/>
    <n v="11"/>
    <x v="10"/>
    <n v="2856"/>
  </r>
  <r>
    <x v="3"/>
    <x v="4"/>
    <x v="4"/>
    <x v="1"/>
    <x v="7"/>
    <x v="0"/>
    <n v="11"/>
    <x v="10"/>
    <n v="5784"/>
  </r>
  <r>
    <x v="4"/>
    <x v="5"/>
    <x v="5"/>
    <x v="1"/>
    <x v="1"/>
    <x v="0"/>
    <n v="11"/>
    <x v="10"/>
    <n v="3974"/>
  </r>
  <r>
    <x v="0"/>
    <x v="1"/>
    <x v="1"/>
    <x v="1"/>
    <x v="8"/>
    <x v="0"/>
    <n v="11"/>
    <x v="10"/>
    <n v="3277"/>
  </r>
  <r>
    <x v="1"/>
    <x v="2"/>
    <x v="2"/>
    <x v="2"/>
    <x v="2"/>
    <x v="0"/>
    <n v="11"/>
    <x v="10"/>
    <n v="4361"/>
  </r>
  <r>
    <x v="2"/>
    <x v="7"/>
    <x v="7"/>
    <x v="2"/>
    <x v="3"/>
    <x v="0"/>
    <n v="11"/>
    <x v="10"/>
    <n v="4509"/>
  </r>
  <r>
    <x v="3"/>
    <x v="8"/>
    <x v="8"/>
    <x v="2"/>
    <x v="4"/>
    <x v="0"/>
    <n v="11"/>
    <x v="10"/>
    <n v="3861"/>
  </r>
  <r>
    <x v="4"/>
    <x v="9"/>
    <x v="9"/>
    <x v="0"/>
    <x v="5"/>
    <x v="0"/>
    <n v="11"/>
    <x v="10"/>
    <n v="2268"/>
  </r>
  <r>
    <x v="1"/>
    <x v="2"/>
    <x v="2"/>
    <x v="0"/>
    <x v="6"/>
    <x v="0"/>
    <n v="11"/>
    <x v="10"/>
    <n v="2036"/>
  </r>
  <r>
    <x v="2"/>
    <x v="3"/>
    <x v="3"/>
    <x v="1"/>
    <x v="7"/>
    <x v="0"/>
    <n v="11"/>
    <x v="10"/>
    <n v="4226"/>
  </r>
  <r>
    <x v="3"/>
    <x v="8"/>
    <x v="8"/>
    <x v="1"/>
    <x v="1"/>
    <x v="0"/>
    <n v="11"/>
    <x v="10"/>
    <n v="5487"/>
  </r>
  <r>
    <x v="4"/>
    <x v="5"/>
    <x v="5"/>
    <x v="1"/>
    <x v="8"/>
    <x v="0"/>
    <n v="11"/>
    <x v="10"/>
    <n v="2112"/>
  </r>
  <r>
    <x v="0"/>
    <x v="1"/>
    <x v="1"/>
    <x v="2"/>
    <x v="2"/>
    <x v="0"/>
    <n v="11"/>
    <x v="10"/>
    <n v="3943"/>
  </r>
  <r>
    <x v="0"/>
    <x v="1"/>
    <x v="1"/>
    <x v="2"/>
    <x v="3"/>
    <x v="0"/>
    <n v="11"/>
    <x v="10"/>
    <n v="3996"/>
  </r>
  <r>
    <x v="1"/>
    <x v="6"/>
    <x v="6"/>
    <x v="2"/>
    <x v="4"/>
    <x v="0"/>
    <n v="11"/>
    <x v="10"/>
    <n v="3473"/>
  </r>
  <r>
    <x v="1"/>
    <x v="6"/>
    <x v="6"/>
    <x v="0"/>
    <x v="5"/>
    <x v="0"/>
    <n v="11"/>
    <x v="10"/>
    <n v="1590"/>
  </r>
  <r>
    <x v="2"/>
    <x v="7"/>
    <x v="7"/>
    <x v="0"/>
    <x v="0"/>
    <x v="0"/>
    <n v="11"/>
    <x v="10"/>
    <n v="2943"/>
  </r>
  <r>
    <x v="2"/>
    <x v="7"/>
    <x v="7"/>
    <x v="0"/>
    <x v="6"/>
    <x v="0"/>
    <n v="11"/>
    <x v="10"/>
    <n v="2431"/>
  </r>
  <r>
    <x v="2"/>
    <x v="3"/>
    <x v="3"/>
    <x v="1"/>
    <x v="1"/>
    <x v="0"/>
    <n v="11"/>
    <x v="10"/>
    <n v="4553"/>
  </r>
  <r>
    <x v="0"/>
    <x v="0"/>
    <x v="0"/>
    <x v="1"/>
    <x v="8"/>
    <x v="0"/>
    <n v="11"/>
    <x v="10"/>
    <n v="4326"/>
  </r>
  <r>
    <x v="2"/>
    <x v="10"/>
    <x v="10"/>
    <x v="0"/>
    <x v="5"/>
    <x v="0"/>
    <n v="11"/>
    <x v="10"/>
    <n v="2091"/>
  </r>
  <r>
    <x v="2"/>
    <x v="10"/>
    <x v="10"/>
    <x v="0"/>
    <x v="0"/>
    <x v="0"/>
    <n v="11"/>
    <x v="10"/>
    <n v="2260"/>
  </r>
  <r>
    <x v="2"/>
    <x v="11"/>
    <x v="11"/>
    <x v="0"/>
    <x v="6"/>
    <x v="0"/>
    <n v="11"/>
    <x v="10"/>
    <n v="2078"/>
  </r>
  <r>
    <x v="2"/>
    <x v="11"/>
    <x v="11"/>
    <x v="1"/>
    <x v="7"/>
    <x v="0"/>
    <n v="11"/>
    <x v="10"/>
    <n v="4288"/>
  </r>
  <r>
    <x v="3"/>
    <x v="4"/>
    <x v="4"/>
    <x v="1"/>
    <x v="1"/>
    <x v="0"/>
    <n v="11"/>
    <x v="10"/>
    <n v="3623"/>
  </r>
  <r>
    <x v="3"/>
    <x v="4"/>
    <x v="4"/>
    <x v="1"/>
    <x v="8"/>
    <x v="0"/>
    <n v="11"/>
    <x v="10"/>
    <n v="4217"/>
  </r>
  <r>
    <x v="4"/>
    <x v="5"/>
    <x v="5"/>
    <x v="2"/>
    <x v="2"/>
    <x v="0"/>
    <n v="11"/>
    <x v="10"/>
    <n v="3479"/>
  </r>
  <r>
    <x v="4"/>
    <x v="5"/>
    <x v="5"/>
    <x v="2"/>
    <x v="3"/>
    <x v="0"/>
    <n v="11"/>
    <x v="10"/>
    <n v="3306"/>
  </r>
  <r>
    <x v="3"/>
    <x v="8"/>
    <x v="8"/>
    <x v="0"/>
    <x v="5"/>
    <x v="0"/>
    <n v="11"/>
    <x v="10"/>
    <n v="1567"/>
  </r>
  <r>
    <x v="4"/>
    <x v="9"/>
    <x v="9"/>
    <x v="0"/>
    <x v="0"/>
    <x v="0"/>
    <n v="11"/>
    <x v="10"/>
    <n v="1505"/>
  </r>
  <r>
    <x v="4"/>
    <x v="9"/>
    <x v="9"/>
    <x v="0"/>
    <x v="6"/>
    <x v="0"/>
    <n v="11"/>
    <x v="10"/>
    <n v="2893"/>
  </r>
  <r>
    <x v="2"/>
    <x v="7"/>
    <x v="7"/>
    <x v="1"/>
    <x v="7"/>
    <x v="0"/>
    <n v="11"/>
    <x v="10"/>
    <n v="6273"/>
  </r>
  <r>
    <x v="1"/>
    <x v="6"/>
    <x v="6"/>
    <x v="2"/>
    <x v="3"/>
    <x v="0"/>
    <n v="11"/>
    <x v="10"/>
    <n v="5351"/>
  </r>
  <r>
    <x v="0"/>
    <x v="0"/>
    <x v="0"/>
    <x v="0"/>
    <x v="6"/>
    <x v="0"/>
    <n v="11"/>
    <x v="10"/>
    <n v="1435"/>
  </r>
  <r>
    <x v="0"/>
    <x v="0"/>
    <x v="0"/>
    <x v="1"/>
    <x v="7"/>
    <x v="0"/>
    <n v="11"/>
    <x v="10"/>
    <n v="5472"/>
  </r>
  <r>
    <x v="1"/>
    <x v="2"/>
    <x v="2"/>
    <x v="1"/>
    <x v="1"/>
    <x v="0"/>
    <n v="11"/>
    <x v="10"/>
    <n v="4383"/>
  </r>
  <r>
    <x v="2"/>
    <x v="10"/>
    <x v="10"/>
    <x v="2"/>
    <x v="2"/>
    <x v="0"/>
    <n v="11"/>
    <x v="10"/>
    <n v="5078"/>
  </r>
  <r>
    <x v="2"/>
    <x v="10"/>
    <x v="10"/>
    <x v="2"/>
    <x v="3"/>
    <x v="0"/>
    <n v="11"/>
    <x v="10"/>
    <n v="4820"/>
  </r>
  <r>
    <x v="2"/>
    <x v="11"/>
    <x v="11"/>
    <x v="2"/>
    <x v="4"/>
    <x v="0"/>
    <n v="11"/>
    <x v="10"/>
    <n v="3415"/>
  </r>
  <r>
    <x v="2"/>
    <x v="11"/>
    <x v="11"/>
    <x v="0"/>
    <x v="5"/>
    <x v="0"/>
    <n v="11"/>
    <x v="10"/>
    <n v="1687"/>
  </r>
  <r>
    <x v="2"/>
    <x v="7"/>
    <x v="7"/>
    <x v="0"/>
    <x v="5"/>
    <x v="0"/>
    <n v="11"/>
    <x v="10"/>
    <n v="2389"/>
  </r>
  <r>
    <x v="1"/>
    <x v="6"/>
    <x v="6"/>
    <x v="1"/>
    <x v="8"/>
    <x v="0"/>
    <n v="11"/>
    <x v="10"/>
    <n v="3588"/>
  </r>
  <r>
    <x v="2"/>
    <x v="3"/>
    <x v="3"/>
    <x v="2"/>
    <x v="2"/>
    <x v="0"/>
    <n v="11"/>
    <x v="10"/>
    <n v="4482"/>
  </r>
  <r>
    <x v="2"/>
    <x v="3"/>
    <x v="3"/>
    <x v="2"/>
    <x v="3"/>
    <x v="0"/>
    <n v="11"/>
    <x v="10"/>
    <n v="5023"/>
  </r>
  <r>
    <x v="1"/>
    <x v="2"/>
    <x v="2"/>
    <x v="0"/>
    <x v="0"/>
    <x v="0"/>
    <n v="11"/>
    <x v="10"/>
    <n v="1508"/>
  </r>
  <r>
    <x v="2"/>
    <x v="10"/>
    <x v="10"/>
    <x v="1"/>
    <x v="7"/>
    <x v="0"/>
    <n v="11"/>
    <x v="10"/>
    <n v="6931"/>
  </r>
  <r>
    <x v="2"/>
    <x v="10"/>
    <x v="10"/>
    <x v="1"/>
    <x v="1"/>
    <x v="0"/>
    <n v="11"/>
    <x v="10"/>
    <n v="3247"/>
  </r>
  <r>
    <x v="2"/>
    <x v="11"/>
    <x v="11"/>
    <x v="1"/>
    <x v="8"/>
    <x v="0"/>
    <n v="11"/>
    <x v="10"/>
    <n v="3891"/>
  </r>
  <r>
    <x v="2"/>
    <x v="11"/>
    <x v="11"/>
    <x v="2"/>
    <x v="2"/>
    <x v="0"/>
    <n v="11"/>
    <x v="10"/>
    <n v="4797"/>
  </r>
  <r>
    <x v="3"/>
    <x v="4"/>
    <x v="4"/>
    <x v="2"/>
    <x v="3"/>
    <x v="0"/>
    <n v="11"/>
    <x v="10"/>
    <n v="4272"/>
  </r>
  <r>
    <x v="3"/>
    <x v="4"/>
    <x v="4"/>
    <x v="2"/>
    <x v="4"/>
    <x v="0"/>
    <n v="11"/>
    <x v="10"/>
    <n v="3121"/>
  </r>
  <r>
    <x v="4"/>
    <x v="5"/>
    <x v="5"/>
    <x v="0"/>
    <x v="5"/>
    <x v="0"/>
    <n v="11"/>
    <x v="10"/>
    <n v="2424"/>
  </r>
  <r>
    <x v="3"/>
    <x v="8"/>
    <x v="8"/>
    <x v="0"/>
    <x v="6"/>
    <x v="0"/>
    <n v="11"/>
    <x v="10"/>
    <n v="1833"/>
  </r>
  <r>
    <x v="3"/>
    <x v="8"/>
    <x v="8"/>
    <x v="1"/>
    <x v="7"/>
    <x v="0"/>
    <n v="11"/>
    <x v="10"/>
    <n v="5901"/>
  </r>
  <r>
    <x v="4"/>
    <x v="9"/>
    <x v="9"/>
    <x v="1"/>
    <x v="1"/>
    <x v="0"/>
    <n v="11"/>
    <x v="10"/>
    <n v="3372"/>
  </r>
  <r>
    <x v="4"/>
    <x v="9"/>
    <x v="9"/>
    <x v="1"/>
    <x v="8"/>
    <x v="0"/>
    <n v="11"/>
    <x v="10"/>
    <n v="4869"/>
  </r>
  <r>
    <x v="0"/>
    <x v="1"/>
    <x v="1"/>
    <x v="2"/>
    <x v="4"/>
    <x v="0"/>
    <n v="11"/>
    <x v="10"/>
    <n v="3823"/>
  </r>
  <r>
    <x v="0"/>
    <x v="1"/>
    <x v="1"/>
    <x v="0"/>
    <x v="5"/>
    <x v="0"/>
    <n v="11"/>
    <x v="10"/>
    <n v="2357"/>
  </r>
  <r>
    <x v="1"/>
    <x v="6"/>
    <x v="6"/>
    <x v="0"/>
    <x v="6"/>
    <x v="0"/>
    <n v="11"/>
    <x v="10"/>
    <n v="1332"/>
  </r>
  <r>
    <x v="2"/>
    <x v="10"/>
    <x v="10"/>
    <x v="1"/>
    <x v="8"/>
    <x v="0"/>
    <n v="11"/>
    <x v="10"/>
    <n v="3366"/>
  </r>
  <r>
    <x v="2"/>
    <x v="11"/>
    <x v="11"/>
    <x v="2"/>
    <x v="3"/>
    <x v="0"/>
    <n v="11"/>
    <x v="10"/>
    <n v="3360"/>
  </r>
  <r>
    <x v="2"/>
    <x v="7"/>
    <x v="7"/>
    <x v="2"/>
    <x v="4"/>
    <x v="0"/>
    <n v="11"/>
    <x v="10"/>
    <n v="3512"/>
  </r>
  <r>
    <x v="2"/>
    <x v="3"/>
    <x v="3"/>
    <x v="1"/>
    <x v="8"/>
    <x v="0"/>
    <n v="11"/>
    <x v="10"/>
    <n v="3034"/>
  </r>
  <r>
    <x v="2"/>
    <x v="10"/>
    <x v="10"/>
    <x v="0"/>
    <x v="6"/>
    <x v="0"/>
    <n v="11"/>
    <x v="10"/>
    <n v="2800"/>
  </r>
  <r>
    <x v="2"/>
    <x v="11"/>
    <x v="11"/>
    <x v="1"/>
    <x v="1"/>
    <x v="0"/>
    <n v="11"/>
    <x v="10"/>
    <n v="2711"/>
  </r>
  <r>
    <x v="3"/>
    <x v="4"/>
    <x v="4"/>
    <x v="2"/>
    <x v="2"/>
    <x v="0"/>
    <n v="11"/>
    <x v="10"/>
    <n v="4237"/>
  </r>
  <r>
    <x v="4"/>
    <x v="5"/>
    <x v="5"/>
    <x v="2"/>
    <x v="4"/>
    <x v="0"/>
    <n v="11"/>
    <x v="10"/>
    <n v="3322"/>
  </r>
  <r>
    <x v="3"/>
    <x v="8"/>
    <x v="8"/>
    <x v="0"/>
    <x v="0"/>
    <x v="0"/>
    <n v="11"/>
    <x v="10"/>
    <n v="2637"/>
  </r>
  <r>
    <x v="4"/>
    <x v="9"/>
    <x v="9"/>
    <x v="1"/>
    <x v="7"/>
    <x v="0"/>
    <n v="11"/>
    <x v="10"/>
    <n v="6223"/>
  </r>
  <r>
    <x v="2"/>
    <x v="10"/>
    <x v="10"/>
    <x v="2"/>
    <x v="4"/>
    <x v="0"/>
    <n v="11"/>
    <x v="10"/>
    <n v="3111"/>
  </r>
  <r>
    <x v="2"/>
    <x v="11"/>
    <x v="11"/>
    <x v="0"/>
    <x v="0"/>
    <x v="0"/>
    <n v="11"/>
    <x v="10"/>
    <n v="3065"/>
  </r>
  <r>
    <x v="0"/>
    <x v="0"/>
    <x v="0"/>
    <x v="0"/>
    <x v="0"/>
    <x v="0"/>
    <n v="12"/>
    <x v="11"/>
    <n v="2349"/>
  </r>
  <r>
    <x v="0"/>
    <x v="1"/>
    <x v="1"/>
    <x v="0"/>
    <x v="0"/>
    <x v="0"/>
    <n v="12"/>
    <x v="11"/>
    <n v="1724"/>
  </r>
  <r>
    <x v="0"/>
    <x v="1"/>
    <x v="1"/>
    <x v="1"/>
    <x v="1"/>
    <x v="0"/>
    <n v="12"/>
    <x v="11"/>
    <n v="4629"/>
  </r>
  <r>
    <x v="0"/>
    <x v="0"/>
    <x v="0"/>
    <x v="1"/>
    <x v="1"/>
    <x v="0"/>
    <n v="12"/>
    <x v="11"/>
    <n v="3519"/>
  </r>
  <r>
    <x v="0"/>
    <x v="0"/>
    <x v="0"/>
    <x v="2"/>
    <x v="2"/>
    <x v="0"/>
    <n v="12"/>
    <x v="11"/>
    <n v="3332"/>
  </r>
  <r>
    <x v="1"/>
    <x v="2"/>
    <x v="2"/>
    <x v="2"/>
    <x v="3"/>
    <x v="0"/>
    <n v="12"/>
    <x v="11"/>
    <n v="5032"/>
  </r>
  <r>
    <x v="2"/>
    <x v="3"/>
    <x v="3"/>
    <x v="2"/>
    <x v="4"/>
    <x v="0"/>
    <n v="12"/>
    <x v="11"/>
    <n v="3110"/>
  </r>
  <r>
    <x v="3"/>
    <x v="4"/>
    <x v="4"/>
    <x v="0"/>
    <x v="5"/>
    <x v="0"/>
    <n v="12"/>
    <x v="11"/>
    <n v="2891"/>
  </r>
  <r>
    <x v="4"/>
    <x v="5"/>
    <x v="5"/>
    <x v="0"/>
    <x v="0"/>
    <x v="0"/>
    <n v="12"/>
    <x v="11"/>
    <n v="2936"/>
  </r>
  <r>
    <x v="0"/>
    <x v="1"/>
    <x v="1"/>
    <x v="0"/>
    <x v="6"/>
    <x v="0"/>
    <n v="12"/>
    <x v="11"/>
    <n v="1915"/>
  </r>
  <r>
    <x v="1"/>
    <x v="6"/>
    <x v="6"/>
    <x v="1"/>
    <x v="7"/>
    <x v="0"/>
    <n v="12"/>
    <x v="11"/>
    <n v="5390"/>
  </r>
  <r>
    <x v="2"/>
    <x v="7"/>
    <x v="7"/>
    <x v="1"/>
    <x v="1"/>
    <x v="0"/>
    <n v="12"/>
    <x v="11"/>
    <n v="3365"/>
  </r>
  <r>
    <x v="3"/>
    <x v="8"/>
    <x v="8"/>
    <x v="1"/>
    <x v="8"/>
    <x v="0"/>
    <n v="12"/>
    <x v="11"/>
    <n v="4517"/>
  </r>
  <r>
    <x v="4"/>
    <x v="9"/>
    <x v="9"/>
    <x v="2"/>
    <x v="2"/>
    <x v="0"/>
    <n v="12"/>
    <x v="11"/>
    <n v="3312"/>
  </r>
  <r>
    <x v="0"/>
    <x v="0"/>
    <x v="0"/>
    <x v="2"/>
    <x v="3"/>
    <x v="0"/>
    <n v="12"/>
    <x v="11"/>
    <n v="5401"/>
  </r>
  <r>
    <x v="1"/>
    <x v="2"/>
    <x v="2"/>
    <x v="2"/>
    <x v="4"/>
    <x v="0"/>
    <n v="12"/>
    <x v="11"/>
    <n v="4087"/>
  </r>
  <r>
    <x v="2"/>
    <x v="3"/>
    <x v="3"/>
    <x v="0"/>
    <x v="5"/>
    <x v="0"/>
    <n v="12"/>
    <x v="11"/>
    <n v="2552"/>
  </r>
  <r>
    <x v="3"/>
    <x v="4"/>
    <x v="4"/>
    <x v="0"/>
    <x v="0"/>
    <x v="0"/>
    <n v="12"/>
    <x v="11"/>
    <n v="2236"/>
  </r>
  <r>
    <x v="4"/>
    <x v="5"/>
    <x v="5"/>
    <x v="0"/>
    <x v="6"/>
    <x v="0"/>
    <n v="12"/>
    <x v="11"/>
    <n v="2598"/>
  </r>
  <r>
    <x v="0"/>
    <x v="1"/>
    <x v="1"/>
    <x v="1"/>
    <x v="7"/>
    <x v="0"/>
    <n v="12"/>
    <x v="11"/>
    <n v="4007"/>
  </r>
  <r>
    <x v="1"/>
    <x v="6"/>
    <x v="6"/>
    <x v="1"/>
    <x v="1"/>
    <x v="0"/>
    <n v="12"/>
    <x v="11"/>
    <n v="3475"/>
  </r>
  <r>
    <x v="2"/>
    <x v="7"/>
    <x v="7"/>
    <x v="1"/>
    <x v="8"/>
    <x v="0"/>
    <n v="12"/>
    <x v="11"/>
    <n v="4622"/>
  </r>
  <r>
    <x v="3"/>
    <x v="8"/>
    <x v="8"/>
    <x v="2"/>
    <x v="2"/>
    <x v="0"/>
    <n v="12"/>
    <x v="11"/>
    <n v="3387"/>
  </r>
  <r>
    <x v="4"/>
    <x v="9"/>
    <x v="9"/>
    <x v="2"/>
    <x v="3"/>
    <x v="0"/>
    <n v="12"/>
    <x v="11"/>
    <n v="3855"/>
  </r>
  <r>
    <x v="0"/>
    <x v="0"/>
    <x v="0"/>
    <x v="2"/>
    <x v="4"/>
    <x v="0"/>
    <n v="12"/>
    <x v="11"/>
    <n v="3428"/>
  </r>
  <r>
    <x v="1"/>
    <x v="2"/>
    <x v="2"/>
    <x v="0"/>
    <x v="5"/>
    <x v="0"/>
    <n v="12"/>
    <x v="11"/>
    <n v="2995"/>
  </r>
  <r>
    <x v="2"/>
    <x v="3"/>
    <x v="3"/>
    <x v="0"/>
    <x v="0"/>
    <x v="0"/>
    <n v="12"/>
    <x v="11"/>
    <n v="3386"/>
  </r>
  <r>
    <x v="3"/>
    <x v="4"/>
    <x v="4"/>
    <x v="0"/>
    <x v="6"/>
    <x v="0"/>
    <n v="12"/>
    <x v="11"/>
    <n v="1239"/>
  </r>
  <r>
    <x v="4"/>
    <x v="5"/>
    <x v="5"/>
    <x v="1"/>
    <x v="7"/>
    <x v="0"/>
    <n v="12"/>
    <x v="11"/>
    <n v="6671"/>
  </r>
  <r>
    <x v="1"/>
    <x v="2"/>
    <x v="2"/>
    <x v="1"/>
    <x v="8"/>
    <x v="0"/>
    <n v="12"/>
    <x v="11"/>
    <n v="4276"/>
  </r>
  <r>
    <x v="2"/>
    <x v="7"/>
    <x v="7"/>
    <x v="2"/>
    <x v="2"/>
    <x v="0"/>
    <n v="12"/>
    <x v="11"/>
    <n v="4885"/>
  </r>
  <r>
    <x v="3"/>
    <x v="8"/>
    <x v="8"/>
    <x v="2"/>
    <x v="3"/>
    <x v="0"/>
    <n v="12"/>
    <x v="11"/>
    <n v="3980"/>
  </r>
  <r>
    <x v="4"/>
    <x v="9"/>
    <x v="9"/>
    <x v="2"/>
    <x v="4"/>
    <x v="0"/>
    <n v="12"/>
    <x v="11"/>
    <n v="3261"/>
  </r>
  <r>
    <x v="0"/>
    <x v="0"/>
    <x v="0"/>
    <x v="0"/>
    <x v="5"/>
    <x v="0"/>
    <n v="12"/>
    <x v="11"/>
    <n v="2696"/>
  </r>
  <r>
    <x v="1"/>
    <x v="6"/>
    <x v="6"/>
    <x v="0"/>
    <x v="0"/>
    <x v="0"/>
    <n v="12"/>
    <x v="11"/>
    <n v="3243"/>
  </r>
  <r>
    <x v="2"/>
    <x v="3"/>
    <x v="3"/>
    <x v="0"/>
    <x v="6"/>
    <x v="0"/>
    <n v="12"/>
    <x v="11"/>
    <n v="2153"/>
  </r>
  <r>
    <x v="3"/>
    <x v="4"/>
    <x v="4"/>
    <x v="1"/>
    <x v="7"/>
    <x v="0"/>
    <n v="12"/>
    <x v="11"/>
    <n v="5225"/>
  </r>
  <r>
    <x v="4"/>
    <x v="5"/>
    <x v="5"/>
    <x v="1"/>
    <x v="1"/>
    <x v="0"/>
    <n v="12"/>
    <x v="11"/>
    <n v="5099"/>
  </r>
  <r>
    <x v="0"/>
    <x v="1"/>
    <x v="1"/>
    <x v="1"/>
    <x v="8"/>
    <x v="0"/>
    <n v="12"/>
    <x v="11"/>
    <n v="3708"/>
  </r>
  <r>
    <x v="1"/>
    <x v="2"/>
    <x v="2"/>
    <x v="2"/>
    <x v="2"/>
    <x v="0"/>
    <n v="12"/>
    <x v="11"/>
    <n v="3534"/>
  </r>
  <r>
    <x v="2"/>
    <x v="7"/>
    <x v="7"/>
    <x v="2"/>
    <x v="3"/>
    <x v="0"/>
    <n v="12"/>
    <x v="11"/>
    <n v="3490"/>
  </r>
  <r>
    <x v="3"/>
    <x v="8"/>
    <x v="8"/>
    <x v="2"/>
    <x v="4"/>
    <x v="0"/>
    <n v="12"/>
    <x v="11"/>
    <n v="3972"/>
  </r>
  <r>
    <x v="4"/>
    <x v="9"/>
    <x v="9"/>
    <x v="0"/>
    <x v="5"/>
    <x v="0"/>
    <n v="12"/>
    <x v="11"/>
    <n v="2679"/>
  </r>
  <r>
    <x v="1"/>
    <x v="2"/>
    <x v="2"/>
    <x v="0"/>
    <x v="6"/>
    <x v="0"/>
    <n v="12"/>
    <x v="11"/>
    <n v="1837"/>
  </r>
  <r>
    <x v="2"/>
    <x v="3"/>
    <x v="3"/>
    <x v="1"/>
    <x v="7"/>
    <x v="0"/>
    <n v="12"/>
    <x v="11"/>
    <n v="6325"/>
  </r>
  <r>
    <x v="3"/>
    <x v="8"/>
    <x v="8"/>
    <x v="1"/>
    <x v="1"/>
    <x v="0"/>
    <n v="12"/>
    <x v="11"/>
    <n v="3304"/>
  </r>
  <r>
    <x v="4"/>
    <x v="5"/>
    <x v="5"/>
    <x v="1"/>
    <x v="8"/>
    <x v="0"/>
    <n v="12"/>
    <x v="11"/>
    <n v="4674"/>
  </r>
  <r>
    <x v="0"/>
    <x v="1"/>
    <x v="1"/>
    <x v="2"/>
    <x v="2"/>
    <x v="0"/>
    <n v="12"/>
    <x v="11"/>
    <n v="4911"/>
  </r>
  <r>
    <x v="0"/>
    <x v="1"/>
    <x v="1"/>
    <x v="2"/>
    <x v="3"/>
    <x v="0"/>
    <n v="12"/>
    <x v="11"/>
    <n v="4907"/>
  </r>
  <r>
    <x v="1"/>
    <x v="6"/>
    <x v="6"/>
    <x v="2"/>
    <x v="4"/>
    <x v="0"/>
    <n v="12"/>
    <x v="11"/>
    <n v="3354"/>
  </r>
  <r>
    <x v="1"/>
    <x v="6"/>
    <x v="6"/>
    <x v="0"/>
    <x v="5"/>
    <x v="0"/>
    <n v="12"/>
    <x v="11"/>
    <n v="1736"/>
  </r>
  <r>
    <x v="2"/>
    <x v="7"/>
    <x v="7"/>
    <x v="0"/>
    <x v="0"/>
    <x v="0"/>
    <n v="12"/>
    <x v="11"/>
    <n v="2776"/>
  </r>
  <r>
    <x v="2"/>
    <x v="7"/>
    <x v="7"/>
    <x v="0"/>
    <x v="6"/>
    <x v="0"/>
    <n v="12"/>
    <x v="11"/>
    <n v="1639"/>
  </r>
  <r>
    <x v="2"/>
    <x v="3"/>
    <x v="3"/>
    <x v="1"/>
    <x v="1"/>
    <x v="0"/>
    <n v="12"/>
    <x v="11"/>
    <n v="4641"/>
  </r>
  <r>
    <x v="0"/>
    <x v="0"/>
    <x v="0"/>
    <x v="1"/>
    <x v="8"/>
    <x v="0"/>
    <n v="12"/>
    <x v="11"/>
    <n v="2088"/>
  </r>
  <r>
    <x v="2"/>
    <x v="10"/>
    <x v="10"/>
    <x v="0"/>
    <x v="5"/>
    <x v="0"/>
    <n v="12"/>
    <x v="11"/>
    <n v="2114"/>
  </r>
  <r>
    <x v="2"/>
    <x v="10"/>
    <x v="10"/>
    <x v="0"/>
    <x v="0"/>
    <x v="0"/>
    <n v="12"/>
    <x v="11"/>
    <n v="1734"/>
  </r>
  <r>
    <x v="2"/>
    <x v="11"/>
    <x v="11"/>
    <x v="0"/>
    <x v="6"/>
    <x v="0"/>
    <n v="12"/>
    <x v="11"/>
    <n v="2609"/>
  </r>
  <r>
    <x v="2"/>
    <x v="11"/>
    <x v="11"/>
    <x v="1"/>
    <x v="7"/>
    <x v="0"/>
    <n v="12"/>
    <x v="11"/>
    <n v="5394"/>
  </r>
  <r>
    <x v="3"/>
    <x v="4"/>
    <x v="4"/>
    <x v="1"/>
    <x v="1"/>
    <x v="0"/>
    <n v="12"/>
    <x v="11"/>
    <n v="4694"/>
  </r>
  <r>
    <x v="3"/>
    <x v="4"/>
    <x v="4"/>
    <x v="1"/>
    <x v="8"/>
    <x v="0"/>
    <n v="12"/>
    <x v="11"/>
    <n v="4777"/>
  </r>
  <r>
    <x v="4"/>
    <x v="5"/>
    <x v="5"/>
    <x v="2"/>
    <x v="2"/>
    <x v="0"/>
    <n v="12"/>
    <x v="11"/>
    <n v="4659"/>
  </r>
  <r>
    <x v="4"/>
    <x v="5"/>
    <x v="5"/>
    <x v="2"/>
    <x v="3"/>
    <x v="0"/>
    <n v="12"/>
    <x v="11"/>
    <n v="2688"/>
  </r>
  <r>
    <x v="3"/>
    <x v="8"/>
    <x v="8"/>
    <x v="0"/>
    <x v="5"/>
    <x v="0"/>
    <n v="12"/>
    <x v="11"/>
    <n v="1949"/>
  </r>
  <r>
    <x v="4"/>
    <x v="9"/>
    <x v="9"/>
    <x v="0"/>
    <x v="0"/>
    <x v="0"/>
    <n v="12"/>
    <x v="11"/>
    <n v="2436"/>
  </r>
  <r>
    <x v="4"/>
    <x v="9"/>
    <x v="9"/>
    <x v="0"/>
    <x v="6"/>
    <x v="0"/>
    <n v="12"/>
    <x v="11"/>
    <n v="1680"/>
  </r>
  <r>
    <x v="2"/>
    <x v="7"/>
    <x v="7"/>
    <x v="1"/>
    <x v="7"/>
    <x v="0"/>
    <n v="12"/>
    <x v="11"/>
    <n v="6944"/>
  </r>
  <r>
    <x v="1"/>
    <x v="6"/>
    <x v="6"/>
    <x v="2"/>
    <x v="3"/>
    <x v="0"/>
    <n v="12"/>
    <x v="11"/>
    <n v="4850"/>
  </r>
  <r>
    <x v="0"/>
    <x v="0"/>
    <x v="0"/>
    <x v="0"/>
    <x v="6"/>
    <x v="0"/>
    <n v="12"/>
    <x v="11"/>
    <n v="1318"/>
  </r>
  <r>
    <x v="0"/>
    <x v="0"/>
    <x v="0"/>
    <x v="1"/>
    <x v="7"/>
    <x v="0"/>
    <n v="12"/>
    <x v="11"/>
    <n v="6562"/>
  </r>
  <r>
    <x v="1"/>
    <x v="2"/>
    <x v="2"/>
    <x v="1"/>
    <x v="1"/>
    <x v="0"/>
    <n v="12"/>
    <x v="11"/>
    <n v="2788"/>
  </r>
  <r>
    <x v="2"/>
    <x v="10"/>
    <x v="10"/>
    <x v="2"/>
    <x v="2"/>
    <x v="0"/>
    <n v="12"/>
    <x v="11"/>
    <n v="4633"/>
  </r>
  <r>
    <x v="2"/>
    <x v="10"/>
    <x v="10"/>
    <x v="2"/>
    <x v="3"/>
    <x v="0"/>
    <n v="12"/>
    <x v="11"/>
    <n v="5540"/>
  </r>
  <r>
    <x v="2"/>
    <x v="11"/>
    <x v="11"/>
    <x v="2"/>
    <x v="4"/>
    <x v="0"/>
    <n v="12"/>
    <x v="11"/>
    <n v="3903"/>
  </r>
  <r>
    <x v="2"/>
    <x v="11"/>
    <x v="11"/>
    <x v="0"/>
    <x v="5"/>
    <x v="0"/>
    <n v="12"/>
    <x v="11"/>
    <n v="2663"/>
  </r>
  <r>
    <x v="2"/>
    <x v="7"/>
    <x v="7"/>
    <x v="0"/>
    <x v="5"/>
    <x v="0"/>
    <n v="12"/>
    <x v="11"/>
    <n v="2223"/>
  </r>
  <r>
    <x v="1"/>
    <x v="6"/>
    <x v="6"/>
    <x v="1"/>
    <x v="8"/>
    <x v="0"/>
    <n v="12"/>
    <x v="11"/>
    <n v="4293"/>
  </r>
  <r>
    <x v="2"/>
    <x v="3"/>
    <x v="3"/>
    <x v="2"/>
    <x v="2"/>
    <x v="0"/>
    <n v="12"/>
    <x v="11"/>
    <n v="3451"/>
  </r>
  <r>
    <x v="2"/>
    <x v="3"/>
    <x v="3"/>
    <x v="2"/>
    <x v="3"/>
    <x v="0"/>
    <n v="12"/>
    <x v="11"/>
    <n v="2939"/>
  </r>
  <r>
    <x v="1"/>
    <x v="2"/>
    <x v="2"/>
    <x v="0"/>
    <x v="0"/>
    <x v="0"/>
    <n v="12"/>
    <x v="11"/>
    <n v="1895"/>
  </r>
  <r>
    <x v="2"/>
    <x v="10"/>
    <x v="10"/>
    <x v="1"/>
    <x v="7"/>
    <x v="0"/>
    <n v="12"/>
    <x v="11"/>
    <n v="5313"/>
  </r>
  <r>
    <x v="2"/>
    <x v="10"/>
    <x v="10"/>
    <x v="1"/>
    <x v="1"/>
    <x v="0"/>
    <n v="12"/>
    <x v="11"/>
    <n v="3317"/>
  </r>
  <r>
    <x v="2"/>
    <x v="11"/>
    <x v="11"/>
    <x v="1"/>
    <x v="8"/>
    <x v="0"/>
    <n v="12"/>
    <x v="11"/>
    <n v="3925"/>
  </r>
  <r>
    <x v="2"/>
    <x v="11"/>
    <x v="11"/>
    <x v="2"/>
    <x v="2"/>
    <x v="0"/>
    <n v="12"/>
    <x v="11"/>
    <n v="4584"/>
  </r>
  <r>
    <x v="3"/>
    <x v="4"/>
    <x v="4"/>
    <x v="2"/>
    <x v="3"/>
    <x v="0"/>
    <n v="12"/>
    <x v="11"/>
    <n v="3985"/>
  </r>
  <r>
    <x v="3"/>
    <x v="4"/>
    <x v="4"/>
    <x v="2"/>
    <x v="4"/>
    <x v="0"/>
    <n v="12"/>
    <x v="11"/>
    <n v="3048"/>
  </r>
  <r>
    <x v="4"/>
    <x v="5"/>
    <x v="5"/>
    <x v="0"/>
    <x v="5"/>
    <x v="0"/>
    <n v="12"/>
    <x v="11"/>
    <n v="2133"/>
  </r>
  <r>
    <x v="3"/>
    <x v="8"/>
    <x v="8"/>
    <x v="0"/>
    <x v="6"/>
    <x v="0"/>
    <n v="12"/>
    <x v="11"/>
    <n v="2021"/>
  </r>
  <r>
    <x v="3"/>
    <x v="8"/>
    <x v="8"/>
    <x v="1"/>
    <x v="7"/>
    <x v="0"/>
    <n v="12"/>
    <x v="11"/>
    <n v="6435"/>
  </r>
  <r>
    <x v="4"/>
    <x v="9"/>
    <x v="9"/>
    <x v="1"/>
    <x v="1"/>
    <x v="0"/>
    <n v="12"/>
    <x v="11"/>
    <n v="5391"/>
  </r>
  <r>
    <x v="4"/>
    <x v="9"/>
    <x v="9"/>
    <x v="1"/>
    <x v="8"/>
    <x v="0"/>
    <n v="12"/>
    <x v="11"/>
    <n v="4930"/>
  </r>
  <r>
    <x v="0"/>
    <x v="1"/>
    <x v="1"/>
    <x v="2"/>
    <x v="4"/>
    <x v="0"/>
    <n v="12"/>
    <x v="11"/>
    <n v="4081"/>
  </r>
  <r>
    <x v="0"/>
    <x v="1"/>
    <x v="1"/>
    <x v="0"/>
    <x v="5"/>
    <x v="0"/>
    <n v="12"/>
    <x v="11"/>
    <n v="1600"/>
  </r>
  <r>
    <x v="1"/>
    <x v="6"/>
    <x v="6"/>
    <x v="0"/>
    <x v="6"/>
    <x v="0"/>
    <n v="12"/>
    <x v="11"/>
    <n v="1719"/>
  </r>
  <r>
    <x v="2"/>
    <x v="10"/>
    <x v="10"/>
    <x v="1"/>
    <x v="8"/>
    <x v="0"/>
    <n v="12"/>
    <x v="11"/>
    <n v="4617"/>
  </r>
  <r>
    <x v="2"/>
    <x v="11"/>
    <x v="11"/>
    <x v="2"/>
    <x v="3"/>
    <x v="0"/>
    <n v="12"/>
    <x v="11"/>
    <n v="3919"/>
  </r>
  <r>
    <x v="2"/>
    <x v="7"/>
    <x v="7"/>
    <x v="2"/>
    <x v="4"/>
    <x v="0"/>
    <n v="12"/>
    <x v="11"/>
    <n v="3240"/>
  </r>
  <r>
    <x v="2"/>
    <x v="3"/>
    <x v="3"/>
    <x v="1"/>
    <x v="8"/>
    <x v="0"/>
    <n v="12"/>
    <x v="11"/>
    <n v="3542"/>
  </r>
  <r>
    <x v="2"/>
    <x v="10"/>
    <x v="10"/>
    <x v="0"/>
    <x v="6"/>
    <x v="0"/>
    <n v="12"/>
    <x v="11"/>
    <n v="2594"/>
  </r>
  <r>
    <x v="2"/>
    <x v="11"/>
    <x v="11"/>
    <x v="1"/>
    <x v="1"/>
    <x v="0"/>
    <n v="12"/>
    <x v="11"/>
    <n v="2610"/>
  </r>
  <r>
    <x v="3"/>
    <x v="4"/>
    <x v="4"/>
    <x v="2"/>
    <x v="2"/>
    <x v="0"/>
    <n v="12"/>
    <x v="11"/>
    <n v="3330"/>
  </r>
  <r>
    <x v="4"/>
    <x v="5"/>
    <x v="5"/>
    <x v="2"/>
    <x v="4"/>
    <x v="0"/>
    <n v="12"/>
    <x v="11"/>
    <n v="3718"/>
  </r>
  <r>
    <x v="3"/>
    <x v="8"/>
    <x v="8"/>
    <x v="0"/>
    <x v="0"/>
    <x v="0"/>
    <n v="12"/>
    <x v="11"/>
    <n v="2529"/>
  </r>
  <r>
    <x v="4"/>
    <x v="9"/>
    <x v="9"/>
    <x v="1"/>
    <x v="7"/>
    <x v="0"/>
    <n v="12"/>
    <x v="11"/>
    <n v="5169"/>
  </r>
  <r>
    <x v="2"/>
    <x v="10"/>
    <x v="10"/>
    <x v="2"/>
    <x v="4"/>
    <x v="0"/>
    <n v="12"/>
    <x v="11"/>
    <n v="4035"/>
  </r>
  <r>
    <x v="2"/>
    <x v="11"/>
    <x v="11"/>
    <x v="0"/>
    <x v="0"/>
    <x v="0"/>
    <n v="12"/>
    <x v="11"/>
    <n v="3356"/>
  </r>
  <r>
    <x v="0"/>
    <x v="0"/>
    <x v="0"/>
    <x v="0"/>
    <x v="0"/>
    <x v="1"/>
    <n v="1"/>
    <x v="12"/>
    <n v="2315"/>
  </r>
  <r>
    <x v="0"/>
    <x v="1"/>
    <x v="1"/>
    <x v="0"/>
    <x v="0"/>
    <x v="1"/>
    <n v="1"/>
    <x v="12"/>
    <n v="1965"/>
  </r>
  <r>
    <x v="0"/>
    <x v="1"/>
    <x v="1"/>
    <x v="1"/>
    <x v="1"/>
    <x v="1"/>
    <n v="1"/>
    <x v="12"/>
    <n v="2838"/>
  </r>
  <r>
    <x v="0"/>
    <x v="0"/>
    <x v="0"/>
    <x v="1"/>
    <x v="1"/>
    <x v="1"/>
    <n v="1"/>
    <x v="12"/>
    <n v="4751"/>
  </r>
  <r>
    <x v="0"/>
    <x v="0"/>
    <x v="0"/>
    <x v="2"/>
    <x v="2"/>
    <x v="1"/>
    <n v="1"/>
    <x v="12"/>
    <n v="3728"/>
  </r>
  <r>
    <x v="1"/>
    <x v="2"/>
    <x v="2"/>
    <x v="2"/>
    <x v="3"/>
    <x v="1"/>
    <n v="1"/>
    <x v="12"/>
    <n v="4093"/>
  </r>
  <r>
    <x v="2"/>
    <x v="3"/>
    <x v="3"/>
    <x v="2"/>
    <x v="4"/>
    <x v="1"/>
    <n v="1"/>
    <x v="12"/>
    <n v="3133"/>
  </r>
  <r>
    <x v="3"/>
    <x v="4"/>
    <x v="4"/>
    <x v="0"/>
    <x v="5"/>
    <x v="1"/>
    <n v="1"/>
    <x v="12"/>
    <n v="2566"/>
  </r>
  <r>
    <x v="4"/>
    <x v="5"/>
    <x v="5"/>
    <x v="0"/>
    <x v="0"/>
    <x v="1"/>
    <n v="1"/>
    <x v="12"/>
    <n v="3341"/>
  </r>
  <r>
    <x v="0"/>
    <x v="1"/>
    <x v="1"/>
    <x v="0"/>
    <x v="6"/>
    <x v="1"/>
    <n v="1"/>
    <x v="12"/>
    <n v="2569"/>
  </r>
  <r>
    <x v="1"/>
    <x v="6"/>
    <x v="6"/>
    <x v="1"/>
    <x v="7"/>
    <x v="1"/>
    <n v="1"/>
    <x v="12"/>
    <n v="6269"/>
  </r>
  <r>
    <x v="2"/>
    <x v="7"/>
    <x v="7"/>
    <x v="1"/>
    <x v="1"/>
    <x v="1"/>
    <n v="1"/>
    <x v="12"/>
    <n v="4936"/>
  </r>
  <r>
    <x v="3"/>
    <x v="8"/>
    <x v="8"/>
    <x v="1"/>
    <x v="8"/>
    <x v="1"/>
    <n v="1"/>
    <x v="12"/>
    <n v="2313"/>
  </r>
  <r>
    <x v="4"/>
    <x v="9"/>
    <x v="9"/>
    <x v="2"/>
    <x v="2"/>
    <x v="1"/>
    <n v="1"/>
    <x v="12"/>
    <n v="5054"/>
  </r>
  <r>
    <x v="0"/>
    <x v="0"/>
    <x v="0"/>
    <x v="2"/>
    <x v="3"/>
    <x v="1"/>
    <n v="1"/>
    <x v="12"/>
    <n v="4386"/>
  </r>
  <r>
    <x v="1"/>
    <x v="2"/>
    <x v="2"/>
    <x v="2"/>
    <x v="4"/>
    <x v="1"/>
    <n v="1"/>
    <x v="12"/>
    <n v="3762"/>
  </r>
  <r>
    <x v="2"/>
    <x v="3"/>
    <x v="3"/>
    <x v="0"/>
    <x v="5"/>
    <x v="1"/>
    <n v="1"/>
    <x v="12"/>
    <n v="2116"/>
  </r>
  <r>
    <x v="3"/>
    <x v="4"/>
    <x v="4"/>
    <x v="0"/>
    <x v="0"/>
    <x v="1"/>
    <n v="1"/>
    <x v="12"/>
    <n v="2959"/>
  </r>
  <r>
    <x v="4"/>
    <x v="5"/>
    <x v="5"/>
    <x v="0"/>
    <x v="6"/>
    <x v="1"/>
    <n v="1"/>
    <x v="12"/>
    <n v="2464"/>
  </r>
  <r>
    <x v="0"/>
    <x v="1"/>
    <x v="1"/>
    <x v="1"/>
    <x v="7"/>
    <x v="1"/>
    <n v="1"/>
    <x v="12"/>
    <n v="5572"/>
  </r>
  <r>
    <x v="1"/>
    <x v="6"/>
    <x v="6"/>
    <x v="1"/>
    <x v="1"/>
    <x v="1"/>
    <n v="1"/>
    <x v="12"/>
    <n v="5223"/>
  </r>
  <r>
    <x v="2"/>
    <x v="7"/>
    <x v="7"/>
    <x v="1"/>
    <x v="8"/>
    <x v="1"/>
    <n v="1"/>
    <x v="12"/>
    <n v="3552"/>
  </r>
  <r>
    <x v="3"/>
    <x v="8"/>
    <x v="8"/>
    <x v="2"/>
    <x v="2"/>
    <x v="1"/>
    <n v="1"/>
    <x v="12"/>
    <n v="3428"/>
  </r>
  <r>
    <x v="4"/>
    <x v="9"/>
    <x v="9"/>
    <x v="2"/>
    <x v="3"/>
    <x v="1"/>
    <n v="1"/>
    <x v="12"/>
    <n v="3420"/>
  </r>
  <r>
    <x v="0"/>
    <x v="0"/>
    <x v="0"/>
    <x v="2"/>
    <x v="4"/>
    <x v="1"/>
    <n v="1"/>
    <x v="12"/>
    <n v="4076"/>
  </r>
  <r>
    <x v="1"/>
    <x v="2"/>
    <x v="2"/>
    <x v="0"/>
    <x v="5"/>
    <x v="1"/>
    <n v="1"/>
    <x v="12"/>
    <n v="1940"/>
  </r>
  <r>
    <x v="2"/>
    <x v="3"/>
    <x v="3"/>
    <x v="0"/>
    <x v="0"/>
    <x v="1"/>
    <n v="1"/>
    <x v="12"/>
    <n v="2938"/>
  </r>
  <r>
    <x v="3"/>
    <x v="4"/>
    <x v="4"/>
    <x v="0"/>
    <x v="6"/>
    <x v="1"/>
    <n v="1"/>
    <x v="12"/>
    <n v="2577"/>
  </r>
  <r>
    <x v="4"/>
    <x v="5"/>
    <x v="5"/>
    <x v="1"/>
    <x v="7"/>
    <x v="1"/>
    <n v="1"/>
    <x v="12"/>
    <n v="6394"/>
  </r>
  <r>
    <x v="1"/>
    <x v="2"/>
    <x v="2"/>
    <x v="1"/>
    <x v="8"/>
    <x v="1"/>
    <n v="1"/>
    <x v="12"/>
    <n v="4477"/>
  </r>
  <r>
    <x v="2"/>
    <x v="7"/>
    <x v="7"/>
    <x v="2"/>
    <x v="2"/>
    <x v="1"/>
    <n v="1"/>
    <x v="12"/>
    <n v="4830"/>
  </r>
  <r>
    <x v="3"/>
    <x v="8"/>
    <x v="8"/>
    <x v="2"/>
    <x v="3"/>
    <x v="1"/>
    <n v="1"/>
    <x v="12"/>
    <n v="3179"/>
  </r>
  <r>
    <x v="4"/>
    <x v="9"/>
    <x v="9"/>
    <x v="2"/>
    <x v="4"/>
    <x v="1"/>
    <n v="1"/>
    <x v="12"/>
    <n v="3094"/>
  </r>
  <r>
    <x v="0"/>
    <x v="0"/>
    <x v="0"/>
    <x v="0"/>
    <x v="5"/>
    <x v="1"/>
    <n v="1"/>
    <x v="12"/>
    <n v="1581"/>
  </r>
  <r>
    <x v="1"/>
    <x v="6"/>
    <x v="6"/>
    <x v="0"/>
    <x v="0"/>
    <x v="1"/>
    <n v="1"/>
    <x v="12"/>
    <n v="2251"/>
  </r>
  <r>
    <x v="2"/>
    <x v="3"/>
    <x v="3"/>
    <x v="0"/>
    <x v="6"/>
    <x v="1"/>
    <n v="1"/>
    <x v="12"/>
    <n v="2515"/>
  </r>
  <r>
    <x v="3"/>
    <x v="4"/>
    <x v="4"/>
    <x v="1"/>
    <x v="7"/>
    <x v="1"/>
    <n v="1"/>
    <x v="12"/>
    <n v="5139"/>
  </r>
  <r>
    <x v="4"/>
    <x v="5"/>
    <x v="5"/>
    <x v="1"/>
    <x v="1"/>
    <x v="1"/>
    <n v="1"/>
    <x v="12"/>
    <n v="4974"/>
  </r>
  <r>
    <x v="0"/>
    <x v="1"/>
    <x v="1"/>
    <x v="1"/>
    <x v="8"/>
    <x v="1"/>
    <n v="1"/>
    <x v="12"/>
    <n v="3439"/>
  </r>
  <r>
    <x v="1"/>
    <x v="2"/>
    <x v="2"/>
    <x v="2"/>
    <x v="2"/>
    <x v="1"/>
    <n v="1"/>
    <x v="12"/>
    <n v="3327"/>
  </r>
  <r>
    <x v="2"/>
    <x v="7"/>
    <x v="7"/>
    <x v="2"/>
    <x v="3"/>
    <x v="1"/>
    <n v="1"/>
    <x v="12"/>
    <n v="5292"/>
  </r>
  <r>
    <x v="3"/>
    <x v="8"/>
    <x v="8"/>
    <x v="2"/>
    <x v="4"/>
    <x v="1"/>
    <n v="1"/>
    <x v="12"/>
    <n v="2927"/>
  </r>
  <r>
    <x v="4"/>
    <x v="9"/>
    <x v="9"/>
    <x v="0"/>
    <x v="5"/>
    <x v="1"/>
    <n v="1"/>
    <x v="12"/>
    <n v="2952"/>
  </r>
  <r>
    <x v="1"/>
    <x v="2"/>
    <x v="2"/>
    <x v="0"/>
    <x v="6"/>
    <x v="1"/>
    <n v="1"/>
    <x v="12"/>
    <n v="2070"/>
  </r>
  <r>
    <x v="2"/>
    <x v="3"/>
    <x v="3"/>
    <x v="1"/>
    <x v="7"/>
    <x v="1"/>
    <n v="1"/>
    <x v="12"/>
    <n v="4357"/>
  </r>
  <r>
    <x v="3"/>
    <x v="8"/>
    <x v="8"/>
    <x v="1"/>
    <x v="1"/>
    <x v="1"/>
    <n v="1"/>
    <x v="12"/>
    <n v="3426"/>
  </r>
  <r>
    <x v="4"/>
    <x v="5"/>
    <x v="5"/>
    <x v="1"/>
    <x v="8"/>
    <x v="1"/>
    <n v="1"/>
    <x v="12"/>
    <n v="4606"/>
  </r>
  <r>
    <x v="0"/>
    <x v="1"/>
    <x v="1"/>
    <x v="2"/>
    <x v="2"/>
    <x v="1"/>
    <n v="1"/>
    <x v="12"/>
    <n v="4429"/>
  </r>
  <r>
    <x v="0"/>
    <x v="1"/>
    <x v="1"/>
    <x v="2"/>
    <x v="3"/>
    <x v="1"/>
    <n v="1"/>
    <x v="12"/>
    <n v="4739"/>
  </r>
  <r>
    <x v="1"/>
    <x v="6"/>
    <x v="6"/>
    <x v="2"/>
    <x v="4"/>
    <x v="1"/>
    <n v="1"/>
    <x v="12"/>
    <n v="3046"/>
  </r>
  <r>
    <x v="1"/>
    <x v="6"/>
    <x v="6"/>
    <x v="0"/>
    <x v="5"/>
    <x v="1"/>
    <n v="1"/>
    <x v="12"/>
    <n v="2801"/>
  </r>
  <r>
    <x v="2"/>
    <x v="7"/>
    <x v="7"/>
    <x v="0"/>
    <x v="0"/>
    <x v="1"/>
    <n v="1"/>
    <x v="12"/>
    <n v="1606"/>
  </r>
  <r>
    <x v="2"/>
    <x v="7"/>
    <x v="7"/>
    <x v="0"/>
    <x v="6"/>
    <x v="1"/>
    <n v="1"/>
    <x v="12"/>
    <n v="2371"/>
  </r>
  <r>
    <x v="2"/>
    <x v="3"/>
    <x v="3"/>
    <x v="1"/>
    <x v="1"/>
    <x v="1"/>
    <n v="1"/>
    <x v="12"/>
    <n v="4548"/>
  </r>
  <r>
    <x v="0"/>
    <x v="0"/>
    <x v="0"/>
    <x v="1"/>
    <x v="8"/>
    <x v="1"/>
    <n v="1"/>
    <x v="12"/>
    <n v="2999"/>
  </r>
  <r>
    <x v="2"/>
    <x v="10"/>
    <x v="10"/>
    <x v="0"/>
    <x v="5"/>
    <x v="1"/>
    <n v="1"/>
    <x v="12"/>
    <n v="1904"/>
  </r>
  <r>
    <x v="2"/>
    <x v="10"/>
    <x v="10"/>
    <x v="0"/>
    <x v="0"/>
    <x v="1"/>
    <n v="1"/>
    <x v="12"/>
    <n v="3314"/>
  </r>
  <r>
    <x v="2"/>
    <x v="11"/>
    <x v="11"/>
    <x v="0"/>
    <x v="6"/>
    <x v="1"/>
    <n v="1"/>
    <x v="12"/>
    <n v="2506"/>
  </r>
  <r>
    <x v="2"/>
    <x v="11"/>
    <x v="11"/>
    <x v="1"/>
    <x v="7"/>
    <x v="1"/>
    <n v="1"/>
    <x v="12"/>
    <n v="4266"/>
  </r>
  <r>
    <x v="3"/>
    <x v="4"/>
    <x v="4"/>
    <x v="1"/>
    <x v="1"/>
    <x v="1"/>
    <n v="1"/>
    <x v="12"/>
    <n v="3582"/>
  </r>
  <r>
    <x v="3"/>
    <x v="4"/>
    <x v="4"/>
    <x v="1"/>
    <x v="8"/>
    <x v="1"/>
    <n v="1"/>
    <x v="12"/>
    <n v="4966"/>
  </r>
  <r>
    <x v="4"/>
    <x v="5"/>
    <x v="5"/>
    <x v="2"/>
    <x v="2"/>
    <x v="1"/>
    <n v="1"/>
    <x v="12"/>
    <n v="4178"/>
  </r>
  <r>
    <x v="4"/>
    <x v="5"/>
    <x v="5"/>
    <x v="2"/>
    <x v="3"/>
    <x v="1"/>
    <n v="1"/>
    <x v="12"/>
    <n v="3471"/>
  </r>
  <r>
    <x v="3"/>
    <x v="8"/>
    <x v="8"/>
    <x v="0"/>
    <x v="5"/>
    <x v="1"/>
    <n v="1"/>
    <x v="12"/>
    <n v="2158"/>
  </r>
  <r>
    <x v="4"/>
    <x v="9"/>
    <x v="9"/>
    <x v="0"/>
    <x v="0"/>
    <x v="1"/>
    <n v="1"/>
    <x v="12"/>
    <n v="3034"/>
  </r>
  <r>
    <x v="4"/>
    <x v="9"/>
    <x v="9"/>
    <x v="0"/>
    <x v="6"/>
    <x v="1"/>
    <n v="1"/>
    <x v="12"/>
    <n v="2609"/>
  </r>
  <r>
    <x v="2"/>
    <x v="7"/>
    <x v="7"/>
    <x v="1"/>
    <x v="7"/>
    <x v="1"/>
    <n v="1"/>
    <x v="12"/>
    <n v="6435"/>
  </r>
  <r>
    <x v="1"/>
    <x v="6"/>
    <x v="6"/>
    <x v="2"/>
    <x v="3"/>
    <x v="1"/>
    <n v="1"/>
    <x v="12"/>
    <n v="5470"/>
  </r>
  <r>
    <x v="0"/>
    <x v="0"/>
    <x v="0"/>
    <x v="0"/>
    <x v="6"/>
    <x v="1"/>
    <n v="1"/>
    <x v="12"/>
    <n v="2699"/>
  </r>
  <r>
    <x v="0"/>
    <x v="0"/>
    <x v="0"/>
    <x v="1"/>
    <x v="7"/>
    <x v="1"/>
    <n v="1"/>
    <x v="12"/>
    <n v="4118"/>
  </r>
  <r>
    <x v="1"/>
    <x v="2"/>
    <x v="2"/>
    <x v="1"/>
    <x v="1"/>
    <x v="1"/>
    <n v="1"/>
    <x v="12"/>
    <n v="4772"/>
  </r>
  <r>
    <x v="2"/>
    <x v="10"/>
    <x v="10"/>
    <x v="2"/>
    <x v="2"/>
    <x v="1"/>
    <n v="1"/>
    <x v="12"/>
    <n v="3389"/>
  </r>
  <r>
    <x v="2"/>
    <x v="10"/>
    <x v="10"/>
    <x v="2"/>
    <x v="3"/>
    <x v="1"/>
    <n v="1"/>
    <x v="12"/>
    <n v="5230"/>
  </r>
  <r>
    <x v="2"/>
    <x v="11"/>
    <x v="11"/>
    <x v="2"/>
    <x v="4"/>
    <x v="1"/>
    <n v="1"/>
    <x v="12"/>
    <n v="3617"/>
  </r>
  <r>
    <x v="2"/>
    <x v="11"/>
    <x v="11"/>
    <x v="0"/>
    <x v="5"/>
    <x v="1"/>
    <n v="1"/>
    <x v="12"/>
    <n v="2847"/>
  </r>
  <r>
    <x v="2"/>
    <x v="7"/>
    <x v="7"/>
    <x v="0"/>
    <x v="5"/>
    <x v="1"/>
    <n v="1"/>
    <x v="12"/>
    <n v="1549"/>
  </r>
  <r>
    <x v="1"/>
    <x v="6"/>
    <x v="6"/>
    <x v="1"/>
    <x v="8"/>
    <x v="1"/>
    <n v="1"/>
    <x v="12"/>
    <n v="2775"/>
  </r>
  <r>
    <x v="2"/>
    <x v="3"/>
    <x v="3"/>
    <x v="2"/>
    <x v="2"/>
    <x v="1"/>
    <n v="1"/>
    <x v="12"/>
    <n v="4203"/>
  </r>
  <r>
    <x v="2"/>
    <x v="3"/>
    <x v="3"/>
    <x v="2"/>
    <x v="3"/>
    <x v="1"/>
    <n v="1"/>
    <x v="12"/>
    <n v="4521"/>
  </r>
  <r>
    <x v="1"/>
    <x v="2"/>
    <x v="2"/>
    <x v="0"/>
    <x v="0"/>
    <x v="1"/>
    <n v="1"/>
    <x v="12"/>
    <n v="3337"/>
  </r>
  <r>
    <x v="2"/>
    <x v="10"/>
    <x v="10"/>
    <x v="1"/>
    <x v="7"/>
    <x v="1"/>
    <n v="1"/>
    <x v="12"/>
    <n v="4788"/>
  </r>
  <r>
    <x v="2"/>
    <x v="10"/>
    <x v="10"/>
    <x v="1"/>
    <x v="1"/>
    <x v="1"/>
    <n v="1"/>
    <x v="12"/>
    <n v="4254"/>
  </r>
  <r>
    <x v="2"/>
    <x v="11"/>
    <x v="11"/>
    <x v="1"/>
    <x v="8"/>
    <x v="1"/>
    <n v="1"/>
    <x v="12"/>
    <n v="3296"/>
  </r>
  <r>
    <x v="2"/>
    <x v="11"/>
    <x v="11"/>
    <x v="2"/>
    <x v="2"/>
    <x v="1"/>
    <n v="1"/>
    <x v="12"/>
    <n v="3912"/>
  </r>
  <r>
    <x v="3"/>
    <x v="4"/>
    <x v="4"/>
    <x v="2"/>
    <x v="3"/>
    <x v="1"/>
    <n v="1"/>
    <x v="12"/>
    <n v="5042"/>
  </r>
  <r>
    <x v="3"/>
    <x v="4"/>
    <x v="4"/>
    <x v="2"/>
    <x v="4"/>
    <x v="1"/>
    <n v="1"/>
    <x v="12"/>
    <n v="3980"/>
  </r>
  <r>
    <x v="4"/>
    <x v="5"/>
    <x v="5"/>
    <x v="0"/>
    <x v="5"/>
    <x v="1"/>
    <n v="1"/>
    <x v="12"/>
    <n v="2868"/>
  </r>
  <r>
    <x v="3"/>
    <x v="8"/>
    <x v="8"/>
    <x v="0"/>
    <x v="6"/>
    <x v="1"/>
    <n v="1"/>
    <x v="12"/>
    <n v="1550"/>
  </r>
  <r>
    <x v="3"/>
    <x v="8"/>
    <x v="8"/>
    <x v="1"/>
    <x v="7"/>
    <x v="1"/>
    <n v="1"/>
    <x v="12"/>
    <n v="6835"/>
  </r>
  <r>
    <x v="4"/>
    <x v="9"/>
    <x v="9"/>
    <x v="1"/>
    <x v="1"/>
    <x v="1"/>
    <n v="1"/>
    <x v="12"/>
    <n v="2810"/>
  </r>
  <r>
    <x v="4"/>
    <x v="9"/>
    <x v="9"/>
    <x v="1"/>
    <x v="8"/>
    <x v="1"/>
    <n v="1"/>
    <x v="12"/>
    <n v="2676"/>
  </r>
  <r>
    <x v="0"/>
    <x v="1"/>
    <x v="1"/>
    <x v="2"/>
    <x v="4"/>
    <x v="1"/>
    <n v="1"/>
    <x v="12"/>
    <n v="2975"/>
  </r>
  <r>
    <x v="0"/>
    <x v="1"/>
    <x v="1"/>
    <x v="0"/>
    <x v="5"/>
    <x v="1"/>
    <n v="1"/>
    <x v="12"/>
    <n v="2398"/>
  </r>
  <r>
    <x v="1"/>
    <x v="6"/>
    <x v="6"/>
    <x v="0"/>
    <x v="6"/>
    <x v="1"/>
    <n v="1"/>
    <x v="12"/>
    <n v="1565"/>
  </r>
  <r>
    <x v="2"/>
    <x v="10"/>
    <x v="10"/>
    <x v="1"/>
    <x v="8"/>
    <x v="1"/>
    <n v="1"/>
    <x v="12"/>
    <n v="2464"/>
  </r>
  <r>
    <x v="2"/>
    <x v="11"/>
    <x v="11"/>
    <x v="2"/>
    <x v="3"/>
    <x v="1"/>
    <n v="1"/>
    <x v="12"/>
    <n v="3611"/>
  </r>
  <r>
    <x v="2"/>
    <x v="7"/>
    <x v="7"/>
    <x v="2"/>
    <x v="4"/>
    <x v="1"/>
    <n v="1"/>
    <x v="12"/>
    <n v="3484"/>
  </r>
  <r>
    <x v="2"/>
    <x v="3"/>
    <x v="3"/>
    <x v="1"/>
    <x v="8"/>
    <x v="1"/>
    <n v="1"/>
    <x v="12"/>
    <n v="4288"/>
  </r>
  <r>
    <x v="2"/>
    <x v="10"/>
    <x v="10"/>
    <x v="0"/>
    <x v="6"/>
    <x v="1"/>
    <n v="1"/>
    <x v="12"/>
    <n v="2391"/>
  </r>
  <r>
    <x v="2"/>
    <x v="11"/>
    <x v="11"/>
    <x v="1"/>
    <x v="1"/>
    <x v="1"/>
    <n v="1"/>
    <x v="12"/>
    <n v="5261"/>
  </r>
  <r>
    <x v="3"/>
    <x v="4"/>
    <x v="4"/>
    <x v="2"/>
    <x v="2"/>
    <x v="1"/>
    <n v="1"/>
    <x v="12"/>
    <n v="4850"/>
  </r>
  <r>
    <x v="4"/>
    <x v="5"/>
    <x v="5"/>
    <x v="2"/>
    <x v="4"/>
    <x v="1"/>
    <n v="1"/>
    <x v="12"/>
    <n v="3198"/>
  </r>
  <r>
    <x v="3"/>
    <x v="8"/>
    <x v="8"/>
    <x v="0"/>
    <x v="0"/>
    <x v="1"/>
    <n v="1"/>
    <x v="12"/>
    <n v="2688"/>
  </r>
  <r>
    <x v="4"/>
    <x v="9"/>
    <x v="9"/>
    <x v="1"/>
    <x v="7"/>
    <x v="1"/>
    <n v="1"/>
    <x v="12"/>
    <n v="5772"/>
  </r>
  <r>
    <x v="2"/>
    <x v="10"/>
    <x v="10"/>
    <x v="2"/>
    <x v="4"/>
    <x v="1"/>
    <n v="1"/>
    <x v="12"/>
    <n v="3455"/>
  </r>
  <r>
    <x v="2"/>
    <x v="11"/>
    <x v="11"/>
    <x v="0"/>
    <x v="0"/>
    <x v="1"/>
    <n v="1"/>
    <x v="12"/>
    <n v="1778"/>
  </r>
  <r>
    <x v="0"/>
    <x v="0"/>
    <x v="0"/>
    <x v="0"/>
    <x v="0"/>
    <x v="1"/>
    <n v="2"/>
    <x v="13"/>
    <n v="2307"/>
  </r>
  <r>
    <x v="0"/>
    <x v="1"/>
    <x v="1"/>
    <x v="0"/>
    <x v="0"/>
    <x v="1"/>
    <n v="2"/>
    <x v="13"/>
    <n v="2435"/>
  </r>
  <r>
    <x v="0"/>
    <x v="1"/>
    <x v="1"/>
    <x v="1"/>
    <x v="1"/>
    <x v="1"/>
    <n v="2"/>
    <x v="13"/>
    <n v="2799"/>
  </r>
  <r>
    <x v="0"/>
    <x v="0"/>
    <x v="0"/>
    <x v="1"/>
    <x v="1"/>
    <x v="1"/>
    <n v="2"/>
    <x v="13"/>
    <n v="2666"/>
  </r>
  <r>
    <x v="0"/>
    <x v="0"/>
    <x v="0"/>
    <x v="2"/>
    <x v="2"/>
    <x v="1"/>
    <n v="2"/>
    <x v="13"/>
    <n v="3805"/>
  </r>
  <r>
    <x v="1"/>
    <x v="2"/>
    <x v="2"/>
    <x v="2"/>
    <x v="3"/>
    <x v="1"/>
    <n v="2"/>
    <x v="13"/>
    <n v="4196"/>
  </r>
  <r>
    <x v="2"/>
    <x v="3"/>
    <x v="3"/>
    <x v="2"/>
    <x v="4"/>
    <x v="1"/>
    <n v="2"/>
    <x v="13"/>
    <n v="3762"/>
  </r>
  <r>
    <x v="3"/>
    <x v="4"/>
    <x v="4"/>
    <x v="0"/>
    <x v="5"/>
    <x v="1"/>
    <n v="2"/>
    <x v="13"/>
    <n v="1795"/>
  </r>
  <r>
    <x v="4"/>
    <x v="5"/>
    <x v="5"/>
    <x v="0"/>
    <x v="0"/>
    <x v="1"/>
    <n v="2"/>
    <x v="13"/>
    <n v="1705"/>
  </r>
  <r>
    <x v="0"/>
    <x v="1"/>
    <x v="1"/>
    <x v="0"/>
    <x v="6"/>
    <x v="1"/>
    <n v="2"/>
    <x v="13"/>
    <n v="1745"/>
  </r>
  <r>
    <x v="1"/>
    <x v="6"/>
    <x v="6"/>
    <x v="1"/>
    <x v="7"/>
    <x v="1"/>
    <n v="2"/>
    <x v="13"/>
    <n v="5463"/>
  </r>
  <r>
    <x v="2"/>
    <x v="7"/>
    <x v="7"/>
    <x v="1"/>
    <x v="1"/>
    <x v="1"/>
    <n v="2"/>
    <x v="13"/>
    <n v="4763"/>
  </r>
  <r>
    <x v="3"/>
    <x v="8"/>
    <x v="8"/>
    <x v="1"/>
    <x v="8"/>
    <x v="1"/>
    <n v="2"/>
    <x v="13"/>
    <n v="2140"/>
  </r>
  <r>
    <x v="4"/>
    <x v="9"/>
    <x v="9"/>
    <x v="2"/>
    <x v="2"/>
    <x v="1"/>
    <n v="2"/>
    <x v="13"/>
    <n v="3970"/>
  </r>
  <r>
    <x v="0"/>
    <x v="0"/>
    <x v="0"/>
    <x v="2"/>
    <x v="3"/>
    <x v="1"/>
    <n v="2"/>
    <x v="13"/>
    <n v="3193"/>
  </r>
  <r>
    <x v="1"/>
    <x v="2"/>
    <x v="2"/>
    <x v="2"/>
    <x v="4"/>
    <x v="1"/>
    <n v="2"/>
    <x v="13"/>
    <n v="3194"/>
  </r>
  <r>
    <x v="2"/>
    <x v="3"/>
    <x v="3"/>
    <x v="0"/>
    <x v="5"/>
    <x v="1"/>
    <n v="2"/>
    <x v="13"/>
    <n v="2808"/>
  </r>
  <r>
    <x v="3"/>
    <x v="4"/>
    <x v="4"/>
    <x v="0"/>
    <x v="0"/>
    <x v="1"/>
    <n v="2"/>
    <x v="13"/>
    <n v="2934"/>
  </r>
  <r>
    <x v="4"/>
    <x v="5"/>
    <x v="5"/>
    <x v="0"/>
    <x v="6"/>
    <x v="1"/>
    <n v="2"/>
    <x v="13"/>
    <n v="1408"/>
  </r>
  <r>
    <x v="0"/>
    <x v="1"/>
    <x v="1"/>
    <x v="1"/>
    <x v="7"/>
    <x v="1"/>
    <n v="2"/>
    <x v="13"/>
    <n v="4206"/>
  </r>
  <r>
    <x v="1"/>
    <x v="6"/>
    <x v="6"/>
    <x v="1"/>
    <x v="1"/>
    <x v="1"/>
    <n v="2"/>
    <x v="13"/>
    <n v="3584"/>
  </r>
  <r>
    <x v="2"/>
    <x v="7"/>
    <x v="7"/>
    <x v="1"/>
    <x v="8"/>
    <x v="1"/>
    <n v="2"/>
    <x v="13"/>
    <n v="3896"/>
  </r>
  <r>
    <x v="3"/>
    <x v="8"/>
    <x v="8"/>
    <x v="2"/>
    <x v="2"/>
    <x v="1"/>
    <n v="2"/>
    <x v="13"/>
    <n v="3767"/>
  </r>
  <r>
    <x v="4"/>
    <x v="9"/>
    <x v="9"/>
    <x v="2"/>
    <x v="3"/>
    <x v="1"/>
    <n v="2"/>
    <x v="13"/>
    <n v="4561"/>
  </r>
  <r>
    <x v="0"/>
    <x v="0"/>
    <x v="0"/>
    <x v="2"/>
    <x v="4"/>
    <x v="1"/>
    <n v="2"/>
    <x v="13"/>
    <n v="2840"/>
  </r>
  <r>
    <x v="1"/>
    <x v="2"/>
    <x v="2"/>
    <x v="0"/>
    <x v="5"/>
    <x v="1"/>
    <n v="2"/>
    <x v="13"/>
    <n v="1837"/>
  </r>
  <r>
    <x v="2"/>
    <x v="3"/>
    <x v="3"/>
    <x v="0"/>
    <x v="0"/>
    <x v="1"/>
    <n v="2"/>
    <x v="13"/>
    <n v="2061"/>
  </r>
  <r>
    <x v="3"/>
    <x v="4"/>
    <x v="4"/>
    <x v="0"/>
    <x v="6"/>
    <x v="1"/>
    <n v="2"/>
    <x v="13"/>
    <n v="2586"/>
  </r>
  <r>
    <x v="4"/>
    <x v="5"/>
    <x v="5"/>
    <x v="1"/>
    <x v="7"/>
    <x v="1"/>
    <n v="2"/>
    <x v="13"/>
    <n v="4823"/>
  </r>
  <r>
    <x v="1"/>
    <x v="2"/>
    <x v="2"/>
    <x v="1"/>
    <x v="8"/>
    <x v="1"/>
    <n v="2"/>
    <x v="13"/>
    <n v="4105"/>
  </r>
  <r>
    <x v="2"/>
    <x v="7"/>
    <x v="7"/>
    <x v="2"/>
    <x v="2"/>
    <x v="1"/>
    <n v="2"/>
    <x v="13"/>
    <n v="3860"/>
  </r>
  <r>
    <x v="3"/>
    <x v="8"/>
    <x v="8"/>
    <x v="2"/>
    <x v="3"/>
    <x v="1"/>
    <n v="2"/>
    <x v="13"/>
    <n v="4293"/>
  </r>
  <r>
    <x v="4"/>
    <x v="9"/>
    <x v="9"/>
    <x v="2"/>
    <x v="4"/>
    <x v="1"/>
    <n v="2"/>
    <x v="13"/>
    <n v="3220"/>
  </r>
  <r>
    <x v="0"/>
    <x v="0"/>
    <x v="0"/>
    <x v="0"/>
    <x v="5"/>
    <x v="1"/>
    <n v="2"/>
    <x v="13"/>
    <n v="1634"/>
  </r>
  <r>
    <x v="1"/>
    <x v="6"/>
    <x v="6"/>
    <x v="0"/>
    <x v="0"/>
    <x v="1"/>
    <n v="2"/>
    <x v="13"/>
    <n v="1540"/>
  </r>
  <r>
    <x v="2"/>
    <x v="3"/>
    <x v="3"/>
    <x v="0"/>
    <x v="6"/>
    <x v="1"/>
    <n v="2"/>
    <x v="13"/>
    <n v="1880"/>
  </r>
  <r>
    <x v="3"/>
    <x v="4"/>
    <x v="4"/>
    <x v="1"/>
    <x v="7"/>
    <x v="1"/>
    <n v="2"/>
    <x v="13"/>
    <n v="5796"/>
  </r>
  <r>
    <x v="4"/>
    <x v="5"/>
    <x v="5"/>
    <x v="1"/>
    <x v="1"/>
    <x v="1"/>
    <n v="2"/>
    <x v="13"/>
    <n v="2757"/>
  </r>
  <r>
    <x v="0"/>
    <x v="1"/>
    <x v="1"/>
    <x v="1"/>
    <x v="8"/>
    <x v="1"/>
    <n v="2"/>
    <x v="13"/>
    <n v="3597"/>
  </r>
  <r>
    <x v="1"/>
    <x v="2"/>
    <x v="2"/>
    <x v="2"/>
    <x v="2"/>
    <x v="1"/>
    <n v="2"/>
    <x v="13"/>
    <n v="3613"/>
  </r>
  <r>
    <x v="2"/>
    <x v="7"/>
    <x v="7"/>
    <x v="2"/>
    <x v="3"/>
    <x v="1"/>
    <n v="2"/>
    <x v="13"/>
    <n v="5517"/>
  </r>
  <r>
    <x v="3"/>
    <x v="8"/>
    <x v="8"/>
    <x v="2"/>
    <x v="4"/>
    <x v="1"/>
    <n v="2"/>
    <x v="13"/>
    <n v="3037"/>
  </r>
  <r>
    <x v="4"/>
    <x v="9"/>
    <x v="9"/>
    <x v="0"/>
    <x v="5"/>
    <x v="1"/>
    <n v="2"/>
    <x v="13"/>
    <n v="1965"/>
  </r>
  <r>
    <x v="1"/>
    <x v="2"/>
    <x v="2"/>
    <x v="0"/>
    <x v="6"/>
    <x v="1"/>
    <n v="2"/>
    <x v="13"/>
    <n v="1861"/>
  </r>
  <r>
    <x v="2"/>
    <x v="3"/>
    <x v="3"/>
    <x v="1"/>
    <x v="7"/>
    <x v="1"/>
    <n v="2"/>
    <x v="13"/>
    <n v="5776"/>
  </r>
  <r>
    <x v="3"/>
    <x v="8"/>
    <x v="8"/>
    <x v="1"/>
    <x v="1"/>
    <x v="1"/>
    <n v="2"/>
    <x v="13"/>
    <n v="3915"/>
  </r>
  <r>
    <x v="4"/>
    <x v="5"/>
    <x v="5"/>
    <x v="1"/>
    <x v="8"/>
    <x v="1"/>
    <n v="2"/>
    <x v="13"/>
    <n v="4245"/>
  </r>
  <r>
    <x v="0"/>
    <x v="1"/>
    <x v="1"/>
    <x v="2"/>
    <x v="2"/>
    <x v="1"/>
    <n v="2"/>
    <x v="13"/>
    <n v="3964"/>
  </r>
  <r>
    <x v="0"/>
    <x v="1"/>
    <x v="1"/>
    <x v="2"/>
    <x v="3"/>
    <x v="1"/>
    <n v="2"/>
    <x v="13"/>
    <n v="2810"/>
  </r>
  <r>
    <x v="1"/>
    <x v="6"/>
    <x v="6"/>
    <x v="2"/>
    <x v="4"/>
    <x v="1"/>
    <n v="2"/>
    <x v="13"/>
    <n v="3823"/>
  </r>
  <r>
    <x v="1"/>
    <x v="6"/>
    <x v="6"/>
    <x v="0"/>
    <x v="5"/>
    <x v="1"/>
    <n v="2"/>
    <x v="13"/>
    <n v="2787"/>
  </r>
  <r>
    <x v="2"/>
    <x v="7"/>
    <x v="7"/>
    <x v="0"/>
    <x v="0"/>
    <x v="1"/>
    <n v="2"/>
    <x v="13"/>
    <n v="2924"/>
  </r>
  <r>
    <x v="2"/>
    <x v="7"/>
    <x v="7"/>
    <x v="0"/>
    <x v="6"/>
    <x v="1"/>
    <n v="2"/>
    <x v="13"/>
    <n v="1847"/>
  </r>
  <r>
    <x v="2"/>
    <x v="3"/>
    <x v="3"/>
    <x v="1"/>
    <x v="1"/>
    <x v="1"/>
    <n v="2"/>
    <x v="13"/>
    <n v="5232"/>
  </r>
  <r>
    <x v="0"/>
    <x v="0"/>
    <x v="0"/>
    <x v="1"/>
    <x v="8"/>
    <x v="1"/>
    <n v="2"/>
    <x v="13"/>
    <n v="3422"/>
  </r>
  <r>
    <x v="2"/>
    <x v="10"/>
    <x v="10"/>
    <x v="0"/>
    <x v="5"/>
    <x v="1"/>
    <n v="2"/>
    <x v="13"/>
    <n v="1863"/>
  </r>
  <r>
    <x v="2"/>
    <x v="10"/>
    <x v="10"/>
    <x v="0"/>
    <x v="0"/>
    <x v="1"/>
    <n v="2"/>
    <x v="13"/>
    <n v="2319"/>
  </r>
  <r>
    <x v="2"/>
    <x v="11"/>
    <x v="11"/>
    <x v="0"/>
    <x v="6"/>
    <x v="1"/>
    <n v="2"/>
    <x v="13"/>
    <n v="2811"/>
  </r>
  <r>
    <x v="2"/>
    <x v="11"/>
    <x v="11"/>
    <x v="1"/>
    <x v="7"/>
    <x v="1"/>
    <n v="2"/>
    <x v="13"/>
    <n v="4696"/>
  </r>
  <r>
    <x v="3"/>
    <x v="4"/>
    <x v="4"/>
    <x v="1"/>
    <x v="1"/>
    <x v="1"/>
    <n v="2"/>
    <x v="13"/>
    <n v="2711"/>
  </r>
  <r>
    <x v="3"/>
    <x v="4"/>
    <x v="4"/>
    <x v="1"/>
    <x v="8"/>
    <x v="1"/>
    <n v="2"/>
    <x v="13"/>
    <n v="2797"/>
  </r>
  <r>
    <x v="4"/>
    <x v="5"/>
    <x v="5"/>
    <x v="2"/>
    <x v="2"/>
    <x v="1"/>
    <n v="2"/>
    <x v="13"/>
    <n v="4602"/>
  </r>
  <r>
    <x v="4"/>
    <x v="5"/>
    <x v="5"/>
    <x v="2"/>
    <x v="3"/>
    <x v="1"/>
    <n v="2"/>
    <x v="13"/>
    <n v="3430"/>
  </r>
  <r>
    <x v="3"/>
    <x v="8"/>
    <x v="8"/>
    <x v="0"/>
    <x v="5"/>
    <x v="1"/>
    <n v="2"/>
    <x v="13"/>
    <n v="2023"/>
  </r>
  <r>
    <x v="4"/>
    <x v="9"/>
    <x v="9"/>
    <x v="0"/>
    <x v="0"/>
    <x v="1"/>
    <n v="2"/>
    <x v="13"/>
    <n v="1540"/>
  </r>
  <r>
    <x v="4"/>
    <x v="9"/>
    <x v="9"/>
    <x v="0"/>
    <x v="6"/>
    <x v="1"/>
    <n v="2"/>
    <x v="13"/>
    <n v="1661"/>
  </r>
  <r>
    <x v="2"/>
    <x v="7"/>
    <x v="7"/>
    <x v="1"/>
    <x v="7"/>
    <x v="1"/>
    <n v="2"/>
    <x v="13"/>
    <n v="5627"/>
  </r>
  <r>
    <x v="1"/>
    <x v="6"/>
    <x v="6"/>
    <x v="2"/>
    <x v="3"/>
    <x v="1"/>
    <n v="2"/>
    <x v="13"/>
    <n v="3423"/>
  </r>
  <r>
    <x v="0"/>
    <x v="0"/>
    <x v="0"/>
    <x v="0"/>
    <x v="6"/>
    <x v="1"/>
    <n v="2"/>
    <x v="13"/>
    <n v="2254"/>
  </r>
  <r>
    <x v="0"/>
    <x v="0"/>
    <x v="0"/>
    <x v="1"/>
    <x v="7"/>
    <x v="1"/>
    <n v="2"/>
    <x v="13"/>
    <n v="5212"/>
  </r>
  <r>
    <x v="1"/>
    <x v="2"/>
    <x v="2"/>
    <x v="1"/>
    <x v="1"/>
    <x v="1"/>
    <n v="2"/>
    <x v="13"/>
    <n v="4253"/>
  </r>
  <r>
    <x v="2"/>
    <x v="10"/>
    <x v="10"/>
    <x v="2"/>
    <x v="2"/>
    <x v="1"/>
    <n v="2"/>
    <x v="13"/>
    <n v="4970"/>
  </r>
  <r>
    <x v="2"/>
    <x v="10"/>
    <x v="10"/>
    <x v="2"/>
    <x v="3"/>
    <x v="1"/>
    <n v="2"/>
    <x v="13"/>
    <n v="4663"/>
  </r>
  <r>
    <x v="2"/>
    <x v="11"/>
    <x v="11"/>
    <x v="2"/>
    <x v="4"/>
    <x v="1"/>
    <n v="2"/>
    <x v="13"/>
    <n v="3165"/>
  </r>
  <r>
    <x v="2"/>
    <x v="11"/>
    <x v="11"/>
    <x v="0"/>
    <x v="5"/>
    <x v="1"/>
    <n v="2"/>
    <x v="13"/>
    <n v="2985"/>
  </r>
  <r>
    <x v="2"/>
    <x v="7"/>
    <x v="7"/>
    <x v="0"/>
    <x v="5"/>
    <x v="1"/>
    <n v="2"/>
    <x v="13"/>
    <n v="2495"/>
  </r>
  <r>
    <x v="1"/>
    <x v="6"/>
    <x v="6"/>
    <x v="1"/>
    <x v="8"/>
    <x v="1"/>
    <n v="2"/>
    <x v="13"/>
    <n v="3165"/>
  </r>
  <r>
    <x v="2"/>
    <x v="3"/>
    <x v="3"/>
    <x v="2"/>
    <x v="2"/>
    <x v="1"/>
    <n v="2"/>
    <x v="13"/>
    <n v="4217"/>
  </r>
  <r>
    <x v="2"/>
    <x v="3"/>
    <x v="3"/>
    <x v="2"/>
    <x v="3"/>
    <x v="1"/>
    <n v="2"/>
    <x v="13"/>
    <n v="3880"/>
  </r>
  <r>
    <x v="1"/>
    <x v="2"/>
    <x v="2"/>
    <x v="0"/>
    <x v="0"/>
    <x v="1"/>
    <n v="2"/>
    <x v="13"/>
    <n v="1545"/>
  </r>
  <r>
    <x v="2"/>
    <x v="10"/>
    <x v="10"/>
    <x v="1"/>
    <x v="7"/>
    <x v="1"/>
    <n v="2"/>
    <x v="13"/>
    <n v="5230"/>
  </r>
  <r>
    <x v="2"/>
    <x v="10"/>
    <x v="10"/>
    <x v="1"/>
    <x v="1"/>
    <x v="1"/>
    <n v="2"/>
    <x v="13"/>
    <n v="5495"/>
  </r>
  <r>
    <x v="2"/>
    <x v="11"/>
    <x v="11"/>
    <x v="1"/>
    <x v="8"/>
    <x v="1"/>
    <n v="2"/>
    <x v="13"/>
    <n v="3009"/>
  </r>
  <r>
    <x v="2"/>
    <x v="11"/>
    <x v="11"/>
    <x v="2"/>
    <x v="2"/>
    <x v="1"/>
    <n v="2"/>
    <x v="13"/>
    <n v="4875"/>
  </r>
  <r>
    <x v="3"/>
    <x v="4"/>
    <x v="4"/>
    <x v="2"/>
    <x v="3"/>
    <x v="1"/>
    <n v="2"/>
    <x v="13"/>
    <n v="3464"/>
  </r>
  <r>
    <x v="3"/>
    <x v="4"/>
    <x v="4"/>
    <x v="2"/>
    <x v="4"/>
    <x v="1"/>
    <n v="2"/>
    <x v="13"/>
    <n v="3268"/>
  </r>
  <r>
    <x v="4"/>
    <x v="5"/>
    <x v="5"/>
    <x v="0"/>
    <x v="5"/>
    <x v="1"/>
    <n v="2"/>
    <x v="13"/>
    <n v="2028"/>
  </r>
  <r>
    <x v="3"/>
    <x v="8"/>
    <x v="8"/>
    <x v="0"/>
    <x v="6"/>
    <x v="1"/>
    <n v="2"/>
    <x v="13"/>
    <n v="2385"/>
  </r>
  <r>
    <x v="3"/>
    <x v="8"/>
    <x v="8"/>
    <x v="1"/>
    <x v="7"/>
    <x v="1"/>
    <n v="2"/>
    <x v="13"/>
    <n v="5777"/>
  </r>
  <r>
    <x v="4"/>
    <x v="9"/>
    <x v="9"/>
    <x v="1"/>
    <x v="1"/>
    <x v="1"/>
    <n v="2"/>
    <x v="13"/>
    <n v="5230"/>
  </r>
  <r>
    <x v="4"/>
    <x v="9"/>
    <x v="9"/>
    <x v="1"/>
    <x v="8"/>
    <x v="1"/>
    <n v="2"/>
    <x v="13"/>
    <n v="3637"/>
  </r>
  <r>
    <x v="0"/>
    <x v="1"/>
    <x v="1"/>
    <x v="2"/>
    <x v="4"/>
    <x v="1"/>
    <n v="2"/>
    <x v="13"/>
    <n v="3543"/>
  </r>
  <r>
    <x v="0"/>
    <x v="1"/>
    <x v="1"/>
    <x v="0"/>
    <x v="5"/>
    <x v="1"/>
    <n v="2"/>
    <x v="13"/>
    <n v="2937"/>
  </r>
  <r>
    <x v="1"/>
    <x v="6"/>
    <x v="6"/>
    <x v="0"/>
    <x v="6"/>
    <x v="1"/>
    <n v="2"/>
    <x v="13"/>
    <n v="1428"/>
  </r>
  <r>
    <x v="2"/>
    <x v="10"/>
    <x v="10"/>
    <x v="1"/>
    <x v="8"/>
    <x v="1"/>
    <n v="2"/>
    <x v="13"/>
    <n v="3218"/>
  </r>
  <r>
    <x v="2"/>
    <x v="11"/>
    <x v="11"/>
    <x v="2"/>
    <x v="3"/>
    <x v="1"/>
    <n v="2"/>
    <x v="13"/>
    <n v="5156"/>
  </r>
  <r>
    <x v="2"/>
    <x v="7"/>
    <x v="7"/>
    <x v="2"/>
    <x v="4"/>
    <x v="1"/>
    <n v="2"/>
    <x v="13"/>
    <n v="3367"/>
  </r>
  <r>
    <x v="2"/>
    <x v="3"/>
    <x v="3"/>
    <x v="1"/>
    <x v="8"/>
    <x v="1"/>
    <n v="2"/>
    <x v="13"/>
    <n v="4568"/>
  </r>
  <r>
    <x v="2"/>
    <x v="10"/>
    <x v="10"/>
    <x v="0"/>
    <x v="6"/>
    <x v="1"/>
    <n v="2"/>
    <x v="13"/>
    <n v="1701"/>
  </r>
  <r>
    <x v="2"/>
    <x v="11"/>
    <x v="11"/>
    <x v="1"/>
    <x v="1"/>
    <x v="1"/>
    <n v="2"/>
    <x v="13"/>
    <n v="3740"/>
  </r>
  <r>
    <x v="3"/>
    <x v="4"/>
    <x v="4"/>
    <x v="2"/>
    <x v="2"/>
    <x v="1"/>
    <n v="2"/>
    <x v="13"/>
    <n v="3576"/>
  </r>
  <r>
    <x v="4"/>
    <x v="5"/>
    <x v="5"/>
    <x v="2"/>
    <x v="4"/>
    <x v="1"/>
    <n v="2"/>
    <x v="13"/>
    <n v="3817"/>
  </r>
  <r>
    <x v="3"/>
    <x v="8"/>
    <x v="8"/>
    <x v="0"/>
    <x v="0"/>
    <x v="1"/>
    <n v="2"/>
    <x v="13"/>
    <n v="1996"/>
  </r>
  <r>
    <x v="4"/>
    <x v="9"/>
    <x v="9"/>
    <x v="1"/>
    <x v="7"/>
    <x v="1"/>
    <n v="2"/>
    <x v="13"/>
    <n v="4301"/>
  </r>
  <r>
    <x v="2"/>
    <x v="10"/>
    <x v="10"/>
    <x v="2"/>
    <x v="4"/>
    <x v="1"/>
    <n v="2"/>
    <x v="13"/>
    <n v="4022"/>
  </r>
  <r>
    <x v="2"/>
    <x v="11"/>
    <x v="11"/>
    <x v="0"/>
    <x v="0"/>
    <x v="1"/>
    <n v="2"/>
    <x v="13"/>
    <n v="2416"/>
  </r>
  <r>
    <x v="0"/>
    <x v="0"/>
    <x v="0"/>
    <x v="0"/>
    <x v="0"/>
    <x v="1"/>
    <n v="3"/>
    <x v="14"/>
    <n v="2127"/>
  </r>
  <r>
    <x v="0"/>
    <x v="1"/>
    <x v="1"/>
    <x v="0"/>
    <x v="0"/>
    <x v="1"/>
    <n v="3"/>
    <x v="14"/>
    <n v="3138"/>
  </r>
  <r>
    <x v="0"/>
    <x v="1"/>
    <x v="1"/>
    <x v="1"/>
    <x v="1"/>
    <x v="1"/>
    <n v="3"/>
    <x v="14"/>
    <n v="3858"/>
  </r>
  <r>
    <x v="0"/>
    <x v="0"/>
    <x v="0"/>
    <x v="1"/>
    <x v="1"/>
    <x v="1"/>
    <n v="3"/>
    <x v="14"/>
    <n v="3193"/>
  </r>
  <r>
    <x v="0"/>
    <x v="0"/>
    <x v="0"/>
    <x v="2"/>
    <x v="2"/>
    <x v="1"/>
    <n v="3"/>
    <x v="14"/>
    <n v="4025"/>
  </r>
  <r>
    <x v="1"/>
    <x v="2"/>
    <x v="2"/>
    <x v="2"/>
    <x v="3"/>
    <x v="1"/>
    <n v="3"/>
    <x v="14"/>
    <n v="5484"/>
  </r>
  <r>
    <x v="2"/>
    <x v="3"/>
    <x v="3"/>
    <x v="2"/>
    <x v="4"/>
    <x v="1"/>
    <n v="3"/>
    <x v="14"/>
    <n v="4029"/>
  </r>
  <r>
    <x v="3"/>
    <x v="4"/>
    <x v="4"/>
    <x v="0"/>
    <x v="5"/>
    <x v="1"/>
    <n v="3"/>
    <x v="14"/>
    <n v="2075"/>
  </r>
  <r>
    <x v="4"/>
    <x v="5"/>
    <x v="5"/>
    <x v="0"/>
    <x v="0"/>
    <x v="1"/>
    <n v="3"/>
    <x v="14"/>
    <n v="3066"/>
  </r>
  <r>
    <x v="0"/>
    <x v="1"/>
    <x v="1"/>
    <x v="0"/>
    <x v="6"/>
    <x v="1"/>
    <n v="3"/>
    <x v="14"/>
    <n v="2588"/>
  </r>
  <r>
    <x v="1"/>
    <x v="6"/>
    <x v="6"/>
    <x v="1"/>
    <x v="7"/>
    <x v="1"/>
    <n v="3"/>
    <x v="14"/>
    <n v="5657"/>
  </r>
  <r>
    <x v="2"/>
    <x v="7"/>
    <x v="7"/>
    <x v="1"/>
    <x v="1"/>
    <x v="1"/>
    <n v="3"/>
    <x v="14"/>
    <n v="5357"/>
  </r>
  <r>
    <x v="3"/>
    <x v="8"/>
    <x v="8"/>
    <x v="1"/>
    <x v="8"/>
    <x v="1"/>
    <n v="3"/>
    <x v="14"/>
    <n v="3515"/>
  </r>
  <r>
    <x v="4"/>
    <x v="9"/>
    <x v="9"/>
    <x v="2"/>
    <x v="2"/>
    <x v="1"/>
    <n v="3"/>
    <x v="14"/>
    <n v="4115"/>
  </r>
  <r>
    <x v="0"/>
    <x v="0"/>
    <x v="0"/>
    <x v="2"/>
    <x v="3"/>
    <x v="1"/>
    <n v="3"/>
    <x v="14"/>
    <n v="4136"/>
  </r>
  <r>
    <x v="1"/>
    <x v="2"/>
    <x v="2"/>
    <x v="2"/>
    <x v="4"/>
    <x v="1"/>
    <n v="3"/>
    <x v="14"/>
    <n v="3211"/>
  </r>
  <r>
    <x v="2"/>
    <x v="3"/>
    <x v="3"/>
    <x v="0"/>
    <x v="5"/>
    <x v="1"/>
    <n v="3"/>
    <x v="14"/>
    <n v="1730"/>
  </r>
  <r>
    <x v="3"/>
    <x v="4"/>
    <x v="4"/>
    <x v="0"/>
    <x v="0"/>
    <x v="1"/>
    <n v="3"/>
    <x v="14"/>
    <n v="2024"/>
  </r>
  <r>
    <x v="4"/>
    <x v="5"/>
    <x v="5"/>
    <x v="0"/>
    <x v="6"/>
    <x v="1"/>
    <n v="3"/>
    <x v="14"/>
    <n v="1725"/>
  </r>
  <r>
    <x v="0"/>
    <x v="1"/>
    <x v="1"/>
    <x v="1"/>
    <x v="7"/>
    <x v="1"/>
    <n v="3"/>
    <x v="14"/>
    <n v="5422"/>
  </r>
  <r>
    <x v="1"/>
    <x v="6"/>
    <x v="6"/>
    <x v="1"/>
    <x v="1"/>
    <x v="1"/>
    <n v="3"/>
    <x v="14"/>
    <n v="4314"/>
  </r>
  <r>
    <x v="2"/>
    <x v="7"/>
    <x v="7"/>
    <x v="1"/>
    <x v="8"/>
    <x v="1"/>
    <n v="3"/>
    <x v="14"/>
    <n v="3498"/>
  </r>
  <r>
    <x v="3"/>
    <x v="8"/>
    <x v="8"/>
    <x v="2"/>
    <x v="2"/>
    <x v="1"/>
    <n v="3"/>
    <x v="14"/>
    <n v="3470"/>
  </r>
  <r>
    <x v="4"/>
    <x v="9"/>
    <x v="9"/>
    <x v="2"/>
    <x v="3"/>
    <x v="1"/>
    <n v="3"/>
    <x v="14"/>
    <n v="3501"/>
  </r>
  <r>
    <x v="0"/>
    <x v="0"/>
    <x v="0"/>
    <x v="2"/>
    <x v="4"/>
    <x v="1"/>
    <n v="3"/>
    <x v="14"/>
    <n v="4008"/>
  </r>
  <r>
    <x v="1"/>
    <x v="2"/>
    <x v="2"/>
    <x v="0"/>
    <x v="5"/>
    <x v="1"/>
    <n v="3"/>
    <x v="14"/>
    <n v="2882"/>
  </r>
  <r>
    <x v="2"/>
    <x v="3"/>
    <x v="3"/>
    <x v="0"/>
    <x v="0"/>
    <x v="1"/>
    <n v="3"/>
    <x v="14"/>
    <n v="2074"/>
  </r>
  <r>
    <x v="3"/>
    <x v="4"/>
    <x v="4"/>
    <x v="0"/>
    <x v="6"/>
    <x v="1"/>
    <n v="3"/>
    <x v="14"/>
    <n v="2644"/>
  </r>
  <r>
    <x v="4"/>
    <x v="5"/>
    <x v="5"/>
    <x v="1"/>
    <x v="7"/>
    <x v="1"/>
    <n v="3"/>
    <x v="14"/>
    <n v="6680"/>
  </r>
  <r>
    <x v="1"/>
    <x v="2"/>
    <x v="2"/>
    <x v="1"/>
    <x v="8"/>
    <x v="1"/>
    <n v="3"/>
    <x v="14"/>
    <n v="2389"/>
  </r>
  <r>
    <x v="2"/>
    <x v="7"/>
    <x v="7"/>
    <x v="2"/>
    <x v="2"/>
    <x v="1"/>
    <n v="3"/>
    <x v="14"/>
    <n v="3492"/>
  </r>
  <r>
    <x v="3"/>
    <x v="8"/>
    <x v="8"/>
    <x v="2"/>
    <x v="3"/>
    <x v="1"/>
    <n v="3"/>
    <x v="14"/>
    <n v="2711"/>
  </r>
  <r>
    <x v="4"/>
    <x v="9"/>
    <x v="9"/>
    <x v="2"/>
    <x v="4"/>
    <x v="1"/>
    <n v="3"/>
    <x v="14"/>
    <n v="3144"/>
  </r>
  <r>
    <x v="0"/>
    <x v="0"/>
    <x v="0"/>
    <x v="0"/>
    <x v="5"/>
    <x v="1"/>
    <n v="3"/>
    <x v="14"/>
    <n v="1856"/>
  </r>
  <r>
    <x v="1"/>
    <x v="6"/>
    <x v="6"/>
    <x v="0"/>
    <x v="0"/>
    <x v="1"/>
    <n v="3"/>
    <x v="14"/>
    <n v="3269"/>
  </r>
  <r>
    <x v="2"/>
    <x v="3"/>
    <x v="3"/>
    <x v="0"/>
    <x v="6"/>
    <x v="1"/>
    <n v="3"/>
    <x v="14"/>
    <n v="2701"/>
  </r>
  <r>
    <x v="3"/>
    <x v="4"/>
    <x v="4"/>
    <x v="1"/>
    <x v="7"/>
    <x v="1"/>
    <n v="3"/>
    <x v="14"/>
    <n v="5415"/>
  </r>
  <r>
    <x v="4"/>
    <x v="5"/>
    <x v="5"/>
    <x v="1"/>
    <x v="1"/>
    <x v="1"/>
    <n v="3"/>
    <x v="14"/>
    <n v="4163"/>
  </r>
  <r>
    <x v="0"/>
    <x v="1"/>
    <x v="1"/>
    <x v="1"/>
    <x v="8"/>
    <x v="1"/>
    <n v="3"/>
    <x v="14"/>
    <n v="4607"/>
  </r>
  <r>
    <x v="1"/>
    <x v="2"/>
    <x v="2"/>
    <x v="2"/>
    <x v="2"/>
    <x v="1"/>
    <n v="3"/>
    <x v="14"/>
    <n v="4870"/>
  </r>
  <r>
    <x v="2"/>
    <x v="7"/>
    <x v="7"/>
    <x v="2"/>
    <x v="3"/>
    <x v="1"/>
    <n v="3"/>
    <x v="14"/>
    <n v="5208"/>
  </r>
  <r>
    <x v="3"/>
    <x v="8"/>
    <x v="8"/>
    <x v="2"/>
    <x v="4"/>
    <x v="1"/>
    <n v="3"/>
    <x v="14"/>
    <n v="2908"/>
  </r>
  <r>
    <x v="4"/>
    <x v="9"/>
    <x v="9"/>
    <x v="0"/>
    <x v="5"/>
    <x v="1"/>
    <n v="3"/>
    <x v="14"/>
    <n v="2742"/>
  </r>
  <r>
    <x v="1"/>
    <x v="2"/>
    <x v="2"/>
    <x v="0"/>
    <x v="6"/>
    <x v="1"/>
    <n v="3"/>
    <x v="14"/>
    <n v="2861"/>
  </r>
  <r>
    <x v="2"/>
    <x v="3"/>
    <x v="3"/>
    <x v="1"/>
    <x v="7"/>
    <x v="1"/>
    <n v="3"/>
    <x v="14"/>
    <n v="6343"/>
  </r>
  <r>
    <x v="3"/>
    <x v="8"/>
    <x v="8"/>
    <x v="1"/>
    <x v="1"/>
    <x v="1"/>
    <n v="3"/>
    <x v="14"/>
    <n v="5529"/>
  </r>
  <r>
    <x v="4"/>
    <x v="5"/>
    <x v="5"/>
    <x v="1"/>
    <x v="8"/>
    <x v="1"/>
    <n v="3"/>
    <x v="14"/>
    <n v="4116"/>
  </r>
  <r>
    <x v="0"/>
    <x v="1"/>
    <x v="1"/>
    <x v="2"/>
    <x v="2"/>
    <x v="1"/>
    <n v="3"/>
    <x v="14"/>
    <n v="4351"/>
  </r>
  <r>
    <x v="0"/>
    <x v="1"/>
    <x v="1"/>
    <x v="2"/>
    <x v="3"/>
    <x v="1"/>
    <n v="3"/>
    <x v="14"/>
    <n v="4664"/>
  </r>
  <r>
    <x v="1"/>
    <x v="6"/>
    <x v="6"/>
    <x v="2"/>
    <x v="4"/>
    <x v="1"/>
    <n v="3"/>
    <x v="14"/>
    <n v="3039"/>
  </r>
  <r>
    <x v="1"/>
    <x v="6"/>
    <x v="6"/>
    <x v="0"/>
    <x v="5"/>
    <x v="1"/>
    <n v="3"/>
    <x v="14"/>
    <n v="2680"/>
  </r>
  <r>
    <x v="2"/>
    <x v="7"/>
    <x v="7"/>
    <x v="0"/>
    <x v="0"/>
    <x v="1"/>
    <n v="3"/>
    <x v="14"/>
    <n v="2961"/>
  </r>
  <r>
    <x v="2"/>
    <x v="7"/>
    <x v="7"/>
    <x v="0"/>
    <x v="6"/>
    <x v="1"/>
    <n v="3"/>
    <x v="14"/>
    <n v="2471"/>
  </r>
  <r>
    <x v="2"/>
    <x v="3"/>
    <x v="3"/>
    <x v="1"/>
    <x v="1"/>
    <x v="1"/>
    <n v="3"/>
    <x v="14"/>
    <n v="5242"/>
  </r>
  <r>
    <x v="0"/>
    <x v="0"/>
    <x v="0"/>
    <x v="1"/>
    <x v="8"/>
    <x v="1"/>
    <n v="3"/>
    <x v="14"/>
    <n v="3828"/>
  </r>
  <r>
    <x v="2"/>
    <x v="10"/>
    <x v="10"/>
    <x v="0"/>
    <x v="5"/>
    <x v="1"/>
    <n v="3"/>
    <x v="14"/>
    <n v="2642"/>
  </r>
  <r>
    <x v="2"/>
    <x v="10"/>
    <x v="10"/>
    <x v="0"/>
    <x v="0"/>
    <x v="1"/>
    <n v="3"/>
    <x v="14"/>
    <n v="1730"/>
  </r>
  <r>
    <x v="2"/>
    <x v="11"/>
    <x v="11"/>
    <x v="0"/>
    <x v="6"/>
    <x v="1"/>
    <n v="3"/>
    <x v="14"/>
    <n v="2802"/>
  </r>
  <r>
    <x v="2"/>
    <x v="11"/>
    <x v="11"/>
    <x v="1"/>
    <x v="7"/>
    <x v="1"/>
    <n v="3"/>
    <x v="14"/>
    <n v="5534"/>
  </r>
  <r>
    <x v="3"/>
    <x v="4"/>
    <x v="4"/>
    <x v="1"/>
    <x v="1"/>
    <x v="1"/>
    <n v="3"/>
    <x v="14"/>
    <n v="3298"/>
  </r>
  <r>
    <x v="3"/>
    <x v="4"/>
    <x v="4"/>
    <x v="1"/>
    <x v="8"/>
    <x v="1"/>
    <n v="3"/>
    <x v="14"/>
    <n v="3900"/>
  </r>
  <r>
    <x v="4"/>
    <x v="5"/>
    <x v="5"/>
    <x v="2"/>
    <x v="2"/>
    <x v="1"/>
    <n v="3"/>
    <x v="14"/>
    <n v="4346"/>
  </r>
  <r>
    <x v="4"/>
    <x v="5"/>
    <x v="5"/>
    <x v="2"/>
    <x v="3"/>
    <x v="1"/>
    <n v="3"/>
    <x v="14"/>
    <n v="5484"/>
  </r>
  <r>
    <x v="3"/>
    <x v="8"/>
    <x v="8"/>
    <x v="0"/>
    <x v="5"/>
    <x v="1"/>
    <n v="3"/>
    <x v="14"/>
    <n v="1746"/>
  </r>
  <r>
    <x v="4"/>
    <x v="9"/>
    <x v="9"/>
    <x v="0"/>
    <x v="0"/>
    <x v="1"/>
    <n v="3"/>
    <x v="14"/>
    <n v="2353"/>
  </r>
  <r>
    <x v="4"/>
    <x v="9"/>
    <x v="9"/>
    <x v="0"/>
    <x v="6"/>
    <x v="1"/>
    <n v="3"/>
    <x v="14"/>
    <n v="1358"/>
  </r>
  <r>
    <x v="2"/>
    <x v="7"/>
    <x v="7"/>
    <x v="1"/>
    <x v="7"/>
    <x v="1"/>
    <n v="3"/>
    <x v="14"/>
    <n v="5478"/>
  </r>
  <r>
    <x v="1"/>
    <x v="6"/>
    <x v="6"/>
    <x v="2"/>
    <x v="3"/>
    <x v="1"/>
    <n v="3"/>
    <x v="14"/>
    <n v="3687"/>
  </r>
  <r>
    <x v="0"/>
    <x v="0"/>
    <x v="0"/>
    <x v="0"/>
    <x v="6"/>
    <x v="1"/>
    <n v="3"/>
    <x v="14"/>
    <n v="1446"/>
  </r>
  <r>
    <x v="0"/>
    <x v="0"/>
    <x v="0"/>
    <x v="1"/>
    <x v="7"/>
    <x v="1"/>
    <n v="3"/>
    <x v="14"/>
    <n v="6342"/>
  </r>
  <r>
    <x v="1"/>
    <x v="2"/>
    <x v="2"/>
    <x v="1"/>
    <x v="1"/>
    <x v="1"/>
    <n v="3"/>
    <x v="14"/>
    <n v="4400"/>
  </r>
  <r>
    <x v="2"/>
    <x v="10"/>
    <x v="10"/>
    <x v="2"/>
    <x v="2"/>
    <x v="1"/>
    <n v="3"/>
    <x v="14"/>
    <n v="4364"/>
  </r>
  <r>
    <x v="2"/>
    <x v="10"/>
    <x v="10"/>
    <x v="2"/>
    <x v="3"/>
    <x v="1"/>
    <n v="3"/>
    <x v="14"/>
    <n v="4292"/>
  </r>
  <r>
    <x v="2"/>
    <x v="11"/>
    <x v="11"/>
    <x v="2"/>
    <x v="4"/>
    <x v="1"/>
    <n v="3"/>
    <x v="14"/>
    <n v="3934"/>
  </r>
  <r>
    <x v="2"/>
    <x v="11"/>
    <x v="11"/>
    <x v="0"/>
    <x v="5"/>
    <x v="1"/>
    <n v="3"/>
    <x v="14"/>
    <n v="2724"/>
  </r>
  <r>
    <x v="2"/>
    <x v="7"/>
    <x v="7"/>
    <x v="0"/>
    <x v="5"/>
    <x v="1"/>
    <n v="3"/>
    <x v="14"/>
    <n v="2910"/>
  </r>
  <r>
    <x v="1"/>
    <x v="6"/>
    <x v="6"/>
    <x v="1"/>
    <x v="8"/>
    <x v="1"/>
    <n v="3"/>
    <x v="14"/>
    <n v="2685"/>
  </r>
  <r>
    <x v="2"/>
    <x v="3"/>
    <x v="3"/>
    <x v="2"/>
    <x v="2"/>
    <x v="1"/>
    <n v="3"/>
    <x v="14"/>
    <n v="4756"/>
  </r>
  <r>
    <x v="2"/>
    <x v="3"/>
    <x v="3"/>
    <x v="2"/>
    <x v="3"/>
    <x v="1"/>
    <n v="3"/>
    <x v="14"/>
    <n v="2976"/>
  </r>
  <r>
    <x v="1"/>
    <x v="2"/>
    <x v="2"/>
    <x v="0"/>
    <x v="0"/>
    <x v="1"/>
    <n v="3"/>
    <x v="14"/>
    <n v="2243"/>
  </r>
  <r>
    <x v="2"/>
    <x v="10"/>
    <x v="10"/>
    <x v="1"/>
    <x v="7"/>
    <x v="1"/>
    <n v="3"/>
    <x v="14"/>
    <n v="6898"/>
  </r>
  <r>
    <x v="2"/>
    <x v="10"/>
    <x v="10"/>
    <x v="1"/>
    <x v="1"/>
    <x v="1"/>
    <n v="3"/>
    <x v="14"/>
    <n v="5253"/>
  </r>
  <r>
    <x v="2"/>
    <x v="11"/>
    <x v="11"/>
    <x v="1"/>
    <x v="8"/>
    <x v="1"/>
    <n v="3"/>
    <x v="14"/>
    <n v="2734"/>
  </r>
  <r>
    <x v="2"/>
    <x v="11"/>
    <x v="11"/>
    <x v="2"/>
    <x v="2"/>
    <x v="1"/>
    <n v="3"/>
    <x v="14"/>
    <n v="4746"/>
  </r>
  <r>
    <x v="3"/>
    <x v="4"/>
    <x v="4"/>
    <x v="2"/>
    <x v="3"/>
    <x v="1"/>
    <n v="3"/>
    <x v="14"/>
    <n v="3541"/>
  </r>
  <r>
    <x v="3"/>
    <x v="4"/>
    <x v="4"/>
    <x v="2"/>
    <x v="4"/>
    <x v="1"/>
    <n v="3"/>
    <x v="14"/>
    <n v="3788"/>
  </r>
  <r>
    <x v="4"/>
    <x v="5"/>
    <x v="5"/>
    <x v="0"/>
    <x v="5"/>
    <x v="1"/>
    <n v="3"/>
    <x v="14"/>
    <n v="1584"/>
  </r>
  <r>
    <x v="3"/>
    <x v="8"/>
    <x v="8"/>
    <x v="0"/>
    <x v="6"/>
    <x v="1"/>
    <n v="3"/>
    <x v="14"/>
    <n v="2315"/>
  </r>
  <r>
    <x v="3"/>
    <x v="8"/>
    <x v="8"/>
    <x v="1"/>
    <x v="7"/>
    <x v="1"/>
    <n v="3"/>
    <x v="14"/>
    <n v="4839"/>
  </r>
  <r>
    <x v="4"/>
    <x v="9"/>
    <x v="9"/>
    <x v="1"/>
    <x v="1"/>
    <x v="1"/>
    <n v="3"/>
    <x v="14"/>
    <n v="3695"/>
  </r>
  <r>
    <x v="4"/>
    <x v="9"/>
    <x v="9"/>
    <x v="1"/>
    <x v="8"/>
    <x v="1"/>
    <n v="3"/>
    <x v="14"/>
    <n v="3335"/>
  </r>
  <r>
    <x v="0"/>
    <x v="1"/>
    <x v="1"/>
    <x v="2"/>
    <x v="4"/>
    <x v="1"/>
    <n v="3"/>
    <x v="14"/>
    <n v="3489"/>
  </r>
  <r>
    <x v="0"/>
    <x v="1"/>
    <x v="1"/>
    <x v="0"/>
    <x v="5"/>
    <x v="1"/>
    <n v="3"/>
    <x v="14"/>
    <n v="1764"/>
  </r>
  <r>
    <x v="1"/>
    <x v="6"/>
    <x v="6"/>
    <x v="0"/>
    <x v="6"/>
    <x v="1"/>
    <n v="3"/>
    <x v="14"/>
    <n v="2361"/>
  </r>
  <r>
    <x v="2"/>
    <x v="10"/>
    <x v="10"/>
    <x v="1"/>
    <x v="8"/>
    <x v="1"/>
    <n v="3"/>
    <x v="14"/>
    <n v="2880"/>
  </r>
  <r>
    <x v="2"/>
    <x v="11"/>
    <x v="11"/>
    <x v="2"/>
    <x v="3"/>
    <x v="1"/>
    <n v="3"/>
    <x v="14"/>
    <n v="3603"/>
  </r>
  <r>
    <x v="2"/>
    <x v="7"/>
    <x v="7"/>
    <x v="2"/>
    <x v="4"/>
    <x v="1"/>
    <n v="3"/>
    <x v="14"/>
    <n v="4088"/>
  </r>
  <r>
    <x v="2"/>
    <x v="3"/>
    <x v="3"/>
    <x v="1"/>
    <x v="8"/>
    <x v="1"/>
    <n v="3"/>
    <x v="14"/>
    <n v="3836"/>
  </r>
  <r>
    <x v="2"/>
    <x v="10"/>
    <x v="10"/>
    <x v="0"/>
    <x v="6"/>
    <x v="1"/>
    <n v="3"/>
    <x v="14"/>
    <n v="1574"/>
  </r>
  <r>
    <x v="2"/>
    <x v="11"/>
    <x v="11"/>
    <x v="1"/>
    <x v="1"/>
    <x v="1"/>
    <n v="3"/>
    <x v="14"/>
    <n v="3006"/>
  </r>
  <r>
    <x v="3"/>
    <x v="4"/>
    <x v="4"/>
    <x v="2"/>
    <x v="2"/>
    <x v="1"/>
    <n v="3"/>
    <x v="14"/>
    <n v="3787"/>
  </r>
  <r>
    <x v="4"/>
    <x v="5"/>
    <x v="5"/>
    <x v="2"/>
    <x v="4"/>
    <x v="1"/>
    <n v="3"/>
    <x v="14"/>
    <n v="3698"/>
  </r>
  <r>
    <x v="3"/>
    <x v="8"/>
    <x v="8"/>
    <x v="0"/>
    <x v="0"/>
    <x v="1"/>
    <n v="3"/>
    <x v="14"/>
    <n v="2022"/>
  </r>
  <r>
    <x v="4"/>
    <x v="9"/>
    <x v="9"/>
    <x v="1"/>
    <x v="7"/>
    <x v="1"/>
    <n v="3"/>
    <x v="14"/>
    <n v="4657"/>
  </r>
  <r>
    <x v="2"/>
    <x v="10"/>
    <x v="10"/>
    <x v="2"/>
    <x v="4"/>
    <x v="1"/>
    <n v="3"/>
    <x v="14"/>
    <n v="3079"/>
  </r>
  <r>
    <x v="2"/>
    <x v="11"/>
    <x v="11"/>
    <x v="0"/>
    <x v="0"/>
    <x v="1"/>
    <n v="3"/>
    <x v="14"/>
    <n v="2856"/>
  </r>
  <r>
    <x v="0"/>
    <x v="0"/>
    <x v="0"/>
    <x v="0"/>
    <x v="0"/>
    <x v="1"/>
    <n v="4"/>
    <x v="15"/>
    <n v="2733"/>
  </r>
  <r>
    <x v="0"/>
    <x v="1"/>
    <x v="1"/>
    <x v="0"/>
    <x v="0"/>
    <x v="1"/>
    <n v="4"/>
    <x v="15"/>
    <n v="1839"/>
  </r>
  <r>
    <x v="0"/>
    <x v="1"/>
    <x v="1"/>
    <x v="1"/>
    <x v="1"/>
    <x v="1"/>
    <n v="4"/>
    <x v="15"/>
    <n v="2646"/>
  </r>
  <r>
    <x v="0"/>
    <x v="0"/>
    <x v="0"/>
    <x v="1"/>
    <x v="1"/>
    <x v="1"/>
    <n v="4"/>
    <x v="15"/>
    <n v="3728"/>
  </r>
  <r>
    <x v="0"/>
    <x v="0"/>
    <x v="0"/>
    <x v="2"/>
    <x v="2"/>
    <x v="1"/>
    <n v="4"/>
    <x v="15"/>
    <n v="4932"/>
  </r>
  <r>
    <x v="1"/>
    <x v="2"/>
    <x v="2"/>
    <x v="2"/>
    <x v="3"/>
    <x v="1"/>
    <n v="4"/>
    <x v="15"/>
    <n v="3775"/>
  </r>
  <r>
    <x v="2"/>
    <x v="3"/>
    <x v="3"/>
    <x v="2"/>
    <x v="4"/>
    <x v="1"/>
    <n v="4"/>
    <x v="15"/>
    <n v="3530"/>
  </r>
  <r>
    <x v="3"/>
    <x v="4"/>
    <x v="4"/>
    <x v="0"/>
    <x v="5"/>
    <x v="1"/>
    <n v="4"/>
    <x v="15"/>
    <n v="2241"/>
  </r>
  <r>
    <x v="4"/>
    <x v="5"/>
    <x v="5"/>
    <x v="0"/>
    <x v="0"/>
    <x v="1"/>
    <n v="4"/>
    <x v="15"/>
    <n v="3006"/>
  </r>
  <r>
    <x v="0"/>
    <x v="1"/>
    <x v="1"/>
    <x v="0"/>
    <x v="6"/>
    <x v="1"/>
    <n v="4"/>
    <x v="15"/>
    <n v="1437"/>
  </r>
  <r>
    <x v="1"/>
    <x v="6"/>
    <x v="6"/>
    <x v="1"/>
    <x v="7"/>
    <x v="1"/>
    <n v="4"/>
    <x v="15"/>
    <n v="5730"/>
  </r>
  <r>
    <x v="2"/>
    <x v="7"/>
    <x v="7"/>
    <x v="1"/>
    <x v="1"/>
    <x v="1"/>
    <n v="4"/>
    <x v="15"/>
    <n v="3996"/>
  </r>
  <r>
    <x v="3"/>
    <x v="8"/>
    <x v="8"/>
    <x v="1"/>
    <x v="8"/>
    <x v="1"/>
    <n v="4"/>
    <x v="15"/>
    <n v="2941"/>
  </r>
  <r>
    <x v="4"/>
    <x v="9"/>
    <x v="9"/>
    <x v="2"/>
    <x v="2"/>
    <x v="1"/>
    <n v="4"/>
    <x v="15"/>
    <n v="3648"/>
  </r>
  <r>
    <x v="0"/>
    <x v="0"/>
    <x v="0"/>
    <x v="2"/>
    <x v="3"/>
    <x v="1"/>
    <n v="4"/>
    <x v="15"/>
    <n v="4851"/>
  </r>
  <r>
    <x v="1"/>
    <x v="2"/>
    <x v="2"/>
    <x v="2"/>
    <x v="4"/>
    <x v="1"/>
    <n v="4"/>
    <x v="15"/>
    <n v="3897"/>
  </r>
  <r>
    <x v="2"/>
    <x v="3"/>
    <x v="3"/>
    <x v="0"/>
    <x v="5"/>
    <x v="1"/>
    <n v="4"/>
    <x v="15"/>
    <n v="1567"/>
  </r>
  <r>
    <x v="3"/>
    <x v="4"/>
    <x v="4"/>
    <x v="0"/>
    <x v="0"/>
    <x v="1"/>
    <n v="4"/>
    <x v="15"/>
    <n v="1628"/>
  </r>
  <r>
    <x v="4"/>
    <x v="5"/>
    <x v="5"/>
    <x v="0"/>
    <x v="6"/>
    <x v="1"/>
    <n v="4"/>
    <x v="15"/>
    <n v="1850"/>
  </r>
  <r>
    <x v="0"/>
    <x v="1"/>
    <x v="1"/>
    <x v="1"/>
    <x v="7"/>
    <x v="1"/>
    <n v="4"/>
    <x v="15"/>
    <n v="5638"/>
  </r>
  <r>
    <x v="1"/>
    <x v="6"/>
    <x v="6"/>
    <x v="1"/>
    <x v="1"/>
    <x v="1"/>
    <n v="4"/>
    <x v="15"/>
    <n v="4522"/>
  </r>
  <r>
    <x v="2"/>
    <x v="7"/>
    <x v="7"/>
    <x v="1"/>
    <x v="8"/>
    <x v="1"/>
    <n v="4"/>
    <x v="15"/>
    <n v="4286"/>
  </r>
  <r>
    <x v="3"/>
    <x v="8"/>
    <x v="8"/>
    <x v="2"/>
    <x v="2"/>
    <x v="1"/>
    <n v="4"/>
    <x v="15"/>
    <n v="4201"/>
  </r>
  <r>
    <x v="4"/>
    <x v="9"/>
    <x v="9"/>
    <x v="2"/>
    <x v="3"/>
    <x v="1"/>
    <n v="4"/>
    <x v="15"/>
    <n v="4588"/>
  </r>
  <r>
    <x v="0"/>
    <x v="0"/>
    <x v="0"/>
    <x v="2"/>
    <x v="4"/>
    <x v="1"/>
    <n v="4"/>
    <x v="15"/>
    <n v="3984"/>
  </r>
  <r>
    <x v="1"/>
    <x v="2"/>
    <x v="2"/>
    <x v="0"/>
    <x v="5"/>
    <x v="1"/>
    <n v="4"/>
    <x v="15"/>
    <n v="2551"/>
  </r>
  <r>
    <x v="2"/>
    <x v="3"/>
    <x v="3"/>
    <x v="0"/>
    <x v="0"/>
    <x v="1"/>
    <n v="4"/>
    <x v="15"/>
    <n v="1968"/>
  </r>
  <r>
    <x v="3"/>
    <x v="4"/>
    <x v="4"/>
    <x v="0"/>
    <x v="6"/>
    <x v="1"/>
    <n v="4"/>
    <x v="15"/>
    <n v="2127"/>
  </r>
  <r>
    <x v="4"/>
    <x v="5"/>
    <x v="5"/>
    <x v="1"/>
    <x v="7"/>
    <x v="1"/>
    <n v="4"/>
    <x v="15"/>
    <n v="4082"/>
  </r>
  <r>
    <x v="1"/>
    <x v="2"/>
    <x v="2"/>
    <x v="1"/>
    <x v="8"/>
    <x v="1"/>
    <n v="4"/>
    <x v="15"/>
    <n v="2578"/>
  </r>
  <r>
    <x v="2"/>
    <x v="7"/>
    <x v="7"/>
    <x v="2"/>
    <x v="2"/>
    <x v="1"/>
    <n v="4"/>
    <x v="15"/>
    <n v="4790"/>
  </r>
  <r>
    <x v="3"/>
    <x v="8"/>
    <x v="8"/>
    <x v="2"/>
    <x v="3"/>
    <x v="1"/>
    <n v="4"/>
    <x v="15"/>
    <n v="4479"/>
  </r>
  <r>
    <x v="4"/>
    <x v="9"/>
    <x v="9"/>
    <x v="2"/>
    <x v="4"/>
    <x v="1"/>
    <n v="4"/>
    <x v="15"/>
    <n v="4030"/>
  </r>
  <r>
    <x v="0"/>
    <x v="0"/>
    <x v="0"/>
    <x v="0"/>
    <x v="5"/>
    <x v="1"/>
    <n v="4"/>
    <x v="15"/>
    <n v="2120"/>
  </r>
  <r>
    <x v="1"/>
    <x v="6"/>
    <x v="6"/>
    <x v="0"/>
    <x v="0"/>
    <x v="1"/>
    <n v="4"/>
    <x v="15"/>
    <n v="3071"/>
  </r>
  <r>
    <x v="2"/>
    <x v="3"/>
    <x v="3"/>
    <x v="0"/>
    <x v="6"/>
    <x v="1"/>
    <n v="4"/>
    <x v="15"/>
    <n v="1578"/>
  </r>
  <r>
    <x v="3"/>
    <x v="4"/>
    <x v="4"/>
    <x v="1"/>
    <x v="7"/>
    <x v="1"/>
    <n v="4"/>
    <x v="15"/>
    <n v="5824"/>
  </r>
  <r>
    <x v="4"/>
    <x v="5"/>
    <x v="5"/>
    <x v="1"/>
    <x v="1"/>
    <x v="1"/>
    <n v="4"/>
    <x v="15"/>
    <n v="3297"/>
  </r>
  <r>
    <x v="0"/>
    <x v="1"/>
    <x v="1"/>
    <x v="1"/>
    <x v="8"/>
    <x v="1"/>
    <n v="4"/>
    <x v="15"/>
    <n v="2242"/>
  </r>
  <r>
    <x v="1"/>
    <x v="2"/>
    <x v="2"/>
    <x v="2"/>
    <x v="2"/>
    <x v="1"/>
    <n v="4"/>
    <x v="15"/>
    <n v="3536"/>
  </r>
  <r>
    <x v="2"/>
    <x v="7"/>
    <x v="7"/>
    <x v="2"/>
    <x v="3"/>
    <x v="1"/>
    <n v="4"/>
    <x v="15"/>
    <n v="3157"/>
  </r>
  <r>
    <x v="3"/>
    <x v="8"/>
    <x v="8"/>
    <x v="2"/>
    <x v="4"/>
    <x v="1"/>
    <n v="4"/>
    <x v="15"/>
    <n v="3482"/>
  </r>
  <r>
    <x v="4"/>
    <x v="9"/>
    <x v="9"/>
    <x v="0"/>
    <x v="5"/>
    <x v="1"/>
    <n v="4"/>
    <x v="15"/>
    <n v="2942"/>
  </r>
  <r>
    <x v="1"/>
    <x v="2"/>
    <x v="2"/>
    <x v="0"/>
    <x v="6"/>
    <x v="1"/>
    <n v="4"/>
    <x v="15"/>
    <n v="2125"/>
  </r>
  <r>
    <x v="2"/>
    <x v="3"/>
    <x v="3"/>
    <x v="1"/>
    <x v="7"/>
    <x v="1"/>
    <n v="4"/>
    <x v="15"/>
    <n v="4906"/>
  </r>
  <r>
    <x v="3"/>
    <x v="8"/>
    <x v="8"/>
    <x v="1"/>
    <x v="1"/>
    <x v="1"/>
    <n v="4"/>
    <x v="15"/>
    <n v="2921"/>
  </r>
  <r>
    <x v="4"/>
    <x v="5"/>
    <x v="5"/>
    <x v="1"/>
    <x v="8"/>
    <x v="1"/>
    <n v="4"/>
    <x v="15"/>
    <n v="2093"/>
  </r>
  <r>
    <x v="0"/>
    <x v="1"/>
    <x v="1"/>
    <x v="2"/>
    <x v="2"/>
    <x v="1"/>
    <n v="4"/>
    <x v="15"/>
    <n v="3940"/>
  </r>
  <r>
    <x v="0"/>
    <x v="1"/>
    <x v="1"/>
    <x v="2"/>
    <x v="3"/>
    <x v="1"/>
    <n v="4"/>
    <x v="15"/>
    <n v="3522"/>
  </r>
  <r>
    <x v="1"/>
    <x v="6"/>
    <x v="6"/>
    <x v="2"/>
    <x v="4"/>
    <x v="1"/>
    <n v="4"/>
    <x v="15"/>
    <n v="3715"/>
  </r>
  <r>
    <x v="1"/>
    <x v="6"/>
    <x v="6"/>
    <x v="0"/>
    <x v="5"/>
    <x v="1"/>
    <n v="4"/>
    <x v="15"/>
    <n v="1584"/>
  </r>
  <r>
    <x v="2"/>
    <x v="7"/>
    <x v="7"/>
    <x v="0"/>
    <x v="0"/>
    <x v="1"/>
    <n v="4"/>
    <x v="15"/>
    <n v="2861"/>
  </r>
  <r>
    <x v="2"/>
    <x v="7"/>
    <x v="7"/>
    <x v="0"/>
    <x v="6"/>
    <x v="1"/>
    <n v="4"/>
    <x v="15"/>
    <n v="2135"/>
  </r>
  <r>
    <x v="2"/>
    <x v="3"/>
    <x v="3"/>
    <x v="1"/>
    <x v="1"/>
    <x v="1"/>
    <n v="4"/>
    <x v="15"/>
    <n v="3949"/>
  </r>
  <r>
    <x v="0"/>
    <x v="0"/>
    <x v="0"/>
    <x v="1"/>
    <x v="8"/>
    <x v="1"/>
    <n v="4"/>
    <x v="15"/>
    <n v="2916"/>
  </r>
  <r>
    <x v="2"/>
    <x v="10"/>
    <x v="10"/>
    <x v="0"/>
    <x v="5"/>
    <x v="1"/>
    <n v="4"/>
    <x v="15"/>
    <n v="1853"/>
  </r>
  <r>
    <x v="2"/>
    <x v="10"/>
    <x v="10"/>
    <x v="0"/>
    <x v="0"/>
    <x v="1"/>
    <n v="4"/>
    <x v="15"/>
    <n v="2261"/>
  </r>
  <r>
    <x v="2"/>
    <x v="11"/>
    <x v="11"/>
    <x v="0"/>
    <x v="6"/>
    <x v="1"/>
    <n v="4"/>
    <x v="15"/>
    <n v="2800"/>
  </r>
  <r>
    <x v="2"/>
    <x v="11"/>
    <x v="11"/>
    <x v="1"/>
    <x v="7"/>
    <x v="1"/>
    <n v="4"/>
    <x v="15"/>
    <n v="6748"/>
  </r>
  <r>
    <x v="3"/>
    <x v="4"/>
    <x v="4"/>
    <x v="1"/>
    <x v="1"/>
    <x v="1"/>
    <n v="4"/>
    <x v="15"/>
    <n v="4267"/>
  </r>
  <r>
    <x v="3"/>
    <x v="4"/>
    <x v="4"/>
    <x v="1"/>
    <x v="8"/>
    <x v="1"/>
    <n v="4"/>
    <x v="15"/>
    <n v="3963"/>
  </r>
  <r>
    <x v="4"/>
    <x v="5"/>
    <x v="5"/>
    <x v="2"/>
    <x v="2"/>
    <x v="1"/>
    <n v="4"/>
    <x v="15"/>
    <n v="4351"/>
  </r>
  <r>
    <x v="4"/>
    <x v="5"/>
    <x v="5"/>
    <x v="2"/>
    <x v="3"/>
    <x v="1"/>
    <n v="4"/>
    <x v="15"/>
    <n v="3529"/>
  </r>
  <r>
    <x v="3"/>
    <x v="8"/>
    <x v="8"/>
    <x v="0"/>
    <x v="5"/>
    <x v="1"/>
    <n v="4"/>
    <x v="15"/>
    <n v="2100"/>
  </r>
  <r>
    <x v="4"/>
    <x v="9"/>
    <x v="9"/>
    <x v="0"/>
    <x v="0"/>
    <x v="1"/>
    <n v="4"/>
    <x v="15"/>
    <n v="2881"/>
  </r>
  <r>
    <x v="4"/>
    <x v="9"/>
    <x v="9"/>
    <x v="0"/>
    <x v="6"/>
    <x v="1"/>
    <n v="4"/>
    <x v="15"/>
    <n v="1905"/>
  </r>
  <r>
    <x v="2"/>
    <x v="7"/>
    <x v="7"/>
    <x v="1"/>
    <x v="7"/>
    <x v="1"/>
    <n v="4"/>
    <x v="15"/>
    <n v="4023"/>
  </r>
  <r>
    <x v="1"/>
    <x v="6"/>
    <x v="6"/>
    <x v="2"/>
    <x v="3"/>
    <x v="1"/>
    <n v="4"/>
    <x v="15"/>
    <n v="4941"/>
  </r>
  <r>
    <x v="0"/>
    <x v="0"/>
    <x v="0"/>
    <x v="0"/>
    <x v="6"/>
    <x v="1"/>
    <n v="4"/>
    <x v="15"/>
    <n v="2765"/>
  </r>
  <r>
    <x v="0"/>
    <x v="0"/>
    <x v="0"/>
    <x v="1"/>
    <x v="7"/>
    <x v="1"/>
    <n v="4"/>
    <x v="15"/>
    <n v="6277"/>
  </r>
  <r>
    <x v="1"/>
    <x v="2"/>
    <x v="2"/>
    <x v="1"/>
    <x v="1"/>
    <x v="1"/>
    <n v="4"/>
    <x v="15"/>
    <n v="2908"/>
  </r>
  <r>
    <x v="2"/>
    <x v="10"/>
    <x v="10"/>
    <x v="2"/>
    <x v="2"/>
    <x v="1"/>
    <n v="4"/>
    <x v="15"/>
    <n v="3469"/>
  </r>
  <r>
    <x v="2"/>
    <x v="10"/>
    <x v="10"/>
    <x v="2"/>
    <x v="3"/>
    <x v="1"/>
    <n v="4"/>
    <x v="15"/>
    <n v="5412"/>
  </r>
  <r>
    <x v="2"/>
    <x v="11"/>
    <x v="11"/>
    <x v="2"/>
    <x v="4"/>
    <x v="1"/>
    <n v="4"/>
    <x v="15"/>
    <n v="3959"/>
  </r>
  <r>
    <x v="2"/>
    <x v="11"/>
    <x v="11"/>
    <x v="0"/>
    <x v="5"/>
    <x v="1"/>
    <n v="4"/>
    <x v="15"/>
    <n v="1829"/>
  </r>
  <r>
    <x v="2"/>
    <x v="7"/>
    <x v="7"/>
    <x v="0"/>
    <x v="5"/>
    <x v="1"/>
    <n v="4"/>
    <x v="15"/>
    <n v="2369"/>
  </r>
  <r>
    <x v="1"/>
    <x v="6"/>
    <x v="6"/>
    <x v="1"/>
    <x v="8"/>
    <x v="1"/>
    <n v="4"/>
    <x v="15"/>
    <n v="3296"/>
  </r>
  <r>
    <x v="2"/>
    <x v="3"/>
    <x v="3"/>
    <x v="2"/>
    <x v="2"/>
    <x v="1"/>
    <n v="4"/>
    <x v="15"/>
    <n v="3318"/>
  </r>
  <r>
    <x v="2"/>
    <x v="3"/>
    <x v="3"/>
    <x v="2"/>
    <x v="3"/>
    <x v="1"/>
    <n v="4"/>
    <x v="15"/>
    <n v="4600"/>
  </r>
  <r>
    <x v="1"/>
    <x v="2"/>
    <x v="2"/>
    <x v="0"/>
    <x v="0"/>
    <x v="1"/>
    <n v="4"/>
    <x v="15"/>
    <n v="2346"/>
  </r>
  <r>
    <x v="2"/>
    <x v="10"/>
    <x v="10"/>
    <x v="1"/>
    <x v="7"/>
    <x v="1"/>
    <n v="4"/>
    <x v="15"/>
    <n v="4186"/>
  </r>
  <r>
    <x v="2"/>
    <x v="10"/>
    <x v="10"/>
    <x v="1"/>
    <x v="1"/>
    <x v="1"/>
    <n v="4"/>
    <x v="15"/>
    <n v="3239"/>
  </r>
  <r>
    <x v="2"/>
    <x v="11"/>
    <x v="11"/>
    <x v="1"/>
    <x v="8"/>
    <x v="1"/>
    <n v="4"/>
    <x v="15"/>
    <n v="4159"/>
  </r>
  <r>
    <x v="2"/>
    <x v="11"/>
    <x v="11"/>
    <x v="2"/>
    <x v="2"/>
    <x v="1"/>
    <n v="4"/>
    <x v="15"/>
    <n v="4868"/>
  </r>
  <r>
    <x v="3"/>
    <x v="4"/>
    <x v="4"/>
    <x v="2"/>
    <x v="3"/>
    <x v="1"/>
    <n v="4"/>
    <x v="15"/>
    <n v="4096"/>
  </r>
  <r>
    <x v="3"/>
    <x v="4"/>
    <x v="4"/>
    <x v="2"/>
    <x v="4"/>
    <x v="1"/>
    <n v="4"/>
    <x v="15"/>
    <n v="3216"/>
  </r>
  <r>
    <x v="4"/>
    <x v="5"/>
    <x v="5"/>
    <x v="0"/>
    <x v="5"/>
    <x v="1"/>
    <n v="4"/>
    <x v="15"/>
    <n v="2403"/>
  </r>
  <r>
    <x v="3"/>
    <x v="8"/>
    <x v="8"/>
    <x v="0"/>
    <x v="6"/>
    <x v="1"/>
    <n v="4"/>
    <x v="15"/>
    <n v="2787"/>
  </r>
  <r>
    <x v="3"/>
    <x v="8"/>
    <x v="8"/>
    <x v="1"/>
    <x v="7"/>
    <x v="1"/>
    <n v="4"/>
    <x v="15"/>
    <n v="5389"/>
  </r>
  <r>
    <x v="4"/>
    <x v="9"/>
    <x v="9"/>
    <x v="1"/>
    <x v="1"/>
    <x v="1"/>
    <n v="4"/>
    <x v="15"/>
    <n v="3604"/>
  </r>
  <r>
    <x v="4"/>
    <x v="9"/>
    <x v="9"/>
    <x v="1"/>
    <x v="8"/>
    <x v="1"/>
    <n v="4"/>
    <x v="15"/>
    <n v="4868"/>
  </r>
  <r>
    <x v="0"/>
    <x v="1"/>
    <x v="1"/>
    <x v="2"/>
    <x v="4"/>
    <x v="1"/>
    <n v="4"/>
    <x v="15"/>
    <n v="2845"/>
  </r>
  <r>
    <x v="0"/>
    <x v="1"/>
    <x v="1"/>
    <x v="0"/>
    <x v="5"/>
    <x v="1"/>
    <n v="4"/>
    <x v="15"/>
    <n v="2622"/>
  </r>
  <r>
    <x v="1"/>
    <x v="6"/>
    <x v="6"/>
    <x v="0"/>
    <x v="6"/>
    <x v="1"/>
    <n v="4"/>
    <x v="15"/>
    <n v="2243"/>
  </r>
  <r>
    <x v="2"/>
    <x v="10"/>
    <x v="10"/>
    <x v="1"/>
    <x v="8"/>
    <x v="1"/>
    <n v="4"/>
    <x v="15"/>
    <n v="2514"/>
  </r>
  <r>
    <x v="2"/>
    <x v="11"/>
    <x v="11"/>
    <x v="2"/>
    <x v="3"/>
    <x v="1"/>
    <n v="4"/>
    <x v="15"/>
    <n v="3073"/>
  </r>
  <r>
    <x v="2"/>
    <x v="7"/>
    <x v="7"/>
    <x v="2"/>
    <x v="4"/>
    <x v="1"/>
    <n v="4"/>
    <x v="15"/>
    <n v="3897"/>
  </r>
  <r>
    <x v="2"/>
    <x v="3"/>
    <x v="3"/>
    <x v="1"/>
    <x v="8"/>
    <x v="1"/>
    <n v="4"/>
    <x v="15"/>
    <n v="4474"/>
  </r>
  <r>
    <x v="2"/>
    <x v="10"/>
    <x v="10"/>
    <x v="0"/>
    <x v="6"/>
    <x v="1"/>
    <n v="4"/>
    <x v="15"/>
    <n v="1426"/>
  </r>
  <r>
    <x v="2"/>
    <x v="11"/>
    <x v="11"/>
    <x v="1"/>
    <x v="1"/>
    <x v="1"/>
    <n v="4"/>
    <x v="15"/>
    <n v="4480"/>
  </r>
  <r>
    <x v="3"/>
    <x v="4"/>
    <x v="4"/>
    <x v="2"/>
    <x v="2"/>
    <x v="1"/>
    <n v="4"/>
    <x v="15"/>
    <n v="3823"/>
  </r>
  <r>
    <x v="4"/>
    <x v="5"/>
    <x v="5"/>
    <x v="2"/>
    <x v="4"/>
    <x v="1"/>
    <n v="4"/>
    <x v="15"/>
    <n v="3392"/>
  </r>
  <r>
    <x v="3"/>
    <x v="8"/>
    <x v="8"/>
    <x v="0"/>
    <x v="0"/>
    <x v="1"/>
    <n v="4"/>
    <x v="15"/>
    <n v="2275"/>
  </r>
  <r>
    <x v="4"/>
    <x v="9"/>
    <x v="9"/>
    <x v="1"/>
    <x v="7"/>
    <x v="1"/>
    <n v="4"/>
    <x v="15"/>
    <n v="4917"/>
  </r>
  <r>
    <x v="2"/>
    <x v="10"/>
    <x v="10"/>
    <x v="2"/>
    <x v="4"/>
    <x v="1"/>
    <n v="4"/>
    <x v="15"/>
    <n v="3718"/>
  </r>
  <r>
    <x v="2"/>
    <x v="11"/>
    <x v="11"/>
    <x v="0"/>
    <x v="0"/>
    <x v="1"/>
    <n v="4"/>
    <x v="15"/>
    <n v="1783"/>
  </r>
  <r>
    <x v="0"/>
    <x v="0"/>
    <x v="0"/>
    <x v="0"/>
    <x v="0"/>
    <x v="1"/>
    <n v="5"/>
    <x v="16"/>
    <n v="2198"/>
  </r>
  <r>
    <x v="0"/>
    <x v="1"/>
    <x v="1"/>
    <x v="0"/>
    <x v="0"/>
    <x v="1"/>
    <n v="5"/>
    <x v="16"/>
    <n v="3329"/>
  </r>
  <r>
    <x v="0"/>
    <x v="1"/>
    <x v="1"/>
    <x v="1"/>
    <x v="1"/>
    <x v="1"/>
    <n v="5"/>
    <x v="16"/>
    <n v="5572"/>
  </r>
  <r>
    <x v="0"/>
    <x v="0"/>
    <x v="0"/>
    <x v="1"/>
    <x v="1"/>
    <x v="1"/>
    <n v="5"/>
    <x v="16"/>
    <n v="4762"/>
  </r>
  <r>
    <x v="0"/>
    <x v="0"/>
    <x v="0"/>
    <x v="2"/>
    <x v="2"/>
    <x v="1"/>
    <n v="5"/>
    <x v="16"/>
    <n v="3246"/>
  </r>
  <r>
    <x v="1"/>
    <x v="2"/>
    <x v="2"/>
    <x v="2"/>
    <x v="3"/>
    <x v="1"/>
    <n v="5"/>
    <x v="16"/>
    <n v="5283"/>
  </r>
  <r>
    <x v="2"/>
    <x v="3"/>
    <x v="3"/>
    <x v="2"/>
    <x v="4"/>
    <x v="1"/>
    <n v="5"/>
    <x v="16"/>
    <n v="3553"/>
  </r>
  <r>
    <x v="3"/>
    <x v="4"/>
    <x v="4"/>
    <x v="0"/>
    <x v="5"/>
    <x v="1"/>
    <n v="5"/>
    <x v="16"/>
    <n v="2108"/>
  </r>
  <r>
    <x v="4"/>
    <x v="5"/>
    <x v="5"/>
    <x v="0"/>
    <x v="0"/>
    <x v="1"/>
    <n v="5"/>
    <x v="16"/>
    <n v="2349"/>
  </r>
  <r>
    <x v="0"/>
    <x v="1"/>
    <x v="1"/>
    <x v="0"/>
    <x v="6"/>
    <x v="1"/>
    <n v="5"/>
    <x v="16"/>
    <n v="2510"/>
  </r>
  <r>
    <x v="1"/>
    <x v="6"/>
    <x v="6"/>
    <x v="1"/>
    <x v="7"/>
    <x v="1"/>
    <n v="5"/>
    <x v="16"/>
    <n v="4779"/>
  </r>
  <r>
    <x v="2"/>
    <x v="7"/>
    <x v="7"/>
    <x v="1"/>
    <x v="1"/>
    <x v="1"/>
    <n v="5"/>
    <x v="16"/>
    <n v="3360"/>
  </r>
  <r>
    <x v="3"/>
    <x v="8"/>
    <x v="8"/>
    <x v="1"/>
    <x v="8"/>
    <x v="1"/>
    <n v="5"/>
    <x v="16"/>
    <n v="3399"/>
  </r>
  <r>
    <x v="4"/>
    <x v="9"/>
    <x v="9"/>
    <x v="2"/>
    <x v="2"/>
    <x v="1"/>
    <n v="5"/>
    <x v="16"/>
    <n v="3598"/>
  </r>
  <r>
    <x v="0"/>
    <x v="0"/>
    <x v="0"/>
    <x v="2"/>
    <x v="3"/>
    <x v="1"/>
    <n v="5"/>
    <x v="16"/>
    <n v="3593"/>
  </r>
  <r>
    <x v="1"/>
    <x v="2"/>
    <x v="2"/>
    <x v="2"/>
    <x v="4"/>
    <x v="1"/>
    <n v="5"/>
    <x v="16"/>
    <n v="3748"/>
  </r>
  <r>
    <x v="2"/>
    <x v="3"/>
    <x v="3"/>
    <x v="0"/>
    <x v="5"/>
    <x v="1"/>
    <n v="5"/>
    <x v="16"/>
    <n v="1968"/>
  </r>
  <r>
    <x v="3"/>
    <x v="4"/>
    <x v="4"/>
    <x v="0"/>
    <x v="0"/>
    <x v="1"/>
    <n v="5"/>
    <x v="16"/>
    <n v="1837"/>
  </r>
  <r>
    <x v="4"/>
    <x v="5"/>
    <x v="5"/>
    <x v="0"/>
    <x v="6"/>
    <x v="1"/>
    <n v="5"/>
    <x v="16"/>
    <n v="2690"/>
  </r>
  <r>
    <x v="0"/>
    <x v="1"/>
    <x v="1"/>
    <x v="1"/>
    <x v="7"/>
    <x v="1"/>
    <n v="5"/>
    <x v="16"/>
    <n v="6832"/>
  </r>
  <r>
    <x v="1"/>
    <x v="6"/>
    <x v="6"/>
    <x v="1"/>
    <x v="1"/>
    <x v="1"/>
    <n v="5"/>
    <x v="16"/>
    <n v="2982"/>
  </r>
  <r>
    <x v="2"/>
    <x v="7"/>
    <x v="7"/>
    <x v="1"/>
    <x v="8"/>
    <x v="1"/>
    <n v="5"/>
    <x v="16"/>
    <n v="3236"/>
  </r>
  <r>
    <x v="3"/>
    <x v="8"/>
    <x v="8"/>
    <x v="2"/>
    <x v="2"/>
    <x v="1"/>
    <n v="5"/>
    <x v="16"/>
    <n v="4090"/>
  </r>
  <r>
    <x v="4"/>
    <x v="9"/>
    <x v="9"/>
    <x v="2"/>
    <x v="3"/>
    <x v="1"/>
    <n v="5"/>
    <x v="16"/>
    <n v="4861"/>
  </r>
  <r>
    <x v="0"/>
    <x v="0"/>
    <x v="0"/>
    <x v="2"/>
    <x v="4"/>
    <x v="1"/>
    <n v="5"/>
    <x v="16"/>
    <n v="3609"/>
  </r>
  <r>
    <x v="1"/>
    <x v="2"/>
    <x v="2"/>
    <x v="0"/>
    <x v="5"/>
    <x v="1"/>
    <n v="5"/>
    <x v="16"/>
    <n v="2193"/>
  </r>
  <r>
    <x v="2"/>
    <x v="3"/>
    <x v="3"/>
    <x v="0"/>
    <x v="0"/>
    <x v="1"/>
    <n v="5"/>
    <x v="16"/>
    <n v="2471"/>
  </r>
  <r>
    <x v="3"/>
    <x v="4"/>
    <x v="4"/>
    <x v="0"/>
    <x v="6"/>
    <x v="1"/>
    <n v="5"/>
    <x v="16"/>
    <n v="2679"/>
  </r>
  <r>
    <x v="4"/>
    <x v="5"/>
    <x v="5"/>
    <x v="1"/>
    <x v="7"/>
    <x v="1"/>
    <n v="5"/>
    <x v="16"/>
    <n v="5646"/>
  </r>
  <r>
    <x v="1"/>
    <x v="2"/>
    <x v="2"/>
    <x v="1"/>
    <x v="8"/>
    <x v="1"/>
    <n v="5"/>
    <x v="16"/>
    <n v="2184"/>
  </r>
  <r>
    <x v="2"/>
    <x v="7"/>
    <x v="7"/>
    <x v="2"/>
    <x v="2"/>
    <x v="1"/>
    <n v="5"/>
    <x v="16"/>
    <n v="3319"/>
  </r>
  <r>
    <x v="3"/>
    <x v="8"/>
    <x v="8"/>
    <x v="2"/>
    <x v="3"/>
    <x v="1"/>
    <n v="5"/>
    <x v="16"/>
    <n v="3649"/>
  </r>
  <r>
    <x v="4"/>
    <x v="9"/>
    <x v="9"/>
    <x v="2"/>
    <x v="4"/>
    <x v="1"/>
    <n v="5"/>
    <x v="16"/>
    <n v="3994"/>
  </r>
  <r>
    <x v="0"/>
    <x v="0"/>
    <x v="0"/>
    <x v="0"/>
    <x v="5"/>
    <x v="1"/>
    <n v="5"/>
    <x v="16"/>
    <n v="2233"/>
  </r>
  <r>
    <x v="1"/>
    <x v="6"/>
    <x v="6"/>
    <x v="0"/>
    <x v="0"/>
    <x v="1"/>
    <n v="5"/>
    <x v="16"/>
    <n v="3229"/>
  </r>
  <r>
    <x v="2"/>
    <x v="3"/>
    <x v="3"/>
    <x v="0"/>
    <x v="6"/>
    <x v="1"/>
    <n v="5"/>
    <x v="16"/>
    <n v="1642"/>
  </r>
  <r>
    <x v="3"/>
    <x v="4"/>
    <x v="4"/>
    <x v="1"/>
    <x v="7"/>
    <x v="1"/>
    <n v="5"/>
    <x v="16"/>
    <n v="6032"/>
  </r>
  <r>
    <x v="4"/>
    <x v="5"/>
    <x v="5"/>
    <x v="1"/>
    <x v="1"/>
    <x v="1"/>
    <n v="5"/>
    <x v="16"/>
    <n v="4061"/>
  </r>
  <r>
    <x v="0"/>
    <x v="1"/>
    <x v="1"/>
    <x v="1"/>
    <x v="8"/>
    <x v="1"/>
    <n v="5"/>
    <x v="16"/>
    <n v="2130"/>
  </r>
  <r>
    <x v="1"/>
    <x v="2"/>
    <x v="2"/>
    <x v="2"/>
    <x v="2"/>
    <x v="1"/>
    <n v="5"/>
    <x v="16"/>
    <n v="5014"/>
  </r>
  <r>
    <x v="2"/>
    <x v="7"/>
    <x v="7"/>
    <x v="2"/>
    <x v="3"/>
    <x v="1"/>
    <n v="5"/>
    <x v="16"/>
    <n v="3684"/>
  </r>
  <r>
    <x v="3"/>
    <x v="8"/>
    <x v="8"/>
    <x v="2"/>
    <x v="4"/>
    <x v="1"/>
    <n v="5"/>
    <x v="16"/>
    <n v="4098"/>
  </r>
  <r>
    <x v="4"/>
    <x v="9"/>
    <x v="9"/>
    <x v="0"/>
    <x v="5"/>
    <x v="1"/>
    <n v="5"/>
    <x v="16"/>
    <n v="2286"/>
  </r>
  <r>
    <x v="1"/>
    <x v="2"/>
    <x v="2"/>
    <x v="0"/>
    <x v="6"/>
    <x v="1"/>
    <n v="5"/>
    <x v="16"/>
    <n v="2656"/>
  </r>
  <r>
    <x v="2"/>
    <x v="3"/>
    <x v="3"/>
    <x v="1"/>
    <x v="7"/>
    <x v="1"/>
    <n v="5"/>
    <x v="16"/>
    <n v="4659"/>
  </r>
  <r>
    <x v="3"/>
    <x v="8"/>
    <x v="8"/>
    <x v="1"/>
    <x v="1"/>
    <x v="1"/>
    <n v="5"/>
    <x v="16"/>
    <n v="3828"/>
  </r>
  <r>
    <x v="4"/>
    <x v="5"/>
    <x v="5"/>
    <x v="1"/>
    <x v="8"/>
    <x v="1"/>
    <n v="5"/>
    <x v="16"/>
    <n v="2788"/>
  </r>
  <r>
    <x v="0"/>
    <x v="1"/>
    <x v="1"/>
    <x v="2"/>
    <x v="2"/>
    <x v="1"/>
    <n v="5"/>
    <x v="16"/>
    <n v="3344"/>
  </r>
  <r>
    <x v="0"/>
    <x v="1"/>
    <x v="1"/>
    <x v="2"/>
    <x v="3"/>
    <x v="1"/>
    <n v="5"/>
    <x v="16"/>
    <n v="4430"/>
  </r>
  <r>
    <x v="1"/>
    <x v="6"/>
    <x v="6"/>
    <x v="2"/>
    <x v="4"/>
    <x v="1"/>
    <n v="5"/>
    <x v="16"/>
    <n v="3433"/>
  </r>
  <r>
    <x v="1"/>
    <x v="6"/>
    <x v="6"/>
    <x v="0"/>
    <x v="5"/>
    <x v="1"/>
    <n v="5"/>
    <x v="16"/>
    <n v="2041"/>
  </r>
  <r>
    <x v="2"/>
    <x v="7"/>
    <x v="7"/>
    <x v="0"/>
    <x v="0"/>
    <x v="1"/>
    <n v="5"/>
    <x v="16"/>
    <n v="1901"/>
  </r>
  <r>
    <x v="2"/>
    <x v="7"/>
    <x v="7"/>
    <x v="0"/>
    <x v="6"/>
    <x v="1"/>
    <n v="5"/>
    <x v="16"/>
    <n v="1611"/>
  </r>
  <r>
    <x v="2"/>
    <x v="3"/>
    <x v="3"/>
    <x v="1"/>
    <x v="1"/>
    <x v="1"/>
    <n v="5"/>
    <x v="16"/>
    <n v="5450"/>
  </r>
  <r>
    <x v="0"/>
    <x v="0"/>
    <x v="0"/>
    <x v="1"/>
    <x v="8"/>
    <x v="1"/>
    <n v="5"/>
    <x v="16"/>
    <n v="4482"/>
  </r>
  <r>
    <x v="2"/>
    <x v="10"/>
    <x v="10"/>
    <x v="0"/>
    <x v="5"/>
    <x v="1"/>
    <n v="5"/>
    <x v="16"/>
    <n v="2824"/>
  </r>
  <r>
    <x v="2"/>
    <x v="10"/>
    <x v="10"/>
    <x v="0"/>
    <x v="0"/>
    <x v="1"/>
    <n v="5"/>
    <x v="16"/>
    <n v="2332"/>
  </r>
  <r>
    <x v="2"/>
    <x v="11"/>
    <x v="11"/>
    <x v="0"/>
    <x v="6"/>
    <x v="1"/>
    <n v="5"/>
    <x v="16"/>
    <n v="1633"/>
  </r>
  <r>
    <x v="2"/>
    <x v="11"/>
    <x v="11"/>
    <x v="1"/>
    <x v="7"/>
    <x v="1"/>
    <n v="5"/>
    <x v="16"/>
    <n v="4449"/>
  </r>
  <r>
    <x v="3"/>
    <x v="4"/>
    <x v="4"/>
    <x v="1"/>
    <x v="1"/>
    <x v="1"/>
    <n v="5"/>
    <x v="16"/>
    <n v="4993"/>
  </r>
  <r>
    <x v="3"/>
    <x v="4"/>
    <x v="4"/>
    <x v="1"/>
    <x v="8"/>
    <x v="1"/>
    <n v="5"/>
    <x v="16"/>
    <n v="2239"/>
  </r>
  <r>
    <x v="4"/>
    <x v="5"/>
    <x v="5"/>
    <x v="2"/>
    <x v="2"/>
    <x v="1"/>
    <n v="5"/>
    <x v="16"/>
    <n v="5057"/>
  </r>
  <r>
    <x v="4"/>
    <x v="5"/>
    <x v="5"/>
    <x v="2"/>
    <x v="3"/>
    <x v="1"/>
    <n v="5"/>
    <x v="16"/>
    <n v="4829"/>
  </r>
  <r>
    <x v="3"/>
    <x v="8"/>
    <x v="8"/>
    <x v="0"/>
    <x v="5"/>
    <x v="1"/>
    <n v="5"/>
    <x v="16"/>
    <n v="2711"/>
  </r>
  <r>
    <x v="4"/>
    <x v="9"/>
    <x v="9"/>
    <x v="0"/>
    <x v="0"/>
    <x v="1"/>
    <n v="5"/>
    <x v="16"/>
    <n v="3175"/>
  </r>
  <r>
    <x v="4"/>
    <x v="9"/>
    <x v="9"/>
    <x v="0"/>
    <x v="6"/>
    <x v="1"/>
    <n v="5"/>
    <x v="16"/>
    <n v="1633"/>
  </r>
  <r>
    <x v="2"/>
    <x v="7"/>
    <x v="7"/>
    <x v="1"/>
    <x v="7"/>
    <x v="1"/>
    <n v="5"/>
    <x v="16"/>
    <n v="4461"/>
  </r>
  <r>
    <x v="1"/>
    <x v="6"/>
    <x v="6"/>
    <x v="2"/>
    <x v="3"/>
    <x v="1"/>
    <n v="5"/>
    <x v="16"/>
    <n v="3060"/>
  </r>
  <r>
    <x v="0"/>
    <x v="0"/>
    <x v="0"/>
    <x v="0"/>
    <x v="6"/>
    <x v="1"/>
    <n v="5"/>
    <x v="16"/>
    <n v="2251"/>
  </r>
  <r>
    <x v="0"/>
    <x v="0"/>
    <x v="0"/>
    <x v="1"/>
    <x v="7"/>
    <x v="1"/>
    <n v="5"/>
    <x v="16"/>
    <n v="6169"/>
  </r>
  <r>
    <x v="1"/>
    <x v="2"/>
    <x v="2"/>
    <x v="1"/>
    <x v="1"/>
    <x v="1"/>
    <n v="5"/>
    <x v="16"/>
    <n v="5349"/>
  </r>
  <r>
    <x v="2"/>
    <x v="10"/>
    <x v="10"/>
    <x v="2"/>
    <x v="2"/>
    <x v="1"/>
    <n v="5"/>
    <x v="16"/>
    <n v="4562"/>
  </r>
  <r>
    <x v="2"/>
    <x v="10"/>
    <x v="10"/>
    <x v="2"/>
    <x v="3"/>
    <x v="1"/>
    <n v="5"/>
    <x v="16"/>
    <n v="5248"/>
  </r>
  <r>
    <x v="2"/>
    <x v="11"/>
    <x v="11"/>
    <x v="2"/>
    <x v="4"/>
    <x v="1"/>
    <n v="5"/>
    <x v="16"/>
    <n v="4082"/>
  </r>
  <r>
    <x v="2"/>
    <x v="11"/>
    <x v="11"/>
    <x v="0"/>
    <x v="5"/>
    <x v="1"/>
    <n v="5"/>
    <x v="16"/>
    <n v="2476"/>
  </r>
  <r>
    <x v="2"/>
    <x v="7"/>
    <x v="7"/>
    <x v="0"/>
    <x v="5"/>
    <x v="1"/>
    <n v="5"/>
    <x v="16"/>
    <n v="2392"/>
  </r>
  <r>
    <x v="1"/>
    <x v="6"/>
    <x v="6"/>
    <x v="1"/>
    <x v="8"/>
    <x v="1"/>
    <n v="5"/>
    <x v="16"/>
    <n v="3176"/>
  </r>
  <r>
    <x v="2"/>
    <x v="3"/>
    <x v="3"/>
    <x v="2"/>
    <x v="2"/>
    <x v="1"/>
    <n v="5"/>
    <x v="16"/>
    <n v="4234"/>
  </r>
  <r>
    <x v="2"/>
    <x v="3"/>
    <x v="3"/>
    <x v="2"/>
    <x v="3"/>
    <x v="1"/>
    <n v="5"/>
    <x v="16"/>
    <n v="5438"/>
  </r>
  <r>
    <x v="1"/>
    <x v="2"/>
    <x v="2"/>
    <x v="0"/>
    <x v="0"/>
    <x v="1"/>
    <n v="5"/>
    <x v="16"/>
    <n v="3153"/>
  </r>
  <r>
    <x v="2"/>
    <x v="10"/>
    <x v="10"/>
    <x v="1"/>
    <x v="7"/>
    <x v="1"/>
    <n v="5"/>
    <x v="16"/>
    <n v="5193"/>
  </r>
  <r>
    <x v="2"/>
    <x v="10"/>
    <x v="10"/>
    <x v="1"/>
    <x v="1"/>
    <x v="1"/>
    <n v="5"/>
    <x v="16"/>
    <n v="4774"/>
  </r>
  <r>
    <x v="2"/>
    <x v="11"/>
    <x v="11"/>
    <x v="1"/>
    <x v="8"/>
    <x v="1"/>
    <n v="5"/>
    <x v="16"/>
    <n v="3641"/>
  </r>
  <r>
    <x v="2"/>
    <x v="11"/>
    <x v="11"/>
    <x v="2"/>
    <x v="2"/>
    <x v="1"/>
    <n v="5"/>
    <x v="16"/>
    <n v="3737"/>
  </r>
  <r>
    <x v="3"/>
    <x v="4"/>
    <x v="4"/>
    <x v="2"/>
    <x v="3"/>
    <x v="1"/>
    <n v="5"/>
    <x v="16"/>
    <n v="3340"/>
  </r>
  <r>
    <x v="3"/>
    <x v="4"/>
    <x v="4"/>
    <x v="2"/>
    <x v="4"/>
    <x v="1"/>
    <n v="5"/>
    <x v="16"/>
    <n v="3431"/>
  </r>
  <r>
    <x v="4"/>
    <x v="5"/>
    <x v="5"/>
    <x v="0"/>
    <x v="5"/>
    <x v="1"/>
    <n v="5"/>
    <x v="16"/>
    <n v="2656"/>
  </r>
  <r>
    <x v="3"/>
    <x v="8"/>
    <x v="8"/>
    <x v="0"/>
    <x v="6"/>
    <x v="1"/>
    <n v="5"/>
    <x v="16"/>
    <n v="1738"/>
  </r>
  <r>
    <x v="3"/>
    <x v="8"/>
    <x v="8"/>
    <x v="1"/>
    <x v="7"/>
    <x v="1"/>
    <n v="5"/>
    <x v="16"/>
    <n v="6897"/>
  </r>
  <r>
    <x v="4"/>
    <x v="9"/>
    <x v="9"/>
    <x v="1"/>
    <x v="1"/>
    <x v="1"/>
    <n v="5"/>
    <x v="16"/>
    <n v="2917"/>
  </r>
  <r>
    <x v="4"/>
    <x v="9"/>
    <x v="9"/>
    <x v="1"/>
    <x v="8"/>
    <x v="1"/>
    <n v="5"/>
    <x v="16"/>
    <n v="3234"/>
  </r>
  <r>
    <x v="0"/>
    <x v="1"/>
    <x v="1"/>
    <x v="2"/>
    <x v="4"/>
    <x v="1"/>
    <n v="5"/>
    <x v="16"/>
    <n v="3336"/>
  </r>
  <r>
    <x v="0"/>
    <x v="1"/>
    <x v="1"/>
    <x v="0"/>
    <x v="5"/>
    <x v="1"/>
    <n v="5"/>
    <x v="16"/>
    <n v="1891"/>
  </r>
  <r>
    <x v="1"/>
    <x v="6"/>
    <x v="6"/>
    <x v="0"/>
    <x v="6"/>
    <x v="1"/>
    <n v="5"/>
    <x v="16"/>
    <n v="2484"/>
  </r>
  <r>
    <x v="2"/>
    <x v="10"/>
    <x v="10"/>
    <x v="1"/>
    <x v="8"/>
    <x v="1"/>
    <n v="5"/>
    <x v="16"/>
    <n v="3873"/>
  </r>
  <r>
    <x v="2"/>
    <x v="11"/>
    <x v="11"/>
    <x v="2"/>
    <x v="3"/>
    <x v="1"/>
    <n v="5"/>
    <x v="16"/>
    <n v="4419"/>
  </r>
  <r>
    <x v="2"/>
    <x v="7"/>
    <x v="7"/>
    <x v="2"/>
    <x v="4"/>
    <x v="1"/>
    <n v="5"/>
    <x v="16"/>
    <n v="3685"/>
  </r>
  <r>
    <x v="2"/>
    <x v="3"/>
    <x v="3"/>
    <x v="1"/>
    <x v="8"/>
    <x v="1"/>
    <n v="5"/>
    <x v="16"/>
    <n v="2399"/>
  </r>
  <r>
    <x v="2"/>
    <x v="10"/>
    <x v="10"/>
    <x v="0"/>
    <x v="6"/>
    <x v="1"/>
    <n v="5"/>
    <x v="16"/>
    <n v="2803"/>
  </r>
  <r>
    <x v="2"/>
    <x v="11"/>
    <x v="11"/>
    <x v="1"/>
    <x v="1"/>
    <x v="1"/>
    <n v="5"/>
    <x v="16"/>
    <n v="2676"/>
  </r>
  <r>
    <x v="3"/>
    <x v="4"/>
    <x v="4"/>
    <x v="2"/>
    <x v="2"/>
    <x v="1"/>
    <n v="5"/>
    <x v="16"/>
    <n v="3493"/>
  </r>
  <r>
    <x v="4"/>
    <x v="5"/>
    <x v="5"/>
    <x v="2"/>
    <x v="4"/>
    <x v="1"/>
    <n v="5"/>
    <x v="16"/>
    <n v="2964"/>
  </r>
  <r>
    <x v="3"/>
    <x v="8"/>
    <x v="8"/>
    <x v="0"/>
    <x v="0"/>
    <x v="1"/>
    <n v="5"/>
    <x v="16"/>
    <n v="2699"/>
  </r>
  <r>
    <x v="4"/>
    <x v="9"/>
    <x v="9"/>
    <x v="1"/>
    <x v="7"/>
    <x v="1"/>
    <n v="5"/>
    <x v="16"/>
    <n v="4414"/>
  </r>
  <r>
    <x v="2"/>
    <x v="10"/>
    <x v="10"/>
    <x v="2"/>
    <x v="4"/>
    <x v="1"/>
    <n v="5"/>
    <x v="16"/>
    <n v="2814"/>
  </r>
  <r>
    <x v="2"/>
    <x v="11"/>
    <x v="11"/>
    <x v="0"/>
    <x v="0"/>
    <x v="1"/>
    <n v="5"/>
    <x v="16"/>
    <n v="2664"/>
  </r>
  <r>
    <x v="0"/>
    <x v="0"/>
    <x v="0"/>
    <x v="0"/>
    <x v="0"/>
    <x v="1"/>
    <n v="6"/>
    <x v="17"/>
    <n v="1711"/>
  </r>
  <r>
    <x v="0"/>
    <x v="1"/>
    <x v="1"/>
    <x v="0"/>
    <x v="0"/>
    <x v="1"/>
    <n v="6"/>
    <x v="17"/>
    <n v="1892"/>
  </r>
  <r>
    <x v="0"/>
    <x v="1"/>
    <x v="1"/>
    <x v="1"/>
    <x v="1"/>
    <x v="1"/>
    <n v="6"/>
    <x v="17"/>
    <n v="4641"/>
  </r>
  <r>
    <x v="0"/>
    <x v="0"/>
    <x v="0"/>
    <x v="1"/>
    <x v="1"/>
    <x v="1"/>
    <n v="6"/>
    <x v="17"/>
    <n v="3044"/>
  </r>
  <r>
    <x v="0"/>
    <x v="0"/>
    <x v="0"/>
    <x v="2"/>
    <x v="2"/>
    <x v="1"/>
    <n v="6"/>
    <x v="17"/>
    <n v="3485"/>
  </r>
  <r>
    <x v="1"/>
    <x v="2"/>
    <x v="2"/>
    <x v="2"/>
    <x v="3"/>
    <x v="1"/>
    <n v="6"/>
    <x v="17"/>
    <n v="5428"/>
  </r>
  <r>
    <x v="2"/>
    <x v="3"/>
    <x v="3"/>
    <x v="2"/>
    <x v="4"/>
    <x v="1"/>
    <n v="6"/>
    <x v="17"/>
    <n v="3686"/>
  </r>
  <r>
    <x v="3"/>
    <x v="4"/>
    <x v="4"/>
    <x v="0"/>
    <x v="5"/>
    <x v="1"/>
    <n v="6"/>
    <x v="17"/>
    <n v="2299"/>
  </r>
  <r>
    <x v="4"/>
    <x v="5"/>
    <x v="5"/>
    <x v="0"/>
    <x v="0"/>
    <x v="1"/>
    <n v="6"/>
    <x v="17"/>
    <n v="2883"/>
  </r>
  <r>
    <x v="0"/>
    <x v="1"/>
    <x v="1"/>
    <x v="0"/>
    <x v="6"/>
    <x v="1"/>
    <n v="6"/>
    <x v="17"/>
    <n v="1525"/>
  </r>
  <r>
    <x v="1"/>
    <x v="6"/>
    <x v="6"/>
    <x v="1"/>
    <x v="7"/>
    <x v="1"/>
    <n v="6"/>
    <x v="17"/>
    <n v="4718"/>
  </r>
  <r>
    <x v="2"/>
    <x v="7"/>
    <x v="7"/>
    <x v="1"/>
    <x v="1"/>
    <x v="1"/>
    <n v="6"/>
    <x v="17"/>
    <n v="4422"/>
  </r>
  <r>
    <x v="3"/>
    <x v="8"/>
    <x v="8"/>
    <x v="1"/>
    <x v="8"/>
    <x v="1"/>
    <n v="6"/>
    <x v="17"/>
    <n v="2134"/>
  </r>
  <r>
    <x v="4"/>
    <x v="9"/>
    <x v="9"/>
    <x v="2"/>
    <x v="2"/>
    <x v="1"/>
    <n v="6"/>
    <x v="17"/>
    <n v="4218"/>
  </r>
  <r>
    <x v="0"/>
    <x v="0"/>
    <x v="0"/>
    <x v="2"/>
    <x v="3"/>
    <x v="1"/>
    <n v="6"/>
    <x v="17"/>
    <n v="4891"/>
  </r>
  <r>
    <x v="1"/>
    <x v="2"/>
    <x v="2"/>
    <x v="2"/>
    <x v="4"/>
    <x v="1"/>
    <n v="6"/>
    <x v="17"/>
    <n v="3458"/>
  </r>
  <r>
    <x v="2"/>
    <x v="3"/>
    <x v="3"/>
    <x v="0"/>
    <x v="5"/>
    <x v="1"/>
    <n v="6"/>
    <x v="17"/>
    <n v="2573"/>
  </r>
  <r>
    <x v="3"/>
    <x v="4"/>
    <x v="4"/>
    <x v="0"/>
    <x v="0"/>
    <x v="1"/>
    <n v="6"/>
    <x v="17"/>
    <n v="1859"/>
  </r>
  <r>
    <x v="4"/>
    <x v="5"/>
    <x v="5"/>
    <x v="0"/>
    <x v="6"/>
    <x v="1"/>
    <n v="6"/>
    <x v="17"/>
    <n v="1669"/>
  </r>
  <r>
    <x v="0"/>
    <x v="1"/>
    <x v="1"/>
    <x v="1"/>
    <x v="7"/>
    <x v="1"/>
    <n v="6"/>
    <x v="17"/>
    <n v="5275"/>
  </r>
  <r>
    <x v="1"/>
    <x v="6"/>
    <x v="6"/>
    <x v="1"/>
    <x v="1"/>
    <x v="1"/>
    <n v="6"/>
    <x v="17"/>
    <n v="4374"/>
  </r>
  <r>
    <x v="2"/>
    <x v="7"/>
    <x v="7"/>
    <x v="1"/>
    <x v="8"/>
    <x v="1"/>
    <n v="6"/>
    <x v="17"/>
    <n v="4111"/>
  </r>
  <r>
    <x v="3"/>
    <x v="8"/>
    <x v="8"/>
    <x v="2"/>
    <x v="2"/>
    <x v="1"/>
    <n v="6"/>
    <x v="17"/>
    <n v="3904"/>
  </r>
  <r>
    <x v="4"/>
    <x v="9"/>
    <x v="9"/>
    <x v="2"/>
    <x v="3"/>
    <x v="1"/>
    <n v="6"/>
    <x v="17"/>
    <n v="5573"/>
  </r>
  <r>
    <x v="0"/>
    <x v="0"/>
    <x v="0"/>
    <x v="2"/>
    <x v="4"/>
    <x v="1"/>
    <n v="6"/>
    <x v="17"/>
    <n v="3555"/>
  </r>
  <r>
    <x v="1"/>
    <x v="2"/>
    <x v="2"/>
    <x v="0"/>
    <x v="5"/>
    <x v="1"/>
    <n v="6"/>
    <x v="17"/>
    <n v="2581"/>
  </r>
  <r>
    <x v="2"/>
    <x v="3"/>
    <x v="3"/>
    <x v="0"/>
    <x v="0"/>
    <x v="1"/>
    <n v="6"/>
    <x v="17"/>
    <n v="1819"/>
  </r>
  <r>
    <x v="3"/>
    <x v="4"/>
    <x v="4"/>
    <x v="0"/>
    <x v="6"/>
    <x v="1"/>
    <n v="6"/>
    <x v="17"/>
    <n v="2291"/>
  </r>
  <r>
    <x v="4"/>
    <x v="5"/>
    <x v="5"/>
    <x v="1"/>
    <x v="7"/>
    <x v="1"/>
    <n v="6"/>
    <x v="17"/>
    <n v="5260"/>
  </r>
  <r>
    <x v="1"/>
    <x v="2"/>
    <x v="2"/>
    <x v="1"/>
    <x v="8"/>
    <x v="1"/>
    <n v="6"/>
    <x v="17"/>
    <n v="3655"/>
  </r>
  <r>
    <x v="2"/>
    <x v="7"/>
    <x v="7"/>
    <x v="2"/>
    <x v="2"/>
    <x v="1"/>
    <n v="6"/>
    <x v="17"/>
    <n v="3768"/>
  </r>
  <r>
    <x v="3"/>
    <x v="8"/>
    <x v="8"/>
    <x v="2"/>
    <x v="3"/>
    <x v="1"/>
    <n v="6"/>
    <x v="17"/>
    <n v="5283"/>
  </r>
  <r>
    <x v="4"/>
    <x v="9"/>
    <x v="9"/>
    <x v="2"/>
    <x v="4"/>
    <x v="1"/>
    <n v="6"/>
    <x v="17"/>
    <n v="3824"/>
  </r>
  <r>
    <x v="0"/>
    <x v="0"/>
    <x v="0"/>
    <x v="0"/>
    <x v="5"/>
    <x v="1"/>
    <n v="6"/>
    <x v="17"/>
    <n v="1797"/>
  </r>
  <r>
    <x v="1"/>
    <x v="6"/>
    <x v="6"/>
    <x v="0"/>
    <x v="0"/>
    <x v="1"/>
    <n v="6"/>
    <x v="17"/>
    <n v="2560"/>
  </r>
  <r>
    <x v="2"/>
    <x v="3"/>
    <x v="3"/>
    <x v="0"/>
    <x v="6"/>
    <x v="1"/>
    <n v="6"/>
    <x v="17"/>
    <n v="1496"/>
  </r>
  <r>
    <x v="3"/>
    <x v="4"/>
    <x v="4"/>
    <x v="1"/>
    <x v="7"/>
    <x v="1"/>
    <n v="6"/>
    <x v="17"/>
    <n v="6126"/>
  </r>
  <r>
    <x v="4"/>
    <x v="5"/>
    <x v="5"/>
    <x v="1"/>
    <x v="1"/>
    <x v="1"/>
    <n v="6"/>
    <x v="17"/>
    <n v="4298"/>
  </r>
  <r>
    <x v="0"/>
    <x v="1"/>
    <x v="1"/>
    <x v="1"/>
    <x v="8"/>
    <x v="1"/>
    <n v="6"/>
    <x v="17"/>
    <n v="4303"/>
  </r>
  <r>
    <x v="1"/>
    <x v="2"/>
    <x v="2"/>
    <x v="2"/>
    <x v="2"/>
    <x v="1"/>
    <n v="6"/>
    <x v="17"/>
    <n v="3616"/>
  </r>
  <r>
    <x v="2"/>
    <x v="7"/>
    <x v="7"/>
    <x v="2"/>
    <x v="3"/>
    <x v="1"/>
    <n v="6"/>
    <x v="17"/>
    <n v="4048"/>
  </r>
  <r>
    <x v="3"/>
    <x v="8"/>
    <x v="8"/>
    <x v="2"/>
    <x v="4"/>
    <x v="1"/>
    <n v="6"/>
    <x v="17"/>
    <n v="3400"/>
  </r>
  <r>
    <x v="4"/>
    <x v="9"/>
    <x v="9"/>
    <x v="0"/>
    <x v="5"/>
    <x v="1"/>
    <n v="6"/>
    <x v="17"/>
    <n v="2384"/>
  </r>
  <r>
    <x v="1"/>
    <x v="2"/>
    <x v="2"/>
    <x v="0"/>
    <x v="6"/>
    <x v="1"/>
    <n v="6"/>
    <x v="17"/>
    <n v="1770"/>
  </r>
  <r>
    <x v="2"/>
    <x v="3"/>
    <x v="3"/>
    <x v="1"/>
    <x v="7"/>
    <x v="1"/>
    <n v="6"/>
    <x v="17"/>
    <n v="5689"/>
  </r>
  <r>
    <x v="3"/>
    <x v="8"/>
    <x v="8"/>
    <x v="1"/>
    <x v="1"/>
    <x v="1"/>
    <n v="6"/>
    <x v="17"/>
    <n v="4784"/>
  </r>
  <r>
    <x v="4"/>
    <x v="5"/>
    <x v="5"/>
    <x v="1"/>
    <x v="8"/>
    <x v="1"/>
    <n v="6"/>
    <x v="17"/>
    <n v="2379"/>
  </r>
  <r>
    <x v="0"/>
    <x v="1"/>
    <x v="1"/>
    <x v="2"/>
    <x v="2"/>
    <x v="1"/>
    <n v="6"/>
    <x v="17"/>
    <n v="4743"/>
  </r>
  <r>
    <x v="0"/>
    <x v="1"/>
    <x v="1"/>
    <x v="2"/>
    <x v="3"/>
    <x v="1"/>
    <n v="6"/>
    <x v="17"/>
    <n v="4789"/>
  </r>
  <r>
    <x v="1"/>
    <x v="6"/>
    <x v="6"/>
    <x v="2"/>
    <x v="4"/>
    <x v="1"/>
    <n v="6"/>
    <x v="17"/>
    <n v="3834"/>
  </r>
  <r>
    <x v="1"/>
    <x v="6"/>
    <x v="6"/>
    <x v="0"/>
    <x v="5"/>
    <x v="1"/>
    <n v="6"/>
    <x v="17"/>
    <n v="1851"/>
  </r>
  <r>
    <x v="2"/>
    <x v="7"/>
    <x v="7"/>
    <x v="0"/>
    <x v="0"/>
    <x v="1"/>
    <n v="6"/>
    <x v="17"/>
    <n v="2083"/>
  </r>
  <r>
    <x v="2"/>
    <x v="7"/>
    <x v="7"/>
    <x v="0"/>
    <x v="6"/>
    <x v="1"/>
    <n v="6"/>
    <x v="17"/>
    <n v="2186"/>
  </r>
  <r>
    <x v="2"/>
    <x v="3"/>
    <x v="3"/>
    <x v="1"/>
    <x v="1"/>
    <x v="1"/>
    <n v="6"/>
    <x v="17"/>
    <n v="4350"/>
  </r>
  <r>
    <x v="0"/>
    <x v="0"/>
    <x v="0"/>
    <x v="1"/>
    <x v="8"/>
    <x v="1"/>
    <n v="6"/>
    <x v="17"/>
    <n v="4648"/>
  </r>
  <r>
    <x v="2"/>
    <x v="10"/>
    <x v="10"/>
    <x v="0"/>
    <x v="5"/>
    <x v="1"/>
    <n v="6"/>
    <x v="17"/>
    <n v="1640"/>
  </r>
  <r>
    <x v="2"/>
    <x v="10"/>
    <x v="10"/>
    <x v="0"/>
    <x v="0"/>
    <x v="1"/>
    <n v="6"/>
    <x v="17"/>
    <n v="3015"/>
  </r>
  <r>
    <x v="2"/>
    <x v="11"/>
    <x v="11"/>
    <x v="0"/>
    <x v="6"/>
    <x v="1"/>
    <n v="6"/>
    <x v="17"/>
    <n v="2458"/>
  </r>
  <r>
    <x v="2"/>
    <x v="11"/>
    <x v="11"/>
    <x v="1"/>
    <x v="7"/>
    <x v="1"/>
    <n v="6"/>
    <x v="17"/>
    <n v="5988"/>
  </r>
  <r>
    <x v="3"/>
    <x v="4"/>
    <x v="4"/>
    <x v="1"/>
    <x v="1"/>
    <x v="1"/>
    <n v="6"/>
    <x v="17"/>
    <n v="4010"/>
  </r>
  <r>
    <x v="3"/>
    <x v="4"/>
    <x v="4"/>
    <x v="1"/>
    <x v="8"/>
    <x v="1"/>
    <n v="6"/>
    <x v="17"/>
    <n v="4929"/>
  </r>
  <r>
    <x v="4"/>
    <x v="5"/>
    <x v="5"/>
    <x v="2"/>
    <x v="2"/>
    <x v="1"/>
    <n v="6"/>
    <x v="17"/>
    <n v="4933"/>
  </r>
  <r>
    <x v="4"/>
    <x v="5"/>
    <x v="5"/>
    <x v="2"/>
    <x v="3"/>
    <x v="1"/>
    <n v="6"/>
    <x v="17"/>
    <n v="2685"/>
  </r>
  <r>
    <x v="3"/>
    <x v="8"/>
    <x v="8"/>
    <x v="0"/>
    <x v="5"/>
    <x v="1"/>
    <n v="6"/>
    <x v="17"/>
    <n v="2747"/>
  </r>
  <r>
    <x v="4"/>
    <x v="9"/>
    <x v="9"/>
    <x v="0"/>
    <x v="0"/>
    <x v="1"/>
    <n v="6"/>
    <x v="17"/>
    <n v="2817"/>
  </r>
  <r>
    <x v="4"/>
    <x v="9"/>
    <x v="9"/>
    <x v="0"/>
    <x v="6"/>
    <x v="1"/>
    <n v="6"/>
    <x v="17"/>
    <n v="2720"/>
  </r>
  <r>
    <x v="2"/>
    <x v="7"/>
    <x v="7"/>
    <x v="1"/>
    <x v="7"/>
    <x v="1"/>
    <n v="6"/>
    <x v="17"/>
    <n v="6984"/>
  </r>
  <r>
    <x v="1"/>
    <x v="6"/>
    <x v="6"/>
    <x v="2"/>
    <x v="3"/>
    <x v="1"/>
    <n v="6"/>
    <x v="17"/>
    <n v="3841"/>
  </r>
  <r>
    <x v="0"/>
    <x v="0"/>
    <x v="0"/>
    <x v="0"/>
    <x v="6"/>
    <x v="1"/>
    <n v="6"/>
    <x v="17"/>
    <n v="2319"/>
  </r>
  <r>
    <x v="0"/>
    <x v="0"/>
    <x v="0"/>
    <x v="1"/>
    <x v="7"/>
    <x v="1"/>
    <n v="6"/>
    <x v="17"/>
    <n v="6942"/>
  </r>
  <r>
    <x v="1"/>
    <x v="2"/>
    <x v="2"/>
    <x v="1"/>
    <x v="1"/>
    <x v="1"/>
    <n v="6"/>
    <x v="17"/>
    <n v="3079"/>
  </r>
  <r>
    <x v="2"/>
    <x v="10"/>
    <x v="10"/>
    <x v="2"/>
    <x v="2"/>
    <x v="1"/>
    <n v="6"/>
    <x v="17"/>
    <n v="3643"/>
  </r>
  <r>
    <x v="2"/>
    <x v="10"/>
    <x v="10"/>
    <x v="2"/>
    <x v="3"/>
    <x v="1"/>
    <n v="6"/>
    <x v="17"/>
    <n v="5330"/>
  </r>
  <r>
    <x v="2"/>
    <x v="11"/>
    <x v="11"/>
    <x v="2"/>
    <x v="4"/>
    <x v="1"/>
    <n v="6"/>
    <x v="17"/>
    <n v="2856"/>
  </r>
  <r>
    <x v="2"/>
    <x v="11"/>
    <x v="11"/>
    <x v="0"/>
    <x v="5"/>
    <x v="1"/>
    <n v="6"/>
    <x v="17"/>
    <n v="2162"/>
  </r>
  <r>
    <x v="2"/>
    <x v="7"/>
    <x v="7"/>
    <x v="0"/>
    <x v="5"/>
    <x v="1"/>
    <n v="6"/>
    <x v="17"/>
    <n v="2149"/>
  </r>
  <r>
    <x v="1"/>
    <x v="6"/>
    <x v="6"/>
    <x v="1"/>
    <x v="8"/>
    <x v="1"/>
    <n v="6"/>
    <x v="17"/>
    <n v="2780"/>
  </r>
  <r>
    <x v="2"/>
    <x v="3"/>
    <x v="3"/>
    <x v="2"/>
    <x v="2"/>
    <x v="1"/>
    <n v="6"/>
    <x v="17"/>
    <n v="3250"/>
  </r>
  <r>
    <x v="2"/>
    <x v="3"/>
    <x v="3"/>
    <x v="2"/>
    <x v="3"/>
    <x v="1"/>
    <n v="6"/>
    <x v="17"/>
    <n v="3133"/>
  </r>
  <r>
    <x v="1"/>
    <x v="2"/>
    <x v="2"/>
    <x v="0"/>
    <x v="0"/>
    <x v="1"/>
    <n v="6"/>
    <x v="17"/>
    <n v="2139"/>
  </r>
  <r>
    <x v="2"/>
    <x v="10"/>
    <x v="10"/>
    <x v="1"/>
    <x v="7"/>
    <x v="1"/>
    <n v="6"/>
    <x v="17"/>
    <n v="6218"/>
  </r>
  <r>
    <x v="2"/>
    <x v="10"/>
    <x v="10"/>
    <x v="1"/>
    <x v="1"/>
    <x v="1"/>
    <n v="6"/>
    <x v="17"/>
    <n v="4133"/>
  </r>
  <r>
    <x v="2"/>
    <x v="11"/>
    <x v="11"/>
    <x v="1"/>
    <x v="8"/>
    <x v="1"/>
    <n v="6"/>
    <x v="17"/>
    <n v="4016"/>
  </r>
  <r>
    <x v="2"/>
    <x v="11"/>
    <x v="11"/>
    <x v="2"/>
    <x v="2"/>
    <x v="1"/>
    <n v="6"/>
    <x v="17"/>
    <n v="4134"/>
  </r>
  <r>
    <x v="3"/>
    <x v="4"/>
    <x v="4"/>
    <x v="2"/>
    <x v="3"/>
    <x v="1"/>
    <n v="6"/>
    <x v="17"/>
    <n v="3264"/>
  </r>
  <r>
    <x v="3"/>
    <x v="4"/>
    <x v="4"/>
    <x v="2"/>
    <x v="4"/>
    <x v="1"/>
    <n v="6"/>
    <x v="17"/>
    <n v="4087"/>
  </r>
  <r>
    <x v="4"/>
    <x v="5"/>
    <x v="5"/>
    <x v="0"/>
    <x v="5"/>
    <x v="1"/>
    <n v="6"/>
    <x v="17"/>
    <n v="1866"/>
  </r>
  <r>
    <x v="3"/>
    <x v="8"/>
    <x v="8"/>
    <x v="0"/>
    <x v="6"/>
    <x v="1"/>
    <n v="6"/>
    <x v="17"/>
    <n v="2773"/>
  </r>
  <r>
    <x v="3"/>
    <x v="8"/>
    <x v="8"/>
    <x v="1"/>
    <x v="7"/>
    <x v="1"/>
    <n v="6"/>
    <x v="17"/>
    <n v="5743"/>
  </r>
  <r>
    <x v="4"/>
    <x v="9"/>
    <x v="9"/>
    <x v="1"/>
    <x v="1"/>
    <x v="1"/>
    <n v="6"/>
    <x v="17"/>
    <n v="4511"/>
  </r>
  <r>
    <x v="4"/>
    <x v="9"/>
    <x v="9"/>
    <x v="1"/>
    <x v="8"/>
    <x v="1"/>
    <n v="6"/>
    <x v="17"/>
    <n v="3126"/>
  </r>
  <r>
    <x v="0"/>
    <x v="1"/>
    <x v="1"/>
    <x v="2"/>
    <x v="4"/>
    <x v="1"/>
    <n v="6"/>
    <x v="17"/>
    <n v="2915"/>
  </r>
  <r>
    <x v="0"/>
    <x v="1"/>
    <x v="1"/>
    <x v="0"/>
    <x v="5"/>
    <x v="1"/>
    <n v="6"/>
    <x v="17"/>
    <n v="2327"/>
  </r>
  <r>
    <x v="1"/>
    <x v="6"/>
    <x v="6"/>
    <x v="0"/>
    <x v="6"/>
    <x v="1"/>
    <n v="6"/>
    <x v="17"/>
    <n v="1784"/>
  </r>
  <r>
    <x v="2"/>
    <x v="10"/>
    <x v="10"/>
    <x v="1"/>
    <x v="8"/>
    <x v="1"/>
    <n v="6"/>
    <x v="17"/>
    <n v="2420"/>
  </r>
  <r>
    <x v="2"/>
    <x v="11"/>
    <x v="11"/>
    <x v="2"/>
    <x v="3"/>
    <x v="1"/>
    <n v="6"/>
    <x v="17"/>
    <n v="3775"/>
  </r>
  <r>
    <x v="2"/>
    <x v="7"/>
    <x v="7"/>
    <x v="2"/>
    <x v="4"/>
    <x v="1"/>
    <n v="6"/>
    <x v="17"/>
    <n v="3044"/>
  </r>
  <r>
    <x v="2"/>
    <x v="3"/>
    <x v="3"/>
    <x v="1"/>
    <x v="8"/>
    <x v="1"/>
    <n v="6"/>
    <x v="17"/>
    <n v="2686"/>
  </r>
  <r>
    <x v="2"/>
    <x v="10"/>
    <x v="10"/>
    <x v="0"/>
    <x v="6"/>
    <x v="1"/>
    <n v="6"/>
    <x v="17"/>
    <n v="1918"/>
  </r>
  <r>
    <x v="2"/>
    <x v="11"/>
    <x v="11"/>
    <x v="1"/>
    <x v="1"/>
    <x v="1"/>
    <n v="6"/>
    <x v="17"/>
    <n v="5108"/>
  </r>
  <r>
    <x v="3"/>
    <x v="4"/>
    <x v="4"/>
    <x v="2"/>
    <x v="2"/>
    <x v="1"/>
    <n v="6"/>
    <x v="17"/>
    <n v="3716"/>
  </r>
  <r>
    <x v="4"/>
    <x v="5"/>
    <x v="5"/>
    <x v="2"/>
    <x v="4"/>
    <x v="1"/>
    <n v="6"/>
    <x v="17"/>
    <n v="2923"/>
  </r>
  <r>
    <x v="3"/>
    <x v="8"/>
    <x v="8"/>
    <x v="0"/>
    <x v="0"/>
    <x v="1"/>
    <n v="6"/>
    <x v="17"/>
    <n v="1702"/>
  </r>
  <r>
    <x v="4"/>
    <x v="9"/>
    <x v="9"/>
    <x v="1"/>
    <x v="7"/>
    <x v="1"/>
    <n v="6"/>
    <x v="17"/>
    <n v="4617"/>
  </r>
  <r>
    <x v="2"/>
    <x v="10"/>
    <x v="10"/>
    <x v="2"/>
    <x v="4"/>
    <x v="1"/>
    <n v="6"/>
    <x v="17"/>
    <n v="3991"/>
  </r>
  <r>
    <x v="2"/>
    <x v="11"/>
    <x v="11"/>
    <x v="0"/>
    <x v="0"/>
    <x v="1"/>
    <n v="6"/>
    <x v="17"/>
    <n v="2330"/>
  </r>
  <r>
    <x v="0"/>
    <x v="0"/>
    <x v="0"/>
    <x v="0"/>
    <x v="0"/>
    <x v="1"/>
    <n v="7"/>
    <x v="18"/>
    <n v="1718"/>
  </r>
  <r>
    <x v="0"/>
    <x v="1"/>
    <x v="1"/>
    <x v="0"/>
    <x v="0"/>
    <x v="1"/>
    <n v="7"/>
    <x v="18"/>
    <n v="2150"/>
  </r>
  <r>
    <x v="0"/>
    <x v="1"/>
    <x v="1"/>
    <x v="1"/>
    <x v="1"/>
    <x v="1"/>
    <n v="7"/>
    <x v="18"/>
    <n v="3435"/>
  </r>
  <r>
    <x v="0"/>
    <x v="0"/>
    <x v="0"/>
    <x v="1"/>
    <x v="1"/>
    <x v="1"/>
    <n v="7"/>
    <x v="18"/>
    <n v="4922"/>
  </r>
  <r>
    <x v="0"/>
    <x v="0"/>
    <x v="0"/>
    <x v="2"/>
    <x v="2"/>
    <x v="1"/>
    <n v="7"/>
    <x v="18"/>
    <n v="5020"/>
  </r>
  <r>
    <x v="1"/>
    <x v="2"/>
    <x v="2"/>
    <x v="2"/>
    <x v="3"/>
    <x v="1"/>
    <n v="7"/>
    <x v="18"/>
    <n v="4072"/>
  </r>
  <r>
    <x v="2"/>
    <x v="3"/>
    <x v="3"/>
    <x v="2"/>
    <x v="4"/>
    <x v="1"/>
    <n v="7"/>
    <x v="18"/>
    <n v="3311"/>
  </r>
  <r>
    <x v="3"/>
    <x v="4"/>
    <x v="4"/>
    <x v="0"/>
    <x v="5"/>
    <x v="1"/>
    <n v="7"/>
    <x v="18"/>
    <n v="1757"/>
  </r>
  <r>
    <x v="4"/>
    <x v="5"/>
    <x v="5"/>
    <x v="0"/>
    <x v="0"/>
    <x v="1"/>
    <n v="7"/>
    <x v="18"/>
    <n v="3392"/>
  </r>
  <r>
    <x v="0"/>
    <x v="1"/>
    <x v="1"/>
    <x v="0"/>
    <x v="6"/>
    <x v="1"/>
    <n v="7"/>
    <x v="18"/>
    <n v="1972"/>
  </r>
  <r>
    <x v="1"/>
    <x v="6"/>
    <x v="6"/>
    <x v="1"/>
    <x v="7"/>
    <x v="1"/>
    <n v="7"/>
    <x v="18"/>
    <n v="5482"/>
  </r>
  <r>
    <x v="2"/>
    <x v="7"/>
    <x v="7"/>
    <x v="1"/>
    <x v="1"/>
    <x v="1"/>
    <n v="7"/>
    <x v="18"/>
    <n v="4619"/>
  </r>
  <r>
    <x v="3"/>
    <x v="8"/>
    <x v="8"/>
    <x v="1"/>
    <x v="8"/>
    <x v="1"/>
    <n v="7"/>
    <x v="18"/>
    <n v="4874"/>
  </r>
  <r>
    <x v="4"/>
    <x v="9"/>
    <x v="9"/>
    <x v="2"/>
    <x v="2"/>
    <x v="1"/>
    <n v="7"/>
    <x v="18"/>
    <n v="4846"/>
  </r>
  <r>
    <x v="0"/>
    <x v="0"/>
    <x v="0"/>
    <x v="2"/>
    <x v="3"/>
    <x v="1"/>
    <n v="7"/>
    <x v="18"/>
    <n v="3838"/>
  </r>
  <r>
    <x v="1"/>
    <x v="2"/>
    <x v="2"/>
    <x v="2"/>
    <x v="4"/>
    <x v="1"/>
    <n v="7"/>
    <x v="18"/>
    <n v="3012"/>
  </r>
  <r>
    <x v="2"/>
    <x v="3"/>
    <x v="3"/>
    <x v="0"/>
    <x v="5"/>
    <x v="1"/>
    <n v="7"/>
    <x v="18"/>
    <n v="2630"/>
  </r>
  <r>
    <x v="3"/>
    <x v="4"/>
    <x v="4"/>
    <x v="0"/>
    <x v="0"/>
    <x v="1"/>
    <n v="7"/>
    <x v="18"/>
    <n v="1556"/>
  </r>
  <r>
    <x v="4"/>
    <x v="5"/>
    <x v="5"/>
    <x v="0"/>
    <x v="6"/>
    <x v="1"/>
    <n v="7"/>
    <x v="18"/>
    <n v="1729"/>
  </r>
  <r>
    <x v="0"/>
    <x v="1"/>
    <x v="1"/>
    <x v="1"/>
    <x v="7"/>
    <x v="1"/>
    <n v="7"/>
    <x v="18"/>
    <n v="5942"/>
  </r>
  <r>
    <x v="1"/>
    <x v="6"/>
    <x v="6"/>
    <x v="1"/>
    <x v="1"/>
    <x v="1"/>
    <n v="7"/>
    <x v="18"/>
    <n v="3554"/>
  </r>
  <r>
    <x v="2"/>
    <x v="7"/>
    <x v="7"/>
    <x v="1"/>
    <x v="8"/>
    <x v="1"/>
    <n v="7"/>
    <x v="18"/>
    <n v="4833"/>
  </r>
  <r>
    <x v="3"/>
    <x v="8"/>
    <x v="8"/>
    <x v="2"/>
    <x v="2"/>
    <x v="1"/>
    <n v="7"/>
    <x v="18"/>
    <n v="4557"/>
  </r>
  <r>
    <x v="4"/>
    <x v="9"/>
    <x v="9"/>
    <x v="2"/>
    <x v="3"/>
    <x v="1"/>
    <n v="7"/>
    <x v="18"/>
    <n v="3574"/>
  </r>
  <r>
    <x v="0"/>
    <x v="0"/>
    <x v="0"/>
    <x v="2"/>
    <x v="4"/>
    <x v="1"/>
    <n v="7"/>
    <x v="18"/>
    <n v="3108"/>
  </r>
  <r>
    <x v="1"/>
    <x v="2"/>
    <x v="2"/>
    <x v="0"/>
    <x v="5"/>
    <x v="1"/>
    <n v="7"/>
    <x v="18"/>
    <n v="1909"/>
  </r>
  <r>
    <x v="2"/>
    <x v="3"/>
    <x v="3"/>
    <x v="0"/>
    <x v="0"/>
    <x v="1"/>
    <n v="7"/>
    <x v="18"/>
    <n v="2351"/>
  </r>
  <r>
    <x v="3"/>
    <x v="4"/>
    <x v="4"/>
    <x v="0"/>
    <x v="6"/>
    <x v="1"/>
    <n v="7"/>
    <x v="18"/>
    <n v="1631"/>
  </r>
  <r>
    <x v="4"/>
    <x v="5"/>
    <x v="5"/>
    <x v="1"/>
    <x v="7"/>
    <x v="1"/>
    <n v="7"/>
    <x v="18"/>
    <n v="5302"/>
  </r>
  <r>
    <x v="1"/>
    <x v="2"/>
    <x v="2"/>
    <x v="1"/>
    <x v="8"/>
    <x v="1"/>
    <n v="7"/>
    <x v="18"/>
    <n v="4023"/>
  </r>
  <r>
    <x v="2"/>
    <x v="7"/>
    <x v="7"/>
    <x v="2"/>
    <x v="2"/>
    <x v="1"/>
    <n v="7"/>
    <x v="18"/>
    <n v="4657"/>
  </r>
  <r>
    <x v="3"/>
    <x v="8"/>
    <x v="8"/>
    <x v="2"/>
    <x v="3"/>
    <x v="1"/>
    <n v="7"/>
    <x v="18"/>
    <n v="4836"/>
  </r>
  <r>
    <x v="4"/>
    <x v="9"/>
    <x v="9"/>
    <x v="2"/>
    <x v="4"/>
    <x v="1"/>
    <n v="7"/>
    <x v="18"/>
    <n v="3992"/>
  </r>
  <r>
    <x v="0"/>
    <x v="0"/>
    <x v="0"/>
    <x v="0"/>
    <x v="5"/>
    <x v="1"/>
    <n v="7"/>
    <x v="18"/>
    <n v="2953"/>
  </r>
  <r>
    <x v="1"/>
    <x v="6"/>
    <x v="6"/>
    <x v="0"/>
    <x v="0"/>
    <x v="1"/>
    <n v="7"/>
    <x v="18"/>
    <n v="2041"/>
  </r>
  <r>
    <x v="2"/>
    <x v="3"/>
    <x v="3"/>
    <x v="0"/>
    <x v="6"/>
    <x v="1"/>
    <n v="7"/>
    <x v="18"/>
    <n v="2470"/>
  </r>
  <r>
    <x v="3"/>
    <x v="4"/>
    <x v="4"/>
    <x v="1"/>
    <x v="7"/>
    <x v="1"/>
    <n v="7"/>
    <x v="18"/>
    <n v="5152"/>
  </r>
  <r>
    <x v="4"/>
    <x v="5"/>
    <x v="5"/>
    <x v="1"/>
    <x v="1"/>
    <x v="1"/>
    <n v="7"/>
    <x v="18"/>
    <n v="3721"/>
  </r>
  <r>
    <x v="0"/>
    <x v="1"/>
    <x v="1"/>
    <x v="1"/>
    <x v="8"/>
    <x v="1"/>
    <n v="7"/>
    <x v="18"/>
    <n v="2131"/>
  </r>
  <r>
    <x v="1"/>
    <x v="2"/>
    <x v="2"/>
    <x v="2"/>
    <x v="2"/>
    <x v="1"/>
    <n v="7"/>
    <x v="18"/>
    <n v="4949"/>
  </r>
  <r>
    <x v="2"/>
    <x v="7"/>
    <x v="7"/>
    <x v="2"/>
    <x v="3"/>
    <x v="1"/>
    <n v="7"/>
    <x v="18"/>
    <n v="4969"/>
  </r>
  <r>
    <x v="3"/>
    <x v="8"/>
    <x v="8"/>
    <x v="2"/>
    <x v="4"/>
    <x v="1"/>
    <n v="7"/>
    <x v="18"/>
    <n v="3117"/>
  </r>
  <r>
    <x v="4"/>
    <x v="9"/>
    <x v="9"/>
    <x v="0"/>
    <x v="5"/>
    <x v="1"/>
    <n v="7"/>
    <x v="18"/>
    <n v="1664"/>
  </r>
  <r>
    <x v="1"/>
    <x v="2"/>
    <x v="2"/>
    <x v="0"/>
    <x v="6"/>
    <x v="1"/>
    <n v="7"/>
    <x v="18"/>
    <n v="2708"/>
  </r>
  <r>
    <x v="2"/>
    <x v="3"/>
    <x v="3"/>
    <x v="1"/>
    <x v="7"/>
    <x v="1"/>
    <n v="7"/>
    <x v="18"/>
    <n v="5713"/>
  </r>
  <r>
    <x v="3"/>
    <x v="8"/>
    <x v="8"/>
    <x v="1"/>
    <x v="1"/>
    <x v="1"/>
    <n v="7"/>
    <x v="18"/>
    <n v="4593"/>
  </r>
  <r>
    <x v="4"/>
    <x v="5"/>
    <x v="5"/>
    <x v="1"/>
    <x v="8"/>
    <x v="1"/>
    <n v="7"/>
    <x v="18"/>
    <n v="2945"/>
  </r>
  <r>
    <x v="0"/>
    <x v="1"/>
    <x v="1"/>
    <x v="2"/>
    <x v="2"/>
    <x v="1"/>
    <n v="7"/>
    <x v="18"/>
    <n v="4123"/>
  </r>
  <r>
    <x v="0"/>
    <x v="1"/>
    <x v="1"/>
    <x v="2"/>
    <x v="3"/>
    <x v="1"/>
    <n v="7"/>
    <x v="18"/>
    <n v="4922"/>
  </r>
  <r>
    <x v="1"/>
    <x v="6"/>
    <x v="6"/>
    <x v="2"/>
    <x v="4"/>
    <x v="1"/>
    <n v="7"/>
    <x v="18"/>
    <n v="3853"/>
  </r>
  <r>
    <x v="1"/>
    <x v="6"/>
    <x v="6"/>
    <x v="0"/>
    <x v="5"/>
    <x v="1"/>
    <n v="7"/>
    <x v="18"/>
    <n v="2673"/>
  </r>
  <r>
    <x v="2"/>
    <x v="7"/>
    <x v="7"/>
    <x v="0"/>
    <x v="0"/>
    <x v="1"/>
    <n v="7"/>
    <x v="18"/>
    <n v="1733"/>
  </r>
  <r>
    <x v="2"/>
    <x v="7"/>
    <x v="7"/>
    <x v="0"/>
    <x v="6"/>
    <x v="1"/>
    <n v="7"/>
    <x v="18"/>
    <n v="1484"/>
  </r>
  <r>
    <x v="2"/>
    <x v="3"/>
    <x v="3"/>
    <x v="1"/>
    <x v="1"/>
    <x v="1"/>
    <n v="7"/>
    <x v="18"/>
    <n v="4584"/>
  </r>
  <r>
    <x v="0"/>
    <x v="0"/>
    <x v="0"/>
    <x v="1"/>
    <x v="8"/>
    <x v="1"/>
    <n v="7"/>
    <x v="18"/>
    <n v="4605"/>
  </r>
  <r>
    <x v="2"/>
    <x v="10"/>
    <x v="10"/>
    <x v="0"/>
    <x v="5"/>
    <x v="1"/>
    <n v="7"/>
    <x v="18"/>
    <n v="2636"/>
  </r>
  <r>
    <x v="2"/>
    <x v="10"/>
    <x v="10"/>
    <x v="0"/>
    <x v="0"/>
    <x v="1"/>
    <n v="7"/>
    <x v="18"/>
    <n v="2169"/>
  </r>
  <r>
    <x v="2"/>
    <x v="11"/>
    <x v="11"/>
    <x v="0"/>
    <x v="6"/>
    <x v="1"/>
    <n v="7"/>
    <x v="18"/>
    <n v="2659"/>
  </r>
  <r>
    <x v="2"/>
    <x v="11"/>
    <x v="11"/>
    <x v="1"/>
    <x v="7"/>
    <x v="1"/>
    <n v="7"/>
    <x v="18"/>
    <n v="5020"/>
  </r>
  <r>
    <x v="3"/>
    <x v="4"/>
    <x v="4"/>
    <x v="1"/>
    <x v="1"/>
    <x v="1"/>
    <n v="7"/>
    <x v="18"/>
    <n v="5242"/>
  </r>
  <r>
    <x v="3"/>
    <x v="4"/>
    <x v="4"/>
    <x v="1"/>
    <x v="8"/>
    <x v="1"/>
    <n v="7"/>
    <x v="18"/>
    <n v="2149"/>
  </r>
  <r>
    <x v="4"/>
    <x v="5"/>
    <x v="5"/>
    <x v="2"/>
    <x v="2"/>
    <x v="1"/>
    <n v="7"/>
    <x v="18"/>
    <n v="3671"/>
  </r>
  <r>
    <x v="4"/>
    <x v="5"/>
    <x v="5"/>
    <x v="2"/>
    <x v="3"/>
    <x v="1"/>
    <n v="7"/>
    <x v="18"/>
    <n v="2703"/>
  </r>
  <r>
    <x v="3"/>
    <x v="8"/>
    <x v="8"/>
    <x v="0"/>
    <x v="5"/>
    <x v="1"/>
    <n v="7"/>
    <x v="18"/>
    <n v="2101"/>
  </r>
  <r>
    <x v="4"/>
    <x v="9"/>
    <x v="9"/>
    <x v="0"/>
    <x v="0"/>
    <x v="1"/>
    <n v="7"/>
    <x v="18"/>
    <n v="3282"/>
  </r>
  <r>
    <x v="4"/>
    <x v="9"/>
    <x v="9"/>
    <x v="0"/>
    <x v="6"/>
    <x v="1"/>
    <n v="7"/>
    <x v="18"/>
    <n v="1925"/>
  </r>
  <r>
    <x v="2"/>
    <x v="7"/>
    <x v="7"/>
    <x v="1"/>
    <x v="7"/>
    <x v="1"/>
    <n v="7"/>
    <x v="18"/>
    <n v="6379"/>
  </r>
  <r>
    <x v="1"/>
    <x v="6"/>
    <x v="6"/>
    <x v="2"/>
    <x v="3"/>
    <x v="1"/>
    <n v="7"/>
    <x v="18"/>
    <n v="5597"/>
  </r>
  <r>
    <x v="0"/>
    <x v="0"/>
    <x v="0"/>
    <x v="0"/>
    <x v="6"/>
    <x v="1"/>
    <n v="7"/>
    <x v="18"/>
    <n v="2406"/>
  </r>
  <r>
    <x v="0"/>
    <x v="0"/>
    <x v="0"/>
    <x v="1"/>
    <x v="7"/>
    <x v="1"/>
    <n v="7"/>
    <x v="18"/>
    <n v="6538"/>
  </r>
  <r>
    <x v="1"/>
    <x v="2"/>
    <x v="2"/>
    <x v="1"/>
    <x v="1"/>
    <x v="1"/>
    <n v="7"/>
    <x v="18"/>
    <n v="4335"/>
  </r>
  <r>
    <x v="2"/>
    <x v="10"/>
    <x v="10"/>
    <x v="2"/>
    <x v="2"/>
    <x v="1"/>
    <n v="7"/>
    <x v="18"/>
    <n v="4936"/>
  </r>
  <r>
    <x v="2"/>
    <x v="10"/>
    <x v="10"/>
    <x v="2"/>
    <x v="3"/>
    <x v="1"/>
    <n v="7"/>
    <x v="18"/>
    <n v="3708"/>
  </r>
  <r>
    <x v="2"/>
    <x v="11"/>
    <x v="11"/>
    <x v="2"/>
    <x v="4"/>
    <x v="1"/>
    <n v="7"/>
    <x v="18"/>
    <n v="3128"/>
  </r>
  <r>
    <x v="2"/>
    <x v="11"/>
    <x v="11"/>
    <x v="0"/>
    <x v="5"/>
    <x v="1"/>
    <n v="7"/>
    <x v="18"/>
    <n v="2232"/>
  </r>
  <r>
    <x v="2"/>
    <x v="7"/>
    <x v="7"/>
    <x v="0"/>
    <x v="5"/>
    <x v="1"/>
    <n v="7"/>
    <x v="18"/>
    <n v="1933"/>
  </r>
  <r>
    <x v="1"/>
    <x v="6"/>
    <x v="6"/>
    <x v="1"/>
    <x v="8"/>
    <x v="1"/>
    <n v="7"/>
    <x v="18"/>
    <n v="3975"/>
  </r>
  <r>
    <x v="2"/>
    <x v="3"/>
    <x v="3"/>
    <x v="2"/>
    <x v="2"/>
    <x v="1"/>
    <n v="7"/>
    <x v="18"/>
    <n v="3753"/>
  </r>
  <r>
    <x v="2"/>
    <x v="3"/>
    <x v="3"/>
    <x v="2"/>
    <x v="3"/>
    <x v="1"/>
    <n v="7"/>
    <x v="18"/>
    <n v="4400"/>
  </r>
  <r>
    <x v="1"/>
    <x v="2"/>
    <x v="2"/>
    <x v="0"/>
    <x v="0"/>
    <x v="1"/>
    <n v="7"/>
    <x v="18"/>
    <n v="2216"/>
  </r>
  <r>
    <x v="2"/>
    <x v="10"/>
    <x v="10"/>
    <x v="1"/>
    <x v="7"/>
    <x v="1"/>
    <n v="7"/>
    <x v="18"/>
    <n v="4086"/>
  </r>
  <r>
    <x v="2"/>
    <x v="10"/>
    <x v="10"/>
    <x v="1"/>
    <x v="1"/>
    <x v="1"/>
    <n v="7"/>
    <x v="18"/>
    <n v="3192"/>
  </r>
  <r>
    <x v="2"/>
    <x v="11"/>
    <x v="11"/>
    <x v="1"/>
    <x v="8"/>
    <x v="1"/>
    <n v="7"/>
    <x v="18"/>
    <n v="4755"/>
  </r>
  <r>
    <x v="2"/>
    <x v="11"/>
    <x v="11"/>
    <x v="2"/>
    <x v="2"/>
    <x v="1"/>
    <n v="7"/>
    <x v="18"/>
    <n v="3752"/>
  </r>
  <r>
    <x v="3"/>
    <x v="4"/>
    <x v="4"/>
    <x v="2"/>
    <x v="3"/>
    <x v="1"/>
    <n v="7"/>
    <x v="18"/>
    <n v="3600"/>
  </r>
  <r>
    <x v="3"/>
    <x v="4"/>
    <x v="4"/>
    <x v="2"/>
    <x v="4"/>
    <x v="1"/>
    <n v="7"/>
    <x v="18"/>
    <n v="3020"/>
  </r>
  <r>
    <x v="4"/>
    <x v="5"/>
    <x v="5"/>
    <x v="0"/>
    <x v="5"/>
    <x v="1"/>
    <n v="7"/>
    <x v="18"/>
    <n v="2738"/>
  </r>
  <r>
    <x v="3"/>
    <x v="8"/>
    <x v="8"/>
    <x v="0"/>
    <x v="6"/>
    <x v="1"/>
    <n v="7"/>
    <x v="18"/>
    <n v="1968"/>
  </r>
  <r>
    <x v="3"/>
    <x v="8"/>
    <x v="8"/>
    <x v="1"/>
    <x v="7"/>
    <x v="1"/>
    <n v="7"/>
    <x v="18"/>
    <n v="5620"/>
  </r>
  <r>
    <x v="4"/>
    <x v="9"/>
    <x v="9"/>
    <x v="1"/>
    <x v="1"/>
    <x v="1"/>
    <n v="7"/>
    <x v="18"/>
    <n v="3020"/>
  </r>
  <r>
    <x v="4"/>
    <x v="9"/>
    <x v="9"/>
    <x v="1"/>
    <x v="8"/>
    <x v="1"/>
    <n v="7"/>
    <x v="18"/>
    <n v="4194"/>
  </r>
  <r>
    <x v="0"/>
    <x v="1"/>
    <x v="1"/>
    <x v="2"/>
    <x v="4"/>
    <x v="1"/>
    <n v="7"/>
    <x v="18"/>
    <n v="3571"/>
  </r>
  <r>
    <x v="0"/>
    <x v="1"/>
    <x v="1"/>
    <x v="0"/>
    <x v="5"/>
    <x v="1"/>
    <n v="7"/>
    <x v="18"/>
    <n v="1966"/>
  </r>
  <r>
    <x v="1"/>
    <x v="6"/>
    <x v="6"/>
    <x v="0"/>
    <x v="6"/>
    <x v="1"/>
    <n v="7"/>
    <x v="18"/>
    <n v="2175"/>
  </r>
  <r>
    <x v="2"/>
    <x v="10"/>
    <x v="10"/>
    <x v="1"/>
    <x v="8"/>
    <x v="1"/>
    <n v="7"/>
    <x v="18"/>
    <n v="3203"/>
  </r>
  <r>
    <x v="2"/>
    <x v="11"/>
    <x v="11"/>
    <x v="2"/>
    <x v="3"/>
    <x v="1"/>
    <n v="7"/>
    <x v="18"/>
    <n v="3531"/>
  </r>
  <r>
    <x v="2"/>
    <x v="7"/>
    <x v="7"/>
    <x v="2"/>
    <x v="4"/>
    <x v="1"/>
    <n v="7"/>
    <x v="18"/>
    <n v="3210"/>
  </r>
  <r>
    <x v="2"/>
    <x v="3"/>
    <x v="3"/>
    <x v="1"/>
    <x v="8"/>
    <x v="1"/>
    <n v="7"/>
    <x v="18"/>
    <n v="3472"/>
  </r>
  <r>
    <x v="2"/>
    <x v="10"/>
    <x v="10"/>
    <x v="0"/>
    <x v="6"/>
    <x v="1"/>
    <n v="7"/>
    <x v="18"/>
    <n v="1226"/>
  </r>
  <r>
    <x v="2"/>
    <x v="11"/>
    <x v="11"/>
    <x v="1"/>
    <x v="1"/>
    <x v="1"/>
    <n v="7"/>
    <x v="18"/>
    <n v="5527"/>
  </r>
  <r>
    <x v="3"/>
    <x v="4"/>
    <x v="4"/>
    <x v="2"/>
    <x v="2"/>
    <x v="1"/>
    <n v="7"/>
    <x v="18"/>
    <n v="3704"/>
  </r>
  <r>
    <x v="4"/>
    <x v="5"/>
    <x v="5"/>
    <x v="2"/>
    <x v="4"/>
    <x v="1"/>
    <n v="7"/>
    <x v="18"/>
    <n v="3992"/>
  </r>
  <r>
    <x v="3"/>
    <x v="8"/>
    <x v="8"/>
    <x v="0"/>
    <x v="0"/>
    <x v="1"/>
    <n v="7"/>
    <x v="18"/>
    <n v="2819"/>
  </r>
  <r>
    <x v="4"/>
    <x v="9"/>
    <x v="9"/>
    <x v="1"/>
    <x v="7"/>
    <x v="1"/>
    <n v="7"/>
    <x v="18"/>
    <n v="4314"/>
  </r>
  <r>
    <x v="2"/>
    <x v="10"/>
    <x v="10"/>
    <x v="2"/>
    <x v="4"/>
    <x v="1"/>
    <n v="7"/>
    <x v="18"/>
    <n v="3491"/>
  </r>
  <r>
    <x v="2"/>
    <x v="11"/>
    <x v="11"/>
    <x v="0"/>
    <x v="0"/>
    <x v="1"/>
    <n v="7"/>
    <x v="18"/>
    <n v="1748"/>
  </r>
  <r>
    <x v="0"/>
    <x v="0"/>
    <x v="0"/>
    <x v="0"/>
    <x v="0"/>
    <x v="1"/>
    <n v="8"/>
    <x v="19"/>
    <n v="2997"/>
  </r>
  <r>
    <x v="0"/>
    <x v="1"/>
    <x v="1"/>
    <x v="0"/>
    <x v="0"/>
    <x v="1"/>
    <n v="8"/>
    <x v="19"/>
    <n v="3322"/>
  </r>
  <r>
    <x v="0"/>
    <x v="1"/>
    <x v="1"/>
    <x v="1"/>
    <x v="1"/>
    <x v="1"/>
    <n v="8"/>
    <x v="19"/>
    <n v="2712"/>
  </r>
  <r>
    <x v="0"/>
    <x v="0"/>
    <x v="0"/>
    <x v="1"/>
    <x v="1"/>
    <x v="1"/>
    <n v="8"/>
    <x v="19"/>
    <n v="4622"/>
  </r>
  <r>
    <x v="0"/>
    <x v="0"/>
    <x v="0"/>
    <x v="2"/>
    <x v="2"/>
    <x v="1"/>
    <n v="8"/>
    <x v="19"/>
    <n v="3912"/>
  </r>
  <r>
    <x v="1"/>
    <x v="2"/>
    <x v="2"/>
    <x v="2"/>
    <x v="3"/>
    <x v="1"/>
    <n v="8"/>
    <x v="19"/>
    <n v="2680"/>
  </r>
  <r>
    <x v="2"/>
    <x v="3"/>
    <x v="3"/>
    <x v="2"/>
    <x v="4"/>
    <x v="1"/>
    <n v="8"/>
    <x v="19"/>
    <n v="3133"/>
  </r>
  <r>
    <x v="3"/>
    <x v="4"/>
    <x v="4"/>
    <x v="0"/>
    <x v="5"/>
    <x v="1"/>
    <n v="8"/>
    <x v="19"/>
    <n v="2839"/>
  </r>
  <r>
    <x v="4"/>
    <x v="5"/>
    <x v="5"/>
    <x v="0"/>
    <x v="0"/>
    <x v="1"/>
    <n v="8"/>
    <x v="19"/>
    <n v="2974"/>
  </r>
  <r>
    <x v="0"/>
    <x v="1"/>
    <x v="1"/>
    <x v="0"/>
    <x v="6"/>
    <x v="1"/>
    <n v="8"/>
    <x v="19"/>
    <n v="1889"/>
  </r>
  <r>
    <x v="1"/>
    <x v="6"/>
    <x v="6"/>
    <x v="1"/>
    <x v="7"/>
    <x v="1"/>
    <n v="8"/>
    <x v="19"/>
    <n v="5528"/>
  </r>
  <r>
    <x v="2"/>
    <x v="7"/>
    <x v="7"/>
    <x v="1"/>
    <x v="1"/>
    <x v="1"/>
    <n v="8"/>
    <x v="19"/>
    <n v="4372"/>
  </r>
  <r>
    <x v="3"/>
    <x v="8"/>
    <x v="8"/>
    <x v="1"/>
    <x v="8"/>
    <x v="1"/>
    <n v="8"/>
    <x v="19"/>
    <n v="2877"/>
  </r>
  <r>
    <x v="4"/>
    <x v="9"/>
    <x v="9"/>
    <x v="2"/>
    <x v="2"/>
    <x v="1"/>
    <n v="8"/>
    <x v="19"/>
    <n v="3730"/>
  </r>
  <r>
    <x v="0"/>
    <x v="0"/>
    <x v="0"/>
    <x v="2"/>
    <x v="3"/>
    <x v="1"/>
    <n v="8"/>
    <x v="19"/>
    <n v="2873"/>
  </r>
  <r>
    <x v="1"/>
    <x v="2"/>
    <x v="2"/>
    <x v="2"/>
    <x v="4"/>
    <x v="1"/>
    <n v="8"/>
    <x v="19"/>
    <n v="3320"/>
  </r>
  <r>
    <x v="2"/>
    <x v="3"/>
    <x v="3"/>
    <x v="0"/>
    <x v="5"/>
    <x v="1"/>
    <n v="8"/>
    <x v="19"/>
    <n v="2457"/>
  </r>
  <r>
    <x v="3"/>
    <x v="4"/>
    <x v="4"/>
    <x v="0"/>
    <x v="0"/>
    <x v="1"/>
    <n v="8"/>
    <x v="19"/>
    <n v="2920"/>
  </r>
  <r>
    <x v="4"/>
    <x v="5"/>
    <x v="5"/>
    <x v="0"/>
    <x v="6"/>
    <x v="1"/>
    <n v="8"/>
    <x v="19"/>
    <n v="1530"/>
  </r>
  <r>
    <x v="0"/>
    <x v="1"/>
    <x v="1"/>
    <x v="1"/>
    <x v="7"/>
    <x v="1"/>
    <n v="8"/>
    <x v="19"/>
    <n v="5257"/>
  </r>
  <r>
    <x v="1"/>
    <x v="6"/>
    <x v="6"/>
    <x v="1"/>
    <x v="1"/>
    <x v="1"/>
    <n v="8"/>
    <x v="19"/>
    <n v="5107"/>
  </r>
  <r>
    <x v="2"/>
    <x v="7"/>
    <x v="7"/>
    <x v="1"/>
    <x v="8"/>
    <x v="1"/>
    <n v="8"/>
    <x v="19"/>
    <n v="3943"/>
  </r>
  <r>
    <x v="3"/>
    <x v="8"/>
    <x v="8"/>
    <x v="2"/>
    <x v="2"/>
    <x v="1"/>
    <n v="8"/>
    <x v="19"/>
    <n v="3681"/>
  </r>
  <r>
    <x v="4"/>
    <x v="9"/>
    <x v="9"/>
    <x v="2"/>
    <x v="3"/>
    <x v="1"/>
    <n v="8"/>
    <x v="19"/>
    <n v="5163"/>
  </r>
  <r>
    <x v="0"/>
    <x v="0"/>
    <x v="0"/>
    <x v="2"/>
    <x v="4"/>
    <x v="1"/>
    <n v="8"/>
    <x v="19"/>
    <n v="3090"/>
  </r>
  <r>
    <x v="1"/>
    <x v="2"/>
    <x v="2"/>
    <x v="0"/>
    <x v="5"/>
    <x v="1"/>
    <n v="8"/>
    <x v="19"/>
    <n v="2890"/>
  </r>
  <r>
    <x v="2"/>
    <x v="3"/>
    <x v="3"/>
    <x v="0"/>
    <x v="0"/>
    <x v="1"/>
    <n v="8"/>
    <x v="19"/>
    <n v="2799"/>
  </r>
  <r>
    <x v="3"/>
    <x v="4"/>
    <x v="4"/>
    <x v="0"/>
    <x v="6"/>
    <x v="1"/>
    <n v="8"/>
    <x v="19"/>
    <n v="2670"/>
  </r>
  <r>
    <x v="4"/>
    <x v="5"/>
    <x v="5"/>
    <x v="1"/>
    <x v="7"/>
    <x v="1"/>
    <n v="8"/>
    <x v="19"/>
    <n v="5301"/>
  </r>
  <r>
    <x v="1"/>
    <x v="2"/>
    <x v="2"/>
    <x v="1"/>
    <x v="8"/>
    <x v="1"/>
    <n v="8"/>
    <x v="19"/>
    <n v="4135"/>
  </r>
  <r>
    <x v="2"/>
    <x v="7"/>
    <x v="7"/>
    <x v="2"/>
    <x v="2"/>
    <x v="1"/>
    <n v="8"/>
    <x v="19"/>
    <n v="4921"/>
  </r>
  <r>
    <x v="3"/>
    <x v="8"/>
    <x v="8"/>
    <x v="2"/>
    <x v="3"/>
    <x v="1"/>
    <n v="8"/>
    <x v="19"/>
    <n v="2857"/>
  </r>
  <r>
    <x v="4"/>
    <x v="9"/>
    <x v="9"/>
    <x v="2"/>
    <x v="4"/>
    <x v="1"/>
    <n v="8"/>
    <x v="19"/>
    <n v="3160"/>
  </r>
  <r>
    <x v="0"/>
    <x v="0"/>
    <x v="0"/>
    <x v="0"/>
    <x v="5"/>
    <x v="1"/>
    <n v="8"/>
    <x v="19"/>
    <n v="2823"/>
  </r>
  <r>
    <x v="1"/>
    <x v="6"/>
    <x v="6"/>
    <x v="0"/>
    <x v="0"/>
    <x v="1"/>
    <n v="8"/>
    <x v="19"/>
    <n v="2544"/>
  </r>
  <r>
    <x v="2"/>
    <x v="3"/>
    <x v="3"/>
    <x v="0"/>
    <x v="6"/>
    <x v="1"/>
    <n v="8"/>
    <x v="19"/>
    <n v="2295"/>
  </r>
  <r>
    <x v="3"/>
    <x v="4"/>
    <x v="4"/>
    <x v="1"/>
    <x v="7"/>
    <x v="1"/>
    <n v="8"/>
    <x v="19"/>
    <n v="5257"/>
  </r>
  <r>
    <x v="4"/>
    <x v="5"/>
    <x v="5"/>
    <x v="1"/>
    <x v="1"/>
    <x v="1"/>
    <n v="8"/>
    <x v="19"/>
    <n v="4297"/>
  </r>
  <r>
    <x v="0"/>
    <x v="1"/>
    <x v="1"/>
    <x v="1"/>
    <x v="8"/>
    <x v="1"/>
    <n v="8"/>
    <x v="19"/>
    <n v="4486"/>
  </r>
  <r>
    <x v="1"/>
    <x v="2"/>
    <x v="2"/>
    <x v="2"/>
    <x v="2"/>
    <x v="1"/>
    <n v="8"/>
    <x v="19"/>
    <n v="4708"/>
  </r>
  <r>
    <x v="2"/>
    <x v="7"/>
    <x v="7"/>
    <x v="2"/>
    <x v="3"/>
    <x v="1"/>
    <n v="8"/>
    <x v="19"/>
    <n v="3766"/>
  </r>
  <r>
    <x v="3"/>
    <x v="8"/>
    <x v="8"/>
    <x v="2"/>
    <x v="4"/>
    <x v="1"/>
    <n v="8"/>
    <x v="19"/>
    <n v="3070"/>
  </r>
  <r>
    <x v="4"/>
    <x v="9"/>
    <x v="9"/>
    <x v="0"/>
    <x v="5"/>
    <x v="1"/>
    <n v="8"/>
    <x v="19"/>
    <n v="1520"/>
  </r>
  <r>
    <x v="1"/>
    <x v="2"/>
    <x v="2"/>
    <x v="0"/>
    <x v="6"/>
    <x v="1"/>
    <n v="8"/>
    <x v="19"/>
    <n v="2161"/>
  </r>
  <r>
    <x v="2"/>
    <x v="3"/>
    <x v="3"/>
    <x v="1"/>
    <x v="7"/>
    <x v="1"/>
    <n v="8"/>
    <x v="19"/>
    <n v="4185"/>
  </r>
  <r>
    <x v="3"/>
    <x v="8"/>
    <x v="8"/>
    <x v="1"/>
    <x v="1"/>
    <x v="1"/>
    <n v="8"/>
    <x v="19"/>
    <n v="3853"/>
  </r>
  <r>
    <x v="4"/>
    <x v="5"/>
    <x v="5"/>
    <x v="1"/>
    <x v="8"/>
    <x v="1"/>
    <n v="8"/>
    <x v="19"/>
    <n v="3999"/>
  </r>
  <r>
    <x v="0"/>
    <x v="1"/>
    <x v="1"/>
    <x v="2"/>
    <x v="2"/>
    <x v="1"/>
    <n v="8"/>
    <x v="19"/>
    <n v="3638"/>
  </r>
  <r>
    <x v="0"/>
    <x v="1"/>
    <x v="1"/>
    <x v="2"/>
    <x v="3"/>
    <x v="1"/>
    <n v="8"/>
    <x v="19"/>
    <n v="2657"/>
  </r>
  <r>
    <x v="1"/>
    <x v="6"/>
    <x v="6"/>
    <x v="2"/>
    <x v="4"/>
    <x v="1"/>
    <n v="8"/>
    <x v="19"/>
    <n v="3083"/>
  </r>
  <r>
    <x v="1"/>
    <x v="6"/>
    <x v="6"/>
    <x v="0"/>
    <x v="5"/>
    <x v="1"/>
    <n v="8"/>
    <x v="19"/>
    <n v="1520"/>
  </r>
  <r>
    <x v="2"/>
    <x v="7"/>
    <x v="7"/>
    <x v="0"/>
    <x v="0"/>
    <x v="1"/>
    <n v="8"/>
    <x v="19"/>
    <n v="2873"/>
  </r>
  <r>
    <x v="2"/>
    <x v="7"/>
    <x v="7"/>
    <x v="0"/>
    <x v="6"/>
    <x v="1"/>
    <n v="8"/>
    <x v="19"/>
    <n v="1977"/>
  </r>
  <r>
    <x v="2"/>
    <x v="3"/>
    <x v="3"/>
    <x v="1"/>
    <x v="1"/>
    <x v="1"/>
    <n v="8"/>
    <x v="19"/>
    <n v="3482"/>
  </r>
  <r>
    <x v="0"/>
    <x v="0"/>
    <x v="0"/>
    <x v="1"/>
    <x v="8"/>
    <x v="1"/>
    <n v="8"/>
    <x v="19"/>
    <n v="4956"/>
  </r>
  <r>
    <x v="2"/>
    <x v="10"/>
    <x v="10"/>
    <x v="0"/>
    <x v="5"/>
    <x v="1"/>
    <n v="8"/>
    <x v="19"/>
    <n v="1884"/>
  </r>
  <r>
    <x v="2"/>
    <x v="10"/>
    <x v="10"/>
    <x v="0"/>
    <x v="0"/>
    <x v="1"/>
    <n v="8"/>
    <x v="19"/>
    <n v="1554"/>
  </r>
  <r>
    <x v="2"/>
    <x v="11"/>
    <x v="11"/>
    <x v="0"/>
    <x v="6"/>
    <x v="1"/>
    <n v="8"/>
    <x v="19"/>
    <n v="1919"/>
  </r>
  <r>
    <x v="2"/>
    <x v="11"/>
    <x v="11"/>
    <x v="1"/>
    <x v="7"/>
    <x v="1"/>
    <n v="8"/>
    <x v="19"/>
    <n v="5653"/>
  </r>
  <r>
    <x v="3"/>
    <x v="4"/>
    <x v="4"/>
    <x v="1"/>
    <x v="1"/>
    <x v="1"/>
    <n v="8"/>
    <x v="19"/>
    <n v="4081"/>
  </r>
  <r>
    <x v="3"/>
    <x v="4"/>
    <x v="4"/>
    <x v="1"/>
    <x v="8"/>
    <x v="1"/>
    <n v="8"/>
    <x v="19"/>
    <n v="3397"/>
  </r>
  <r>
    <x v="4"/>
    <x v="5"/>
    <x v="5"/>
    <x v="2"/>
    <x v="2"/>
    <x v="1"/>
    <n v="8"/>
    <x v="19"/>
    <n v="3912"/>
  </r>
  <r>
    <x v="4"/>
    <x v="5"/>
    <x v="5"/>
    <x v="2"/>
    <x v="3"/>
    <x v="1"/>
    <n v="8"/>
    <x v="19"/>
    <n v="3729"/>
  </r>
  <r>
    <x v="3"/>
    <x v="8"/>
    <x v="8"/>
    <x v="0"/>
    <x v="5"/>
    <x v="1"/>
    <n v="8"/>
    <x v="19"/>
    <n v="2762"/>
  </r>
  <r>
    <x v="4"/>
    <x v="9"/>
    <x v="9"/>
    <x v="0"/>
    <x v="0"/>
    <x v="1"/>
    <n v="8"/>
    <x v="19"/>
    <n v="2247"/>
  </r>
  <r>
    <x v="4"/>
    <x v="9"/>
    <x v="9"/>
    <x v="0"/>
    <x v="6"/>
    <x v="1"/>
    <n v="8"/>
    <x v="19"/>
    <n v="2044"/>
  </r>
  <r>
    <x v="2"/>
    <x v="7"/>
    <x v="7"/>
    <x v="1"/>
    <x v="7"/>
    <x v="1"/>
    <n v="8"/>
    <x v="19"/>
    <n v="4153"/>
  </r>
  <r>
    <x v="1"/>
    <x v="6"/>
    <x v="6"/>
    <x v="2"/>
    <x v="3"/>
    <x v="1"/>
    <n v="8"/>
    <x v="19"/>
    <n v="4938"/>
  </r>
  <r>
    <x v="0"/>
    <x v="0"/>
    <x v="0"/>
    <x v="0"/>
    <x v="6"/>
    <x v="1"/>
    <n v="8"/>
    <x v="19"/>
    <n v="2220"/>
  </r>
  <r>
    <x v="0"/>
    <x v="0"/>
    <x v="0"/>
    <x v="1"/>
    <x v="7"/>
    <x v="1"/>
    <n v="8"/>
    <x v="19"/>
    <n v="4613"/>
  </r>
  <r>
    <x v="1"/>
    <x v="2"/>
    <x v="2"/>
    <x v="1"/>
    <x v="1"/>
    <x v="1"/>
    <n v="8"/>
    <x v="19"/>
    <n v="4678"/>
  </r>
  <r>
    <x v="2"/>
    <x v="10"/>
    <x v="10"/>
    <x v="2"/>
    <x v="2"/>
    <x v="1"/>
    <n v="8"/>
    <x v="19"/>
    <n v="4317"/>
  </r>
  <r>
    <x v="2"/>
    <x v="10"/>
    <x v="10"/>
    <x v="2"/>
    <x v="3"/>
    <x v="1"/>
    <n v="8"/>
    <x v="19"/>
    <n v="4250"/>
  </r>
  <r>
    <x v="2"/>
    <x v="11"/>
    <x v="11"/>
    <x v="2"/>
    <x v="4"/>
    <x v="1"/>
    <n v="8"/>
    <x v="19"/>
    <n v="3883"/>
  </r>
  <r>
    <x v="2"/>
    <x v="11"/>
    <x v="11"/>
    <x v="0"/>
    <x v="5"/>
    <x v="1"/>
    <n v="8"/>
    <x v="19"/>
    <n v="2188"/>
  </r>
  <r>
    <x v="2"/>
    <x v="7"/>
    <x v="7"/>
    <x v="0"/>
    <x v="5"/>
    <x v="1"/>
    <n v="8"/>
    <x v="19"/>
    <n v="1713"/>
  </r>
  <r>
    <x v="1"/>
    <x v="6"/>
    <x v="6"/>
    <x v="1"/>
    <x v="8"/>
    <x v="1"/>
    <n v="8"/>
    <x v="19"/>
    <n v="2905"/>
  </r>
  <r>
    <x v="2"/>
    <x v="3"/>
    <x v="3"/>
    <x v="2"/>
    <x v="2"/>
    <x v="1"/>
    <n v="8"/>
    <x v="19"/>
    <n v="4860"/>
  </r>
  <r>
    <x v="2"/>
    <x v="3"/>
    <x v="3"/>
    <x v="2"/>
    <x v="3"/>
    <x v="1"/>
    <n v="8"/>
    <x v="19"/>
    <n v="4534"/>
  </r>
  <r>
    <x v="1"/>
    <x v="2"/>
    <x v="2"/>
    <x v="0"/>
    <x v="0"/>
    <x v="1"/>
    <n v="8"/>
    <x v="19"/>
    <n v="2621"/>
  </r>
  <r>
    <x v="2"/>
    <x v="10"/>
    <x v="10"/>
    <x v="1"/>
    <x v="7"/>
    <x v="1"/>
    <n v="8"/>
    <x v="19"/>
    <n v="4936"/>
  </r>
  <r>
    <x v="2"/>
    <x v="10"/>
    <x v="10"/>
    <x v="1"/>
    <x v="1"/>
    <x v="1"/>
    <n v="8"/>
    <x v="19"/>
    <n v="3104"/>
  </r>
  <r>
    <x v="2"/>
    <x v="11"/>
    <x v="11"/>
    <x v="1"/>
    <x v="8"/>
    <x v="1"/>
    <n v="8"/>
    <x v="19"/>
    <n v="4204"/>
  </r>
  <r>
    <x v="2"/>
    <x v="11"/>
    <x v="11"/>
    <x v="2"/>
    <x v="2"/>
    <x v="1"/>
    <n v="8"/>
    <x v="19"/>
    <n v="3557"/>
  </r>
  <r>
    <x v="3"/>
    <x v="4"/>
    <x v="4"/>
    <x v="2"/>
    <x v="3"/>
    <x v="1"/>
    <n v="8"/>
    <x v="19"/>
    <n v="2944"/>
  </r>
  <r>
    <x v="3"/>
    <x v="4"/>
    <x v="4"/>
    <x v="2"/>
    <x v="4"/>
    <x v="1"/>
    <n v="8"/>
    <x v="19"/>
    <n v="4022"/>
  </r>
  <r>
    <x v="4"/>
    <x v="5"/>
    <x v="5"/>
    <x v="0"/>
    <x v="5"/>
    <x v="1"/>
    <n v="8"/>
    <x v="19"/>
    <n v="2578"/>
  </r>
  <r>
    <x v="3"/>
    <x v="8"/>
    <x v="8"/>
    <x v="0"/>
    <x v="6"/>
    <x v="1"/>
    <n v="8"/>
    <x v="19"/>
    <n v="2528"/>
  </r>
  <r>
    <x v="3"/>
    <x v="8"/>
    <x v="8"/>
    <x v="1"/>
    <x v="7"/>
    <x v="1"/>
    <n v="8"/>
    <x v="19"/>
    <n v="4795"/>
  </r>
  <r>
    <x v="4"/>
    <x v="9"/>
    <x v="9"/>
    <x v="1"/>
    <x v="1"/>
    <x v="1"/>
    <n v="8"/>
    <x v="19"/>
    <n v="4417"/>
  </r>
  <r>
    <x v="4"/>
    <x v="9"/>
    <x v="9"/>
    <x v="1"/>
    <x v="8"/>
    <x v="1"/>
    <n v="8"/>
    <x v="19"/>
    <n v="2101"/>
  </r>
  <r>
    <x v="0"/>
    <x v="1"/>
    <x v="1"/>
    <x v="2"/>
    <x v="4"/>
    <x v="1"/>
    <n v="8"/>
    <x v="19"/>
    <n v="3840"/>
  </r>
  <r>
    <x v="0"/>
    <x v="1"/>
    <x v="1"/>
    <x v="0"/>
    <x v="5"/>
    <x v="1"/>
    <n v="8"/>
    <x v="19"/>
    <n v="2452"/>
  </r>
  <r>
    <x v="1"/>
    <x v="6"/>
    <x v="6"/>
    <x v="0"/>
    <x v="6"/>
    <x v="1"/>
    <n v="8"/>
    <x v="19"/>
    <n v="2106"/>
  </r>
  <r>
    <x v="2"/>
    <x v="10"/>
    <x v="10"/>
    <x v="1"/>
    <x v="8"/>
    <x v="1"/>
    <n v="8"/>
    <x v="19"/>
    <n v="3435"/>
  </r>
  <r>
    <x v="2"/>
    <x v="11"/>
    <x v="11"/>
    <x v="2"/>
    <x v="3"/>
    <x v="1"/>
    <n v="8"/>
    <x v="19"/>
    <n v="4404"/>
  </r>
  <r>
    <x v="2"/>
    <x v="7"/>
    <x v="7"/>
    <x v="2"/>
    <x v="4"/>
    <x v="1"/>
    <n v="8"/>
    <x v="19"/>
    <n v="2914"/>
  </r>
  <r>
    <x v="2"/>
    <x v="3"/>
    <x v="3"/>
    <x v="1"/>
    <x v="8"/>
    <x v="1"/>
    <n v="8"/>
    <x v="19"/>
    <n v="4265"/>
  </r>
  <r>
    <x v="2"/>
    <x v="10"/>
    <x v="10"/>
    <x v="0"/>
    <x v="6"/>
    <x v="1"/>
    <n v="8"/>
    <x v="19"/>
    <n v="1425"/>
  </r>
  <r>
    <x v="2"/>
    <x v="11"/>
    <x v="11"/>
    <x v="1"/>
    <x v="1"/>
    <x v="1"/>
    <n v="8"/>
    <x v="19"/>
    <n v="4876"/>
  </r>
  <r>
    <x v="3"/>
    <x v="4"/>
    <x v="4"/>
    <x v="2"/>
    <x v="2"/>
    <x v="1"/>
    <n v="8"/>
    <x v="19"/>
    <n v="3666"/>
  </r>
  <r>
    <x v="4"/>
    <x v="5"/>
    <x v="5"/>
    <x v="2"/>
    <x v="4"/>
    <x v="1"/>
    <n v="8"/>
    <x v="19"/>
    <n v="3269"/>
  </r>
  <r>
    <x v="3"/>
    <x v="8"/>
    <x v="8"/>
    <x v="0"/>
    <x v="0"/>
    <x v="1"/>
    <n v="8"/>
    <x v="19"/>
    <n v="3270"/>
  </r>
  <r>
    <x v="4"/>
    <x v="9"/>
    <x v="9"/>
    <x v="1"/>
    <x v="7"/>
    <x v="1"/>
    <n v="8"/>
    <x v="19"/>
    <n v="6832"/>
  </r>
  <r>
    <x v="2"/>
    <x v="10"/>
    <x v="10"/>
    <x v="2"/>
    <x v="4"/>
    <x v="1"/>
    <n v="8"/>
    <x v="19"/>
    <n v="3569"/>
  </r>
  <r>
    <x v="2"/>
    <x v="11"/>
    <x v="11"/>
    <x v="0"/>
    <x v="0"/>
    <x v="1"/>
    <n v="8"/>
    <x v="19"/>
    <n v="1997"/>
  </r>
  <r>
    <x v="0"/>
    <x v="0"/>
    <x v="0"/>
    <x v="0"/>
    <x v="0"/>
    <x v="1"/>
    <n v="9"/>
    <x v="20"/>
    <n v="2554"/>
  </r>
  <r>
    <x v="0"/>
    <x v="1"/>
    <x v="1"/>
    <x v="0"/>
    <x v="0"/>
    <x v="1"/>
    <n v="9"/>
    <x v="20"/>
    <n v="2313"/>
  </r>
  <r>
    <x v="0"/>
    <x v="1"/>
    <x v="1"/>
    <x v="1"/>
    <x v="1"/>
    <x v="1"/>
    <n v="9"/>
    <x v="20"/>
    <n v="5171"/>
  </r>
  <r>
    <x v="0"/>
    <x v="0"/>
    <x v="0"/>
    <x v="1"/>
    <x v="1"/>
    <x v="1"/>
    <n v="9"/>
    <x v="20"/>
    <n v="4879"/>
  </r>
  <r>
    <x v="0"/>
    <x v="0"/>
    <x v="0"/>
    <x v="2"/>
    <x v="2"/>
    <x v="1"/>
    <n v="9"/>
    <x v="20"/>
    <n v="3640"/>
  </r>
  <r>
    <x v="1"/>
    <x v="2"/>
    <x v="2"/>
    <x v="2"/>
    <x v="3"/>
    <x v="1"/>
    <n v="9"/>
    <x v="20"/>
    <n v="4190"/>
  </r>
  <r>
    <x v="2"/>
    <x v="3"/>
    <x v="3"/>
    <x v="2"/>
    <x v="4"/>
    <x v="1"/>
    <n v="9"/>
    <x v="20"/>
    <n v="2946"/>
  </r>
  <r>
    <x v="3"/>
    <x v="4"/>
    <x v="4"/>
    <x v="0"/>
    <x v="5"/>
    <x v="1"/>
    <n v="9"/>
    <x v="20"/>
    <n v="2157"/>
  </r>
  <r>
    <x v="4"/>
    <x v="5"/>
    <x v="5"/>
    <x v="0"/>
    <x v="0"/>
    <x v="1"/>
    <n v="9"/>
    <x v="20"/>
    <n v="2434"/>
  </r>
  <r>
    <x v="0"/>
    <x v="1"/>
    <x v="1"/>
    <x v="0"/>
    <x v="6"/>
    <x v="1"/>
    <n v="9"/>
    <x v="20"/>
    <n v="1407"/>
  </r>
  <r>
    <x v="1"/>
    <x v="6"/>
    <x v="6"/>
    <x v="1"/>
    <x v="7"/>
    <x v="1"/>
    <n v="9"/>
    <x v="20"/>
    <n v="6786"/>
  </r>
  <r>
    <x v="2"/>
    <x v="7"/>
    <x v="7"/>
    <x v="1"/>
    <x v="1"/>
    <x v="1"/>
    <n v="9"/>
    <x v="20"/>
    <n v="5287"/>
  </r>
  <r>
    <x v="3"/>
    <x v="8"/>
    <x v="8"/>
    <x v="1"/>
    <x v="8"/>
    <x v="1"/>
    <n v="9"/>
    <x v="20"/>
    <n v="3201"/>
  </r>
  <r>
    <x v="4"/>
    <x v="9"/>
    <x v="9"/>
    <x v="2"/>
    <x v="2"/>
    <x v="1"/>
    <n v="9"/>
    <x v="20"/>
    <n v="3739"/>
  </r>
  <r>
    <x v="0"/>
    <x v="0"/>
    <x v="0"/>
    <x v="2"/>
    <x v="3"/>
    <x v="1"/>
    <n v="9"/>
    <x v="20"/>
    <n v="3133"/>
  </r>
  <r>
    <x v="1"/>
    <x v="2"/>
    <x v="2"/>
    <x v="2"/>
    <x v="4"/>
    <x v="1"/>
    <n v="9"/>
    <x v="20"/>
    <n v="3489"/>
  </r>
  <r>
    <x v="2"/>
    <x v="3"/>
    <x v="3"/>
    <x v="0"/>
    <x v="5"/>
    <x v="1"/>
    <n v="9"/>
    <x v="20"/>
    <n v="2419"/>
  </r>
  <r>
    <x v="3"/>
    <x v="4"/>
    <x v="4"/>
    <x v="0"/>
    <x v="0"/>
    <x v="1"/>
    <n v="9"/>
    <x v="20"/>
    <n v="3102"/>
  </r>
  <r>
    <x v="4"/>
    <x v="5"/>
    <x v="5"/>
    <x v="0"/>
    <x v="6"/>
    <x v="1"/>
    <n v="9"/>
    <x v="20"/>
    <n v="2672"/>
  </r>
  <r>
    <x v="0"/>
    <x v="1"/>
    <x v="1"/>
    <x v="1"/>
    <x v="7"/>
    <x v="1"/>
    <n v="9"/>
    <x v="20"/>
    <n v="4888"/>
  </r>
  <r>
    <x v="1"/>
    <x v="6"/>
    <x v="6"/>
    <x v="1"/>
    <x v="1"/>
    <x v="1"/>
    <n v="9"/>
    <x v="20"/>
    <n v="4725"/>
  </r>
  <r>
    <x v="2"/>
    <x v="7"/>
    <x v="7"/>
    <x v="1"/>
    <x v="8"/>
    <x v="1"/>
    <n v="9"/>
    <x v="20"/>
    <n v="3603"/>
  </r>
  <r>
    <x v="3"/>
    <x v="8"/>
    <x v="8"/>
    <x v="2"/>
    <x v="2"/>
    <x v="1"/>
    <n v="9"/>
    <x v="20"/>
    <n v="4473"/>
  </r>
  <r>
    <x v="4"/>
    <x v="9"/>
    <x v="9"/>
    <x v="2"/>
    <x v="3"/>
    <x v="1"/>
    <n v="9"/>
    <x v="20"/>
    <n v="5598"/>
  </r>
  <r>
    <x v="0"/>
    <x v="0"/>
    <x v="0"/>
    <x v="2"/>
    <x v="4"/>
    <x v="1"/>
    <n v="9"/>
    <x v="20"/>
    <n v="3641"/>
  </r>
  <r>
    <x v="1"/>
    <x v="2"/>
    <x v="2"/>
    <x v="0"/>
    <x v="5"/>
    <x v="1"/>
    <n v="9"/>
    <x v="20"/>
    <n v="2020"/>
  </r>
  <r>
    <x v="2"/>
    <x v="3"/>
    <x v="3"/>
    <x v="0"/>
    <x v="0"/>
    <x v="1"/>
    <n v="9"/>
    <x v="20"/>
    <n v="2076"/>
  </r>
  <r>
    <x v="3"/>
    <x v="4"/>
    <x v="4"/>
    <x v="0"/>
    <x v="6"/>
    <x v="1"/>
    <n v="9"/>
    <x v="20"/>
    <n v="1655"/>
  </r>
  <r>
    <x v="4"/>
    <x v="5"/>
    <x v="5"/>
    <x v="1"/>
    <x v="7"/>
    <x v="1"/>
    <n v="9"/>
    <x v="20"/>
    <n v="5729"/>
  </r>
  <r>
    <x v="1"/>
    <x v="2"/>
    <x v="2"/>
    <x v="1"/>
    <x v="8"/>
    <x v="1"/>
    <n v="9"/>
    <x v="20"/>
    <n v="3356"/>
  </r>
  <r>
    <x v="2"/>
    <x v="7"/>
    <x v="7"/>
    <x v="2"/>
    <x v="2"/>
    <x v="1"/>
    <n v="9"/>
    <x v="20"/>
    <n v="4256"/>
  </r>
  <r>
    <x v="3"/>
    <x v="8"/>
    <x v="8"/>
    <x v="2"/>
    <x v="3"/>
    <x v="1"/>
    <n v="9"/>
    <x v="20"/>
    <n v="4278"/>
  </r>
  <r>
    <x v="4"/>
    <x v="9"/>
    <x v="9"/>
    <x v="2"/>
    <x v="4"/>
    <x v="1"/>
    <n v="9"/>
    <x v="20"/>
    <n v="3732"/>
  </r>
  <r>
    <x v="0"/>
    <x v="0"/>
    <x v="0"/>
    <x v="0"/>
    <x v="5"/>
    <x v="1"/>
    <n v="9"/>
    <x v="20"/>
    <n v="1600"/>
  </r>
  <r>
    <x v="1"/>
    <x v="6"/>
    <x v="6"/>
    <x v="0"/>
    <x v="0"/>
    <x v="1"/>
    <n v="9"/>
    <x v="20"/>
    <n v="1704"/>
  </r>
  <r>
    <x v="2"/>
    <x v="3"/>
    <x v="3"/>
    <x v="0"/>
    <x v="6"/>
    <x v="1"/>
    <n v="9"/>
    <x v="20"/>
    <n v="1382"/>
  </r>
  <r>
    <x v="3"/>
    <x v="4"/>
    <x v="4"/>
    <x v="1"/>
    <x v="7"/>
    <x v="1"/>
    <n v="9"/>
    <x v="20"/>
    <n v="5439"/>
  </r>
  <r>
    <x v="4"/>
    <x v="5"/>
    <x v="5"/>
    <x v="1"/>
    <x v="1"/>
    <x v="1"/>
    <n v="9"/>
    <x v="20"/>
    <n v="2886"/>
  </r>
  <r>
    <x v="0"/>
    <x v="1"/>
    <x v="1"/>
    <x v="1"/>
    <x v="8"/>
    <x v="1"/>
    <n v="9"/>
    <x v="20"/>
    <n v="4086"/>
  </r>
  <r>
    <x v="1"/>
    <x v="2"/>
    <x v="2"/>
    <x v="2"/>
    <x v="2"/>
    <x v="1"/>
    <n v="9"/>
    <x v="20"/>
    <n v="4622"/>
  </r>
  <r>
    <x v="2"/>
    <x v="7"/>
    <x v="7"/>
    <x v="2"/>
    <x v="3"/>
    <x v="1"/>
    <n v="9"/>
    <x v="20"/>
    <n v="4701"/>
  </r>
  <r>
    <x v="3"/>
    <x v="8"/>
    <x v="8"/>
    <x v="2"/>
    <x v="4"/>
    <x v="1"/>
    <n v="9"/>
    <x v="20"/>
    <n v="3385"/>
  </r>
  <r>
    <x v="4"/>
    <x v="9"/>
    <x v="9"/>
    <x v="0"/>
    <x v="5"/>
    <x v="1"/>
    <n v="9"/>
    <x v="20"/>
    <n v="2957"/>
  </r>
  <r>
    <x v="1"/>
    <x v="2"/>
    <x v="2"/>
    <x v="0"/>
    <x v="6"/>
    <x v="1"/>
    <n v="9"/>
    <x v="20"/>
    <n v="1394"/>
  </r>
  <r>
    <x v="2"/>
    <x v="3"/>
    <x v="3"/>
    <x v="1"/>
    <x v="7"/>
    <x v="1"/>
    <n v="9"/>
    <x v="20"/>
    <n v="6027"/>
  </r>
  <r>
    <x v="3"/>
    <x v="8"/>
    <x v="8"/>
    <x v="1"/>
    <x v="1"/>
    <x v="1"/>
    <n v="9"/>
    <x v="20"/>
    <n v="4006"/>
  </r>
  <r>
    <x v="4"/>
    <x v="5"/>
    <x v="5"/>
    <x v="1"/>
    <x v="8"/>
    <x v="1"/>
    <n v="9"/>
    <x v="20"/>
    <n v="4747"/>
  </r>
  <r>
    <x v="0"/>
    <x v="1"/>
    <x v="1"/>
    <x v="2"/>
    <x v="2"/>
    <x v="1"/>
    <n v="9"/>
    <x v="20"/>
    <n v="3652"/>
  </r>
  <r>
    <x v="0"/>
    <x v="1"/>
    <x v="1"/>
    <x v="2"/>
    <x v="3"/>
    <x v="1"/>
    <n v="9"/>
    <x v="20"/>
    <n v="2831"/>
  </r>
  <r>
    <x v="1"/>
    <x v="6"/>
    <x v="6"/>
    <x v="2"/>
    <x v="4"/>
    <x v="1"/>
    <n v="9"/>
    <x v="20"/>
    <n v="4041"/>
  </r>
  <r>
    <x v="1"/>
    <x v="6"/>
    <x v="6"/>
    <x v="0"/>
    <x v="5"/>
    <x v="1"/>
    <n v="9"/>
    <x v="20"/>
    <n v="2647"/>
  </r>
  <r>
    <x v="2"/>
    <x v="7"/>
    <x v="7"/>
    <x v="0"/>
    <x v="0"/>
    <x v="1"/>
    <n v="9"/>
    <x v="20"/>
    <n v="2384"/>
  </r>
  <r>
    <x v="2"/>
    <x v="7"/>
    <x v="7"/>
    <x v="0"/>
    <x v="6"/>
    <x v="1"/>
    <n v="9"/>
    <x v="20"/>
    <n v="2388"/>
  </r>
  <r>
    <x v="2"/>
    <x v="3"/>
    <x v="3"/>
    <x v="1"/>
    <x v="1"/>
    <x v="1"/>
    <n v="9"/>
    <x v="20"/>
    <n v="3444"/>
  </r>
  <r>
    <x v="0"/>
    <x v="0"/>
    <x v="0"/>
    <x v="1"/>
    <x v="8"/>
    <x v="1"/>
    <n v="9"/>
    <x v="20"/>
    <n v="3866"/>
  </r>
  <r>
    <x v="2"/>
    <x v="10"/>
    <x v="10"/>
    <x v="0"/>
    <x v="5"/>
    <x v="1"/>
    <n v="9"/>
    <x v="20"/>
    <n v="2293"/>
  </r>
  <r>
    <x v="2"/>
    <x v="10"/>
    <x v="10"/>
    <x v="0"/>
    <x v="0"/>
    <x v="1"/>
    <n v="9"/>
    <x v="20"/>
    <n v="2170"/>
  </r>
  <r>
    <x v="2"/>
    <x v="11"/>
    <x v="11"/>
    <x v="0"/>
    <x v="6"/>
    <x v="1"/>
    <n v="9"/>
    <x v="20"/>
    <n v="2882"/>
  </r>
  <r>
    <x v="2"/>
    <x v="11"/>
    <x v="11"/>
    <x v="1"/>
    <x v="7"/>
    <x v="1"/>
    <n v="9"/>
    <x v="20"/>
    <n v="5598"/>
  </r>
  <r>
    <x v="3"/>
    <x v="4"/>
    <x v="4"/>
    <x v="1"/>
    <x v="1"/>
    <x v="1"/>
    <n v="9"/>
    <x v="20"/>
    <n v="5477"/>
  </r>
  <r>
    <x v="3"/>
    <x v="4"/>
    <x v="4"/>
    <x v="1"/>
    <x v="8"/>
    <x v="1"/>
    <n v="9"/>
    <x v="20"/>
    <n v="3032"/>
  </r>
  <r>
    <x v="4"/>
    <x v="5"/>
    <x v="5"/>
    <x v="2"/>
    <x v="2"/>
    <x v="1"/>
    <n v="9"/>
    <x v="20"/>
    <n v="3595"/>
  </r>
  <r>
    <x v="4"/>
    <x v="5"/>
    <x v="5"/>
    <x v="2"/>
    <x v="3"/>
    <x v="1"/>
    <n v="9"/>
    <x v="20"/>
    <n v="3300"/>
  </r>
  <r>
    <x v="3"/>
    <x v="8"/>
    <x v="8"/>
    <x v="0"/>
    <x v="5"/>
    <x v="1"/>
    <n v="9"/>
    <x v="20"/>
    <n v="2730"/>
  </r>
  <r>
    <x v="4"/>
    <x v="9"/>
    <x v="9"/>
    <x v="0"/>
    <x v="0"/>
    <x v="1"/>
    <n v="9"/>
    <x v="20"/>
    <n v="2722"/>
  </r>
  <r>
    <x v="4"/>
    <x v="9"/>
    <x v="9"/>
    <x v="0"/>
    <x v="6"/>
    <x v="1"/>
    <n v="9"/>
    <x v="20"/>
    <n v="1486"/>
  </r>
  <r>
    <x v="2"/>
    <x v="7"/>
    <x v="7"/>
    <x v="1"/>
    <x v="7"/>
    <x v="1"/>
    <n v="9"/>
    <x v="20"/>
    <n v="5578"/>
  </r>
  <r>
    <x v="1"/>
    <x v="6"/>
    <x v="6"/>
    <x v="2"/>
    <x v="3"/>
    <x v="1"/>
    <n v="9"/>
    <x v="20"/>
    <n v="5329"/>
  </r>
  <r>
    <x v="0"/>
    <x v="0"/>
    <x v="0"/>
    <x v="0"/>
    <x v="6"/>
    <x v="1"/>
    <n v="9"/>
    <x v="20"/>
    <n v="2286"/>
  </r>
  <r>
    <x v="0"/>
    <x v="0"/>
    <x v="0"/>
    <x v="1"/>
    <x v="7"/>
    <x v="1"/>
    <n v="9"/>
    <x v="20"/>
    <n v="6701"/>
  </r>
  <r>
    <x v="1"/>
    <x v="2"/>
    <x v="2"/>
    <x v="1"/>
    <x v="1"/>
    <x v="1"/>
    <n v="9"/>
    <x v="20"/>
    <n v="5121"/>
  </r>
  <r>
    <x v="2"/>
    <x v="10"/>
    <x v="10"/>
    <x v="2"/>
    <x v="2"/>
    <x v="1"/>
    <n v="9"/>
    <x v="20"/>
    <n v="3220"/>
  </r>
  <r>
    <x v="2"/>
    <x v="10"/>
    <x v="10"/>
    <x v="2"/>
    <x v="3"/>
    <x v="1"/>
    <n v="9"/>
    <x v="20"/>
    <n v="4943"/>
  </r>
  <r>
    <x v="2"/>
    <x v="11"/>
    <x v="11"/>
    <x v="2"/>
    <x v="4"/>
    <x v="1"/>
    <n v="9"/>
    <x v="20"/>
    <n v="3053"/>
  </r>
  <r>
    <x v="2"/>
    <x v="11"/>
    <x v="11"/>
    <x v="0"/>
    <x v="5"/>
    <x v="1"/>
    <n v="9"/>
    <x v="20"/>
    <n v="2701"/>
  </r>
  <r>
    <x v="2"/>
    <x v="7"/>
    <x v="7"/>
    <x v="0"/>
    <x v="5"/>
    <x v="1"/>
    <n v="9"/>
    <x v="20"/>
    <n v="2013"/>
  </r>
  <r>
    <x v="1"/>
    <x v="6"/>
    <x v="6"/>
    <x v="1"/>
    <x v="8"/>
    <x v="1"/>
    <n v="9"/>
    <x v="20"/>
    <n v="2736"/>
  </r>
  <r>
    <x v="2"/>
    <x v="3"/>
    <x v="3"/>
    <x v="2"/>
    <x v="2"/>
    <x v="1"/>
    <n v="9"/>
    <x v="20"/>
    <n v="4865"/>
  </r>
  <r>
    <x v="2"/>
    <x v="3"/>
    <x v="3"/>
    <x v="2"/>
    <x v="3"/>
    <x v="1"/>
    <n v="9"/>
    <x v="20"/>
    <n v="3704"/>
  </r>
  <r>
    <x v="1"/>
    <x v="2"/>
    <x v="2"/>
    <x v="0"/>
    <x v="0"/>
    <x v="1"/>
    <n v="9"/>
    <x v="20"/>
    <n v="1585"/>
  </r>
  <r>
    <x v="2"/>
    <x v="10"/>
    <x v="10"/>
    <x v="1"/>
    <x v="7"/>
    <x v="1"/>
    <n v="9"/>
    <x v="20"/>
    <n v="5890"/>
  </r>
  <r>
    <x v="2"/>
    <x v="10"/>
    <x v="10"/>
    <x v="1"/>
    <x v="1"/>
    <x v="1"/>
    <n v="9"/>
    <x v="20"/>
    <n v="3108"/>
  </r>
  <r>
    <x v="2"/>
    <x v="11"/>
    <x v="11"/>
    <x v="1"/>
    <x v="8"/>
    <x v="1"/>
    <n v="9"/>
    <x v="20"/>
    <n v="3678"/>
  </r>
  <r>
    <x v="2"/>
    <x v="11"/>
    <x v="11"/>
    <x v="2"/>
    <x v="2"/>
    <x v="1"/>
    <n v="9"/>
    <x v="20"/>
    <n v="4382"/>
  </r>
  <r>
    <x v="3"/>
    <x v="4"/>
    <x v="4"/>
    <x v="2"/>
    <x v="3"/>
    <x v="1"/>
    <n v="9"/>
    <x v="20"/>
    <n v="4405"/>
  </r>
  <r>
    <x v="3"/>
    <x v="4"/>
    <x v="4"/>
    <x v="2"/>
    <x v="4"/>
    <x v="1"/>
    <n v="9"/>
    <x v="20"/>
    <n v="3581"/>
  </r>
  <r>
    <x v="4"/>
    <x v="5"/>
    <x v="5"/>
    <x v="0"/>
    <x v="5"/>
    <x v="1"/>
    <n v="9"/>
    <x v="20"/>
    <n v="1519"/>
  </r>
  <r>
    <x v="3"/>
    <x v="8"/>
    <x v="8"/>
    <x v="0"/>
    <x v="6"/>
    <x v="1"/>
    <n v="9"/>
    <x v="20"/>
    <n v="1611"/>
  </r>
  <r>
    <x v="3"/>
    <x v="8"/>
    <x v="8"/>
    <x v="1"/>
    <x v="7"/>
    <x v="1"/>
    <n v="9"/>
    <x v="20"/>
    <n v="4161"/>
  </r>
  <r>
    <x v="4"/>
    <x v="9"/>
    <x v="9"/>
    <x v="1"/>
    <x v="1"/>
    <x v="1"/>
    <n v="9"/>
    <x v="20"/>
    <n v="5224"/>
  </r>
  <r>
    <x v="4"/>
    <x v="9"/>
    <x v="9"/>
    <x v="1"/>
    <x v="8"/>
    <x v="1"/>
    <n v="9"/>
    <x v="20"/>
    <n v="3210"/>
  </r>
  <r>
    <x v="0"/>
    <x v="1"/>
    <x v="1"/>
    <x v="2"/>
    <x v="4"/>
    <x v="1"/>
    <n v="9"/>
    <x v="20"/>
    <n v="3286"/>
  </r>
  <r>
    <x v="0"/>
    <x v="1"/>
    <x v="1"/>
    <x v="0"/>
    <x v="5"/>
    <x v="1"/>
    <n v="9"/>
    <x v="20"/>
    <n v="2683"/>
  </r>
  <r>
    <x v="1"/>
    <x v="6"/>
    <x v="6"/>
    <x v="0"/>
    <x v="6"/>
    <x v="1"/>
    <n v="9"/>
    <x v="20"/>
    <n v="1498"/>
  </r>
  <r>
    <x v="2"/>
    <x v="10"/>
    <x v="10"/>
    <x v="1"/>
    <x v="8"/>
    <x v="1"/>
    <n v="9"/>
    <x v="20"/>
    <n v="4226"/>
  </r>
  <r>
    <x v="2"/>
    <x v="11"/>
    <x v="11"/>
    <x v="2"/>
    <x v="3"/>
    <x v="1"/>
    <n v="9"/>
    <x v="20"/>
    <n v="3613"/>
  </r>
  <r>
    <x v="2"/>
    <x v="7"/>
    <x v="7"/>
    <x v="2"/>
    <x v="4"/>
    <x v="1"/>
    <n v="9"/>
    <x v="20"/>
    <n v="3562"/>
  </r>
  <r>
    <x v="2"/>
    <x v="3"/>
    <x v="3"/>
    <x v="1"/>
    <x v="8"/>
    <x v="1"/>
    <n v="9"/>
    <x v="20"/>
    <n v="4483"/>
  </r>
  <r>
    <x v="2"/>
    <x v="10"/>
    <x v="10"/>
    <x v="0"/>
    <x v="6"/>
    <x v="1"/>
    <n v="9"/>
    <x v="20"/>
    <n v="1460"/>
  </r>
  <r>
    <x v="2"/>
    <x v="11"/>
    <x v="11"/>
    <x v="1"/>
    <x v="1"/>
    <x v="1"/>
    <n v="9"/>
    <x v="20"/>
    <n v="4748"/>
  </r>
  <r>
    <x v="3"/>
    <x v="4"/>
    <x v="4"/>
    <x v="2"/>
    <x v="2"/>
    <x v="1"/>
    <n v="9"/>
    <x v="20"/>
    <n v="4527"/>
  </r>
  <r>
    <x v="4"/>
    <x v="5"/>
    <x v="5"/>
    <x v="2"/>
    <x v="4"/>
    <x v="1"/>
    <n v="9"/>
    <x v="20"/>
    <n v="3668"/>
  </r>
  <r>
    <x v="3"/>
    <x v="8"/>
    <x v="8"/>
    <x v="0"/>
    <x v="0"/>
    <x v="1"/>
    <n v="9"/>
    <x v="20"/>
    <n v="1986"/>
  </r>
  <r>
    <x v="4"/>
    <x v="9"/>
    <x v="9"/>
    <x v="1"/>
    <x v="7"/>
    <x v="1"/>
    <n v="9"/>
    <x v="20"/>
    <n v="5638"/>
  </r>
  <r>
    <x v="2"/>
    <x v="10"/>
    <x v="10"/>
    <x v="2"/>
    <x v="4"/>
    <x v="1"/>
    <n v="9"/>
    <x v="20"/>
    <n v="3372"/>
  </r>
  <r>
    <x v="2"/>
    <x v="11"/>
    <x v="11"/>
    <x v="0"/>
    <x v="0"/>
    <x v="1"/>
    <n v="9"/>
    <x v="20"/>
    <n v="2695"/>
  </r>
  <r>
    <x v="0"/>
    <x v="0"/>
    <x v="0"/>
    <x v="0"/>
    <x v="0"/>
    <x v="1"/>
    <n v="10"/>
    <x v="21"/>
    <n v="2895"/>
  </r>
  <r>
    <x v="0"/>
    <x v="1"/>
    <x v="1"/>
    <x v="0"/>
    <x v="0"/>
    <x v="1"/>
    <n v="10"/>
    <x v="21"/>
    <n v="2670"/>
  </r>
  <r>
    <x v="0"/>
    <x v="1"/>
    <x v="1"/>
    <x v="1"/>
    <x v="1"/>
    <x v="1"/>
    <n v="10"/>
    <x v="21"/>
    <n v="4198"/>
  </r>
  <r>
    <x v="0"/>
    <x v="0"/>
    <x v="0"/>
    <x v="1"/>
    <x v="1"/>
    <x v="1"/>
    <n v="10"/>
    <x v="21"/>
    <n v="3189"/>
  </r>
  <r>
    <x v="0"/>
    <x v="0"/>
    <x v="0"/>
    <x v="2"/>
    <x v="2"/>
    <x v="1"/>
    <n v="10"/>
    <x v="21"/>
    <n v="3888"/>
  </r>
  <r>
    <x v="1"/>
    <x v="2"/>
    <x v="2"/>
    <x v="2"/>
    <x v="3"/>
    <x v="1"/>
    <n v="10"/>
    <x v="21"/>
    <n v="4419"/>
  </r>
  <r>
    <x v="2"/>
    <x v="3"/>
    <x v="3"/>
    <x v="2"/>
    <x v="4"/>
    <x v="1"/>
    <n v="10"/>
    <x v="21"/>
    <n v="4041"/>
  </r>
  <r>
    <x v="3"/>
    <x v="4"/>
    <x v="4"/>
    <x v="0"/>
    <x v="5"/>
    <x v="1"/>
    <n v="10"/>
    <x v="21"/>
    <n v="1576"/>
  </r>
  <r>
    <x v="4"/>
    <x v="5"/>
    <x v="5"/>
    <x v="0"/>
    <x v="0"/>
    <x v="1"/>
    <n v="10"/>
    <x v="21"/>
    <n v="1618"/>
  </r>
  <r>
    <x v="0"/>
    <x v="1"/>
    <x v="1"/>
    <x v="0"/>
    <x v="6"/>
    <x v="1"/>
    <n v="10"/>
    <x v="21"/>
    <n v="2276"/>
  </r>
  <r>
    <x v="1"/>
    <x v="6"/>
    <x v="6"/>
    <x v="1"/>
    <x v="7"/>
    <x v="1"/>
    <n v="10"/>
    <x v="21"/>
    <n v="5321"/>
  </r>
  <r>
    <x v="2"/>
    <x v="7"/>
    <x v="7"/>
    <x v="1"/>
    <x v="1"/>
    <x v="1"/>
    <n v="10"/>
    <x v="21"/>
    <n v="4616"/>
  </r>
  <r>
    <x v="3"/>
    <x v="8"/>
    <x v="8"/>
    <x v="1"/>
    <x v="8"/>
    <x v="1"/>
    <n v="10"/>
    <x v="21"/>
    <n v="4631"/>
  </r>
  <r>
    <x v="4"/>
    <x v="9"/>
    <x v="9"/>
    <x v="2"/>
    <x v="2"/>
    <x v="1"/>
    <n v="10"/>
    <x v="21"/>
    <n v="4054"/>
  </r>
  <r>
    <x v="0"/>
    <x v="0"/>
    <x v="0"/>
    <x v="2"/>
    <x v="3"/>
    <x v="1"/>
    <n v="10"/>
    <x v="21"/>
    <n v="4834"/>
  </r>
  <r>
    <x v="1"/>
    <x v="2"/>
    <x v="2"/>
    <x v="2"/>
    <x v="4"/>
    <x v="1"/>
    <n v="10"/>
    <x v="21"/>
    <n v="2848"/>
  </r>
  <r>
    <x v="2"/>
    <x v="3"/>
    <x v="3"/>
    <x v="0"/>
    <x v="5"/>
    <x v="1"/>
    <n v="10"/>
    <x v="21"/>
    <n v="2427"/>
  </r>
  <r>
    <x v="3"/>
    <x v="4"/>
    <x v="4"/>
    <x v="0"/>
    <x v="0"/>
    <x v="1"/>
    <n v="10"/>
    <x v="21"/>
    <n v="1643"/>
  </r>
  <r>
    <x v="4"/>
    <x v="5"/>
    <x v="5"/>
    <x v="0"/>
    <x v="6"/>
    <x v="1"/>
    <n v="10"/>
    <x v="21"/>
    <n v="1940"/>
  </r>
  <r>
    <x v="0"/>
    <x v="1"/>
    <x v="1"/>
    <x v="1"/>
    <x v="7"/>
    <x v="1"/>
    <n v="10"/>
    <x v="21"/>
    <n v="4051"/>
  </r>
  <r>
    <x v="1"/>
    <x v="6"/>
    <x v="6"/>
    <x v="1"/>
    <x v="1"/>
    <x v="1"/>
    <n v="10"/>
    <x v="21"/>
    <n v="3963"/>
  </r>
  <r>
    <x v="2"/>
    <x v="7"/>
    <x v="7"/>
    <x v="1"/>
    <x v="8"/>
    <x v="1"/>
    <n v="10"/>
    <x v="21"/>
    <n v="4520"/>
  </r>
  <r>
    <x v="3"/>
    <x v="8"/>
    <x v="8"/>
    <x v="2"/>
    <x v="2"/>
    <x v="1"/>
    <n v="10"/>
    <x v="21"/>
    <n v="4816"/>
  </r>
  <r>
    <x v="4"/>
    <x v="9"/>
    <x v="9"/>
    <x v="2"/>
    <x v="3"/>
    <x v="1"/>
    <n v="10"/>
    <x v="21"/>
    <n v="3354"/>
  </r>
  <r>
    <x v="0"/>
    <x v="0"/>
    <x v="0"/>
    <x v="2"/>
    <x v="4"/>
    <x v="1"/>
    <n v="10"/>
    <x v="21"/>
    <n v="3317"/>
  </r>
  <r>
    <x v="1"/>
    <x v="2"/>
    <x v="2"/>
    <x v="0"/>
    <x v="5"/>
    <x v="1"/>
    <n v="10"/>
    <x v="21"/>
    <n v="2665"/>
  </r>
  <r>
    <x v="2"/>
    <x v="3"/>
    <x v="3"/>
    <x v="0"/>
    <x v="0"/>
    <x v="1"/>
    <n v="10"/>
    <x v="21"/>
    <n v="2679"/>
  </r>
  <r>
    <x v="3"/>
    <x v="4"/>
    <x v="4"/>
    <x v="0"/>
    <x v="6"/>
    <x v="1"/>
    <n v="10"/>
    <x v="21"/>
    <n v="1520"/>
  </r>
  <r>
    <x v="4"/>
    <x v="5"/>
    <x v="5"/>
    <x v="1"/>
    <x v="7"/>
    <x v="1"/>
    <n v="10"/>
    <x v="21"/>
    <n v="5688"/>
  </r>
  <r>
    <x v="1"/>
    <x v="2"/>
    <x v="2"/>
    <x v="1"/>
    <x v="8"/>
    <x v="1"/>
    <n v="10"/>
    <x v="21"/>
    <n v="4462"/>
  </r>
  <r>
    <x v="2"/>
    <x v="7"/>
    <x v="7"/>
    <x v="2"/>
    <x v="2"/>
    <x v="1"/>
    <n v="10"/>
    <x v="21"/>
    <n v="3420"/>
  </r>
  <r>
    <x v="3"/>
    <x v="8"/>
    <x v="8"/>
    <x v="2"/>
    <x v="3"/>
    <x v="1"/>
    <n v="10"/>
    <x v="21"/>
    <n v="4080"/>
  </r>
  <r>
    <x v="4"/>
    <x v="9"/>
    <x v="9"/>
    <x v="2"/>
    <x v="4"/>
    <x v="1"/>
    <n v="10"/>
    <x v="21"/>
    <n v="2871"/>
  </r>
  <r>
    <x v="0"/>
    <x v="0"/>
    <x v="0"/>
    <x v="0"/>
    <x v="5"/>
    <x v="1"/>
    <n v="10"/>
    <x v="21"/>
    <n v="2733"/>
  </r>
  <r>
    <x v="1"/>
    <x v="6"/>
    <x v="6"/>
    <x v="0"/>
    <x v="0"/>
    <x v="1"/>
    <n v="10"/>
    <x v="21"/>
    <n v="1809"/>
  </r>
  <r>
    <x v="2"/>
    <x v="3"/>
    <x v="3"/>
    <x v="0"/>
    <x v="6"/>
    <x v="1"/>
    <n v="10"/>
    <x v="21"/>
    <n v="1621"/>
  </r>
  <r>
    <x v="3"/>
    <x v="4"/>
    <x v="4"/>
    <x v="1"/>
    <x v="7"/>
    <x v="1"/>
    <n v="10"/>
    <x v="21"/>
    <n v="5148"/>
  </r>
  <r>
    <x v="4"/>
    <x v="5"/>
    <x v="5"/>
    <x v="1"/>
    <x v="1"/>
    <x v="1"/>
    <n v="10"/>
    <x v="21"/>
    <n v="4897"/>
  </r>
  <r>
    <x v="0"/>
    <x v="1"/>
    <x v="1"/>
    <x v="1"/>
    <x v="8"/>
    <x v="1"/>
    <n v="10"/>
    <x v="21"/>
    <n v="2441"/>
  </r>
  <r>
    <x v="1"/>
    <x v="2"/>
    <x v="2"/>
    <x v="2"/>
    <x v="2"/>
    <x v="1"/>
    <n v="10"/>
    <x v="21"/>
    <n v="3481"/>
  </r>
  <r>
    <x v="2"/>
    <x v="7"/>
    <x v="7"/>
    <x v="2"/>
    <x v="3"/>
    <x v="1"/>
    <n v="10"/>
    <x v="21"/>
    <n v="5274"/>
  </r>
  <r>
    <x v="3"/>
    <x v="8"/>
    <x v="8"/>
    <x v="2"/>
    <x v="4"/>
    <x v="1"/>
    <n v="10"/>
    <x v="21"/>
    <n v="3686"/>
  </r>
  <r>
    <x v="4"/>
    <x v="9"/>
    <x v="9"/>
    <x v="0"/>
    <x v="5"/>
    <x v="1"/>
    <n v="10"/>
    <x v="21"/>
    <n v="2120"/>
  </r>
  <r>
    <x v="1"/>
    <x v="2"/>
    <x v="2"/>
    <x v="0"/>
    <x v="6"/>
    <x v="1"/>
    <n v="10"/>
    <x v="21"/>
    <n v="1900"/>
  </r>
  <r>
    <x v="2"/>
    <x v="3"/>
    <x v="3"/>
    <x v="1"/>
    <x v="7"/>
    <x v="1"/>
    <n v="10"/>
    <x v="21"/>
    <n v="6788"/>
  </r>
  <r>
    <x v="3"/>
    <x v="8"/>
    <x v="8"/>
    <x v="1"/>
    <x v="1"/>
    <x v="1"/>
    <n v="10"/>
    <x v="21"/>
    <n v="3334"/>
  </r>
  <r>
    <x v="4"/>
    <x v="5"/>
    <x v="5"/>
    <x v="1"/>
    <x v="8"/>
    <x v="1"/>
    <n v="10"/>
    <x v="21"/>
    <n v="3065"/>
  </r>
  <r>
    <x v="0"/>
    <x v="1"/>
    <x v="1"/>
    <x v="2"/>
    <x v="2"/>
    <x v="1"/>
    <n v="10"/>
    <x v="21"/>
    <n v="4208"/>
  </r>
  <r>
    <x v="0"/>
    <x v="1"/>
    <x v="1"/>
    <x v="2"/>
    <x v="3"/>
    <x v="1"/>
    <n v="10"/>
    <x v="21"/>
    <n v="3697"/>
  </r>
  <r>
    <x v="1"/>
    <x v="6"/>
    <x v="6"/>
    <x v="2"/>
    <x v="4"/>
    <x v="1"/>
    <n v="10"/>
    <x v="21"/>
    <n v="3465"/>
  </r>
  <r>
    <x v="1"/>
    <x v="6"/>
    <x v="6"/>
    <x v="0"/>
    <x v="5"/>
    <x v="1"/>
    <n v="10"/>
    <x v="21"/>
    <n v="2833"/>
  </r>
  <r>
    <x v="2"/>
    <x v="7"/>
    <x v="7"/>
    <x v="0"/>
    <x v="0"/>
    <x v="1"/>
    <n v="10"/>
    <x v="21"/>
    <n v="1952"/>
  </r>
  <r>
    <x v="2"/>
    <x v="7"/>
    <x v="7"/>
    <x v="0"/>
    <x v="6"/>
    <x v="1"/>
    <n v="10"/>
    <x v="21"/>
    <n v="1688"/>
  </r>
  <r>
    <x v="2"/>
    <x v="3"/>
    <x v="3"/>
    <x v="1"/>
    <x v="1"/>
    <x v="1"/>
    <n v="10"/>
    <x v="21"/>
    <n v="4306"/>
  </r>
  <r>
    <x v="0"/>
    <x v="0"/>
    <x v="0"/>
    <x v="1"/>
    <x v="8"/>
    <x v="1"/>
    <n v="10"/>
    <x v="21"/>
    <n v="4805"/>
  </r>
  <r>
    <x v="2"/>
    <x v="10"/>
    <x v="10"/>
    <x v="0"/>
    <x v="5"/>
    <x v="1"/>
    <n v="10"/>
    <x v="21"/>
    <n v="2435"/>
  </r>
  <r>
    <x v="2"/>
    <x v="10"/>
    <x v="10"/>
    <x v="0"/>
    <x v="0"/>
    <x v="1"/>
    <n v="10"/>
    <x v="21"/>
    <n v="2028"/>
  </r>
  <r>
    <x v="2"/>
    <x v="11"/>
    <x v="11"/>
    <x v="0"/>
    <x v="6"/>
    <x v="1"/>
    <n v="10"/>
    <x v="21"/>
    <n v="2763"/>
  </r>
  <r>
    <x v="2"/>
    <x v="11"/>
    <x v="11"/>
    <x v="1"/>
    <x v="7"/>
    <x v="1"/>
    <n v="10"/>
    <x v="21"/>
    <n v="5491"/>
  </r>
  <r>
    <x v="3"/>
    <x v="4"/>
    <x v="4"/>
    <x v="1"/>
    <x v="1"/>
    <x v="1"/>
    <n v="10"/>
    <x v="21"/>
    <n v="5301"/>
  </r>
  <r>
    <x v="3"/>
    <x v="4"/>
    <x v="4"/>
    <x v="1"/>
    <x v="8"/>
    <x v="1"/>
    <n v="10"/>
    <x v="21"/>
    <n v="2663"/>
  </r>
  <r>
    <x v="4"/>
    <x v="5"/>
    <x v="5"/>
    <x v="2"/>
    <x v="2"/>
    <x v="1"/>
    <n v="10"/>
    <x v="21"/>
    <n v="4017"/>
  </r>
  <r>
    <x v="4"/>
    <x v="5"/>
    <x v="5"/>
    <x v="2"/>
    <x v="3"/>
    <x v="1"/>
    <n v="10"/>
    <x v="21"/>
    <n v="3226"/>
  </r>
  <r>
    <x v="3"/>
    <x v="8"/>
    <x v="8"/>
    <x v="0"/>
    <x v="5"/>
    <x v="1"/>
    <n v="10"/>
    <x v="21"/>
    <n v="2084"/>
  </r>
  <r>
    <x v="4"/>
    <x v="9"/>
    <x v="9"/>
    <x v="0"/>
    <x v="0"/>
    <x v="1"/>
    <n v="10"/>
    <x v="21"/>
    <n v="2941"/>
  </r>
  <r>
    <x v="4"/>
    <x v="9"/>
    <x v="9"/>
    <x v="0"/>
    <x v="6"/>
    <x v="1"/>
    <n v="10"/>
    <x v="21"/>
    <n v="2004"/>
  </r>
  <r>
    <x v="2"/>
    <x v="7"/>
    <x v="7"/>
    <x v="1"/>
    <x v="7"/>
    <x v="1"/>
    <n v="10"/>
    <x v="21"/>
    <n v="6919"/>
  </r>
  <r>
    <x v="1"/>
    <x v="6"/>
    <x v="6"/>
    <x v="2"/>
    <x v="3"/>
    <x v="1"/>
    <n v="10"/>
    <x v="21"/>
    <n v="5081"/>
  </r>
  <r>
    <x v="0"/>
    <x v="0"/>
    <x v="0"/>
    <x v="0"/>
    <x v="6"/>
    <x v="1"/>
    <n v="10"/>
    <x v="21"/>
    <n v="2355"/>
  </r>
  <r>
    <x v="0"/>
    <x v="0"/>
    <x v="0"/>
    <x v="1"/>
    <x v="7"/>
    <x v="1"/>
    <n v="10"/>
    <x v="21"/>
    <n v="4342"/>
  </r>
  <r>
    <x v="1"/>
    <x v="2"/>
    <x v="2"/>
    <x v="1"/>
    <x v="1"/>
    <x v="1"/>
    <n v="10"/>
    <x v="21"/>
    <n v="3393"/>
  </r>
  <r>
    <x v="2"/>
    <x v="10"/>
    <x v="10"/>
    <x v="2"/>
    <x v="2"/>
    <x v="1"/>
    <n v="10"/>
    <x v="21"/>
    <n v="4185"/>
  </r>
  <r>
    <x v="2"/>
    <x v="10"/>
    <x v="10"/>
    <x v="2"/>
    <x v="3"/>
    <x v="1"/>
    <n v="10"/>
    <x v="21"/>
    <n v="4362"/>
  </r>
  <r>
    <x v="2"/>
    <x v="11"/>
    <x v="11"/>
    <x v="2"/>
    <x v="4"/>
    <x v="1"/>
    <n v="10"/>
    <x v="21"/>
    <n v="2855"/>
  </r>
  <r>
    <x v="2"/>
    <x v="11"/>
    <x v="11"/>
    <x v="0"/>
    <x v="5"/>
    <x v="1"/>
    <n v="10"/>
    <x v="21"/>
    <n v="2291"/>
  </r>
  <r>
    <x v="2"/>
    <x v="7"/>
    <x v="7"/>
    <x v="0"/>
    <x v="5"/>
    <x v="1"/>
    <n v="10"/>
    <x v="21"/>
    <n v="2361"/>
  </r>
  <r>
    <x v="1"/>
    <x v="6"/>
    <x v="6"/>
    <x v="1"/>
    <x v="8"/>
    <x v="1"/>
    <n v="10"/>
    <x v="21"/>
    <n v="4256"/>
  </r>
  <r>
    <x v="2"/>
    <x v="3"/>
    <x v="3"/>
    <x v="2"/>
    <x v="2"/>
    <x v="1"/>
    <n v="10"/>
    <x v="21"/>
    <n v="3308"/>
  </r>
  <r>
    <x v="2"/>
    <x v="3"/>
    <x v="3"/>
    <x v="2"/>
    <x v="3"/>
    <x v="1"/>
    <n v="10"/>
    <x v="21"/>
    <n v="5361"/>
  </r>
  <r>
    <x v="1"/>
    <x v="2"/>
    <x v="2"/>
    <x v="0"/>
    <x v="0"/>
    <x v="1"/>
    <n v="10"/>
    <x v="21"/>
    <n v="2974"/>
  </r>
  <r>
    <x v="2"/>
    <x v="10"/>
    <x v="10"/>
    <x v="1"/>
    <x v="7"/>
    <x v="1"/>
    <n v="10"/>
    <x v="21"/>
    <n v="6165"/>
  </r>
  <r>
    <x v="2"/>
    <x v="10"/>
    <x v="10"/>
    <x v="1"/>
    <x v="1"/>
    <x v="1"/>
    <n v="10"/>
    <x v="21"/>
    <n v="4764"/>
  </r>
  <r>
    <x v="2"/>
    <x v="11"/>
    <x v="11"/>
    <x v="1"/>
    <x v="8"/>
    <x v="1"/>
    <n v="10"/>
    <x v="21"/>
    <n v="2530"/>
  </r>
  <r>
    <x v="2"/>
    <x v="11"/>
    <x v="11"/>
    <x v="2"/>
    <x v="2"/>
    <x v="1"/>
    <n v="10"/>
    <x v="21"/>
    <n v="5001"/>
  </r>
  <r>
    <x v="3"/>
    <x v="4"/>
    <x v="4"/>
    <x v="2"/>
    <x v="3"/>
    <x v="1"/>
    <n v="10"/>
    <x v="21"/>
    <n v="3548"/>
  </r>
  <r>
    <x v="3"/>
    <x v="4"/>
    <x v="4"/>
    <x v="2"/>
    <x v="4"/>
    <x v="1"/>
    <n v="10"/>
    <x v="21"/>
    <n v="3873"/>
  </r>
  <r>
    <x v="4"/>
    <x v="5"/>
    <x v="5"/>
    <x v="0"/>
    <x v="5"/>
    <x v="1"/>
    <n v="10"/>
    <x v="21"/>
    <n v="2548"/>
  </r>
  <r>
    <x v="3"/>
    <x v="8"/>
    <x v="8"/>
    <x v="0"/>
    <x v="6"/>
    <x v="1"/>
    <n v="10"/>
    <x v="21"/>
    <n v="1368"/>
  </r>
  <r>
    <x v="3"/>
    <x v="8"/>
    <x v="8"/>
    <x v="1"/>
    <x v="7"/>
    <x v="1"/>
    <n v="10"/>
    <x v="21"/>
    <n v="6486"/>
  </r>
  <r>
    <x v="4"/>
    <x v="9"/>
    <x v="9"/>
    <x v="1"/>
    <x v="1"/>
    <x v="1"/>
    <n v="10"/>
    <x v="21"/>
    <n v="3167"/>
  </r>
  <r>
    <x v="4"/>
    <x v="9"/>
    <x v="9"/>
    <x v="1"/>
    <x v="8"/>
    <x v="1"/>
    <n v="10"/>
    <x v="21"/>
    <n v="3022"/>
  </r>
  <r>
    <x v="0"/>
    <x v="1"/>
    <x v="1"/>
    <x v="2"/>
    <x v="4"/>
    <x v="1"/>
    <n v="10"/>
    <x v="21"/>
    <n v="3535"/>
  </r>
  <r>
    <x v="0"/>
    <x v="1"/>
    <x v="1"/>
    <x v="0"/>
    <x v="5"/>
    <x v="1"/>
    <n v="10"/>
    <x v="21"/>
    <n v="2915"/>
  </r>
  <r>
    <x v="1"/>
    <x v="6"/>
    <x v="6"/>
    <x v="0"/>
    <x v="6"/>
    <x v="1"/>
    <n v="10"/>
    <x v="21"/>
    <n v="1922"/>
  </r>
  <r>
    <x v="2"/>
    <x v="10"/>
    <x v="10"/>
    <x v="1"/>
    <x v="8"/>
    <x v="1"/>
    <n v="10"/>
    <x v="21"/>
    <n v="3100"/>
  </r>
  <r>
    <x v="2"/>
    <x v="11"/>
    <x v="11"/>
    <x v="2"/>
    <x v="3"/>
    <x v="1"/>
    <n v="10"/>
    <x v="21"/>
    <n v="5087"/>
  </r>
  <r>
    <x v="2"/>
    <x v="7"/>
    <x v="7"/>
    <x v="2"/>
    <x v="4"/>
    <x v="1"/>
    <n v="10"/>
    <x v="21"/>
    <n v="3599"/>
  </r>
  <r>
    <x v="2"/>
    <x v="3"/>
    <x v="3"/>
    <x v="1"/>
    <x v="8"/>
    <x v="1"/>
    <n v="10"/>
    <x v="21"/>
    <n v="2845"/>
  </r>
  <r>
    <x v="2"/>
    <x v="10"/>
    <x v="10"/>
    <x v="0"/>
    <x v="6"/>
    <x v="1"/>
    <n v="10"/>
    <x v="21"/>
    <n v="2307"/>
  </r>
  <r>
    <x v="2"/>
    <x v="11"/>
    <x v="11"/>
    <x v="1"/>
    <x v="1"/>
    <x v="1"/>
    <n v="10"/>
    <x v="21"/>
    <n v="5551"/>
  </r>
  <r>
    <x v="3"/>
    <x v="4"/>
    <x v="4"/>
    <x v="2"/>
    <x v="2"/>
    <x v="1"/>
    <n v="10"/>
    <x v="21"/>
    <n v="4400"/>
  </r>
  <r>
    <x v="4"/>
    <x v="5"/>
    <x v="5"/>
    <x v="2"/>
    <x v="4"/>
    <x v="1"/>
    <n v="10"/>
    <x v="21"/>
    <n v="3355"/>
  </r>
  <r>
    <x v="3"/>
    <x v="8"/>
    <x v="8"/>
    <x v="0"/>
    <x v="0"/>
    <x v="1"/>
    <n v="10"/>
    <x v="21"/>
    <n v="1881"/>
  </r>
  <r>
    <x v="4"/>
    <x v="9"/>
    <x v="9"/>
    <x v="1"/>
    <x v="7"/>
    <x v="1"/>
    <n v="10"/>
    <x v="21"/>
    <n v="6799"/>
  </r>
  <r>
    <x v="2"/>
    <x v="10"/>
    <x v="10"/>
    <x v="2"/>
    <x v="4"/>
    <x v="1"/>
    <n v="10"/>
    <x v="21"/>
    <n v="3803"/>
  </r>
  <r>
    <x v="2"/>
    <x v="11"/>
    <x v="11"/>
    <x v="0"/>
    <x v="0"/>
    <x v="1"/>
    <n v="10"/>
    <x v="21"/>
    <n v="2522"/>
  </r>
  <r>
    <x v="0"/>
    <x v="0"/>
    <x v="0"/>
    <x v="0"/>
    <x v="0"/>
    <x v="1"/>
    <n v="11"/>
    <x v="22"/>
    <n v="3245"/>
  </r>
  <r>
    <x v="0"/>
    <x v="1"/>
    <x v="1"/>
    <x v="0"/>
    <x v="0"/>
    <x v="1"/>
    <n v="11"/>
    <x v="22"/>
    <n v="2875"/>
  </r>
  <r>
    <x v="0"/>
    <x v="1"/>
    <x v="1"/>
    <x v="1"/>
    <x v="1"/>
    <x v="1"/>
    <n v="11"/>
    <x v="22"/>
    <n v="4506"/>
  </r>
  <r>
    <x v="0"/>
    <x v="0"/>
    <x v="0"/>
    <x v="1"/>
    <x v="1"/>
    <x v="1"/>
    <n v="11"/>
    <x v="22"/>
    <n v="5015"/>
  </r>
  <r>
    <x v="0"/>
    <x v="0"/>
    <x v="0"/>
    <x v="2"/>
    <x v="2"/>
    <x v="1"/>
    <n v="11"/>
    <x v="22"/>
    <n v="3520"/>
  </r>
  <r>
    <x v="1"/>
    <x v="2"/>
    <x v="2"/>
    <x v="2"/>
    <x v="3"/>
    <x v="1"/>
    <n v="11"/>
    <x v="22"/>
    <n v="3800"/>
  </r>
  <r>
    <x v="2"/>
    <x v="3"/>
    <x v="3"/>
    <x v="2"/>
    <x v="4"/>
    <x v="1"/>
    <n v="11"/>
    <x v="22"/>
    <n v="2855"/>
  </r>
  <r>
    <x v="3"/>
    <x v="4"/>
    <x v="4"/>
    <x v="0"/>
    <x v="5"/>
    <x v="1"/>
    <n v="11"/>
    <x v="22"/>
    <n v="2605"/>
  </r>
  <r>
    <x v="4"/>
    <x v="5"/>
    <x v="5"/>
    <x v="0"/>
    <x v="0"/>
    <x v="1"/>
    <n v="11"/>
    <x v="22"/>
    <n v="2324"/>
  </r>
  <r>
    <x v="0"/>
    <x v="1"/>
    <x v="1"/>
    <x v="0"/>
    <x v="6"/>
    <x v="1"/>
    <n v="11"/>
    <x v="22"/>
    <n v="2178"/>
  </r>
  <r>
    <x v="1"/>
    <x v="6"/>
    <x v="6"/>
    <x v="1"/>
    <x v="7"/>
    <x v="1"/>
    <n v="11"/>
    <x v="22"/>
    <n v="5665"/>
  </r>
  <r>
    <x v="2"/>
    <x v="7"/>
    <x v="7"/>
    <x v="1"/>
    <x v="1"/>
    <x v="1"/>
    <n v="11"/>
    <x v="22"/>
    <n v="4415"/>
  </r>
  <r>
    <x v="3"/>
    <x v="8"/>
    <x v="8"/>
    <x v="1"/>
    <x v="8"/>
    <x v="1"/>
    <n v="11"/>
    <x v="22"/>
    <n v="2863"/>
  </r>
  <r>
    <x v="4"/>
    <x v="9"/>
    <x v="9"/>
    <x v="2"/>
    <x v="2"/>
    <x v="1"/>
    <n v="11"/>
    <x v="22"/>
    <n v="3735"/>
  </r>
  <r>
    <x v="0"/>
    <x v="0"/>
    <x v="0"/>
    <x v="2"/>
    <x v="3"/>
    <x v="1"/>
    <n v="11"/>
    <x v="22"/>
    <n v="2819"/>
  </r>
  <r>
    <x v="1"/>
    <x v="2"/>
    <x v="2"/>
    <x v="2"/>
    <x v="4"/>
    <x v="1"/>
    <n v="11"/>
    <x v="22"/>
    <n v="3070"/>
  </r>
  <r>
    <x v="2"/>
    <x v="3"/>
    <x v="3"/>
    <x v="0"/>
    <x v="5"/>
    <x v="1"/>
    <n v="11"/>
    <x v="22"/>
    <n v="2785"/>
  </r>
  <r>
    <x v="3"/>
    <x v="4"/>
    <x v="4"/>
    <x v="0"/>
    <x v="0"/>
    <x v="1"/>
    <n v="11"/>
    <x v="22"/>
    <n v="2263"/>
  </r>
  <r>
    <x v="4"/>
    <x v="5"/>
    <x v="5"/>
    <x v="0"/>
    <x v="6"/>
    <x v="1"/>
    <n v="11"/>
    <x v="22"/>
    <n v="1705"/>
  </r>
  <r>
    <x v="0"/>
    <x v="1"/>
    <x v="1"/>
    <x v="1"/>
    <x v="7"/>
    <x v="1"/>
    <n v="11"/>
    <x v="22"/>
    <n v="5385"/>
  </r>
  <r>
    <x v="1"/>
    <x v="6"/>
    <x v="6"/>
    <x v="1"/>
    <x v="1"/>
    <x v="1"/>
    <n v="11"/>
    <x v="22"/>
    <n v="2953"/>
  </r>
  <r>
    <x v="2"/>
    <x v="7"/>
    <x v="7"/>
    <x v="1"/>
    <x v="8"/>
    <x v="1"/>
    <n v="11"/>
    <x v="22"/>
    <n v="2610"/>
  </r>
  <r>
    <x v="3"/>
    <x v="8"/>
    <x v="8"/>
    <x v="2"/>
    <x v="2"/>
    <x v="1"/>
    <n v="11"/>
    <x v="22"/>
    <n v="4253"/>
  </r>
  <r>
    <x v="4"/>
    <x v="9"/>
    <x v="9"/>
    <x v="2"/>
    <x v="3"/>
    <x v="1"/>
    <n v="11"/>
    <x v="22"/>
    <n v="3184"/>
  </r>
  <r>
    <x v="0"/>
    <x v="0"/>
    <x v="0"/>
    <x v="2"/>
    <x v="4"/>
    <x v="1"/>
    <n v="11"/>
    <x v="22"/>
    <n v="3627"/>
  </r>
  <r>
    <x v="1"/>
    <x v="2"/>
    <x v="2"/>
    <x v="0"/>
    <x v="5"/>
    <x v="1"/>
    <n v="11"/>
    <x v="22"/>
    <n v="1525"/>
  </r>
  <r>
    <x v="2"/>
    <x v="3"/>
    <x v="3"/>
    <x v="0"/>
    <x v="0"/>
    <x v="1"/>
    <n v="11"/>
    <x v="22"/>
    <n v="1860"/>
  </r>
  <r>
    <x v="3"/>
    <x v="4"/>
    <x v="4"/>
    <x v="0"/>
    <x v="6"/>
    <x v="1"/>
    <n v="11"/>
    <x v="22"/>
    <n v="1372"/>
  </r>
  <r>
    <x v="4"/>
    <x v="5"/>
    <x v="5"/>
    <x v="1"/>
    <x v="7"/>
    <x v="1"/>
    <n v="11"/>
    <x v="22"/>
    <n v="4652"/>
  </r>
  <r>
    <x v="1"/>
    <x v="2"/>
    <x v="2"/>
    <x v="1"/>
    <x v="8"/>
    <x v="1"/>
    <n v="11"/>
    <x v="22"/>
    <n v="2687"/>
  </r>
  <r>
    <x v="2"/>
    <x v="7"/>
    <x v="7"/>
    <x v="2"/>
    <x v="2"/>
    <x v="1"/>
    <n v="11"/>
    <x v="22"/>
    <n v="4638"/>
  </r>
  <r>
    <x v="3"/>
    <x v="8"/>
    <x v="8"/>
    <x v="2"/>
    <x v="3"/>
    <x v="1"/>
    <n v="11"/>
    <x v="22"/>
    <n v="4560"/>
  </r>
  <r>
    <x v="4"/>
    <x v="9"/>
    <x v="9"/>
    <x v="2"/>
    <x v="4"/>
    <x v="1"/>
    <n v="11"/>
    <x v="22"/>
    <n v="3987"/>
  </r>
  <r>
    <x v="0"/>
    <x v="0"/>
    <x v="0"/>
    <x v="0"/>
    <x v="5"/>
    <x v="1"/>
    <n v="11"/>
    <x v="22"/>
    <n v="2420"/>
  </r>
  <r>
    <x v="1"/>
    <x v="6"/>
    <x v="6"/>
    <x v="0"/>
    <x v="0"/>
    <x v="1"/>
    <n v="11"/>
    <x v="22"/>
    <n v="2368"/>
  </r>
  <r>
    <x v="2"/>
    <x v="3"/>
    <x v="3"/>
    <x v="0"/>
    <x v="6"/>
    <x v="1"/>
    <n v="11"/>
    <x v="22"/>
    <n v="2156"/>
  </r>
  <r>
    <x v="3"/>
    <x v="4"/>
    <x v="4"/>
    <x v="1"/>
    <x v="7"/>
    <x v="1"/>
    <n v="11"/>
    <x v="22"/>
    <n v="5116"/>
  </r>
  <r>
    <x v="4"/>
    <x v="5"/>
    <x v="5"/>
    <x v="1"/>
    <x v="1"/>
    <x v="1"/>
    <n v="11"/>
    <x v="22"/>
    <n v="3584"/>
  </r>
  <r>
    <x v="0"/>
    <x v="1"/>
    <x v="1"/>
    <x v="1"/>
    <x v="8"/>
    <x v="1"/>
    <n v="11"/>
    <x v="22"/>
    <n v="4267"/>
  </r>
  <r>
    <x v="1"/>
    <x v="2"/>
    <x v="2"/>
    <x v="2"/>
    <x v="2"/>
    <x v="1"/>
    <n v="11"/>
    <x v="22"/>
    <n v="4888"/>
  </r>
  <r>
    <x v="2"/>
    <x v="7"/>
    <x v="7"/>
    <x v="2"/>
    <x v="3"/>
    <x v="1"/>
    <n v="11"/>
    <x v="22"/>
    <n v="2933"/>
  </r>
  <r>
    <x v="3"/>
    <x v="8"/>
    <x v="8"/>
    <x v="2"/>
    <x v="4"/>
    <x v="1"/>
    <n v="11"/>
    <x v="22"/>
    <n v="4084"/>
  </r>
  <r>
    <x v="4"/>
    <x v="9"/>
    <x v="9"/>
    <x v="0"/>
    <x v="5"/>
    <x v="1"/>
    <n v="11"/>
    <x v="22"/>
    <n v="2264"/>
  </r>
  <r>
    <x v="1"/>
    <x v="2"/>
    <x v="2"/>
    <x v="0"/>
    <x v="6"/>
    <x v="1"/>
    <n v="11"/>
    <x v="22"/>
    <n v="2099"/>
  </r>
  <r>
    <x v="2"/>
    <x v="3"/>
    <x v="3"/>
    <x v="1"/>
    <x v="7"/>
    <x v="1"/>
    <n v="11"/>
    <x v="22"/>
    <n v="5477"/>
  </r>
  <r>
    <x v="3"/>
    <x v="8"/>
    <x v="8"/>
    <x v="1"/>
    <x v="1"/>
    <x v="1"/>
    <n v="11"/>
    <x v="22"/>
    <n v="5474"/>
  </r>
  <r>
    <x v="4"/>
    <x v="5"/>
    <x v="5"/>
    <x v="1"/>
    <x v="8"/>
    <x v="1"/>
    <n v="11"/>
    <x v="22"/>
    <n v="4439"/>
  </r>
  <r>
    <x v="0"/>
    <x v="1"/>
    <x v="1"/>
    <x v="2"/>
    <x v="2"/>
    <x v="1"/>
    <n v="11"/>
    <x v="22"/>
    <n v="4497"/>
  </r>
  <r>
    <x v="0"/>
    <x v="1"/>
    <x v="1"/>
    <x v="2"/>
    <x v="3"/>
    <x v="1"/>
    <n v="11"/>
    <x v="22"/>
    <n v="2787"/>
  </r>
  <r>
    <x v="1"/>
    <x v="6"/>
    <x v="6"/>
    <x v="2"/>
    <x v="4"/>
    <x v="1"/>
    <n v="11"/>
    <x v="22"/>
    <n v="3558"/>
  </r>
  <r>
    <x v="1"/>
    <x v="6"/>
    <x v="6"/>
    <x v="0"/>
    <x v="5"/>
    <x v="1"/>
    <n v="11"/>
    <x v="22"/>
    <n v="2099"/>
  </r>
  <r>
    <x v="2"/>
    <x v="7"/>
    <x v="7"/>
    <x v="0"/>
    <x v="0"/>
    <x v="1"/>
    <n v="11"/>
    <x v="22"/>
    <n v="1914"/>
  </r>
  <r>
    <x v="2"/>
    <x v="7"/>
    <x v="7"/>
    <x v="0"/>
    <x v="6"/>
    <x v="1"/>
    <n v="11"/>
    <x v="22"/>
    <n v="1764"/>
  </r>
  <r>
    <x v="2"/>
    <x v="3"/>
    <x v="3"/>
    <x v="1"/>
    <x v="1"/>
    <x v="1"/>
    <n v="11"/>
    <x v="22"/>
    <n v="3688"/>
  </r>
  <r>
    <x v="0"/>
    <x v="0"/>
    <x v="0"/>
    <x v="1"/>
    <x v="8"/>
    <x v="1"/>
    <n v="11"/>
    <x v="22"/>
    <n v="4293"/>
  </r>
  <r>
    <x v="2"/>
    <x v="10"/>
    <x v="10"/>
    <x v="0"/>
    <x v="5"/>
    <x v="1"/>
    <n v="11"/>
    <x v="22"/>
    <n v="2443"/>
  </r>
  <r>
    <x v="2"/>
    <x v="10"/>
    <x v="10"/>
    <x v="0"/>
    <x v="0"/>
    <x v="1"/>
    <n v="11"/>
    <x v="22"/>
    <n v="2685"/>
  </r>
  <r>
    <x v="2"/>
    <x v="11"/>
    <x v="11"/>
    <x v="0"/>
    <x v="6"/>
    <x v="1"/>
    <n v="11"/>
    <x v="22"/>
    <n v="2754"/>
  </r>
  <r>
    <x v="2"/>
    <x v="11"/>
    <x v="11"/>
    <x v="1"/>
    <x v="7"/>
    <x v="1"/>
    <n v="11"/>
    <x v="22"/>
    <n v="5037"/>
  </r>
  <r>
    <x v="3"/>
    <x v="4"/>
    <x v="4"/>
    <x v="1"/>
    <x v="1"/>
    <x v="1"/>
    <n v="11"/>
    <x v="22"/>
    <n v="5396"/>
  </r>
  <r>
    <x v="3"/>
    <x v="4"/>
    <x v="4"/>
    <x v="1"/>
    <x v="8"/>
    <x v="1"/>
    <n v="11"/>
    <x v="22"/>
    <n v="3892"/>
  </r>
  <r>
    <x v="4"/>
    <x v="5"/>
    <x v="5"/>
    <x v="2"/>
    <x v="2"/>
    <x v="1"/>
    <n v="11"/>
    <x v="22"/>
    <n v="4175"/>
  </r>
  <r>
    <x v="4"/>
    <x v="5"/>
    <x v="5"/>
    <x v="2"/>
    <x v="3"/>
    <x v="1"/>
    <n v="11"/>
    <x v="22"/>
    <n v="4792"/>
  </r>
  <r>
    <x v="3"/>
    <x v="8"/>
    <x v="8"/>
    <x v="0"/>
    <x v="5"/>
    <x v="1"/>
    <n v="11"/>
    <x v="22"/>
    <n v="2522"/>
  </r>
  <r>
    <x v="4"/>
    <x v="9"/>
    <x v="9"/>
    <x v="0"/>
    <x v="0"/>
    <x v="1"/>
    <n v="11"/>
    <x v="22"/>
    <n v="1620"/>
  </r>
  <r>
    <x v="4"/>
    <x v="9"/>
    <x v="9"/>
    <x v="0"/>
    <x v="6"/>
    <x v="1"/>
    <n v="11"/>
    <x v="22"/>
    <n v="1637"/>
  </r>
  <r>
    <x v="2"/>
    <x v="7"/>
    <x v="7"/>
    <x v="1"/>
    <x v="7"/>
    <x v="1"/>
    <n v="11"/>
    <x v="22"/>
    <n v="5683"/>
  </r>
  <r>
    <x v="1"/>
    <x v="6"/>
    <x v="6"/>
    <x v="2"/>
    <x v="3"/>
    <x v="1"/>
    <n v="11"/>
    <x v="22"/>
    <n v="5296"/>
  </r>
  <r>
    <x v="0"/>
    <x v="0"/>
    <x v="0"/>
    <x v="0"/>
    <x v="6"/>
    <x v="1"/>
    <n v="11"/>
    <x v="22"/>
    <n v="2720"/>
  </r>
  <r>
    <x v="0"/>
    <x v="0"/>
    <x v="0"/>
    <x v="1"/>
    <x v="7"/>
    <x v="1"/>
    <n v="11"/>
    <x v="22"/>
    <n v="5777"/>
  </r>
  <r>
    <x v="1"/>
    <x v="2"/>
    <x v="2"/>
    <x v="1"/>
    <x v="1"/>
    <x v="1"/>
    <n v="11"/>
    <x v="22"/>
    <n v="4580"/>
  </r>
  <r>
    <x v="2"/>
    <x v="10"/>
    <x v="10"/>
    <x v="2"/>
    <x v="2"/>
    <x v="1"/>
    <n v="11"/>
    <x v="22"/>
    <n v="4656"/>
  </r>
  <r>
    <x v="2"/>
    <x v="10"/>
    <x v="10"/>
    <x v="2"/>
    <x v="3"/>
    <x v="1"/>
    <n v="11"/>
    <x v="22"/>
    <n v="5384"/>
  </r>
  <r>
    <x v="2"/>
    <x v="11"/>
    <x v="11"/>
    <x v="2"/>
    <x v="4"/>
    <x v="1"/>
    <n v="11"/>
    <x v="22"/>
    <n v="3673"/>
  </r>
  <r>
    <x v="2"/>
    <x v="11"/>
    <x v="11"/>
    <x v="0"/>
    <x v="5"/>
    <x v="1"/>
    <n v="11"/>
    <x v="22"/>
    <n v="2767"/>
  </r>
  <r>
    <x v="2"/>
    <x v="7"/>
    <x v="7"/>
    <x v="0"/>
    <x v="5"/>
    <x v="1"/>
    <n v="11"/>
    <x v="22"/>
    <n v="2169"/>
  </r>
  <r>
    <x v="1"/>
    <x v="6"/>
    <x v="6"/>
    <x v="1"/>
    <x v="8"/>
    <x v="1"/>
    <n v="11"/>
    <x v="22"/>
    <n v="3367"/>
  </r>
  <r>
    <x v="2"/>
    <x v="3"/>
    <x v="3"/>
    <x v="2"/>
    <x v="2"/>
    <x v="1"/>
    <n v="11"/>
    <x v="22"/>
    <n v="4147"/>
  </r>
  <r>
    <x v="2"/>
    <x v="3"/>
    <x v="3"/>
    <x v="2"/>
    <x v="3"/>
    <x v="1"/>
    <n v="11"/>
    <x v="22"/>
    <n v="5086"/>
  </r>
  <r>
    <x v="1"/>
    <x v="2"/>
    <x v="2"/>
    <x v="0"/>
    <x v="0"/>
    <x v="1"/>
    <n v="11"/>
    <x v="22"/>
    <n v="2707"/>
  </r>
  <r>
    <x v="2"/>
    <x v="10"/>
    <x v="10"/>
    <x v="1"/>
    <x v="7"/>
    <x v="1"/>
    <n v="11"/>
    <x v="22"/>
    <n v="4914"/>
  </r>
  <r>
    <x v="2"/>
    <x v="10"/>
    <x v="10"/>
    <x v="1"/>
    <x v="1"/>
    <x v="1"/>
    <n v="11"/>
    <x v="22"/>
    <n v="3760"/>
  </r>
  <r>
    <x v="2"/>
    <x v="11"/>
    <x v="11"/>
    <x v="1"/>
    <x v="8"/>
    <x v="1"/>
    <n v="11"/>
    <x v="22"/>
    <n v="2954"/>
  </r>
  <r>
    <x v="2"/>
    <x v="11"/>
    <x v="11"/>
    <x v="2"/>
    <x v="2"/>
    <x v="1"/>
    <n v="11"/>
    <x v="22"/>
    <n v="3724"/>
  </r>
  <r>
    <x v="3"/>
    <x v="4"/>
    <x v="4"/>
    <x v="2"/>
    <x v="3"/>
    <x v="1"/>
    <n v="11"/>
    <x v="22"/>
    <n v="5065"/>
  </r>
  <r>
    <x v="3"/>
    <x v="4"/>
    <x v="4"/>
    <x v="2"/>
    <x v="4"/>
    <x v="1"/>
    <n v="11"/>
    <x v="22"/>
    <n v="3202"/>
  </r>
  <r>
    <x v="4"/>
    <x v="5"/>
    <x v="5"/>
    <x v="0"/>
    <x v="5"/>
    <x v="1"/>
    <n v="11"/>
    <x v="22"/>
    <n v="1713"/>
  </r>
  <r>
    <x v="3"/>
    <x v="8"/>
    <x v="8"/>
    <x v="0"/>
    <x v="6"/>
    <x v="1"/>
    <n v="11"/>
    <x v="22"/>
    <n v="1918"/>
  </r>
  <r>
    <x v="3"/>
    <x v="8"/>
    <x v="8"/>
    <x v="1"/>
    <x v="7"/>
    <x v="1"/>
    <n v="11"/>
    <x v="22"/>
    <n v="4945"/>
  </r>
  <r>
    <x v="4"/>
    <x v="9"/>
    <x v="9"/>
    <x v="1"/>
    <x v="1"/>
    <x v="1"/>
    <n v="11"/>
    <x v="22"/>
    <n v="3837"/>
  </r>
  <r>
    <x v="4"/>
    <x v="9"/>
    <x v="9"/>
    <x v="1"/>
    <x v="8"/>
    <x v="1"/>
    <n v="11"/>
    <x v="22"/>
    <n v="3899"/>
  </r>
  <r>
    <x v="0"/>
    <x v="1"/>
    <x v="1"/>
    <x v="2"/>
    <x v="4"/>
    <x v="1"/>
    <n v="11"/>
    <x v="22"/>
    <n v="3120"/>
  </r>
  <r>
    <x v="0"/>
    <x v="1"/>
    <x v="1"/>
    <x v="0"/>
    <x v="5"/>
    <x v="1"/>
    <n v="11"/>
    <x v="22"/>
    <n v="2968"/>
  </r>
  <r>
    <x v="1"/>
    <x v="6"/>
    <x v="6"/>
    <x v="0"/>
    <x v="6"/>
    <x v="1"/>
    <n v="11"/>
    <x v="22"/>
    <n v="2131"/>
  </r>
  <r>
    <x v="2"/>
    <x v="10"/>
    <x v="10"/>
    <x v="1"/>
    <x v="8"/>
    <x v="1"/>
    <n v="11"/>
    <x v="22"/>
    <n v="3749"/>
  </r>
  <r>
    <x v="2"/>
    <x v="11"/>
    <x v="11"/>
    <x v="2"/>
    <x v="3"/>
    <x v="1"/>
    <n v="11"/>
    <x v="22"/>
    <n v="4284"/>
  </r>
  <r>
    <x v="2"/>
    <x v="7"/>
    <x v="7"/>
    <x v="2"/>
    <x v="4"/>
    <x v="1"/>
    <n v="11"/>
    <x v="22"/>
    <n v="3581"/>
  </r>
  <r>
    <x v="2"/>
    <x v="3"/>
    <x v="3"/>
    <x v="1"/>
    <x v="8"/>
    <x v="1"/>
    <n v="11"/>
    <x v="22"/>
    <n v="4950"/>
  </r>
  <r>
    <x v="2"/>
    <x v="10"/>
    <x v="10"/>
    <x v="0"/>
    <x v="6"/>
    <x v="1"/>
    <n v="11"/>
    <x v="22"/>
    <n v="2495"/>
  </r>
  <r>
    <x v="2"/>
    <x v="11"/>
    <x v="11"/>
    <x v="1"/>
    <x v="1"/>
    <x v="1"/>
    <n v="11"/>
    <x v="22"/>
    <n v="5023"/>
  </r>
  <r>
    <x v="3"/>
    <x v="4"/>
    <x v="4"/>
    <x v="2"/>
    <x v="2"/>
    <x v="1"/>
    <n v="11"/>
    <x v="22"/>
    <n v="4182"/>
  </r>
  <r>
    <x v="4"/>
    <x v="5"/>
    <x v="5"/>
    <x v="2"/>
    <x v="4"/>
    <x v="1"/>
    <n v="11"/>
    <x v="22"/>
    <n v="3577"/>
  </r>
  <r>
    <x v="3"/>
    <x v="8"/>
    <x v="8"/>
    <x v="0"/>
    <x v="0"/>
    <x v="1"/>
    <n v="11"/>
    <x v="22"/>
    <n v="2465"/>
  </r>
  <r>
    <x v="4"/>
    <x v="9"/>
    <x v="9"/>
    <x v="1"/>
    <x v="7"/>
    <x v="1"/>
    <n v="11"/>
    <x v="22"/>
    <n v="4658"/>
  </r>
  <r>
    <x v="2"/>
    <x v="10"/>
    <x v="10"/>
    <x v="2"/>
    <x v="4"/>
    <x v="1"/>
    <n v="11"/>
    <x v="22"/>
    <n v="3500"/>
  </r>
  <r>
    <x v="2"/>
    <x v="11"/>
    <x v="11"/>
    <x v="0"/>
    <x v="0"/>
    <x v="1"/>
    <n v="11"/>
    <x v="22"/>
    <n v="3064"/>
  </r>
  <r>
    <x v="0"/>
    <x v="0"/>
    <x v="0"/>
    <x v="0"/>
    <x v="0"/>
    <x v="1"/>
    <n v="12"/>
    <x v="23"/>
    <n v="2976"/>
  </r>
  <r>
    <x v="0"/>
    <x v="1"/>
    <x v="1"/>
    <x v="0"/>
    <x v="0"/>
    <x v="1"/>
    <n v="12"/>
    <x v="23"/>
    <n v="2508"/>
  </r>
  <r>
    <x v="0"/>
    <x v="1"/>
    <x v="1"/>
    <x v="1"/>
    <x v="1"/>
    <x v="1"/>
    <n v="12"/>
    <x v="23"/>
    <n v="4562"/>
  </r>
  <r>
    <x v="0"/>
    <x v="0"/>
    <x v="0"/>
    <x v="1"/>
    <x v="1"/>
    <x v="1"/>
    <n v="12"/>
    <x v="23"/>
    <n v="2859"/>
  </r>
  <r>
    <x v="0"/>
    <x v="0"/>
    <x v="0"/>
    <x v="2"/>
    <x v="2"/>
    <x v="1"/>
    <n v="12"/>
    <x v="23"/>
    <n v="4957"/>
  </r>
  <r>
    <x v="1"/>
    <x v="2"/>
    <x v="2"/>
    <x v="2"/>
    <x v="3"/>
    <x v="1"/>
    <n v="12"/>
    <x v="23"/>
    <n v="5171"/>
  </r>
  <r>
    <x v="2"/>
    <x v="3"/>
    <x v="3"/>
    <x v="2"/>
    <x v="4"/>
    <x v="1"/>
    <n v="12"/>
    <x v="23"/>
    <n v="3933"/>
  </r>
  <r>
    <x v="3"/>
    <x v="4"/>
    <x v="4"/>
    <x v="0"/>
    <x v="5"/>
    <x v="1"/>
    <n v="12"/>
    <x v="23"/>
    <n v="2984"/>
  </r>
  <r>
    <x v="4"/>
    <x v="5"/>
    <x v="5"/>
    <x v="0"/>
    <x v="0"/>
    <x v="1"/>
    <n v="12"/>
    <x v="23"/>
    <n v="1545"/>
  </r>
  <r>
    <x v="0"/>
    <x v="1"/>
    <x v="1"/>
    <x v="0"/>
    <x v="6"/>
    <x v="1"/>
    <n v="12"/>
    <x v="23"/>
    <n v="2333"/>
  </r>
  <r>
    <x v="1"/>
    <x v="6"/>
    <x v="6"/>
    <x v="1"/>
    <x v="7"/>
    <x v="1"/>
    <n v="12"/>
    <x v="23"/>
    <n v="4907"/>
  </r>
  <r>
    <x v="2"/>
    <x v="7"/>
    <x v="7"/>
    <x v="1"/>
    <x v="1"/>
    <x v="1"/>
    <n v="12"/>
    <x v="23"/>
    <n v="3825"/>
  </r>
  <r>
    <x v="3"/>
    <x v="8"/>
    <x v="8"/>
    <x v="1"/>
    <x v="8"/>
    <x v="1"/>
    <n v="12"/>
    <x v="23"/>
    <n v="4039"/>
  </r>
  <r>
    <x v="4"/>
    <x v="9"/>
    <x v="9"/>
    <x v="2"/>
    <x v="2"/>
    <x v="1"/>
    <n v="12"/>
    <x v="23"/>
    <n v="4424"/>
  </r>
  <r>
    <x v="0"/>
    <x v="0"/>
    <x v="0"/>
    <x v="2"/>
    <x v="3"/>
    <x v="1"/>
    <n v="12"/>
    <x v="23"/>
    <n v="4469"/>
  </r>
  <r>
    <x v="1"/>
    <x v="2"/>
    <x v="2"/>
    <x v="2"/>
    <x v="4"/>
    <x v="1"/>
    <n v="12"/>
    <x v="23"/>
    <n v="3167"/>
  </r>
  <r>
    <x v="2"/>
    <x v="3"/>
    <x v="3"/>
    <x v="0"/>
    <x v="5"/>
    <x v="1"/>
    <n v="12"/>
    <x v="23"/>
    <n v="1855"/>
  </r>
  <r>
    <x v="3"/>
    <x v="4"/>
    <x v="4"/>
    <x v="0"/>
    <x v="0"/>
    <x v="1"/>
    <n v="12"/>
    <x v="23"/>
    <n v="2105"/>
  </r>
  <r>
    <x v="4"/>
    <x v="5"/>
    <x v="5"/>
    <x v="0"/>
    <x v="6"/>
    <x v="1"/>
    <n v="12"/>
    <x v="23"/>
    <n v="1654"/>
  </r>
  <r>
    <x v="0"/>
    <x v="1"/>
    <x v="1"/>
    <x v="1"/>
    <x v="7"/>
    <x v="1"/>
    <n v="12"/>
    <x v="23"/>
    <n v="6002"/>
  </r>
  <r>
    <x v="1"/>
    <x v="6"/>
    <x v="6"/>
    <x v="1"/>
    <x v="1"/>
    <x v="1"/>
    <n v="12"/>
    <x v="23"/>
    <n v="5105"/>
  </r>
  <r>
    <x v="2"/>
    <x v="7"/>
    <x v="7"/>
    <x v="1"/>
    <x v="8"/>
    <x v="1"/>
    <n v="12"/>
    <x v="23"/>
    <n v="4143"/>
  </r>
  <r>
    <x v="3"/>
    <x v="8"/>
    <x v="8"/>
    <x v="2"/>
    <x v="2"/>
    <x v="1"/>
    <n v="12"/>
    <x v="23"/>
    <n v="4342"/>
  </r>
  <r>
    <x v="4"/>
    <x v="9"/>
    <x v="9"/>
    <x v="2"/>
    <x v="3"/>
    <x v="1"/>
    <n v="12"/>
    <x v="23"/>
    <n v="4385"/>
  </r>
  <r>
    <x v="0"/>
    <x v="0"/>
    <x v="0"/>
    <x v="2"/>
    <x v="4"/>
    <x v="1"/>
    <n v="12"/>
    <x v="23"/>
    <n v="3308"/>
  </r>
  <r>
    <x v="1"/>
    <x v="2"/>
    <x v="2"/>
    <x v="0"/>
    <x v="5"/>
    <x v="1"/>
    <n v="12"/>
    <x v="23"/>
    <n v="2628"/>
  </r>
  <r>
    <x v="2"/>
    <x v="3"/>
    <x v="3"/>
    <x v="0"/>
    <x v="0"/>
    <x v="1"/>
    <n v="12"/>
    <x v="23"/>
    <n v="2768"/>
  </r>
  <r>
    <x v="3"/>
    <x v="4"/>
    <x v="4"/>
    <x v="0"/>
    <x v="6"/>
    <x v="1"/>
    <n v="12"/>
    <x v="23"/>
    <n v="2316"/>
  </r>
  <r>
    <x v="4"/>
    <x v="5"/>
    <x v="5"/>
    <x v="1"/>
    <x v="7"/>
    <x v="1"/>
    <n v="12"/>
    <x v="23"/>
    <n v="5861"/>
  </r>
  <r>
    <x v="1"/>
    <x v="2"/>
    <x v="2"/>
    <x v="1"/>
    <x v="8"/>
    <x v="1"/>
    <n v="12"/>
    <x v="23"/>
    <n v="2598"/>
  </r>
  <r>
    <x v="2"/>
    <x v="7"/>
    <x v="7"/>
    <x v="2"/>
    <x v="2"/>
    <x v="1"/>
    <n v="12"/>
    <x v="23"/>
    <n v="3849"/>
  </r>
  <r>
    <x v="3"/>
    <x v="8"/>
    <x v="8"/>
    <x v="2"/>
    <x v="3"/>
    <x v="1"/>
    <n v="12"/>
    <x v="23"/>
    <n v="4661"/>
  </r>
  <r>
    <x v="4"/>
    <x v="9"/>
    <x v="9"/>
    <x v="2"/>
    <x v="4"/>
    <x v="1"/>
    <n v="12"/>
    <x v="23"/>
    <n v="3272"/>
  </r>
  <r>
    <x v="0"/>
    <x v="0"/>
    <x v="0"/>
    <x v="0"/>
    <x v="5"/>
    <x v="1"/>
    <n v="12"/>
    <x v="23"/>
    <n v="2232"/>
  </r>
  <r>
    <x v="1"/>
    <x v="6"/>
    <x v="6"/>
    <x v="0"/>
    <x v="0"/>
    <x v="1"/>
    <n v="12"/>
    <x v="23"/>
    <n v="2352"/>
  </r>
  <r>
    <x v="2"/>
    <x v="3"/>
    <x v="3"/>
    <x v="0"/>
    <x v="6"/>
    <x v="1"/>
    <n v="12"/>
    <x v="23"/>
    <n v="1780"/>
  </r>
  <r>
    <x v="3"/>
    <x v="4"/>
    <x v="4"/>
    <x v="1"/>
    <x v="7"/>
    <x v="1"/>
    <n v="12"/>
    <x v="23"/>
    <n v="5706"/>
  </r>
  <r>
    <x v="4"/>
    <x v="5"/>
    <x v="5"/>
    <x v="1"/>
    <x v="1"/>
    <x v="1"/>
    <n v="12"/>
    <x v="23"/>
    <n v="5558"/>
  </r>
  <r>
    <x v="0"/>
    <x v="1"/>
    <x v="1"/>
    <x v="1"/>
    <x v="8"/>
    <x v="1"/>
    <n v="12"/>
    <x v="23"/>
    <n v="4518"/>
  </r>
  <r>
    <x v="1"/>
    <x v="2"/>
    <x v="2"/>
    <x v="2"/>
    <x v="2"/>
    <x v="1"/>
    <n v="12"/>
    <x v="23"/>
    <n v="3662"/>
  </r>
  <r>
    <x v="2"/>
    <x v="7"/>
    <x v="7"/>
    <x v="2"/>
    <x v="3"/>
    <x v="1"/>
    <n v="12"/>
    <x v="23"/>
    <n v="5283"/>
  </r>
  <r>
    <x v="3"/>
    <x v="8"/>
    <x v="8"/>
    <x v="2"/>
    <x v="4"/>
    <x v="1"/>
    <n v="12"/>
    <x v="23"/>
    <n v="3680"/>
  </r>
  <r>
    <x v="4"/>
    <x v="9"/>
    <x v="9"/>
    <x v="0"/>
    <x v="5"/>
    <x v="1"/>
    <n v="12"/>
    <x v="23"/>
    <n v="2938"/>
  </r>
  <r>
    <x v="1"/>
    <x v="2"/>
    <x v="2"/>
    <x v="0"/>
    <x v="6"/>
    <x v="1"/>
    <n v="12"/>
    <x v="23"/>
    <n v="1370"/>
  </r>
  <r>
    <x v="2"/>
    <x v="3"/>
    <x v="3"/>
    <x v="1"/>
    <x v="7"/>
    <x v="1"/>
    <n v="12"/>
    <x v="23"/>
    <n v="6291"/>
  </r>
  <r>
    <x v="3"/>
    <x v="8"/>
    <x v="8"/>
    <x v="1"/>
    <x v="1"/>
    <x v="1"/>
    <n v="12"/>
    <x v="23"/>
    <n v="4708"/>
  </r>
  <r>
    <x v="4"/>
    <x v="5"/>
    <x v="5"/>
    <x v="1"/>
    <x v="8"/>
    <x v="1"/>
    <n v="12"/>
    <x v="23"/>
    <n v="4641"/>
  </r>
  <r>
    <x v="0"/>
    <x v="1"/>
    <x v="1"/>
    <x v="2"/>
    <x v="2"/>
    <x v="1"/>
    <n v="12"/>
    <x v="23"/>
    <n v="4786"/>
  </r>
  <r>
    <x v="0"/>
    <x v="1"/>
    <x v="1"/>
    <x v="2"/>
    <x v="3"/>
    <x v="1"/>
    <n v="12"/>
    <x v="23"/>
    <n v="2933"/>
  </r>
  <r>
    <x v="1"/>
    <x v="6"/>
    <x v="6"/>
    <x v="2"/>
    <x v="4"/>
    <x v="1"/>
    <n v="12"/>
    <x v="23"/>
    <n v="3153"/>
  </r>
  <r>
    <x v="1"/>
    <x v="6"/>
    <x v="6"/>
    <x v="0"/>
    <x v="5"/>
    <x v="1"/>
    <n v="12"/>
    <x v="23"/>
    <n v="2853"/>
  </r>
  <r>
    <x v="2"/>
    <x v="7"/>
    <x v="7"/>
    <x v="0"/>
    <x v="0"/>
    <x v="1"/>
    <n v="12"/>
    <x v="23"/>
    <n v="2498"/>
  </r>
  <r>
    <x v="2"/>
    <x v="7"/>
    <x v="7"/>
    <x v="0"/>
    <x v="6"/>
    <x v="1"/>
    <n v="12"/>
    <x v="23"/>
    <n v="2325"/>
  </r>
  <r>
    <x v="2"/>
    <x v="3"/>
    <x v="3"/>
    <x v="1"/>
    <x v="1"/>
    <x v="1"/>
    <n v="12"/>
    <x v="23"/>
    <n v="3451"/>
  </r>
  <r>
    <x v="0"/>
    <x v="0"/>
    <x v="0"/>
    <x v="1"/>
    <x v="8"/>
    <x v="1"/>
    <n v="12"/>
    <x v="23"/>
    <n v="2184"/>
  </r>
  <r>
    <x v="2"/>
    <x v="10"/>
    <x v="10"/>
    <x v="0"/>
    <x v="5"/>
    <x v="1"/>
    <n v="12"/>
    <x v="23"/>
    <n v="2353"/>
  </r>
  <r>
    <x v="2"/>
    <x v="10"/>
    <x v="10"/>
    <x v="0"/>
    <x v="0"/>
    <x v="1"/>
    <n v="12"/>
    <x v="23"/>
    <n v="2091"/>
  </r>
  <r>
    <x v="2"/>
    <x v="11"/>
    <x v="11"/>
    <x v="0"/>
    <x v="6"/>
    <x v="1"/>
    <n v="12"/>
    <x v="23"/>
    <n v="2331"/>
  </r>
  <r>
    <x v="2"/>
    <x v="11"/>
    <x v="11"/>
    <x v="1"/>
    <x v="7"/>
    <x v="1"/>
    <n v="12"/>
    <x v="23"/>
    <n v="6573"/>
  </r>
  <r>
    <x v="3"/>
    <x v="4"/>
    <x v="4"/>
    <x v="1"/>
    <x v="1"/>
    <x v="1"/>
    <n v="12"/>
    <x v="23"/>
    <n v="3750"/>
  </r>
  <r>
    <x v="3"/>
    <x v="4"/>
    <x v="4"/>
    <x v="1"/>
    <x v="8"/>
    <x v="1"/>
    <n v="12"/>
    <x v="23"/>
    <n v="2173"/>
  </r>
  <r>
    <x v="4"/>
    <x v="5"/>
    <x v="5"/>
    <x v="2"/>
    <x v="2"/>
    <x v="1"/>
    <n v="12"/>
    <x v="23"/>
    <n v="3837"/>
  </r>
  <r>
    <x v="4"/>
    <x v="5"/>
    <x v="5"/>
    <x v="2"/>
    <x v="3"/>
    <x v="1"/>
    <n v="12"/>
    <x v="23"/>
    <n v="3468"/>
  </r>
  <r>
    <x v="3"/>
    <x v="8"/>
    <x v="8"/>
    <x v="0"/>
    <x v="5"/>
    <x v="1"/>
    <n v="12"/>
    <x v="23"/>
    <n v="2625"/>
  </r>
  <r>
    <x v="4"/>
    <x v="9"/>
    <x v="9"/>
    <x v="0"/>
    <x v="0"/>
    <x v="1"/>
    <n v="12"/>
    <x v="23"/>
    <n v="1851"/>
  </r>
  <r>
    <x v="4"/>
    <x v="9"/>
    <x v="9"/>
    <x v="0"/>
    <x v="6"/>
    <x v="1"/>
    <n v="12"/>
    <x v="23"/>
    <n v="1412"/>
  </r>
  <r>
    <x v="2"/>
    <x v="7"/>
    <x v="7"/>
    <x v="1"/>
    <x v="7"/>
    <x v="1"/>
    <n v="12"/>
    <x v="23"/>
    <n v="5320"/>
  </r>
  <r>
    <x v="1"/>
    <x v="6"/>
    <x v="6"/>
    <x v="2"/>
    <x v="3"/>
    <x v="1"/>
    <n v="12"/>
    <x v="23"/>
    <n v="4934"/>
  </r>
  <r>
    <x v="0"/>
    <x v="0"/>
    <x v="0"/>
    <x v="0"/>
    <x v="6"/>
    <x v="1"/>
    <n v="12"/>
    <x v="23"/>
    <n v="1595"/>
  </r>
  <r>
    <x v="0"/>
    <x v="0"/>
    <x v="0"/>
    <x v="1"/>
    <x v="7"/>
    <x v="1"/>
    <n v="12"/>
    <x v="23"/>
    <n v="6796"/>
  </r>
  <r>
    <x v="1"/>
    <x v="2"/>
    <x v="2"/>
    <x v="1"/>
    <x v="1"/>
    <x v="1"/>
    <n v="12"/>
    <x v="23"/>
    <n v="4910"/>
  </r>
  <r>
    <x v="2"/>
    <x v="10"/>
    <x v="10"/>
    <x v="2"/>
    <x v="2"/>
    <x v="1"/>
    <n v="12"/>
    <x v="23"/>
    <n v="4253"/>
  </r>
  <r>
    <x v="2"/>
    <x v="10"/>
    <x v="10"/>
    <x v="2"/>
    <x v="3"/>
    <x v="1"/>
    <n v="12"/>
    <x v="23"/>
    <n v="5163"/>
  </r>
  <r>
    <x v="2"/>
    <x v="11"/>
    <x v="11"/>
    <x v="2"/>
    <x v="4"/>
    <x v="1"/>
    <n v="12"/>
    <x v="23"/>
    <n v="3410"/>
  </r>
  <r>
    <x v="2"/>
    <x v="11"/>
    <x v="11"/>
    <x v="0"/>
    <x v="5"/>
    <x v="1"/>
    <n v="12"/>
    <x v="23"/>
    <n v="2422"/>
  </r>
  <r>
    <x v="2"/>
    <x v="7"/>
    <x v="7"/>
    <x v="0"/>
    <x v="5"/>
    <x v="1"/>
    <n v="12"/>
    <x v="23"/>
    <n v="2326"/>
  </r>
  <r>
    <x v="1"/>
    <x v="6"/>
    <x v="6"/>
    <x v="1"/>
    <x v="8"/>
    <x v="1"/>
    <n v="12"/>
    <x v="23"/>
    <n v="2878"/>
  </r>
  <r>
    <x v="2"/>
    <x v="3"/>
    <x v="3"/>
    <x v="2"/>
    <x v="2"/>
    <x v="1"/>
    <n v="12"/>
    <x v="23"/>
    <n v="3622"/>
  </r>
  <r>
    <x v="2"/>
    <x v="3"/>
    <x v="3"/>
    <x v="2"/>
    <x v="3"/>
    <x v="1"/>
    <n v="12"/>
    <x v="23"/>
    <n v="3001"/>
  </r>
  <r>
    <x v="1"/>
    <x v="2"/>
    <x v="2"/>
    <x v="0"/>
    <x v="0"/>
    <x v="1"/>
    <n v="12"/>
    <x v="23"/>
    <n v="2846"/>
  </r>
  <r>
    <x v="2"/>
    <x v="10"/>
    <x v="10"/>
    <x v="1"/>
    <x v="7"/>
    <x v="1"/>
    <n v="12"/>
    <x v="23"/>
    <n v="5272"/>
  </r>
  <r>
    <x v="2"/>
    <x v="10"/>
    <x v="10"/>
    <x v="1"/>
    <x v="1"/>
    <x v="1"/>
    <n v="12"/>
    <x v="23"/>
    <n v="2885"/>
  </r>
  <r>
    <x v="2"/>
    <x v="11"/>
    <x v="11"/>
    <x v="1"/>
    <x v="8"/>
    <x v="1"/>
    <n v="12"/>
    <x v="23"/>
    <n v="3873"/>
  </r>
  <r>
    <x v="2"/>
    <x v="11"/>
    <x v="11"/>
    <x v="2"/>
    <x v="2"/>
    <x v="1"/>
    <n v="12"/>
    <x v="23"/>
    <n v="3486"/>
  </r>
  <r>
    <x v="3"/>
    <x v="4"/>
    <x v="4"/>
    <x v="2"/>
    <x v="3"/>
    <x v="1"/>
    <n v="12"/>
    <x v="23"/>
    <n v="3095"/>
  </r>
  <r>
    <x v="3"/>
    <x v="4"/>
    <x v="4"/>
    <x v="2"/>
    <x v="4"/>
    <x v="1"/>
    <n v="12"/>
    <x v="23"/>
    <n v="3366"/>
  </r>
  <r>
    <x v="4"/>
    <x v="5"/>
    <x v="5"/>
    <x v="0"/>
    <x v="5"/>
    <x v="1"/>
    <n v="12"/>
    <x v="23"/>
    <n v="2435"/>
  </r>
  <r>
    <x v="3"/>
    <x v="8"/>
    <x v="8"/>
    <x v="0"/>
    <x v="6"/>
    <x v="1"/>
    <n v="12"/>
    <x v="23"/>
    <n v="1781"/>
  </r>
  <r>
    <x v="3"/>
    <x v="8"/>
    <x v="8"/>
    <x v="1"/>
    <x v="7"/>
    <x v="1"/>
    <n v="12"/>
    <x v="23"/>
    <n v="6290"/>
  </r>
  <r>
    <x v="4"/>
    <x v="9"/>
    <x v="9"/>
    <x v="1"/>
    <x v="1"/>
    <x v="1"/>
    <n v="12"/>
    <x v="23"/>
    <n v="3382"/>
  </r>
  <r>
    <x v="4"/>
    <x v="9"/>
    <x v="9"/>
    <x v="1"/>
    <x v="8"/>
    <x v="1"/>
    <n v="12"/>
    <x v="23"/>
    <n v="4757"/>
  </r>
  <r>
    <x v="0"/>
    <x v="1"/>
    <x v="1"/>
    <x v="2"/>
    <x v="4"/>
    <x v="1"/>
    <n v="12"/>
    <x v="23"/>
    <n v="3613"/>
  </r>
  <r>
    <x v="0"/>
    <x v="1"/>
    <x v="1"/>
    <x v="0"/>
    <x v="5"/>
    <x v="1"/>
    <n v="12"/>
    <x v="23"/>
    <n v="2674"/>
  </r>
  <r>
    <x v="1"/>
    <x v="6"/>
    <x v="6"/>
    <x v="0"/>
    <x v="6"/>
    <x v="1"/>
    <n v="12"/>
    <x v="23"/>
    <n v="1784"/>
  </r>
  <r>
    <x v="2"/>
    <x v="10"/>
    <x v="10"/>
    <x v="1"/>
    <x v="8"/>
    <x v="1"/>
    <n v="12"/>
    <x v="23"/>
    <n v="3967"/>
  </r>
  <r>
    <x v="2"/>
    <x v="11"/>
    <x v="11"/>
    <x v="2"/>
    <x v="3"/>
    <x v="1"/>
    <n v="12"/>
    <x v="23"/>
    <n v="3835"/>
  </r>
  <r>
    <x v="2"/>
    <x v="7"/>
    <x v="7"/>
    <x v="2"/>
    <x v="4"/>
    <x v="1"/>
    <n v="12"/>
    <x v="23"/>
    <n v="3237"/>
  </r>
  <r>
    <x v="2"/>
    <x v="3"/>
    <x v="3"/>
    <x v="1"/>
    <x v="8"/>
    <x v="1"/>
    <n v="12"/>
    <x v="23"/>
    <n v="3359"/>
  </r>
  <r>
    <x v="2"/>
    <x v="10"/>
    <x v="10"/>
    <x v="0"/>
    <x v="6"/>
    <x v="1"/>
    <n v="12"/>
    <x v="23"/>
    <n v="2536"/>
  </r>
  <r>
    <x v="2"/>
    <x v="11"/>
    <x v="11"/>
    <x v="1"/>
    <x v="1"/>
    <x v="1"/>
    <n v="12"/>
    <x v="23"/>
    <n v="3939"/>
  </r>
  <r>
    <x v="3"/>
    <x v="4"/>
    <x v="4"/>
    <x v="2"/>
    <x v="2"/>
    <x v="1"/>
    <n v="12"/>
    <x v="23"/>
    <n v="4357"/>
  </r>
  <r>
    <x v="4"/>
    <x v="5"/>
    <x v="5"/>
    <x v="2"/>
    <x v="4"/>
    <x v="1"/>
    <n v="12"/>
    <x v="23"/>
    <n v="2991"/>
  </r>
  <r>
    <x v="3"/>
    <x v="8"/>
    <x v="8"/>
    <x v="0"/>
    <x v="0"/>
    <x v="1"/>
    <n v="12"/>
    <x v="23"/>
    <n v="3330"/>
  </r>
  <r>
    <x v="4"/>
    <x v="9"/>
    <x v="9"/>
    <x v="1"/>
    <x v="7"/>
    <x v="1"/>
    <n v="12"/>
    <x v="23"/>
    <n v="5092"/>
  </r>
  <r>
    <x v="2"/>
    <x v="10"/>
    <x v="10"/>
    <x v="2"/>
    <x v="4"/>
    <x v="1"/>
    <n v="12"/>
    <x v="23"/>
    <n v="3528"/>
  </r>
  <r>
    <x v="2"/>
    <x v="11"/>
    <x v="11"/>
    <x v="0"/>
    <x v="0"/>
    <x v="1"/>
    <n v="12"/>
    <x v="23"/>
    <n v="1776"/>
  </r>
  <r>
    <x v="0"/>
    <x v="0"/>
    <x v="0"/>
    <x v="0"/>
    <x v="0"/>
    <x v="2"/>
    <n v="1"/>
    <x v="24"/>
    <n v="2944"/>
  </r>
  <r>
    <x v="0"/>
    <x v="1"/>
    <x v="1"/>
    <x v="0"/>
    <x v="0"/>
    <x v="2"/>
    <n v="1"/>
    <x v="24"/>
    <n v="2578"/>
  </r>
  <r>
    <x v="0"/>
    <x v="1"/>
    <x v="1"/>
    <x v="1"/>
    <x v="1"/>
    <x v="2"/>
    <n v="1"/>
    <x v="24"/>
    <n v="5361"/>
  </r>
  <r>
    <x v="0"/>
    <x v="0"/>
    <x v="0"/>
    <x v="1"/>
    <x v="1"/>
    <x v="2"/>
    <n v="1"/>
    <x v="24"/>
    <n v="4352"/>
  </r>
  <r>
    <x v="0"/>
    <x v="0"/>
    <x v="0"/>
    <x v="2"/>
    <x v="2"/>
    <x v="2"/>
    <n v="1"/>
    <x v="24"/>
    <n v="4213"/>
  </r>
  <r>
    <x v="1"/>
    <x v="2"/>
    <x v="2"/>
    <x v="2"/>
    <x v="3"/>
    <x v="2"/>
    <n v="1"/>
    <x v="24"/>
    <n v="3165"/>
  </r>
  <r>
    <x v="2"/>
    <x v="3"/>
    <x v="3"/>
    <x v="2"/>
    <x v="4"/>
    <x v="2"/>
    <n v="1"/>
    <x v="24"/>
    <n v="3393"/>
  </r>
  <r>
    <x v="3"/>
    <x v="4"/>
    <x v="4"/>
    <x v="0"/>
    <x v="5"/>
    <x v="2"/>
    <n v="1"/>
    <x v="24"/>
    <n v="1612"/>
  </r>
  <r>
    <x v="4"/>
    <x v="5"/>
    <x v="5"/>
    <x v="0"/>
    <x v="0"/>
    <x v="2"/>
    <n v="1"/>
    <x v="24"/>
    <n v="2834"/>
  </r>
  <r>
    <x v="0"/>
    <x v="1"/>
    <x v="1"/>
    <x v="0"/>
    <x v="6"/>
    <x v="2"/>
    <n v="1"/>
    <x v="24"/>
    <n v="2831"/>
  </r>
  <r>
    <x v="1"/>
    <x v="6"/>
    <x v="6"/>
    <x v="1"/>
    <x v="7"/>
    <x v="2"/>
    <n v="1"/>
    <x v="24"/>
    <n v="6499"/>
  </r>
  <r>
    <x v="2"/>
    <x v="7"/>
    <x v="7"/>
    <x v="1"/>
    <x v="1"/>
    <x v="2"/>
    <n v="1"/>
    <x v="24"/>
    <n v="3486"/>
  </r>
  <r>
    <x v="3"/>
    <x v="8"/>
    <x v="8"/>
    <x v="1"/>
    <x v="8"/>
    <x v="2"/>
    <n v="1"/>
    <x v="24"/>
    <n v="2397"/>
  </r>
  <r>
    <x v="4"/>
    <x v="9"/>
    <x v="9"/>
    <x v="2"/>
    <x v="2"/>
    <x v="2"/>
    <n v="1"/>
    <x v="24"/>
    <n v="4099"/>
  </r>
  <r>
    <x v="0"/>
    <x v="0"/>
    <x v="0"/>
    <x v="2"/>
    <x v="3"/>
    <x v="2"/>
    <n v="1"/>
    <x v="24"/>
    <n v="4556"/>
  </r>
  <r>
    <x v="1"/>
    <x v="2"/>
    <x v="2"/>
    <x v="2"/>
    <x v="4"/>
    <x v="2"/>
    <n v="1"/>
    <x v="24"/>
    <n v="3036"/>
  </r>
  <r>
    <x v="2"/>
    <x v="3"/>
    <x v="3"/>
    <x v="0"/>
    <x v="5"/>
    <x v="2"/>
    <n v="1"/>
    <x v="24"/>
    <n v="1934"/>
  </r>
  <r>
    <x v="3"/>
    <x v="4"/>
    <x v="4"/>
    <x v="0"/>
    <x v="0"/>
    <x v="2"/>
    <n v="1"/>
    <x v="24"/>
    <n v="2876"/>
  </r>
  <r>
    <x v="4"/>
    <x v="5"/>
    <x v="5"/>
    <x v="0"/>
    <x v="6"/>
    <x v="2"/>
    <n v="1"/>
    <x v="24"/>
    <n v="2577"/>
  </r>
  <r>
    <x v="0"/>
    <x v="1"/>
    <x v="1"/>
    <x v="1"/>
    <x v="7"/>
    <x v="2"/>
    <n v="1"/>
    <x v="24"/>
    <n v="6930"/>
  </r>
  <r>
    <x v="1"/>
    <x v="6"/>
    <x v="6"/>
    <x v="1"/>
    <x v="1"/>
    <x v="2"/>
    <n v="1"/>
    <x v="24"/>
    <n v="3869"/>
  </r>
  <r>
    <x v="2"/>
    <x v="7"/>
    <x v="7"/>
    <x v="1"/>
    <x v="8"/>
    <x v="2"/>
    <n v="1"/>
    <x v="24"/>
    <n v="2376"/>
  </r>
  <r>
    <x v="3"/>
    <x v="8"/>
    <x v="8"/>
    <x v="2"/>
    <x v="2"/>
    <x v="2"/>
    <n v="1"/>
    <x v="24"/>
    <n v="4693"/>
  </r>
  <r>
    <x v="4"/>
    <x v="9"/>
    <x v="9"/>
    <x v="2"/>
    <x v="3"/>
    <x v="2"/>
    <n v="1"/>
    <x v="24"/>
    <n v="4622"/>
  </r>
  <r>
    <x v="0"/>
    <x v="0"/>
    <x v="0"/>
    <x v="2"/>
    <x v="4"/>
    <x v="2"/>
    <n v="1"/>
    <x v="24"/>
    <n v="2895"/>
  </r>
  <r>
    <x v="1"/>
    <x v="2"/>
    <x v="2"/>
    <x v="0"/>
    <x v="5"/>
    <x v="2"/>
    <n v="1"/>
    <x v="24"/>
    <n v="2624"/>
  </r>
  <r>
    <x v="2"/>
    <x v="3"/>
    <x v="3"/>
    <x v="0"/>
    <x v="0"/>
    <x v="2"/>
    <n v="1"/>
    <x v="24"/>
    <n v="2569"/>
  </r>
  <r>
    <x v="3"/>
    <x v="4"/>
    <x v="4"/>
    <x v="0"/>
    <x v="6"/>
    <x v="2"/>
    <n v="1"/>
    <x v="24"/>
    <n v="1835"/>
  </r>
  <r>
    <x v="4"/>
    <x v="5"/>
    <x v="5"/>
    <x v="1"/>
    <x v="7"/>
    <x v="2"/>
    <n v="1"/>
    <x v="24"/>
    <n v="4565"/>
  </r>
  <r>
    <x v="1"/>
    <x v="2"/>
    <x v="2"/>
    <x v="1"/>
    <x v="8"/>
    <x v="2"/>
    <n v="1"/>
    <x v="24"/>
    <n v="2871"/>
  </r>
  <r>
    <x v="2"/>
    <x v="7"/>
    <x v="7"/>
    <x v="2"/>
    <x v="2"/>
    <x v="2"/>
    <n v="1"/>
    <x v="24"/>
    <n v="4934"/>
  </r>
  <r>
    <x v="3"/>
    <x v="8"/>
    <x v="8"/>
    <x v="2"/>
    <x v="3"/>
    <x v="2"/>
    <n v="1"/>
    <x v="24"/>
    <n v="4640"/>
  </r>
  <r>
    <x v="4"/>
    <x v="9"/>
    <x v="9"/>
    <x v="2"/>
    <x v="4"/>
    <x v="2"/>
    <n v="1"/>
    <x v="24"/>
    <n v="3889"/>
  </r>
  <r>
    <x v="0"/>
    <x v="0"/>
    <x v="0"/>
    <x v="0"/>
    <x v="5"/>
    <x v="2"/>
    <n v="1"/>
    <x v="24"/>
    <n v="1838"/>
  </r>
  <r>
    <x v="1"/>
    <x v="6"/>
    <x v="6"/>
    <x v="0"/>
    <x v="0"/>
    <x v="2"/>
    <n v="1"/>
    <x v="24"/>
    <n v="2679"/>
  </r>
  <r>
    <x v="2"/>
    <x v="3"/>
    <x v="3"/>
    <x v="0"/>
    <x v="6"/>
    <x v="2"/>
    <n v="1"/>
    <x v="24"/>
    <n v="1273"/>
  </r>
  <r>
    <x v="3"/>
    <x v="4"/>
    <x v="4"/>
    <x v="1"/>
    <x v="7"/>
    <x v="2"/>
    <n v="1"/>
    <x v="24"/>
    <n v="4001"/>
  </r>
  <r>
    <x v="4"/>
    <x v="5"/>
    <x v="5"/>
    <x v="1"/>
    <x v="1"/>
    <x v="2"/>
    <n v="1"/>
    <x v="24"/>
    <n v="4093"/>
  </r>
  <r>
    <x v="0"/>
    <x v="1"/>
    <x v="1"/>
    <x v="1"/>
    <x v="8"/>
    <x v="2"/>
    <n v="1"/>
    <x v="24"/>
    <n v="3075"/>
  </r>
  <r>
    <x v="1"/>
    <x v="2"/>
    <x v="2"/>
    <x v="2"/>
    <x v="2"/>
    <x v="2"/>
    <n v="1"/>
    <x v="24"/>
    <n v="3378"/>
  </r>
  <r>
    <x v="2"/>
    <x v="7"/>
    <x v="7"/>
    <x v="2"/>
    <x v="3"/>
    <x v="2"/>
    <n v="1"/>
    <x v="24"/>
    <n v="4566"/>
  </r>
  <r>
    <x v="3"/>
    <x v="8"/>
    <x v="8"/>
    <x v="2"/>
    <x v="4"/>
    <x v="2"/>
    <n v="1"/>
    <x v="24"/>
    <n v="3448"/>
  </r>
  <r>
    <x v="4"/>
    <x v="9"/>
    <x v="9"/>
    <x v="0"/>
    <x v="5"/>
    <x v="2"/>
    <n v="1"/>
    <x v="24"/>
    <n v="2016"/>
  </r>
  <r>
    <x v="1"/>
    <x v="2"/>
    <x v="2"/>
    <x v="0"/>
    <x v="6"/>
    <x v="2"/>
    <n v="1"/>
    <x v="24"/>
    <n v="1402"/>
  </r>
  <r>
    <x v="2"/>
    <x v="3"/>
    <x v="3"/>
    <x v="1"/>
    <x v="7"/>
    <x v="2"/>
    <n v="1"/>
    <x v="24"/>
    <n v="5803"/>
  </r>
  <r>
    <x v="3"/>
    <x v="8"/>
    <x v="8"/>
    <x v="1"/>
    <x v="1"/>
    <x v="2"/>
    <n v="1"/>
    <x v="24"/>
    <n v="4452"/>
  </r>
  <r>
    <x v="4"/>
    <x v="5"/>
    <x v="5"/>
    <x v="1"/>
    <x v="8"/>
    <x v="2"/>
    <n v="1"/>
    <x v="24"/>
    <n v="3052"/>
  </r>
  <r>
    <x v="0"/>
    <x v="1"/>
    <x v="1"/>
    <x v="2"/>
    <x v="2"/>
    <x v="2"/>
    <n v="1"/>
    <x v="24"/>
    <n v="5032"/>
  </r>
  <r>
    <x v="0"/>
    <x v="1"/>
    <x v="1"/>
    <x v="2"/>
    <x v="3"/>
    <x v="2"/>
    <n v="1"/>
    <x v="24"/>
    <n v="4010"/>
  </r>
  <r>
    <x v="1"/>
    <x v="6"/>
    <x v="6"/>
    <x v="2"/>
    <x v="4"/>
    <x v="2"/>
    <n v="1"/>
    <x v="24"/>
    <n v="3580"/>
  </r>
  <r>
    <x v="1"/>
    <x v="6"/>
    <x v="6"/>
    <x v="0"/>
    <x v="5"/>
    <x v="2"/>
    <n v="1"/>
    <x v="24"/>
    <n v="2073"/>
  </r>
  <r>
    <x v="2"/>
    <x v="7"/>
    <x v="7"/>
    <x v="0"/>
    <x v="0"/>
    <x v="2"/>
    <n v="1"/>
    <x v="24"/>
    <n v="3208"/>
  </r>
  <r>
    <x v="2"/>
    <x v="7"/>
    <x v="7"/>
    <x v="0"/>
    <x v="6"/>
    <x v="2"/>
    <n v="1"/>
    <x v="24"/>
    <n v="2525"/>
  </r>
  <r>
    <x v="2"/>
    <x v="3"/>
    <x v="3"/>
    <x v="1"/>
    <x v="1"/>
    <x v="2"/>
    <n v="1"/>
    <x v="24"/>
    <n v="5599"/>
  </r>
  <r>
    <x v="0"/>
    <x v="0"/>
    <x v="0"/>
    <x v="1"/>
    <x v="8"/>
    <x v="2"/>
    <n v="1"/>
    <x v="24"/>
    <n v="4062"/>
  </r>
  <r>
    <x v="2"/>
    <x v="10"/>
    <x v="10"/>
    <x v="0"/>
    <x v="5"/>
    <x v="2"/>
    <n v="1"/>
    <x v="24"/>
    <n v="1995"/>
  </r>
  <r>
    <x v="2"/>
    <x v="10"/>
    <x v="10"/>
    <x v="0"/>
    <x v="0"/>
    <x v="2"/>
    <n v="1"/>
    <x v="24"/>
    <n v="2637"/>
  </r>
  <r>
    <x v="2"/>
    <x v="11"/>
    <x v="11"/>
    <x v="0"/>
    <x v="6"/>
    <x v="2"/>
    <n v="1"/>
    <x v="24"/>
    <n v="2520"/>
  </r>
  <r>
    <x v="2"/>
    <x v="11"/>
    <x v="11"/>
    <x v="1"/>
    <x v="7"/>
    <x v="2"/>
    <n v="1"/>
    <x v="24"/>
    <n v="5377"/>
  </r>
  <r>
    <x v="3"/>
    <x v="4"/>
    <x v="4"/>
    <x v="1"/>
    <x v="1"/>
    <x v="2"/>
    <n v="1"/>
    <x v="24"/>
    <n v="3781"/>
  </r>
  <r>
    <x v="3"/>
    <x v="4"/>
    <x v="4"/>
    <x v="1"/>
    <x v="8"/>
    <x v="2"/>
    <n v="1"/>
    <x v="24"/>
    <n v="2222"/>
  </r>
  <r>
    <x v="4"/>
    <x v="5"/>
    <x v="5"/>
    <x v="2"/>
    <x v="2"/>
    <x v="2"/>
    <n v="1"/>
    <x v="24"/>
    <n v="3518"/>
  </r>
  <r>
    <x v="4"/>
    <x v="5"/>
    <x v="5"/>
    <x v="2"/>
    <x v="3"/>
    <x v="2"/>
    <n v="1"/>
    <x v="24"/>
    <n v="3964"/>
  </r>
  <r>
    <x v="3"/>
    <x v="8"/>
    <x v="8"/>
    <x v="0"/>
    <x v="5"/>
    <x v="2"/>
    <n v="1"/>
    <x v="24"/>
    <n v="2327"/>
  </r>
  <r>
    <x v="4"/>
    <x v="9"/>
    <x v="9"/>
    <x v="0"/>
    <x v="0"/>
    <x v="2"/>
    <n v="1"/>
    <x v="24"/>
    <n v="1813"/>
  </r>
  <r>
    <x v="4"/>
    <x v="9"/>
    <x v="9"/>
    <x v="0"/>
    <x v="6"/>
    <x v="2"/>
    <n v="1"/>
    <x v="24"/>
    <n v="1881"/>
  </r>
  <r>
    <x v="2"/>
    <x v="7"/>
    <x v="7"/>
    <x v="1"/>
    <x v="7"/>
    <x v="2"/>
    <n v="1"/>
    <x v="24"/>
    <n v="4629"/>
  </r>
  <r>
    <x v="1"/>
    <x v="6"/>
    <x v="6"/>
    <x v="2"/>
    <x v="3"/>
    <x v="2"/>
    <n v="1"/>
    <x v="24"/>
    <n v="2655"/>
  </r>
  <r>
    <x v="0"/>
    <x v="0"/>
    <x v="0"/>
    <x v="0"/>
    <x v="6"/>
    <x v="2"/>
    <n v="1"/>
    <x v="24"/>
    <n v="2619"/>
  </r>
  <r>
    <x v="0"/>
    <x v="0"/>
    <x v="0"/>
    <x v="1"/>
    <x v="7"/>
    <x v="2"/>
    <n v="1"/>
    <x v="24"/>
    <n v="4467"/>
  </r>
  <r>
    <x v="1"/>
    <x v="2"/>
    <x v="2"/>
    <x v="1"/>
    <x v="1"/>
    <x v="2"/>
    <n v="1"/>
    <x v="24"/>
    <n v="4311"/>
  </r>
  <r>
    <x v="2"/>
    <x v="10"/>
    <x v="10"/>
    <x v="2"/>
    <x v="2"/>
    <x v="2"/>
    <n v="1"/>
    <x v="24"/>
    <n v="4723"/>
  </r>
  <r>
    <x v="2"/>
    <x v="10"/>
    <x v="10"/>
    <x v="2"/>
    <x v="3"/>
    <x v="2"/>
    <n v="1"/>
    <x v="24"/>
    <n v="5587"/>
  </r>
  <r>
    <x v="2"/>
    <x v="11"/>
    <x v="11"/>
    <x v="2"/>
    <x v="4"/>
    <x v="2"/>
    <n v="1"/>
    <x v="24"/>
    <n v="2937"/>
  </r>
  <r>
    <x v="2"/>
    <x v="11"/>
    <x v="11"/>
    <x v="0"/>
    <x v="5"/>
    <x v="2"/>
    <n v="1"/>
    <x v="24"/>
    <n v="1628"/>
  </r>
  <r>
    <x v="2"/>
    <x v="7"/>
    <x v="7"/>
    <x v="0"/>
    <x v="5"/>
    <x v="2"/>
    <n v="1"/>
    <x v="24"/>
    <n v="1590"/>
  </r>
  <r>
    <x v="1"/>
    <x v="6"/>
    <x v="6"/>
    <x v="1"/>
    <x v="8"/>
    <x v="2"/>
    <n v="1"/>
    <x v="24"/>
    <n v="2987"/>
  </r>
  <r>
    <x v="2"/>
    <x v="3"/>
    <x v="3"/>
    <x v="2"/>
    <x v="2"/>
    <x v="2"/>
    <n v="1"/>
    <x v="24"/>
    <n v="4309"/>
  </r>
  <r>
    <x v="2"/>
    <x v="3"/>
    <x v="3"/>
    <x v="2"/>
    <x v="3"/>
    <x v="2"/>
    <n v="1"/>
    <x v="24"/>
    <n v="3039"/>
  </r>
  <r>
    <x v="1"/>
    <x v="2"/>
    <x v="2"/>
    <x v="0"/>
    <x v="0"/>
    <x v="2"/>
    <n v="1"/>
    <x v="24"/>
    <n v="1729"/>
  </r>
  <r>
    <x v="2"/>
    <x v="10"/>
    <x v="10"/>
    <x v="1"/>
    <x v="7"/>
    <x v="2"/>
    <n v="1"/>
    <x v="24"/>
    <n v="4965"/>
  </r>
  <r>
    <x v="2"/>
    <x v="10"/>
    <x v="10"/>
    <x v="1"/>
    <x v="1"/>
    <x v="2"/>
    <n v="1"/>
    <x v="24"/>
    <n v="5037"/>
  </r>
  <r>
    <x v="2"/>
    <x v="11"/>
    <x v="11"/>
    <x v="1"/>
    <x v="8"/>
    <x v="2"/>
    <n v="1"/>
    <x v="24"/>
    <n v="3203"/>
  </r>
  <r>
    <x v="2"/>
    <x v="11"/>
    <x v="11"/>
    <x v="2"/>
    <x v="2"/>
    <x v="2"/>
    <n v="1"/>
    <x v="24"/>
    <n v="4020"/>
  </r>
  <r>
    <x v="3"/>
    <x v="4"/>
    <x v="4"/>
    <x v="2"/>
    <x v="3"/>
    <x v="2"/>
    <n v="1"/>
    <x v="24"/>
    <n v="3570"/>
  </r>
  <r>
    <x v="3"/>
    <x v="4"/>
    <x v="4"/>
    <x v="2"/>
    <x v="4"/>
    <x v="2"/>
    <n v="1"/>
    <x v="24"/>
    <n v="3155"/>
  </r>
  <r>
    <x v="4"/>
    <x v="5"/>
    <x v="5"/>
    <x v="0"/>
    <x v="5"/>
    <x v="2"/>
    <n v="1"/>
    <x v="24"/>
    <n v="2760"/>
  </r>
  <r>
    <x v="3"/>
    <x v="8"/>
    <x v="8"/>
    <x v="0"/>
    <x v="6"/>
    <x v="2"/>
    <n v="1"/>
    <x v="24"/>
    <n v="1856"/>
  </r>
  <r>
    <x v="3"/>
    <x v="8"/>
    <x v="8"/>
    <x v="1"/>
    <x v="7"/>
    <x v="2"/>
    <n v="1"/>
    <x v="24"/>
    <n v="6907"/>
  </r>
  <r>
    <x v="4"/>
    <x v="9"/>
    <x v="9"/>
    <x v="1"/>
    <x v="1"/>
    <x v="2"/>
    <n v="1"/>
    <x v="24"/>
    <n v="5039"/>
  </r>
  <r>
    <x v="4"/>
    <x v="9"/>
    <x v="9"/>
    <x v="1"/>
    <x v="8"/>
    <x v="2"/>
    <n v="1"/>
    <x v="24"/>
    <n v="3883"/>
  </r>
  <r>
    <x v="0"/>
    <x v="1"/>
    <x v="1"/>
    <x v="2"/>
    <x v="4"/>
    <x v="2"/>
    <n v="1"/>
    <x v="24"/>
    <n v="3505"/>
  </r>
  <r>
    <x v="0"/>
    <x v="1"/>
    <x v="1"/>
    <x v="0"/>
    <x v="5"/>
    <x v="2"/>
    <n v="1"/>
    <x v="24"/>
    <n v="2593"/>
  </r>
  <r>
    <x v="1"/>
    <x v="6"/>
    <x v="6"/>
    <x v="0"/>
    <x v="6"/>
    <x v="2"/>
    <n v="1"/>
    <x v="24"/>
    <n v="2294"/>
  </r>
  <r>
    <x v="2"/>
    <x v="10"/>
    <x v="10"/>
    <x v="1"/>
    <x v="8"/>
    <x v="2"/>
    <n v="1"/>
    <x v="24"/>
    <n v="2578"/>
  </r>
  <r>
    <x v="2"/>
    <x v="11"/>
    <x v="11"/>
    <x v="2"/>
    <x v="3"/>
    <x v="2"/>
    <n v="1"/>
    <x v="24"/>
    <n v="2757"/>
  </r>
  <r>
    <x v="2"/>
    <x v="7"/>
    <x v="7"/>
    <x v="2"/>
    <x v="4"/>
    <x v="2"/>
    <n v="1"/>
    <x v="24"/>
    <n v="3113"/>
  </r>
  <r>
    <x v="2"/>
    <x v="3"/>
    <x v="3"/>
    <x v="1"/>
    <x v="8"/>
    <x v="2"/>
    <n v="1"/>
    <x v="24"/>
    <n v="2613"/>
  </r>
  <r>
    <x v="2"/>
    <x v="10"/>
    <x v="10"/>
    <x v="0"/>
    <x v="6"/>
    <x v="2"/>
    <n v="1"/>
    <x v="24"/>
    <n v="2027"/>
  </r>
  <r>
    <x v="2"/>
    <x v="11"/>
    <x v="11"/>
    <x v="1"/>
    <x v="1"/>
    <x v="2"/>
    <n v="1"/>
    <x v="24"/>
    <n v="4278"/>
  </r>
  <r>
    <x v="3"/>
    <x v="4"/>
    <x v="4"/>
    <x v="2"/>
    <x v="2"/>
    <x v="2"/>
    <n v="1"/>
    <x v="24"/>
    <n v="5018"/>
  </r>
  <r>
    <x v="4"/>
    <x v="5"/>
    <x v="5"/>
    <x v="2"/>
    <x v="4"/>
    <x v="2"/>
    <n v="1"/>
    <x v="24"/>
    <n v="3309"/>
  </r>
  <r>
    <x v="3"/>
    <x v="8"/>
    <x v="8"/>
    <x v="0"/>
    <x v="0"/>
    <x v="2"/>
    <n v="1"/>
    <x v="24"/>
    <n v="3210"/>
  </r>
  <r>
    <x v="4"/>
    <x v="9"/>
    <x v="9"/>
    <x v="1"/>
    <x v="7"/>
    <x v="2"/>
    <n v="1"/>
    <x v="24"/>
    <n v="6241"/>
  </r>
  <r>
    <x v="2"/>
    <x v="10"/>
    <x v="10"/>
    <x v="2"/>
    <x v="4"/>
    <x v="2"/>
    <n v="1"/>
    <x v="24"/>
    <n v="3697"/>
  </r>
  <r>
    <x v="2"/>
    <x v="11"/>
    <x v="11"/>
    <x v="0"/>
    <x v="0"/>
    <x v="2"/>
    <n v="1"/>
    <x v="24"/>
    <n v="2971"/>
  </r>
  <r>
    <x v="0"/>
    <x v="0"/>
    <x v="0"/>
    <x v="0"/>
    <x v="0"/>
    <x v="2"/>
    <n v="2"/>
    <x v="25"/>
    <n v="2058"/>
  </r>
  <r>
    <x v="0"/>
    <x v="1"/>
    <x v="1"/>
    <x v="0"/>
    <x v="0"/>
    <x v="2"/>
    <n v="2"/>
    <x v="25"/>
    <n v="2812"/>
  </r>
  <r>
    <x v="0"/>
    <x v="1"/>
    <x v="1"/>
    <x v="1"/>
    <x v="1"/>
    <x v="2"/>
    <n v="2"/>
    <x v="25"/>
    <n v="4702"/>
  </r>
  <r>
    <x v="0"/>
    <x v="0"/>
    <x v="0"/>
    <x v="1"/>
    <x v="1"/>
    <x v="2"/>
    <n v="2"/>
    <x v="25"/>
    <n v="5078"/>
  </r>
  <r>
    <x v="0"/>
    <x v="0"/>
    <x v="0"/>
    <x v="2"/>
    <x v="2"/>
    <x v="2"/>
    <n v="2"/>
    <x v="25"/>
    <n v="3893"/>
  </r>
  <r>
    <x v="1"/>
    <x v="2"/>
    <x v="2"/>
    <x v="2"/>
    <x v="3"/>
    <x v="2"/>
    <n v="2"/>
    <x v="25"/>
    <n v="4631"/>
  </r>
  <r>
    <x v="2"/>
    <x v="3"/>
    <x v="3"/>
    <x v="2"/>
    <x v="4"/>
    <x v="2"/>
    <n v="2"/>
    <x v="25"/>
    <n v="3653"/>
  </r>
  <r>
    <x v="3"/>
    <x v="4"/>
    <x v="4"/>
    <x v="0"/>
    <x v="5"/>
    <x v="2"/>
    <n v="2"/>
    <x v="25"/>
    <n v="2554"/>
  </r>
  <r>
    <x v="4"/>
    <x v="5"/>
    <x v="5"/>
    <x v="0"/>
    <x v="0"/>
    <x v="2"/>
    <n v="2"/>
    <x v="25"/>
    <n v="3274"/>
  </r>
  <r>
    <x v="0"/>
    <x v="1"/>
    <x v="1"/>
    <x v="0"/>
    <x v="6"/>
    <x v="2"/>
    <n v="2"/>
    <x v="25"/>
    <n v="1676"/>
  </r>
  <r>
    <x v="1"/>
    <x v="6"/>
    <x v="6"/>
    <x v="1"/>
    <x v="7"/>
    <x v="2"/>
    <n v="2"/>
    <x v="25"/>
    <n v="5139"/>
  </r>
  <r>
    <x v="2"/>
    <x v="7"/>
    <x v="7"/>
    <x v="1"/>
    <x v="1"/>
    <x v="2"/>
    <n v="2"/>
    <x v="25"/>
    <n v="5450"/>
  </r>
  <r>
    <x v="3"/>
    <x v="8"/>
    <x v="8"/>
    <x v="1"/>
    <x v="8"/>
    <x v="2"/>
    <n v="2"/>
    <x v="25"/>
    <n v="3177"/>
  </r>
  <r>
    <x v="4"/>
    <x v="9"/>
    <x v="9"/>
    <x v="2"/>
    <x v="2"/>
    <x v="2"/>
    <n v="2"/>
    <x v="25"/>
    <n v="4708"/>
  </r>
  <r>
    <x v="0"/>
    <x v="0"/>
    <x v="0"/>
    <x v="2"/>
    <x v="3"/>
    <x v="2"/>
    <n v="2"/>
    <x v="25"/>
    <n v="5417"/>
  </r>
  <r>
    <x v="1"/>
    <x v="2"/>
    <x v="2"/>
    <x v="2"/>
    <x v="4"/>
    <x v="2"/>
    <n v="2"/>
    <x v="25"/>
    <n v="3834"/>
  </r>
  <r>
    <x v="2"/>
    <x v="3"/>
    <x v="3"/>
    <x v="0"/>
    <x v="5"/>
    <x v="2"/>
    <n v="2"/>
    <x v="25"/>
    <n v="2063"/>
  </r>
  <r>
    <x v="3"/>
    <x v="4"/>
    <x v="4"/>
    <x v="0"/>
    <x v="0"/>
    <x v="2"/>
    <n v="2"/>
    <x v="25"/>
    <n v="2766"/>
  </r>
  <r>
    <x v="4"/>
    <x v="5"/>
    <x v="5"/>
    <x v="0"/>
    <x v="6"/>
    <x v="2"/>
    <n v="2"/>
    <x v="25"/>
    <n v="2693"/>
  </r>
  <r>
    <x v="0"/>
    <x v="1"/>
    <x v="1"/>
    <x v="1"/>
    <x v="7"/>
    <x v="2"/>
    <n v="2"/>
    <x v="25"/>
    <n v="4425"/>
  </r>
  <r>
    <x v="1"/>
    <x v="6"/>
    <x v="6"/>
    <x v="1"/>
    <x v="1"/>
    <x v="2"/>
    <n v="2"/>
    <x v="25"/>
    <n v="4927"/>
  </r>
  <r>
    <x v="2"/>
    <x v="7"/>
    <x v="7"/>
    <x v="1"/>
    <x v="8"/>
    <x v="2"/>
    <n v="2"/>
    <x v="25"/>
    <n v="3380"/>
  </r>
  <r>
    <x v="3"/>
    <x v="8"/>
    <x v="8"/>
    <x v="2"/>
    <x v="2"/>
    <x v="2"/>
    <n v="2"/>
    <x v="25"/>
    <n v="3836"/>
  </r>
  <r>
    <x v="4"/>
    <x v="9"/>
    <x v="9"/>
    <x v="2"/>
    <x v="3"/>
    <x v="2"/>
    <n v="2"/>
    <x v="25"/>
    <n v="2614"/>
  </r>
  <r>
    <x v="0"/>
    <x v="0"/>
    <x v="0"/>
    <x v="2"/>
    <x v="4"/>
    <x v="2"/>
    <n v="2"/>
    <x v="25"/>
    <n v="2882"/>
  </r>
  <r>
    <x v="1"/>
    <x v="2"/>
    <x v="2"/>
    <x v="0"/>
    <x v="5"/>
    <x v="2"/>
    <n v="2"/>
    <x v="25"/>
    <n v="2913"/>
  </r>
  <r>
    <x v="2"/>
    <x v="3"/>
    <x v="3"/>
    <x v="0"/>
    <x v="0"/>
    <x v="2"/>
    <n v="2"/>
    <x v="25"/>
    <n v="1767"/>
  </r>
  <r>
    <x v="3"/>
    <x v="4"/>
    <x v="4"/>
    <x v="0"/>
    <x v="6"/>
    <x v="2"/>
    <n v="2"/>
    <x v="25"/>
    <n v="1833"/>
  </r>
  <r>
    <x v="4"/>
    <x v="5"/>
    <x v="5"/>
    <x v="1"/>
    <x v="7"/>
    <x v="2"/>
    <n v="2"/>
    <x v="25"/>
    <n v="6040"/>
  </r>
  <r>
    <x v="1"/>
    <x v="2"/>
    <x v="2"/>
    <x v="1"/>
    <x v="8"/>
    <x v="2"/>
    <n v="2"/>
    <x v="25"/>
    <n v="3276"/>
  </r>
  <r>
    <x v="2"/>
    <x v="7"/>
    <x v="7"/>
    <x v="2"/>
    <x v="2"/>
    <x v="2"/>
    <n v="2"/>
    <x v="25"/>
    <n v="4501"/>
  </r>
  <r>
    <x v="3"/>
    <x v="8"/>
    <x v="8"/>
    <x v="2"/>
    <x v="3"/>
    <x v="2"/>
    <n v="2"/>
    <x v="25"/>
    <n v="4176"/>
  </r>
  <r>
    <x v="4"/>
    <x v="9"/>
    <x v="9"/>
    <x v="2"/>
    <x v="4"/>
    <x v="2"/>
    <n v="2"/>
    <x v="25"/>
    <n v="4084"/>
  </r>
  <r>
    <x v="0"/>
    <x v="0"/>
    <x v="0"/>
    <x v="0"/>
    <x v="5"/>
    <x v="2"/>
    <n v="2"/>
    <x v="25"/>
    <n v="1590"/>
  </r>
  <r>
    <x v="1"/>
    <x v="6"/>
    <x v="6"/>
    <x v="0"/>
    <x v="0"/>
    <x v="2"/>
    <n v="2"/>
    <x v="25"/>
    <n v="2958"/>
  </r>
  <r>
    <x v="2"/>
    <x v="3"/>
    <x v="3"/>
    <x v="0"/>
    <x v="6"/>
    <x v="2"/>
    <n v="2"/>
    <x v="25"/>
    <n v="1267"/>
  </r>
  <r>
    <x v="3"/>
    <x v="4"/>
    <x v="4"/>
    <x v="1"/>
    <x v="7"/>
    <x v="2"/>
    <n v="2"/>
    <x v="25"/>
    <n v="5025"/>
  </r>
  <r>
    <x v="4"/>
    <x v="5"/>
    <x v="5"/>
    <x v="1"/>
    <x v="1"/>
    <x v="2"/>
    <n v="2"/>
    <x v="25"/>
    <n v="4781"/>
  </r>
  <r>
    <x v="0"/>
    <x v="1"/>
    <x v="1"/>
    <x v="1"/>
    <x v="8"/>
    <x v="2"/>
    <n v="2"/>
    <x v="25"/>
    <n v="2144"/>
  </r>
  <r>
    <x v="1"/>
    <x v="2"/>
    <x v="2"/>
    <x v="2"/>
    <x v="2"/>
    <x v="2"/>
    <n v="2"/>
    <x v="25"/>
    <n v="3465"/>
  </r>
  <r>
    <x v="2"/>
    <x v="7"/>
    <x v="7"/>
    <x v="2"/>
    <x v="3"/>
    <x v="2"/>
    <n v="2"/>
    <x v="25"/>
    <n v="3754"/>
  </r>
  <r>
    <x v="3"/>
    <x v="8"/>
    <x v="8"/>
    <x v="2"/>
    <x v="4"/>
    <x v="2"/>
    <n v="2"/>
    <x v="25"/>
    <n v="2967"/>
  </r>
  <r>
    <x v="4"/>
    <x v="9"/>
    <x v="9"/>
    <x v="0"/>
    <x v="5"/>
    <x v="2"/>
    <n v="2"/>
    <x v="25"/>
    <n v="2892"/>
  </r>
  <r>
    <x v="1"/>
    <x v="2"/>
    <x v="2"/>
    <x v="0"/>
    <x v="6"/>
    <x v="2"/>
    <n v="2"/>
    <x v="25"/>
    <n v="2144"/>
  </r>
  <r>
    <x v="2"/>
    <x v="3"/>
    <x v="3"/>
    <x v="1"/>
    <x v="7"/>
    <x v="2"/>
    <n v="2"/>
    <x v="25"/>
    <n v="6976"/>
  </r>
  <r>
    <x v="3"/>
    <x v="8"/>
    <x v="8"/>
    <x v="1"/>
    <x v="1"/>
    <x v="2"/>
    <n v="2"/>
    <x v="25"/>
    <n v="4842"/>
  </r>
  <r>
    <x v="4"/>
    <x v="5"/>
    <x v="5"/>
    <x v="1"/>
    <x v="8"/>
    <x v="2"/>
    <n v="2"/>
    <x v="25"/>
    <n v="4105"/>
  </r>
  <r>
    <x v="0"/>
    <x v="1"/>
    <x v="1"/>
    <x v="2"/>
    <x v="2"/>
    <x v="2"/>
    <n v="2"/>
    <x v="25"/>
    <n v="4253"/>
  </r>
  <r>
    <x v="0"/>
    <x v="1"/>
    <x v="1"/>
    <x v="2"/>
    <x v="3"/>
    <x v="2"/>
    <n v="2"/>
    <x v="25"/>
    <n v="4912"/>
  </r>
  <r>
    <x v="1"/>
    <x v="6"/>
    <x v="6"/>
    <x v="2"/>
    <x v="4"/>
    <x v="2"/>
    <n v="2"/>
    <x v="25"/>
    <n v="3056"/>
  </r>
  <r>
    <x v="1"/>
    <x v="6"/>
    <x v="6"/>
    <x v="0"/>
    <x v="5"/>
    <x v="2"/>
    <n v="2"/>
    <x v="25"/>
    <n v="2361"/>
  </r>
  <r>
    <x v="2"/>
    <x v="7"/>
    <x v="7"/>
    <x v="0"/>
    <x v="0"/>
    <x v="2"/>
    <n v="2"/>
    <x v="25"/>
    <n v="1740"/>
  </r>
  <r>
    <x v="2"/>
    <x v="7"/>
    <x v="7"/>
    <x v="0"/>
    <x v="6"/>
    <x v="2"/>
    <n v="2"/>
    <x v="25"/>
    <n v="2744"/>
  </r>
  <r>
    <x v="2"/>
    <x v="3"/>
    <x v="3"/>
    <x v="1"/>
    <x v="1"/>
    <x v="2"/>
    <n v="2"/>
    <x v="25"/>
    <n v="2651"/>
  </r>
  <r>
    <x v="0"/>
    <x v="0"/>
    <x v="0"/>
    <x v="1"/>
    <x v="8"/>
    <x v="2"/>
    <n v="2"/>
    <x v="25"/>
    <n v="2177"/>
  </r>
  <r>
    <x v="2"/>
    <x v="10"/>
    <x v="10"/>
    <x v="0"/>
    <x v="5"/>
    <x v="2"/>
    <n v="2"/>
    <x v="25"/>
    <n v="2710"/>
  </r>
  <r>
    <x v="2"/>
    <x v="10"/>
    <x v="10"/>
    <x v="0"/>
    <x v="0"/>
    <x v="2"/>
    <n v="2"/>
    <x v="25"/>
    <n v="2514"/>
  </r>
  <r>
    <x v="2"/>
    <x v="11"/>
    <x v="11"/>
    <x v="0"/>
    <x v="6"/>
    <x v="2"/>
    <n v="2"/>
    <x v="25"/>
    <n v="1428"/>
  </r>
  <r>
    <x v="2"/>
    <x v="11"/>
    <x v="11"/>
    <x v="1"/>
    <x v="7"/>
    <x v="2"/>
    <n v="2"/>
    <x v="25"/>
    <n v="4056"/>
  </r>
  <r>
    <x v="3"/>
    <x v="4"/>
    <x v="4"/>
    <x v="1"/>
    <x v="1"/>
    <x v="2"/>
    <n v="2"/>
    <x v="25"/>
    <n v="3088"/>
  </r>
  <r>
    <x v="3"/>
    <x v="4"/>
    <x v="4"/>
    <x v="1"/>
    <x v="8"/>
    <x v="2"/>
    <n v="2"/>
    <x v="25"/>
    <n v="3321"/>
  </r>
  <r>
    <x v="4"/>
    <x v="5"/>
    <x v="5"/>
    <x v="2"/>
    <x v="2"/>
    <x v="2"/>
    <n v="2"/>
    <x v="25"/>
    <n v="3855"/>
  </r>
  <r>
    <x v="4"/>
    <x v="5"/>
    <x v="5"/>
    <x v="2"/>
    <x v="3"/>
    <x v="2"/>
    <n v="2"/>
    <x v="25"/>
    <n v="3290"/>
  </r>
  <r>
    <x v="3"/>
    <x v="8"/>
    <x v="8"/>
    <x v="0"/>
    <x v="5"/>
    <x v="2"/>
    <n v="2"/>
    <x v="25"/>
    <n v="1820"/>
  </r>
  <r>
    <x v="4"/>
    <x v="9"/>
    <x v="9"/>
    <x v="0"/>
    <x v="0"/>
    <x v="2"/>
    <n v="2"/>
    <x v="25"/>
    <n v="2188"/>
  </r>
  <r>
    <x v="4"/>
    <x v="9"/>
    <x v="9"/>
    <x v="0"/>
    <x v="6"/>
    <x v="2"/>
    <n v="2"/>
    <x v="25"/>
    <n v="2390"/>
  </r>
  <r>
    <x v="2"/>
    <x v="7"/>
    <x v="7"/>
    <x v="1"/>
    <x v="7"/>
    <x v="2"/>
    <n v="2"/>
    <x v="25"/>
    <n v="4184"/>
  </r>
  <r>
    <x v="1"/>
    <x v="6"/>
    <x v="6"/>
    <x v="2"/>
    <x v="3"/>
    <x v="2"/>
    <n v="2"/>
    <x v="25"/>
    <n v="4230"/>
  </r>
  <r>
    <x v="0"/>
    <x v="0"/>
    <x v="0"/>
    <x v="0"/>
    <x v="6"/>
    <x v="2"/>
    <n v="2"/>
    <x v="25"/>
    <n v="1413"/>
  </r>
  <r>
    <x v="0"/>
    <x v="0"/>
    <x v="0"/>
    <x v="1"/>
    <x v="7"/>
    <x v="2"/>
    <n v="2"/>
    <x v="25"/>
    <n v="6701"/>
  </r>
  <r>
    <x v="1"/>
    <x v="2"/>
    <x v="2"/>
    <x v="1"/>
    <x v="1"/>
    <x v="2"/>
    <n v="2"/>
    <x v="25"/>
    <n v="4959"/>
  </r>
  <r>
    <x v="2"/>
    <x v="10"/>
    <x v="10"/>
    <x v="2"/>
    <x v="2"/>
    <x v="2"/>
    <n v="2"/>
    <x v="25"/>
    <n v="5050"/>
  </r>
  <r>
    <x v="2"/>
    <x v="10"/>
    <x v="10"/>
    <x v="2"/>
    <x v="3"/>
    <x v="2"/>
    <n v="2"/>
    <x v="25"/>
    <n v="3766"/>
  </r>
  <r>
    <x v="2"/>
    <x v="11"/>
    <x v="11"/>
    <x v="2"/>
    <x v="4"/>
    <x v="2"/>
    <n v="2"/>
    <x v="25"/>
    <n v="3381"/>
  </r>
  <r>
    <x v="2"/>
    <x v="11"/>
    <x v="11"/>
    <x v="0"/>
    <x v="5"/>
    <x v="2"/>
    <n v="2"/>
    <x v="25"/>
    <n v="1550"/>
  </r>
  <r>
    <x v="2"/>
    <x v="7"/>
    <x v="7"/>
    <x v="0"/>
    <x v="5"/>
    <x v="2"/>
    <n v="2"/>
    <x v="25"/>
    <n v="2757"/>
  </r>
  <r>
    <x v="1"/>
    <x v="6"/>
    <x v="6"/>
    <x v="1"/>
    <x v="8"/>
    <x v="2"/>
    <n v="2"/>
    <x v="25"/>
    <n v="4446"/>
  </r>
  <r>
    <x v="2"/>
    <x v="3"/>
    <x v="3"/>
    <x v="2"/>
    <x v="2"/>
    <x v="2"/>
    <n v="2"/>
    <x v="25"/>
    <n v="3340"/>
  </r>
  <r>
    <x v="2"/>
    <x v="3"/>
    <x v="3"/>
    <x v="2"/>
    <x v="3"/>
    <x v="2"/>
    <n v="2"/>
    <x v="25"/>
    <n v="4961"/>
  </r>
  <r>
    <x v="1"/>
    <x v="2"/>
    <x v="2"/>
    <x v="0"/>
    <x v="0"/>
    <x v="2"/>
    <n v="2"/>
    <x v="25"/>
    <n v="1541"/>
  </r>
  <r>
    <x v="2"/>
    <x v="10"/>
    <x v="10"/>
    <x v="1"/>
    <x v="7"/>
    <x v="2"/>
    <n v="2"/>
    <x v="25"/>
    <n v="6142"/>
  </r>
  <r>
    <x v="2"/>
    <x v="10"/>
    <x v="10"/>
    <x v="1"/>
    <x v="1"/>
    <x v="2"/>
    <n v="2"/>
    <x v="25"/>
    <n v="5491"/>
  </r>
  <r>
    <x v="2"/>
    <x v="11"/>
    <x v="11"/>
    <x v="1"/>
    <x v="8"/>
    <x v="2"/>
    <n v="2"/>
    <x v="25"/>
    <n v="3334"/>
  </r>
  <r>
    <x v="2"/>
    <x v="11"/>
    <x v="11"/>
    <x v="2"/>
    <x v="2"/>
    <x v="2"/>
    <n v="2"/>
    <x v="25"/>
    <n v="3559"/>
  </r>
  <r>
    <x v="3"/>
    <x v="4"/>
    <x v="4"/>
    <x v="2"/>
    <x v="3"/>
    <x v="2"/>
    <n v="2"/>
    <x v="25"/>
    <n v="3824"/>
  </r>
  <r>
    <x v="3"/>
    <x v="4"/>
    <x v="4"/>
    <x v="2"/>
    <x v="4"/>
    <x v="2"/>
    <n v="2"/>
    <x v="25"/>
    <n v="4060"/>
  </r>
  <r>
    <x v="4"/>
    <x v="5"/>
    <x v="5"/>
    <x v="0"/>
    <x v="5"/>
    <x v="2"/>
    <n v="2"/>
    <x v="25"/>
    <n v="2186"/>
  </r>
  <r>
    <x v="3"/>
    <x v="8"/>
    <x v="8"/>
    <x v="0"/>
    <x v="6"/>
    <x v="2"/>
    <n v="2"/>
    <x v="25"/>
    <n v="2783"/>
  </r>
  <r>
    <x v="3"/>
    <x v="8"/>
    <x v="8"/>
    <x v="1"/>
    <x v="7"/>
    <x v="2"/>
    <n v="2"/>
    <x v="25"/>
    <n v="5740"/>
  </r>
  <r>
    <x v="4"/>
    <x v="9"/>
    <x v="9"/>
    <x v="1"/>
    <x v="1"/>
    <x v="2"/>
    <n v="2"/>
    <x v="25"/>
    <n v="5435"/>
  </r>
  <r>
    <x v="4"/>
    <x v="9"/>
    <x v="9"/>
    <x v="1"/>
    <x v="8"/>
    <x v="2"/>
    <n v="2"/>
    <x v="25"/>
    <n v="3781"/>
  </r>
  <r>
    <x v="0"/>
    <x v="1"/>
    <x v="1"/>
    <x v="2"/>
    <x v="4"/>
    <x v="2"/>
    <n v="2"/>
    <x v="25"/>
    <n v="3903"/>
  </r>
  <r>
    <x v="0"/>
    <x v="1"/>
    <x v="1"/>
    <x v="0"/>
    <x v="5"/>
    <x v="2"/>
    <n v="2"/>
    <x v="25"/>
    <n v="2571"/>
  </r>
  <r>
    <x v="1"/>
    <x v="6"/>
    <x v="6"/>
    <x v="0"/>
    <x v="6"/>
    <x v="2"/>
    <n v="2"/>
    <x v="25"/>
    <n v="2459"/>
  </r>
  <r>
    <x v="2"/>
    <x v="10"/>
    <x v="10"/>
    <x v="1"/>
    <x v="8"/>
    <x v="2"/>
    <n v="2"/>
    <x v="25"/>
    <n v="2925"/>
  </r>
  <r>
    <x v="2"/>
    <x v="11"/>
    <x v="11"/>
    <x v="2"/>
    <x v="3"/>
    <x v="2"/>
    <n v="2"/>
    <x v="25"/>
    <n v="4428"/>
  </r>
  <r>
    <x v="2"/>
    <x v="7"/>
    <x v="7"/>
    <x v="2"/>
    <x v="4"/>
    <x v="2"/>
    <n v="2"/>
    <x v="25"/>
    <n v="2978"/>
  </r>
  <r>
    <x v="2"/>
    <x v="3"/>
    <x v="3"/>
    <x v="1"/>
    <x v="8"/>
    <x v="2"/>
    <n v="2"/>
    <x v="25"/>
    <n v="4259"/>
  </r>
  <r>
    <x v="2"/>
    <x v="10"/>
    <x v="10"/>
    <x v="0"/>
    <x v="6"/>
    <x v="2"/>
    <n v="2"/>
    <x v="25"/>
    <n v="1356"/>
  </r>
  <r>
    <x v="2"/>
    <x v="11"/>
    <x v="11"/>
    <x v="1"/>
    <x v="1"/>
    <x v="2"/>
    <n v="2"/>
    <x v="25"/>
    <n v="4286"/>
  </r>
  <r>
    <x v="3"/>
    <x v="4"/>
    <x v="4"/>
    <x v="2"/>
    <x v="2"/>
    <x v="2"/>
    <n v="2"/>
    <x v="25"/>
    <n v="3727"/>
  </r>
  <r>
    <x v="4"/>
    <x v="5"/>
    <x v="5"/>
    <x v="2"/>
    <x v="4"/>
    <x v="2"/>
    <n v="2"/>
    <x v="25"/>
    <n v="4032"/>
  </r>
  <r>
    <x v="3"/>
    <x v="8"/>
    <x v="8"/>
    <x v="0"/>
    <x v="0"/>
    <x v="2"/>
    <n v="2"/>
    <x v="25"/>
    <n v="2072"/>
  </r>
  <r>
    <x v="4"/>
    <x v="9"/>
    <x v="9"/>
    <x v="1"/>
    <x v="7"/>
    <x v="2"/>
    <n v="2"/>
    <x v="25"/>
    <n v="4860"/>
  </r>
  <r>
    <x v="2"/>
    <x v="10"/>
    <x v="10"/>
    <x v="2"/>
    <x v="4"/>
    <x v="2"/>
    <n v="2"/>
    <x v="25"/>
    <n v="3972"/>
  </r>
  <r>
    <x v="2"/>
    <x v="11"/>
    <x v="11"/>
    <x v="0"/>
    <x v="0"/>
    <x v="2"/>
    <n v="2"/>
    <x v="25"/>
    <n v="2872"/>
  </r>
  <r>
    <x v="0"/>
    <x v="0"/>
    <x v="0"/>
    <x v="0"/>
    <x v="0"/>
    <x v="2"/>
    <n v="3"/>
    <x v="26"/>
    <n v="2380"/>
  </r>
  <r>
    <x v="0"/>
    <x v="1"/>
    <x v="1"/>
    <x v="0"/>
    <x v="0"/>
    <x v="2"/>
    <n v="3"/>
    <x v="26"/>
    <n v="2211"/>
  </r>
  <r>
    <x v="0"/>
    <x v="1"/>
    <x v="1"/>
    <x v="1"/>
    <x v="1"/>
    <x v="2"/>
    <n v="3"/>
    <x v="26"/>
    <n v="4101"/>
  </r>
  <r>
    <x v="0"/>
    <x v="0"/>
    <x v="0"/>
    <x v="1"/>
    <x v="1"/>
    <x v="2"/>
    <n v="3"/>
    <x v="26"/>
    <n v="5232"/>
  </r>
  <r>
    <x v="0"/>
    <x v="0"/>
    <x v="0"/>
    <x v="2"/>
    <x v="2"/>
    <x v="2"/>
    <n v="3"/>
    <x v="26"/>
    <n v="4118"/>
  </r>
  <r>
    <x v="1"/>
    <x v="2"/>
    <x v="2"/>
    <x v="2"/>
    <x v="3"/>
    <x v="2"/>
    <n v="3"/>
    <x v="26"/>
    <n v="4626"/>
  </r>
  <r>
    <x v="2"/>
    <x v="3"/>
    <x v="3"/>
    <x v="2"/>
    <x v="4"/>
    <x v="2"/>
    <n v="3"/>
    <x v="26"/>
    <n v="2887"/>
  </r>
  <r>
    <x v="3"/>
    <x v="4"/>
    <x v="4"/>
    <x v="0"/>
    <x v="5"/>
    <x v="2"/>
    <n v="3"/>
    <x v="26"/>
    <n v="2814"/>
  </r>
  <r>
    <x v="4"/>
    <x v="5"/>
    <x v="5"/>
    <x v="0"/>
    <x v="0"/>
    <x v="2"/>
    <n v="3"/>
    <x v="26"/>
    <n v="2296"/>
  </r>
  <r>
    <x v="0"/>
    <x v="1"/>
    <x v="1"/>
    <x v="0"/>
    <x v="6"/>
    <x v="2"/>
    <n v="3"/>
    <x v="26"/>
    <n v="2503"/>
  </r>
  <r>
    <x v="1"/>
    <x v="6"/>
    <x v="6"/>
    <x v="1"/>
    <x v="7"/>
    <x v="2"/>
    <n v="3"/>
    <x v="26"/>
    <n v="6530"/>
  </r>
  <r>
    <x v="2"/>
    <x v="7"/>
    <x v="7"/>
    <x v="1"/>
    <x v="1"/>
    <x v="2"/>
    <n v="3"/>
    <x v="26"/>
    <n v="3238"/>
  </r>
  <r>
    <x v="3"/>
    <x v="8"/>
    <x v="8"/>
    <x v="1"/>
    <x v="8"/>
    <x v="2"/>
    <n v="3"/>
    <x v="26"/>
    <n v="3889"/>
  </r>
  <r>
    <x v="4"/>
    <x v="9"/>
    <x v="9"/>
    <x v="2"/>
    <x v="2"/>
    <x v="2"/>
    <n v="3"/>
    <x v="26"/>
    <n v="4739"/>
  </r>
  <r>
    <x v="0"/>
    <x v="0"/>
    <x v="0"/>
    <x v="2"/>
    <x v="3"/>
    <x v="2"/>
    <n v="3"/>
    <x v="26"/>
    <n v="5509"/>
  </r>
  <r>
    <x v="1"/>
    <x v="2"/>
    <x v="2"/>
    <x v="2"/>
    <x v="4"/>
    <x v="2"/>
    <n v="3"/>
    <x v="26"/>
    <n v="3647"/>
  </r>
  <r>
    <x v="2"/>
    <x v="3"/>
    <x v="3"/>
    <x v="0"/>
    <x v="5"/>
    <x v="2"/>
    <n v="3"/>
    <x v="26"/>
    <n v="1602"/>
  </r>
  <r>
    <x v="3"/>
    <x v="4"/>
    <x v="4"/>
    <x v="0"/>
    <x v="0"/>
    <x v="2"/>
    <n v="3"/>
    <x v="26"/>
    <n v="1850"/>
  </r>
  <r>
    <x v="4"/>
    <x v="5"/>
    <x v="5"/>
    <x v="0"/>
    <x v="6"/>
    <x v="2"/>
    <n v="3"/>
    <x v="26"/>
    <n v="1487"/>
  </r>
  <r>
    <x v="0"/>
    <x v="1"/>
    <x v="1"/>
    <x v="1"/>
    <x v="7"/>
    <x v="2"/>
    <n v="3"/>
    <x v="26"/>
    <n v="4190"/>
  </r>
  <r>
    <x v="1"/>
    <x v="6"/>
    <x v="6"/>
    <x v="1"/>
    <x v="1"/>
    <x v="2"/>
    <n v="3"/>
    <x v="26"/>
    <n v="3536"/>
  </r>
  <r>
    <x v="2"/>
    <x v="7"/>
    <x v="7"/>
    <x v="1"/>
    <x v="8"/>
    <x v="2"/>
    <n v="3"/>
    <x v="26"/>
    <n v="4104"/>
  </r>
  <r>
    <x v="3"/>
    <x v="8"/>
    <x v="8"/>
    <x v="2"/>
    <x v="2"/>
    <x v="2"/>
    <n v="3"/>
    <x v="26"/>
    <n v="3232"/>
  </r>
  <r>
    <x v="4"/>
    <x v="9"/>
    <x v="9"/>
    <x v="2"/>
    <x v="3"/>
    <x v="2"/>
    <n v="3"/>
    <x v="26"/>
    <n v="3526"/>
  </r>
  <r>
    <x v="0"/>
    <x v="0"/>
    <x v="0"/>
    <x v="2"/>
    <x v="4"/>
    <x v="2"/>
    <n v="3"/>
    <x v="26"/>
    <n v="3702"/>
  </r>
  <r>
    <x v="1"/>
    <x v="2"/>
    <x v="2"/>
    <x v="0"/>
    <x v="5"/>
    <x v="2"/>
    <n v="3"/>
    <x v="26"/>
    <n v="2979"/>
  </r>
  <r>
    <x v="2"/>
    <x v="3"/>
    <x v="3"/>
    <x v="0"/>
    <x v="0"/>
    <x v="2"/>
    <n v="3"/>
    <x v="26"/>
    <n v="3354"/>
  </r>
  <r>
    <x v="3"/>
    <x v="4"/>
    <x v="4"/>
    <x v="0"/>
    <x v="6"/>
    <x v="2"/>
    <n v="3"/>
    <x v="26"/>
    <n v="1412"/>
  </r>
  <r>
    <x v="4"/>
    <x v="5"/>
    <x v="5"/>
    <x v="1"/>
    <x v="7"/>
    <x v="2"/>
    <n v="3"/>
    <x v="26"/>
    <n v="5695"/>
  </r>
  <r>
    <x v="1"/>
    <x v="2"/>
    <x v="2"/>
    <x v="1"/>
    <x v="8"/>
    <x v="2"/>
    <n v="3"/>
    <x v="26"/>
    <n v="3727"/>
  </r>
  <r>
    <x v="2"/>
    <x v="7"/>
    <x v="7"/>
    <x v="2"/>
    <x v="2"/>
    <x v="2"/>
    <n v="3"/>
    <x v="26"/>
    <n v="4193"/>
  </r>
  <r>
    <x v="3"/>
    <x v="8"/>
    <x v="8"/>
    <x v="2"/>
    <x v="3"/>
    <x v="2"/>
    <n v="3"/>
    <x v="26"/>
    <n v="4862"/>
  </r>
  <r>
    <x v="4"/>
    <x v="9"/>
    <x v="9"/>
    <x v="2"/>
    <x v="4"/>
    <x v="2"/>
    <n v="3"/>
    <x v="26"/>
    <n v="3769"/>
  </r>
  <r>
    <x v="0"/>
    <x v="0"/>
    <x v="0"/>
    <x v="0"/>
    <x v="5"/>
    <x v="2"/>
    <n v="3"/>
    <x v="26"/>
    <n v="2346"/>
  </r>
  <r>
    <x v="1"/>
    <x v="6"/>
    <x v="6"/>
    <x v="0"/>
    <x v="0"/>
    <x v="2"/>
    <n v="3"/>
    <x v="26"/>
    <n v="1770"/>
  </r>
  <r>
    <x v="2"/>
    <x v="3"/>
    <x v="3"/>
    <x v="0"/>
    <x v="6"/>
    <x v="2"/>
    <n v="3"/>
    <x v="26"/>
    <n v="2144"/>
  </r>
  <r>
    <x v="3"/>
    <x v="4"/>
    <x v="4"/>
    <x v="1"/>
    <x v="7"/>
    <x v="2"/>
    <n v="3"/>
    <x v="26"/>
    <n v="6406"/>
  </r>
  <r>
    <x v="4"/>
    <x v="5"/>
    <x v="5"/>
    <x v="1"/>
    <x v="1"/>
    <x v="2"/>
    <n v="3"/>
    <x v="26"/>
    <n v="3375"/>
  </r>
  <r>
    <x v="0"/>
    <x v="1"/>
    <x v="1"/>
    <x v="1"/>
    <x v="8"/>
    <x v="2"/>
    <n v="3"/>
    <x v="26"/>
    <n v="3427"/>
  </r>
  <r>
    <x v="1"/>
    <x v="2"/>
    <x v="2"/>
    <x v="2"/>
    <x v="2"/>
    <x v="2"/>
    <n v="3"/>
    <x v="26"/>
    <n v="4408"/>
  </r>
  <r>
    <x v="2"/>
    <x v="7"/>
    <x v="7"/>
    <x v="2"/>
    <x v="3"/>
    <x v="2"/>
    <n v="3"/>
    <x v="26"/>
    <n v="2898"/>
  </r>
  <r>
    <x v="3"/>
    <x v="8"/>
    <x v="8"/>
    <x v="2"/>
    <x v="4"/>
    <x v="2"/>
    <n v="3"/>
    <x v="26"/>
    <n v="3212"/>
  </r>
  <r>
    <x v="4"/>
    <x v="9"/>
    <x v="9"/>
    <x v="0"/>
    <x v="5"/>
    <x v="2"/>
    <n v="3"/>
    <x v="26"/>
    <n v="2656"/>
  </r>
  <r>
    <x v="1"/>
    <x v="2"/>
    <x v="2"/>
    <x v="0"/>
    <x v="6"/>
    <x v="2"/>
    <n v="3"/>
    <x v="26"/>
    <n v="2076"/>
  </r>
  <r>
    <x v="2"/>
    <x v="3"/>
    <x v="3"/>
    <x v="1"/>
    <x v="7"/>
    <x v="2"/>
    <n v="3"/>
    <x v="26"/>
    <n v="6195"/>
  </r>
  <r>
    <x v="3"/>
    <x v="8"/>
    <x v="8"/>
    <x v="1"/>
    <x v="1"/>
    <x v="2"/>
    <n v="3"/>
    <x v="26"/>
    <n v="3522"/>
  </r>
  <r>
    <x v="4"/>
    <x v="5"/>
    <x v="5"/>
    <x v="1"/>
    <x v="8"/>
    <x v="2"/>
    <n v="3"/>
    <x v="26"/>
    <n v="2588"/>
  </r>
  <r>
    <x v="0"/>
    <x v="1"/>
    <x v="1"/>
    <x v="2"/>
    <x v="2"/>
    <x v="2"/>
    <n v="3"/>
    <x v="26"/>
    <n v="3336"/>
  </r>
  <r>
    <x v="0"/>
    <x v="1"/>
    <x v="1"/>
    <x v="2"/>
    <x v="3"/>
    <x v="2"/>
    <n v="3"/>
    <x v="26"/>
    <n v="4395"/>
  </r>
  <r>
    <x v="1"/>
    <x v="6"/>
    <x v="6"/>
    <x v="2"/>
    <x v="4"/>
    <x v="2"/>
    <n v="3"/>
    <x v="26"/>
    <n v="3425"/>
  </r>
  <r>
    <x v="1"/>
    <x v="6"/>
    <x v="6"/>
    <x v="0"/>
    <x v="5"/>
    <x v="2"/>
    <n v="3"/>
    <x v="26"/>
    <n v="1517"/>
  </r>
  <r>
    <x v="2"/>
    <x v="7"/>
    <x v="7"/>
    <x v="0"/>
    <x v="0"/>
    <x v="2"/>
    <n v="3"/>
    <x v="26"/>
    <n v="2502"/>
  </r>
  <r>
    <x v="2"/>
    <x v="7"/>
    <x v="7"/>
    <x v="0"/>
    <x v="6"/>
    <x v="2"/>
    <n v="3"/>
    <x v="26"/>
    <n v="2434"/>
  </r>
  <r>
    <x v="2"/>
    <x v="3"/>
    <x v="3"/>
    <x v="1"/>
    <x v="1"/>
    <x v="2"/>
    <n v="3"/>
    <x v="26"/>
    <n v="4415"/>
  </r>
  <r>
    <x v="0"/>
    <x v="0"/>
    <x v="0"/>
    <x v="1"/>
    <x v="8"/>
    <x v="2"/>
    <n v="3"/>
    <x v="26"/>
    <n v="3962"/>
  </r>
  <r>
    <x v="2"/>
    <x v="10"/>
    <x v="10"/>
    <x v="0"/>
    <x v="5"/>
    <x v="2"/>
    <n v="3"/>
    <x v="26"/>
    <n v="2803"/>
  </r>
  <r>
    <x v="2"/>
    <x v="10"/>
    <x v="10"/>
    <x v="0"/>
    <x v="0"/>
    <x v="2"/>
    <n v="3"/>
    <x v="26"/>
    <n v="2147"/>
  </r>
  <r>
    <x v="2"/>
    <x v="11"/>
    <x v="11"/>
    <x v="0"/>
    <x v="6"/>
    <x v="2"/>
    <n v="3"/>
    <x v="26"/>
    <n v="1970"/>
  </r>
  <r>
    <x v="2"/>
    <x v="11"/>
    <x v="11"/>
    <x v="1"/>
    <x v="7"/>
    <x v="2"/>
    <n v="3"/>
    <x v="26"/>
    <n v="6007"/>
  </r>
  <r>
    <x v="3"/>
    <x v="4"/>
    <x v="4"/>
    <x v="1"/>
    <x v="1"/>
    <x v="2"/>
    <n v="3"/>
    <x v="26"/>
    <n v="4637"/>
  </r>
  <r>
    <x v="3"/>
    <x v="4"/>
    <x v="4"/>
    <x v="1"/>
    <x v="8"/>
    <x v="2"/>
    <n v="3"/>
    <x v="26"/>
    <n v="4511"/>
  </r>
  <r>
    <x v="4"/>
    <x v="5"/>
    <x v="5"/>
    <x v="2"/>
    <x v="2"/>
    <x v="2"/>
    <n v="3"/>
    <x v="26"/>
    <n v="3957"/>
  </r>
  <r>
    <x v="4"/>
    <x v="5"/>
    <x v="5"/>
    <x v="2"/>
    <x v="3"/>
    <x v="2"/>
    <n v="3"/>
    <x v="26"/>
    <n v="5029"/>
  </r>
  <r>
    <x v="3"/>
    <x v="8"/>
    <x v="8"/>
    <x v="0"/>
    <x v="5"/>
    <x v="2"/>
    <n v="3"/>
    <x v="26"/>
    <n v="2662"/>
  </r>
  <r>
    <x v="4"/>
    <x v="9"/>
    <x v="9"/>
    <x v="0"/>
    <x v="0"/>
    <x v="2"/>
    <n v="3"/>
    <x v="26"/>
    <n v="2888"/>
  </r>
  <r>
    <x v="4"/>
    <x v="9"/>
    <x v="9"/>
    <x v="0"/>
    <x v="6"/>
    <x v="2"/>
    <n v="3"/>
    <x v="26"/>
    <n v="2577"/>
  </r>
  <r>
    <x v="2"/>
    <x v="7"/>
    <x v="7"/>
    <x v="1"/>
    <x v="7"/>
    <x v="2"/>
    <n v="3"/>
    <x v="26"/>
    <n v="6094"/>
  </r>
  <r>
    <x v="1"/>
    <x v="6"/>
    <x v="6"/>
    <x v="2"/>
    <x v="3"/>
    <x v="2"/>
    <n v="3"/>
    <x v="26"/>
    <n v="4131"/>
  </r>
  <r>
    <x v="0"/>
    <x v="0"/>
    <x v="0"/>
    <x v="0"/>
    <x v="6"/>
    <x v="2"/>
    <n v="3"/>
    <x v="26"/>
    <n v="2262"/>
  </r>
  <r>
    <x v="0"/>
    <x v="0"/>
    <x v="0"/>
    <x v="1"/>
    <x v="7"/>
    <x v="2"/>
    <n v="3"/>
    <x v="26"/>
    <n v="4556"/>
  </r>
  <r>
    <x v="1"/>
    <x v="2"/>
    <x v="2"/>
    <x v="1"/>
    <x v="1"/>
    <x v="2"/>
    <n v="3"/>
    <x v="26"/>
    <n v="5463"/>
  </r>
  <r>
    <x v="2"/>
    <x v="10"/>
    <x v="10"/>
    <x v="2"/>
    <x v="2"/>
    <x v="2"/>
    <n v="3"/>
    <x v="26"/>
    <n v="4416"/>
  </r>
  <r>
    <x v="2"/>
    <x v="10"/>
    <x v="10"/>
    <x v="2"/>
    <x v="3"/>
    <x v="2"/>
    <n v="3"/>
    <x v="26"/>
    <n v="5533"/>
  </r>
  <r>
    <x v="2"/>
    <x v="11"/>
    <x v="11"/>
    <x v="2"/>
    <x v="4"/>
    <x v="2"/>
    <n v="3"/>
    <x v="26"/>
    <n v="3065"/>
  </r>
  <r>
    <x v="2"/>
    <x v="11"/>
    <x v="11"/>
    <x v="0"/>
    <x v="5"/>
    <x v="2"/>
    <n v="3"/>
    <x v="26"/>
    <n v="2184"/>
  </r>
  <r>
    <x v="2"/>
    <x v="7"/>
    <x v="7"/>
    <x v="0"/>
    <x v="5"/>
    <x v="2"/>
    <n v="3"/>
    <x v="26"/>
    <n v="2698"/>
  </r>
  <r>
    <x v="1"/>
    <x v="6"/>
    <x v="6"/>
    <x v="1"/>
    <x v="8"/>
    <x v="2"/>
    <n v="3"/>
    <x v="26"/>
    <n v="2112"/>
  </r>
  <r>
    <x v="2"/>
    <x v="3"/>
    <x v="3"/>
    <x v="2"/>
    <x v="2"/>
    <x v="2"/>
    <n v="3"/>
    <x v="26"/>
    <n v="4673"/>
  </r>
  <r>
    <x v="2"/>
    <x v="3"/>
    <x v="3"/>
    <x v="2"/>
    <x v="3"/>
    <x v="2"/>
    <n v="3"/>
    <x v="26"/>
    <n v="4546"/>
  </r>
  <r>
    <x v="1"/>
    <x v="2"/>
    <x v="2"/>
    <x v="0"/>
    <x v="0"/>
    <x v="2"/>
    <n v="3"/>
    <x v="26"/>
    <n v="1597"/>
  </r>
  <r>
    <x v="2"/>
    <x v="10"/>
    <x v="10"/>
    <x v="1"/>
    <x v="7"/>
    <x v="2"/>
    <n v="3"/>
    <x v="26"/>
    <n v="6437"/>
  </r>
  <r>
    <x v="2"/>
    <x v="10"/>
    <x v="10"/>
    <x v="1"/>
    <x v="1"/>
    <x v="2"/>
    <n v="3"/>
    <x v="26"/>
    <n v="2938"/>
  </r>
  <r>
    <x v="2"/>
    <x v="11"/>
    <x v="11"/>
    <x v="1"/>
    <x v="8"/>
    <x v="2"/>
    <n v="3"/>
    <x v="26"/>
    <n v="2339"/>
  </r>
  <r>
    <x v="2"/>
    <x v="11"/>
    <x v="11"/>
    <x v="2"/>
    <x v="2"/>
    <x v="2"/>
    <n v="3"/>
    <x v="26"/>
    <n v="3311"/>
  </r>
  <r>
    <x v="3"/>
    <x v="4"/>
    <x v="4"/>
    <x v="2"/>
    <x v="3"/>
    <x v="2"/>
    <n v="3"/>
    <x v="26"/>
    <n v="4496"/>
  </r>
  <r>
    <x v="3"/>
    <x v="4"/>
    <x v="4"/>
    <x v="2"/>
    <x v="4"/>
    <x v="2"/>
    <n v="3"/>
    <x v="26"/>
    <n v="3548"/>
  </r>
  <r>
    <x v="4"/>
    <x v="5"/>
    <x v="5"/>
    <x v="0"/>
    <x v="5"/>
    <x v="2"/>
    <n v="3"/>
    <x v="26"/>
    <n v="2145"/>
  </r>
  <r>
    <x v="3"/>
    <x v="8"/>
    <x v="8"/>
    <x v="0"/>
    <x v="6"/>
    <x v="2"/>
    <n v="3"/>
    <x v="26"/>
    <n v="1925"/>
  </r>
  <r>
    <x v="3"/>
    <x v="8"/>
    <x v="8"/>
    <x v="1"/>
    <x v="7"/>
    <x v="2"/>
    <n v="3"/>
    <x v="26"/>
    <n v="4225"/>
  </r>
  <r>
    <x v="4"/>
    <x v="9"/>
    <x v="9"/>
    <x v="1"/>
    <x v="1"/>
    <x v="2"/>
    <n v="3"/>
    <x v="26"/>
    <n v="3220"/>
  </r>
  <r>
    <x v="4"/>
    <x v="9"/>
    <x v="9"/>
    <x v="1"/>
    <x v="8"/>
    <x v="2"/>
    <n v="3"/>
    <x v="26"/>
    <n v="2475"/>
  </r>
  <r>
    <x v="0"/>
    <x v="1"/>
    <x v="1"/>
    <x v="2"/>
    <x v="4"/>
    <x v="2"/>
    <n v="3"/>
    <x v="26"/>
    <n v="3004"/>
  </r>
  <r>
    <x v="0"/>
    <x v="1"/>
    <x v="1"/>
    <x v="0"/>
    <x v="5"/>
    <x v="2"/>
    <n v="3"/>
    <x v="26"/>
    <n v="2077"/>
  </r>
  <r>
    <x v="1"/>
    <x v="6"/>
    <x v="6"/>
    <x v="0"/>
    <x v="6"/>
    <x v="2"/>
    <n v="3"/>
    <x v="26"/>
    <n v="2849"/>
  </r>
  <r>
    <x v="2"/>
    <x v="10"/>
    <x v="10"/>
    <x v="1"/>
    <x v="8"/>
    <x v="2"/>
    <n v="3"/>
    <x v="26"/>
    <n v="3738"/>
  </r>
  <r>
    <x v="2"/>
    <x v="11"/>
    <x v="11"/>
    <x v="2"/>
    <x v="3"/>
    <x v="2"/>
    <n v="3"/>
    <x v="26"/>
    <n v="2956"/>
  </r>
  <r>
    <x v="2"/>
    <x v="7"/>
    <x v="7"/>
    <x v="2"/>
    <x v="4"/>
    <x v="2"/>
    <n v="3"/>
    <x v="26"/>
    <n v="2885"/>
  </r>
  <r>
    <x v="2"/>
    <x v="3"/>
    <x v="3"/>
    <x v="1"/>
    <x v="8"/>
    <x v="2"/>
    <n v="3"/>
    <x v="26"/>
    <n v="4878"/>
  </r>
  <r>
    <x v="2"/>
    <x v="10"/>
    <x v="10"/>
    <x v="0"/>
    <x v="6"/>
    <x v="2"/>
    <n v="3"/>
    <x v="26"/>
    <n v="1486"/>
  </r>
  <r>
    <x v="2"/>
    <x v="11"/>
    <x v="11"/>
    <x v="1"/>
    <x v="1"/>
    <x v="2"/>
    <n v="3"/>
    <x v="26"/>
    <n v="4434"/>
  </r>
  <r>
    <x v="3"/>
    <x v="4"/>
    <x v="4"/>
    <x v="2"/>
    <x v="2"/>
    <x v="2"/>
    <n v="3"/>
    <x v="26"/>
    <n v="4330"/>
  </r>
  <r>
    <x v="4"/>
    <x v="5"/>
    <x v="5"/>
    <x v="2"/>
    <x v="4"/>
    <x v="2"/>
    <n v="3"/>
    <x v="26"/>
    <n v="3797"/>
  </r>
  <r>
    <x v="3"/>
    <x v="8"/>
    <x v="8"/>
    <x v="0"/>
    <x v="0"/>
    <x v="2"/>
    <n v="3"/>
    <x v="26"/>
    <n v="1804"/>
  </r>
  <r>
    <x v="4"/>
    <x v="9"/>
    <x v="9"/>
    <x v="1"/>
    <x v="7"/>
    <x v="2"/>
    <n v="3"/>
    <x v="26"/>
    <n v="4886"/>
  </r>
  <r>
    <x v="2"/>
    <x v="10"/>
    <x v="10"/>
    <x v="2"/>
    <x v="4"/>
    <x v="2"/>
    <n v="3"/>
    <x v="26"/>
    <n v="2932"/>
  </r>
  <r>
    <x v="2"/>
    <x v="11"/>
    <x v="11"/>
    <x v="0"/>
    <x v="0"/>
    <x v="2"/>
    <n v="3"/>
    <x v="26"/>
    <n v="2616"/>
  </r>
  <r>
    <x v="0"/>
    <x v="0"/>
    <x v="0"/>
    <x v="0"/>
    <x v="0"/>
    <x v="2"/>
    <n v="4"/>
    <x v="27"/>
    <n v="2587"/>
  </r>
  <r>
    <x v="0"/>
    <x v="1"/>
    <x v="1"/>
    <x v="0"/>
    <x v="0"/>
    <x v="2"/>
    <n v="4"/>
    <x v="27"/>
    <n v="1783"/>
  </r>
  <r>
    <x v="0"/>
    <x v="1"/>
    <x v="1"/>
    <x v="1"/>
    <x v="1"/>
    <x v="2"/>
    <n v="4"/>
    <x v="27"/>
    <n v="4752"/>
  </r>
  <r>
    <x v="0"/>
    <x v="0"/>
    <x v="0"/>
    <x v="1"/>
    <x v="1"/>
    <x v="2"/>
    <n v="4"/>
    <x v="27"/>
    <n v="3505"/>
  </r>
  <r>
    <x v="0"/>
    <x v="0"/>
    <x v="0"/>
    <x v="2"/>
    <x v="2"/>
    <x v="2"/>
    <n v="4"/>
    <x v="27"/>
    <n v="5070"/>
  </r>
  <r>
    <x v="1"/>
    <x v="2"/>
    <x v="2"/>
    <x v="2"/>
    <x v="3"/>
    <x v="2"/>
    <n v="4"/>
    <x v="27"/>
    <n v="4532"/>
  </r>
  <r>
    <x v="2"/>
    <x v="3"/>
    <x v="3"/>
    <x v="2"/>
    <x v="4"/>
    <x v="2"/>
    <n v="4"/>
    <x v="27"/>
    <n v="3525"/>
  </r>
  <r>
    <x v="3"/>
    <x v="4"/>
    <x v="4"/>
    <x v="0"/>
    <x v="5"/>
    <x v="2"/>
    <n v="4"/>
    <x v="27"/>
    <n v="1963"/>
  </r>
  <r>
    <x v="4"/>
    <x v="5"/>
    <x v="5"/>
    <x v="0"/>
    <x v="0"/>
    <x v="2"/>
    <n v="4"/>
    <x v="27"/>
    <n v="1949"/>
  </r>
  <r>
    <x v="0"/>
    <x v="1"/>
    <x v="1"/>
    <x v="0"/>
    <x v="6"/>
    <x v="2"/>
    <n v="4"/>
    <x v="27"/>
    <n v="2160"/>
  </r>
  <r>
    <x v="1"/>
    <x v="6"/>
    <x v="6"/>
    <x v="1"/>
    <x v="7"/>
    <x v="2"/>
    <n v="4"/>
    <x v="27"/>
    <n v="4981"/>
  </r>
  <r>
    <x v="2"/>
    <x v="7"/>
    <x v="7"/>
    <x v="1"/>
    <x v="1"/>
    <x v="2"/>
    <n v="4"/>
    <x v="27"/>
    <n v="4552"/>
  </r>
  <r>
    <x v="3"/>
    <x v="8"/>
    <x v="8"/>
    <x v="1"/>
    <x v="8"/>
    <x v="2"/>
    <n v="4"/>
    <x v="27"/>
    <n v="2293"/>
  </r>
  <r>
    <x v="4"/>
    <x v="9"/>
    <x v="9"/>
    <x v="2"/>
    <x v="2"/>
    <x v="2"/>
    <n v="4"/>
    <x v="27"/>
    <n v="4289"/>
  </r>
  <r>
    <x v="0"/>
    <x v="0"/>
    <x v="0"/>
    <x v="2"/>
    <x v="3"/>
    <x v="2"/>
    <n v="4"/>
    <x v="27"/>
    <n v="3915"/>
  </r>
  <r>
    <x v="1"/>
    <x v="2"/>
    <x v="2"/>
    <x v="2"/>
    <x v="4"/>
    <x v="2"/>
    <n v="4"/>
    <x v="27"/>
    <n v="3950"/>
  </r>
  <r>
    <x v="2"/>
    <x v="3"/>
    <x v="3"/>
    <x v="0"/>
    <x v="5"/>
    <x v="2"/>
    <n v="4"/>
    <x v="27"/>
    <n v="2551"/>
  </r>
  <r>
    <x v="3"/>
    <x v="4"/>
    <x v="4"/>
    <x v="0"/>
    <x v="0"/>
    <x v="2"/>
    <n v="4"/>
    <x v="27"/>
    <n v="3109"/>
  </r>
  <r>
    <x v="4"/>
    <x v="5"/>
    <x v="5"/>
    <x v="0"/>
    <x v="6"/>
    <x v="2"/>
    <n v="4"/>
    <x v="27"/>
    <n v="2000"/>
  </r>
  <r>
    <x v="0"/>
    <x v="1"/>
    <x v="1"/>
    <x v="1"/>
    <x v="7"/>
    <x v="2"/>
    <n v="4"/>
    <x v="27"/>
    <n v="6669"/>
  </r>
  <r>
    <x v="1"/>
    <x v="6"/>
    <x v="6"/>
    <x v="1"/>
    <x v="1"/>
    <x v="2"/>
    <n v="4"/>
    <x v="27"/>
    <n v="3860"/>
  </r>
  <r>
    <x v="2"/>
    <x v="7"/>
    <x v="7"/>
    <x v="1"/>
    <x v="8"/>
    <x v="2"/>
    <n v="4"/>
    <x v="27"/>
    <n v="4950"/>
  </r>
  <r>
    <x v="3"/>
    <x v="8"/>
    <x v="8"/>
    <x v="2"/>
    <x v="2"/>
    <x v="2"/>
    <n v="4"/>
    <x v="27"/>
    <n v="4064"/>
  </r>
  <r>
    <x v="4"/>
    <x v="9"/>
    <x v="9"/>
    <x v="2"/>
    <x v="3"/>
    <x v="2"/>
    <n v="4"/>
    <x v="27"/>
    <n v="3929"/>
  </r>
  <r>
    <x v="0"/>
    <x v="0"/>
    <x v="0"/>
    <x v="2"/>
    <x v="4"/>
    <x v="2"/>
    <n v="4"/>
    <x v="27"/>
    <n v="3993"/>
  </r>
  <r>
    <x v="1"/>
    <x v="2"/>
    <x v="2"/>
    <x v="0"/>
    <x v="5"/>
    <x v="2"/>
    <n v="4"/>
    <x v="27"/>
    <n v="1986"/>
  </r>
  <r>
    <x v="2"/>
    <x v="3"/>
    <x v="3"/>
    <x v="0"/>
    <x v="0"/>
    <x v="2"/>
    <n v="4"/>
    <x v="27"/>
    <n v="2573"/>
  </r>
  <r>
    <x v="3"/>
    <x v="4"/>
    <x v="4"/>
    <x v="0"/>
    <x v="6"/>
    <x v="2"/>
    <n v="4"/>
    <x v="27"/>
    <n v="2307"/>
  </r>
  <r>
    <x v="4"/>
    <x v="5"/>
    <x v="5"/>
    <x v="1"/>
    <x v="7"/>
    <x v="2"/>
    <n v="4"/>
    <x v="27"/>
    <n v="4217"/>
  </r>
  <r>
    <x v="1"/>
    <x v="2"/>
    <x v="2"/>
    <x v="1"/>
    <x v="8"/>
    <x v="2"/>
    <n v="4"/>
    <x v="27"/>
    <n v="4827"/>
  </r>
  <r>
    <x v="2"/>
    <x v="7"/>
    <x v="7"/>
    <x v="2"/>
    <x v="2"/>
    <x v="2"/>
    <n v="4"/>
    <x v="27"/>
    <n v="3916"/>
  </r>
  <r>
    <x v="3"/>
    <x v="8"/>
    <x v="8"/>
    <x v="2"/>
    <x v="3"/>
    <x v="2"/>
    <n v="4"/>
    <x v="27"/>
    <n v="4641"/>
  </r>
  <r>
    <x v="4"/>
    <x v="9"/>
    <x v="9"/>
    <x v="2"/>
    <x v="4"/>
    <x v="2"/>
    <n v="4"/>
    <x v="27"/>
    <n v="2827"/>
  </r>
  <r>
    <x v="0"/>
    <x v="0"/>
    <x v="0"/>
    <x v="0"/>
    <x v="5"/>
    <x v="2"/>
    <n v="4"/>
    <x v="27"/>
    <n v="2889"/>
  </r>
  <r>
    <x v="1"/>
    <x v="6"/>
    <x v="6"/>
    <x v="0"/>
    <x v="0"/>
    <x v="2"/>
    <n v="4"/>
    <x v="27"/>
    <n v="2196"/>
  </r>
  <r>
    <x v="2"/>
    <x v="3"/>
    <x v="3"/>
    <x v="0"/>
    <x v="6"/>
    <x v="2"/>
    <n v="4"/>
    <x v="27"/>
    <n v="2540"/>
  </r>
  <r>
    <x v="3"/>
    <x v="4"/>
    <x v="4"/>
    <x v="1"/>
    <x v="7"/>
    <x v="2"/>
    <n v="4"/>
    <x v="27"/>
    <n v="4165"/>
  </r>
  <r>
    <x v="4"/>
    <x v="5"/>
    <x v="5"/>
    <x v="1"/>
    <x v="1"/>
    <x v="2"/>
    <n v="4"/>
    <x v="27"/>
    <n v="3971"/>
  </r>
  <r>
    <x v="0"/>
    <x v="1"/>
    <x v="1"/>
    <x v="1"/>
    <x v="8"/>
    <x v="2"/>
    <n v="4"/>
    <x v="27"/>
    <n v="3469"/>
  </r>
  <r>
    <x v="1"/>
    <x v="2"/>
    <x v="2"/>
    <x v="2"/>
    <x v="2"/>
    <x v="2"/>
    <n v="4"/>
    <x v="27"/>
    <n v="4670"/>
  </r>
  <r>
    <x v="2"/>
    <x v="7"/>
    <x v="7"/>
    <x v="2"/>
    <x v="3"/>
    <x v="2"/>
    <n v="4"/>
    <x v="27"/>
    <n v="2696"/>
  </r>
  <r>
    <x v="3"/>
    <x v="8"/>
    <x v="8"/>
    <x v="2"/>
    <x v="4"/>
    <x v="2"/>
    <n v="4"/>
    <x v="27"/>
    <n v="3957"/>
  </r>
  <r>
    <x v="4"/>
    <x v="9"/>
    <x v="9"/>
    <x v="0"/>
    <x v="5"/>
    <x v="2"/>
    <n v="4"/>
    <x v="27"/>
    <n v="2384"/>
  </r>
  <r>
    <x v="1"/>
    <x v="2"/>
    <x v="2"/>
    <x v="0"/>
    <x v="6"/>
    <x v="2"/>
    <n v="4"/>
    <x v="27"/>
    <n v="1985"/>
  </r>
  <r>
    <x v="2"/>
    <x v="3"/>
    <x v="3"/>
    <x v="1"/>
    <x v="7"/>
    <x v="2"/>
    <n v="4"/>
    <x v="27"/>
    <n v="5587"/>
  </r>
  <r>
    <x v="3"/>
    <x v="8"/>
    <x v="8"/>
    <x v="1"/>
    <x v="1"/>
    <x v="2"/>
    <n v="4"/>
    <x v="27"/>
    <n v="3958"/>
  </r>
  <r>
    <x v="4"/>
    <x v="5"/>
    <x v="5"/>
    <x v="1"/>
    <x v="8"/>
    <x v="2"/>
    <n v="4"/>
    <x v="27"/>
    <n v="4183"/>
  </r>
  <r>
    <x v="0"/>
    <x v="1"/>
    <x v="1"/>
    <x v="2"/>
    <x v="2"/>
    <x v="2"/>
    <n v="4"/>
    <x v="27"/>
    <n v="4493"/>
  </r>
  <r>
    <x v="0"/>
    <x v="1"/>
    <x v="1"/>
    <x v="2"/>
    <x v="3"/>
    <x v="2"/>
    <n v="4"/>
    <x v="27"/>
    <n v="3251"/>
  </r>
  <r>
    <x v="1"/>
    <x v="6"/>
    <x v="6"/>
    <x v="2"/>
    <x v="4"/>
    <x v="2"/>
    <n v="4"/>
    <x v="27"/>
    <n v="2828"/>
  </r>
  <r>
    <x v="1"/>
    <x v="6"/>
    <x v="6"/>
    <x v="0"/>
    <x v="5"/>
    <x v="2"/>
    <n v="4"/>
    <x v="27"/>
    <n v="2537"/>
  </r>
  <r>
    <x v="2"/>
    <x v="7"/>
    <x v="7"/>
    <x v="0"/>
    <x v="0"/>
    <x v="2"/>
    <n v="4"/>
    <x v="27"/>
    <n v="3363"/>
  </r>
  <r>
    <x v="2"/>
    <x v="7"/>
    <x v="7"/>
    <x v="0"/>
    <x v="6"/>
    <x v="2"/>
    <n v="4"/>
    <x v="27"/>
    <n v="1630"/>
  </r>
  <r>
    <x v="2"/>
    <x v="3"/>
    <x v="3"/>
    <x v="1"/>
    <x v="1"/>
    <x v="2"/>
    <n v="4"/>
    <x v="27"/>
    <n v="3210"/>
  </r>
  <r>
    <x v="0"/>
    <x v="0"/>
    <x v="0"/>
    <x v="1"/>
    <x v="8"/>
    <x v="2"/>
    <n v="4"/>
    <x v="27"/>
    <n v="4042"/>
  </r>
  <r>
    <x v="2"/>
    <x v="10"/>
    <x v="10"/>
    <x v="0"/>
    <x v="5"/>
    <x v="2"/>
    <n v="4"/>
    <x v="27"/>
    <n v="1819"/>
  </r>
  <r>
    <x v="2"/>
    <x v="10"/>
    <x v="10"/>
    <x v="0"/>
    <x v="0"/>
    <x v="2"/>
    <n v="4"/>
    <x v="27"/>
    <n v="3200"/>
  </r>
  <r>
    <x v="2"/>
    <x v="11"/>
    <x v="11"/>
    <x v="0"/>
    <x v="6"/>
    <x v="2"/>
    <n v="4"/>
    <x v="27"/>
    <n v="1570"/>
  </r>
  <r>
    <x v="2"/>
    <x v="11"/>
    <x v="11"/>
    <x v="1"/>
    <x v="7"/>
    <x v="2"/>
    <n v="4"/>
    <x v="27"/>
    <n v="5962"/>
  </r>
  <r>
    <x v="3"/>
    <x v="4"/>
    <x v="4"/>
    <x v="1"/>
    <x v="1"/>
    <x v="2"/>
    <n v="4"/>
    <x v="27"/>
    <n v="3290"/>
  </r>
  <r>
    <x v="3"/>
    <x v="4"/>
    <x v="4"/>
    <x v="1"/>
    <x v="8"/>
    <x v="2"/>
    <n v="4"/>
    <x v="27"/>
    <n v="3082"/>
  </r>
  <r>
    <x v="4"/>
    <x v="5"/>
    <x v="5"/>
    <x v="2"/>
    <x v="2"/>
    <x v="2"/>
    <n v="4"/>
    <x v="27"/>
    <n v="4471"/>
  </r>
  <r>
    <x v="4"/>
    <x v="5"/>
    <x v="5"/>
    <x v="2"/>
    <x v="3"/>
    <x v="2"/>
    <n v="4"/>
    <x v="27"/>
    <n v="3681"/>
  </r>
  <r>
    <x v="3"/>
    <x v="8"/>
    <x v="8"/>
    <x v="0"/>
    <x v="5"/>
    <x v="2"/>
    <n v="4"/>
    <x v="27"/>
    <n v="2889"/>
  </r>
  <r>
    <x v="4"/>
    <x v="9"/>
    <x v="9"/>
    <x v="0"/>
    <x v="0"/>
    <x v="2"/>
    <n v="4"/>
    <x v="27"/>
    <n v="1884"/>
  </r>
  <r>
    <x v="4"/>
    <x v="9"/>
    <x v="9"/>
    <x v="0"/>
    <x v="6"/>
    <x v="2"/>
    <n v="4"/>
    <x v="27"/>
    <n v="2485"/>
  </r>
  <r>
    <x v="2"/>
    <x v="7"/>
    <x v="7"/>
    <x v="1"/>
    <x v="7"/>
    <x v="2"/>
    <n v="4"/>
    <x v="27"/>
    <n v="4466"/>
  </r>
  <r>
    <x v="1"/>
    <x v="6"/>
    <x v="6"/>
    <x v="2"/>
    <x v="3"/>
    <x v="2"/>
    <n v="4"/>
    <x v="27"/>
    <n v="4125"/>
  </r>
  <r>
    <x v="0"/>
    <x v="0"/>
    <x v="0"/>
    <x v="0"/>
    <x v="6"/>
    <x v="2"/>
    <n v="4"/>
    <x v="27"/>
    <n v="1339"/>
  </r>
  <r>
    <x v="0"/>
    <x v="0"/>
    <x v="0"/>
    <x v="1"/>
    <x v="7"/>
    <x v="2"/>
    <n v="4"/>
    <x v="27"/>
    <n v="4503"/>
  </r>
  <r>
    <x v="1"/>
    <x v="2"/>
    <x v="2"/>
    <x v="1"/>
    <x v="1"/>
    <x v="2"/>
    <n v="4"/>
    <x v="27"/>
    <n v="4895"/>
  </r>
  <r>
    <x v="2"/>
    <x v="10"/>
    <x v="10"/>
    <x v="2"/>
    <x v="2"/>
    <x v="2"/>
    <n v="4"/>
    <x v="27"/>
    <n v="4839"/>
  </r>
  <r>
    <x v="2"/>
    <x v="10"/>
    <x v="10"/>
    <x v="2"/>
    <x v="3"/>
    <x v="2"/>
    <n v="4"/>
    <x v="27"/>
    <n v="3547"/>
  </r>
  <r>
    <x v="2"/>
    <x v="11"/>
    <x v="11"/>
    <x v="2"/>
    <x v="4"/>
    <x v="2"/>
    <n v="4"/>
    <x v="27"/>
    <n v="3658"/>
  </r>
  <r>
    <x v="2"/>
    <x v="11"/>
    <x v="11"/>
    <x v="0"/>
    <x v="5"/>
    <x v="2"/>
    <n v="4"/>
    <x v="27"/>
    <n v="1770"/>
  </r>
  <r>
    <x v="2"/>
    <x v="7"/>
    <x v="7"/>
    <x v="0"/>
    <x v="5"/>
    <x v="2"/>
    <n v="4"/>
    <x v="27"/>
    <n v="2355"/>
  </r>
  <r>
    <x v="1"/>
    <x v="6"/>
    <x v="6"/>
    <x v="1"/>
    <x v="8"/>
    <x v="2"/>
    <n v="4"/>
    <x v="27"/>
    <n v="2793"/>
  </r>
  <r>
    <x v="2"/>
    <x v="3"/>
    <x v="3"/>
    <x v="2"/>
    <x v="2"/>
    <x v="2"/>
    <n v="4"/>
    <x v="27"/>
    <n v="4738"/>
  </r>
  <r>
    <x v="2"/>
    <x v="3"/>
    <x v="3"/>
    <x v="2"/>
    <x v="3"/>
    <x v="2"/>
    <n v="4"/>
    <x v="27"/>
    <n v="4752"/>
  </r>
  <r>
    <x v="1"/>
    <x v="2"/>
    <x v="2"/>
    <x v="0"/>
    <x v="0"/>
    <x v="2"/>
    <n v="4"/>
    <x v="27"/>
    <n v="1675"/>
  </r>
  <r>
    <x v="2"/>
    <x v="10"/>
    <x v="10"/>
    <x v="1"/>
    <x v="7"/>
    <x v="2"/>
    <n v="4"/>
    <x v="27"/>
    <n v="6780"/>
  </r>
  <r>
    <x v="2"/>
    <x v="10"/>
    <x v="10"/>
    <x v="1"/>
    <x v="1"/>
    <x v="2"/>
    <n v="4"/>
    <x v="27"/>
    <n v="3715"/>
  </r>
  <r>
    <x v="2"/>
    <x v="11"/>
    <x v="11"/>
    <x v="1"/>
    <x v="8"/>
    <x v="2"/>
    <n v="4"/>
    <x v="27"/>
    <n v="2300"/>
  </r>
  <r>
    <x v="2"/>
    <x v="11"/>
    <x v="11"/>
    <x v="2"/>
    <x v="2"/>
    <x v="2"/>
    <n v="4"/>
    <x v="27"/>
    <n v="4256"/>
  </r>
  <r>
    <x v="3"/>
    <x v="4"/>
    <x v="4"/>
    <x v="2"/>
    <x v="3"/>
    <x v="2"/>
    <n v="4"/>
    <x v="27"/>
    <n v="3640"/>
  </r>
  <r>
    <x v="3"/>
    <x v="4"/>
    <x v="4"/>
    <x v="2"/>
    <x v="4"/>
    <x v="2"/>
    <n v="4"/>
    <x v="27"/>
    <n v="3169"/>
  </r>
  <r>
    <x v="4"/>
    <x v="5"/>
    <x v="5"/>
    <x v="0"/>
    <x v="5"/>
    <x v="2"/>
    <n v="4"/>
    <x v="27"/>
    <n v="1763"/>
  </r>
  <r>
    <x v="3"/>
    <x v="8"/>
    <x v="8"/>
    <x v="0"/>
    <x v="6"/>
    <x v="2"/>
    <n v="4"/>
    <x v="27"/>
    <n v="2024"/>
  </r>
  <r>
    <x v="3"/>
    <x v="8"/>
    <x v="8"/>
    <x v="1"/>
    <x v="7"/>
    <x v="2"/>
    <n v="4"/>
    <x v="27"/>
    <n v="6318"/>
  </r>
  <r>
    <x v="4"/>
    <x v="9"/>
    <x v="9"/>
    <x v="1"/>
    <x v="1"/>
    <x v="2"/>
    <n v="4"/>
    <x v="27"/>
    <n v="5354"/>
  </r>
  <r>
    <x v="4"/>
    <x v="9"/>
    <x v="9"/>
    <x v="1"/>
    <x v="8"/>
    <x v="2"/>
    <n v="4"/>
    <x v="27"/>
    <n v="3357"/>
  </r>
  <r>
    <x v="0"/>
    <x v="1"/>
    <x v="1"/>
    <x v="2"/>
    <x v="4"/>
    <x v="2"/>
    <n v="4"/>
    <x v="27"/>
    <n v="2903"/>
  </r>
  <r>
    <x v="0"/>
    <x v="1"/>
    <x v="1"/>
    <x v="0"/>
    <x v="5"/>
    <x v="2"/>
    <n v="4"/>
    <x v="27"/>
    <n v="2210"/>
  </r>
  <r>
    <x v="1"/>
    <x v="6"/>
    <x v="6"/>
    <x v="0"/>
    <x v="6"/>
    <x v="2"/>
    <n v="4"/>
    <x v="27"/>
    <n v="2422"/>
  </r>
  <r>
    <x v="2"/>
    <x v="10"/>
    <x v="10"/>
    <x v="1"/>
    <x v="8"/>
    <x v="2"/>
    <n v="4"/>
    <x v="27"/>
    <n v="3728"/>
  </r>
  <r>
    <x v="2"/>
    <x v="11"/>
    <x v="11"/>
    <x v="2"/>
    <x v="3"/>
    <x v="2"/>
    <n v="4"/>
    <x v="27"/>
    <n v="5225"/>
  </r>
  <r>
    <x v="2"/>
    <x v="7"/>
    <x v="7"/>
    <x v="2"/>
    <x v="4"/>
    <x v="2"/>
    <n v="4"/>
    <x v="27"/>
    <n v="3538"/>
  </r>
  <r>
    <x v="2"/>
    <x v="3"/>
    <x v="3"/>
    <x v="1"/>
    <x v="8"/>
    <x v="2"/>
    <n v="4"/>
    <x v="27"/>
    <n v="3360"/>
  </r>
  <r>
    <x v="2"/>
    <x v="10"/>
    <x v="10"/>
    <x v="0"/>
    <x v="6"/>
    <x v="2"/>
    <n v="4"/>
    <x v="27"/>
    <n v="2867"/>
  </r>
  <r>
    <x v="2"/>
    <x v="11"/>
    <x v="11"/>
    <x v="1"/>
    <x v="1"/>
    <x v="2"/>
    <n v="4"/>
    <x v="27"/>
    <n v="4169"/>
  </r>
  <r>
    <x v="3"/>
    <x v="4"/>
    <x v="4"/>
    <x v="2"/>
    <x v="2"/>
    <x v="2"/>
    <n v="4"/>
    <x v="27"/>
    <n v="3269"/>
  </r>
  <r>
    <x v="4"/>
    <x v="5"/>
    <x v="5"/>
    <x v="2"/>
    <x v="4"/>
    <x v="2"/>
    <n v="4"/>
    <x v="27"/>
    <n v="3590"/>
  </r>
  <r>
    <x v="3"/>
    <x v="8"/>
    <x v="8"/>
    <x v="0"/>
    <x v="0"/>
    <x v="2"/>
    <n v="4"/>
    <x v="27"/>
    <n v="2126"/>
  </r>
  <r>
    <x v="4"/>
    <x v="9"/>
    <x v="9"/>
    <x v="1"/>
    <x v="7"/>
    <x v="2"/>
    <n v="4"/>
    <x v="27"/>
    <n v="4509"/>
  </r>
  <r>
    <x v="2"/>
    <x v="10"/>
    <x v="10"/>
    <x v="2"/>
    <x v="4"/>
    <x v="2"/>
    <n v="4"/>
    <x v="27"/>
    <n v="3327"/>
  </r>
  <r>
    <x v="2"/>
    <x v="11"/>
    <x v="11"/>
    <x v="0"/>
    <x v="0"/>
    <x v="2"/>
    <n v="4"/>
    <x v="27"/>
    <n v="3128"/>
  </r>
  <r>
    <x v="0"/>
    <x v="0"/>
    <x v="0"/>
    <x v="0"/>
    <x v="0"/>
    <x v="2"/>
    <n v="5"/>
    <x v="28"/>
    <n v="3047"/>
  </r>
  <r>
    <x v="0"/>
    <x v="1"/>
    <x v="1"/>
    <x v="0"/>
    <x v="0"/>
    <x v="2"/>
    <n v="5"/>
    <x v="28"/>
    <n v="1518"/>
  </r>
  <r>
    <x v="0"/>
    <x v="1"/>
    <x v="1"/>
    <x v="1"/>
    <x v="1"/>
    <x v="2"/>
    <n v="5"/>
    <x v="28"/>
    <n v="5061"/>
  </r>
  <r>
    <x v="0"/>
    <x v="0"/>
    <x v="0"/>
    <x v="1"/>
    <x v="1"/>
    <x v="2"/>
    <n v="5"/>
    <x v="28"/>
    <n v="5099"/>
  </r>
  <r>
    <x v="0"/>
    <x v="0"/>
    <x v="0"/>
    <x v="2"/>
    <x v="2"/>
    <x v="2"/>
    <n v="5"/>
    <x v="28"/>
    <n v="4894"/>
  </r>
  <r>
    <x v="1"/>
    <x v="2"/>
    <x v="2"/>
    <x v="2"/>
    <x v="3"/>
    <x v="2"/>
    <n v="5"/>
    <x v="28"/>
    <n v="4633"/>
  </r>
  <r>
    <x v="2"/>
    <x v="3"/>
    <x v="3"/>
    <x v="2"/>
    <x v="4"/>
    <x v="2"/>
    <n v="5"/>
    <x v="28"/>
    <n v="3743"/>
  </r>
  <r>
    <x v="3"/>
    <x v="4"/>
    <x v="4"/>
    <x v="0"/>
    <x v="5"/>
    <x v="2"/>
    <n v="5"/>
    <x v="28"/>
    <n v="2919"/>
  </r>
  <r>
    <x v="4"/>
    <x v="5"/>
    <x v="5"/>
    <x v="0"/>
    <x v="0"/>
    <x v="2"/>
    <n v="5"/>
    <x v="28"/>
    <n v="1705"/>
  </r>
  <r>
    <x v="0"/>
    <x v="1"/>
    <x v="1"/>
    <x v="0"/>
    <x v="6"/>
    <x v="2"/>
    <n v="5"/>
    <x v="28"/>
    <n v="1314"/>
  </r>
  <r>
    <x v="1"/>
    <x v="6"/>
    <x v="6"/>
    <x v="1"/>
    <x v="7"/>
    <x v="2"/>
    <n v="5"/>
    <x v="28"/>
    <n v="6548"/>
  </r>
  <r>
    <x v="2"/>
    <x v="7"/>
    <x v="7"/>
    <x v="1"/>
    <x v="1"/>
    <x v="2"/>
    <n v="5"/>
    <x v="28"/>
    <n v="3648"/>
  </r>
  <r>
    <x v="3"/>
    <x v="8"/>
    <x v="8"/>
    <x v="1"/>
    <x v="8"/>
    <x v="2"/>
    <n v="5"/>
    <x v="28"/>
    <n v="3883"/>
  </r>
  <r>
    <x v="4"/>
    <x v="9"/>
    <x v="9"/>
    <x v="2"/>
    <x v="2"/>
    <x v="2"/>
    <n v="5"/>
    <x v="28"/>
    <n v="4569"/>
  </r>
  <r>
    <x v="0"/>
    <x v="0"/>
    <x v="0"/>
    <x v="2"/>
    <x v="3"/>
    <x v="2"/>
    <n v="5"/>
    <x v="28"/>
    <n v="4188"/>
  </r>
  <r>
    <x v="1"/>
    <x v="2"/>
    <x v="2"/>
    <x v="2"/>
    <x v="4"/>
    <x v="2"/>
    <n v="5"/>
    <x v="28"/>
    <n v="4008"/>
  </r>
  <r>
    <x v="2"/>
    <x v="3"/>
    <x v="3"/>
    <x v="0"/>
    <x v="5"/>
    <x v="2"/>
    <n v="5"/>
    <x v="28"/>
    <n v="1888"/>
  </r>
  <r>
    <x v="3"/>
    <x v="4"/>
    <x v="4"/>
    <x v="0"/>
    <x v="0"/>
    <x v="2"/>
    <n v="5"/>
    <x v="28"/>
    <n v="3315"/>
  </r>
  <r>
    <x v="4"/>
    <x v="5"/>
    <x v="5"/>
    <x v="0"/>
    <x v="6"/>
    <x v="2"/>
    <n v="5"/>
    <x v="28"/>
    <n v="2707"/>
  </r>
  <r>
    <x v="0"/>
    <x v="1"/>
    <x v="1"/>
    <x v="1"/>
    <x v="7"/>
    <x v="2"/>
    <n v="5"/>
    <x v="28"/>
    <n v="6858"/>
  </r>
  <r>
    <x v="1"/>
    <x v="6"/>
    <x v="6"/>
    <x v="1"/>
    <x v="1"/>
    <x v="2"/>
    <n v="5"/>
    <x v="28"/>
    <n v="4481"/>
  </r>
  <r>
    <x v="2"/>
    <x v="7"/>
    <x v="7"/>
    <x v="1"/>
    <x v="8"/>
    <x v="2"/>
    <n v="5"/>
    <x v="28"/>
    <n v="3029"/>
  </r>
  <r>
    <x v="3"/>
    <x v="8"/>
    <x v="8"/>
    <x v="2"/>
    <x v="2"/>
    <x v="2"/>
    <n v="5"/>
    <x v="28"/>
    <n v="3896"/>
  </r>
  <r>
    <x v="4"/>
    <x v="9"/>
    <x v="9"/>
    <x v="2"/>
    <x v="3"/>
    <x v="2"/>
    <n v="5"/>
    <x v="28"/>
    <n v="4684"/>
  </r>
  <r>
    <x v="0"/>
    <x v="0"/>
    <x v="0"/>
    <x v="2"/>
    <x v="4"/>
    <x v="2"/>
    <n v="5"/>
    <x v="28"/>
    <n v="3151"/>
  </r>
  <r>
    <x v="1"/>
    <x v="2"/>
    <x v="2"/>
    <x v="0"/>
    <x v="5"/>
    <x v="2"/>
    <n v="5"/>
    <x v="28"/>
    <n v="2306"/>
  </r>
  <r>
    <x v="2"/>
    <x v="3"/>
    <x v="3"/>
    <x v="0"/>
    <x v="0"/>
    <x v="2"/>
    <n v="5"/>
    <x v="28"/>
    <n v="3347"/>
  </r>
  <r>
    <x v="3"/>
    <x v="4"/>
    <x v="4"/>
    <x v="0"/>
    <x v="6"/>
    <x v="2"/>
    <n v="5"/>
    <x v="28"/>
    <n v="2581"/>
  </r>
  <r>
    <x v="4"/>
    <x v="5"/>
    <x v="5"/>
    <x v="1"/>
    <x v="7"/>
    <x v="2"/>
    <n v="5"/>
    <x v="28"/>
    <n v="5949"/>
  </r>
  <r>
    <x v="1"/>
    <x v="2"/>
    <x v="2"/>
    <x v="1"/>
    <x v="8"/>
    <x v="2"/>
    <n v="5"/>
    <x v="28"/>
    <n v="4418"/>
  </r>
  <r>
    <x v="2"/>
    <x v="7"/>
    <x v="7"/>
    <x v="2"/>
    <x v="2"/>
    <x v="2"/>
    <n v="5"/>
    <x v="28"/>
    <n v="4366"/>
  </r>
  <r>
    <x v="3"/>
    <x v="8"/>
    <x v="8"/>
    <x v="2"/>
    <x v="3"/>
    <x v="2"/>
    <n v="5"/>
    <x v="28"/>
    <n v="4094"/>
  </r>
  <r>
    <x v="4"/>
    <x v="9"/>
    <x v="9"/>
    <x v="2"/>
    <x v="4"/>
    <x v="2"/>
    <n v="5"/>
    <x v="28"/>
    <n v="3095"/>
  </r>
  <r>
    <x v="0"/>
    <x v="0"/>
    <x v="0"/>
    <x v="0"/>
    <x v="5"/>
    <x v="2"/>
    <n v="5"/>
    <x v="28"/>
    <n v="1982"/>
  </r>
  <r>
    <x v="1"/>
    <x v="6"/>
    <x v="6"/>
    <x v="0"/>
    <x v="0"/>
    <x v="2"/>
    <n v="5"/>
    <x v="28"/>
    <n v="3203"/>
  </r>
  <r>
    <x v="2"/>
    <x v="3"/>
    <x v="3"/>
    <x v="0"/>
    <x v="6"/>
    <x v="2"/>
    <n v="5"/>
    <x v="28"/>
    <n v="2324"/>
  </r>
  <r>
    <x v="3"/>
    <x v="4"/>
    <x v="4"/>
    <x v="1"/>
    <x v="7"/>
    <x v="2"/>
    <n v="5"/>
    <x v="28"/>
    <n v="5055"/>
  </r>
  <r>
    <x v="4"/>
    <x v="5"/>
    <x v="5"/>
    <x v="1"/>
    <x v="1"/>
    <x v="2"/>
    <n v="5"/>
    <x v="28"/>
    <n v="3277"/>
  </r>
  <r>
    <x v="0"/>
    <x v="1"/>
    <x v="1"/>
    <x v="1"/>
    <x v="8"/>
    <x v="2"/>
    <n v="5"/>
    <x v="28"/>
    <n v="3200"/>
  </r>
  <r>
    <x v="1"/>
    <x v="2"/>
    <x v="2"/>
    <x v="2"/>
    <x v="2"/>
    <x v="2"/>
    <n v="5"/>
    <x v="28"/>
    <n v="4497"/>
  </r>
  <r>
    <x v="2"/>
    <x v="7"/>
    <x v="7"/>
    <x v="2"/>
    <x v="3"/>
    <x v="2"/>
    <n v="5"/>
    <x v="28"/>
    <n v="3988"/>
  </r>
  <r>
    <x v="3"/>
    <x v="8"/>
    <x v="8"/>
    <x v="2"/>
    <x v="4"/>
    <x v="2"/>
    <n v="5"/>
    <x v="28"/>
    <n v="3977"/>
  </r>
  <r>
    <x v="4"/>
    <x v="9"/>
    <x v="9"/>
    <x v="0"/>
    <x v="5"/>
    <x v="2"/>
    <n v="5"/>
    <x v="28"/>
    <n v="2555"/>
  </r>
  <r>
    <x v="1"/>
    <x v="2"/>
    <x v="2"/>
    <x v="0"/>
    <x v="6"/>
    <x v="2"/>
    <n v="5"/>
    <x v="28"/>
    <n v="2686"/>
  </r>
  <r>
    <x v="2"/>
    <x v="3"/>
    <x v="3"/>
    <x v="1"/>
    <x v="7"/>
    <x v="2"/>
    <n v="5"/>
    <x v="28"/>
    <n v="5730"/>
  </r>
  <r>
    <x v="3"/>
    <x v="8"/>
    <x v="8"/>
    <x v="1"/>
    <x v="1"/>
    <x v="2"/>
    <n v="5"/>
    <x v="28"/>
    <n v="5237"/>
  </r>
  <r>
    <x v="4"/>
    <x v="5"/>
    <x v="5"/>
    <x v="1"/>
    <x v="8"/>
    <x v="2"/>
    <n v="5"/>
    <x v="28"/>
    <n v="4487"/>
  </r>
  <r>
    <x v="0"/>
    <x v="1"/>
    <x v="1"/>
    <x v="2"/>
    <x v="2"/>
    <x v="2"/>
    <n v="5"/>
    <x v="28"/>
    <n v="4433"/>
  </r>
  <r>
    <x v="0"/>
    <x v="1"/>
    <x v="1"/>
    <x v="2"/>
    <x v="3"/>
    <x v="2"/>
    <n v="5"/>
    <x v="28"/>
    <n v="4608"/>
  </r>
  <r>
    <x v="1"/>
    <x v="6"/>
    <x v="6"/>
    <x v="2"/>
    <x v="4"/>
    <x v="2"/>
    <n v="5"/>
    <x v="28"/>
    <n v="3458"/>
  </r>
  <r>
    <x v="1"/>
    <x v="6"/>
    <x v="6"/>
    <x v="0"/>
    <x v="5"/>
    <x v="2"/>
    <n v="5"/>
    <x v="28"/>
    <n v="2537"/>
  </r>
  <r>
    <x v="2"/>
    <x v="7"/>
    <x v="7"/>
    <x v="0"/>
    <x v="0"/>
    <x v="2"/>
    <n v="5"/>
    <x v="28"/>
    <n v="1948"/>
  </r>
  <r>
    <x v="2"/>
    <x v="7"/>
    <x v="7"/>
    <x v="0"/>
    <x v="6"/>
    <x v="2"/>
    <n v="5"/>
    <x v="28"/>
    <n v="1757"/>
  </r>
  <r>
    <x v="2"/>
    <x v="3"/>
    <x v="3"/>
    <x v="1"/>
    <x v="1"/>
    <x v="2"/>
    <n v="5"/>
    <x v="28"/>
    <n v="4236"/>
  </r>
  <r>
    <x v="0"/>
    <x v="0"/>
    <x v="0"/>
    <x v="1"/>
    <x v="8"/>
    <x v="2"/>
    <n v="5"/>
    <x v="28"/>
    <n v="3139"/>
  </r>
  <r>
    <x v="2"/>
    <x v="10"/>
    <x v="10"/>
    <x v="0"/>
    <x v="5"/>
    <x v="2"/>
    <n v="5"/>
    <x v="28"/>
    <n v="2723"/>
  </r>
  <r>
    <x v="2"/>
    <x v="10"/>
    <x v="10"/>
    <x v="0"/>
    <x v="0"/>
    <x v="2"/>
    <n v="5"/>
    <x v="28"/>
    <n v="2075"/>
  </r>
  <r>
    <x v="2"/>
    <x v="11"/>
    <x v="11"/>
    <x v="0"/>
    <x v="6"/>
    <x v="2"/>
    <n v="5"/>
    <x v="28"/>
    <n v="2206"/>
  </r>
  <r>
    <x v="2"/>
    <x v="11"/>
    <x v="11"/>
    <x v="1"/>
    <x v="7"/>
    <x v="2"/>
    <n v="5"/>
    <x v="28"/>
    <n v="4486"/>
  </r>
  <r>
    <x v="3"/>
    <x v="4"/>
    <x v="4"/>
    <x v="1"/>
    <x v="1"/>
    <x v="2"/>
    <n v="5"/>
    <x v="28"/>
    <n v="3117"/>
  </r>
  <r>
    <x v="3"/>
    <x v="4"/>
    <x v="4"/>
    <x v="1"/>
    <x v="8"/>
    <x v="2"/>
    <n v="5"/>
    <x v="28"/>
    <n v="4961"/>
  </r>
  <r>
    <x v="4"/>
    <x v="5"/>
    <x v="5"/>
    <x v="2"/>
    <x v="2"/>
    <x v="2"/>
    <n v="5"/>
    <x v="28"/>
    <n v="3918"/>
  </r>
  <r>
    <x v="4"/>
    <x v="5"/>
    <x v="5"/>
    <x v="2"/>
    <x v="3"/>
    <x v="2"/>
    <n v="5"/>
    <x v="28"/>
    <n v="4678"/>
  </r>
  <r>
    <x v="3"/>
    <x v="8"/>
    <x v="8"/>
    <x v="0"/>
    <x v="5"/>
    <x v="2"/>
    <n v="5"/>
    <x v="28"/>
    <n v="2010"/>
  </r>
  <r>
    <x v="4"/>
    <x v="9"/>
    <x v="9"/>
    <x v="0"/>
    <x v="0"/>
    <x v="2"/>
    <n v="5"/>
    <x v="28"/>
    <n v="3316"/>
  </r>
  <r>
    <x v="4"/>
    <x v="9"/>
    <x v="9"/>
    <x v="0"/>
    <x v="6"/>
    <x v="2"/>
    <n v="5"/>
    <x v="28"/>
    <n v="2824"/>
  </r>
  <r>
    <x v="2"/>
    <x v="7"/>
    <x v="7"/>
    <x v="1"/>
    <x v="7"/>
    <x v="2"/>
    <n v="5"/>
    <x v="28"/>
    <n v="4818"/>
  </r>
  <r>
    <x v="1"/>
    <x v="6"/>
    <x v="6"/>
    <x v="2"/>
    <x v="3"/>
    <x v="2"/>
    <n v="5"/>
    <x v="28"/>
    <n v="4272"/>
  </r>
  <r>
    <x v="0"/>
    <x v="0"/>
    <x v="0"/>
    <x v="0"/>
    <x v="6"/>
    <x v="2"/>
    <n v="5"/>
    <x v="28"/>
    <n v="2314"/>
  </r>
  <r>
    <x v="0"/>
    <x v="0"/>
    <x v="0"/>
    <x v="1"/>
    <x v="7"/>
    <x v="2"/>
    <n v="5"/>
    <x v="28"/>
    <n v="5555"/>
  </r>
  <r>
    <x v="1"/>
    <x v="2"/>
    <x v="2"/>
    <x v="1"/>
    <x v="1"/>
    <x v="2"/>
    <n v="5"/>
    <x v="28"/>
    <n v="3097"/>
  </r>
  <r>
    <x v="2"/>
    <x v="10"/>
    <x v="10"/>
    <x v="2"/>
    <x v="2"/>
    <x v="2"/>
    <n v="5"/>
    <x v="28"/>
    <n v="3427"/>
  </r>
  <r>
    <x v="2"/>
    <x v="10"/>
    <x v="10"/>
    <x v="2"/>
    <x v="3"/>
    <x v="2"/>
    <n v="5"/>
    <x v="28"/>
    <n v="3841"/>
  </r>
  <r>
    <x v="2"/>
    <x v="11"/>
    <x v="11"/>
    <x v="2"/>
    <x v="4"/>
    <x v="2"/>
    <n v="5"/>
    <x v="28"/>
    <n v="3608"/>
  </r>
  <r>
    <x v="2"/>
    <x v="11"/>
    <x v="11"/>
    <x v="0"/>
    <x v="5"/>
    <x v="2"/>
    <n v="5"/>
    <x v="28"/>
    <n v="1801"/>
  </r>
  <r>
    <x v="2"/>
    <x v="7"/>
    <x v="7"/>
    <x v="0"/>
    <x v="5"/>
    <x v="2"/>
    <n v="5"/>
    <x v="28"/>
    <n v="1715"/>
  </r>
  <r>
    <x v="1"/>
    <x v="6"/>
    <x v="6"/>
    <x v="1"/>
    <x v="8"/>
    <x v="2"/>
    <n v="5"/>
    <x v="28"/>
    <n v="3052"/>
  </r>
  <r>
    <x v="2"/>
    <x v="3"/>
    <x v="3"/>
    <x v="2"/>
    <x v="2"/>
    <x v="2"/>
    <n v="5"/>
    <x v="28"/>
    <n v="3374"/>
  </r>
  <r>
    <x v="2"/>
    <x v="3"/>
    <x v="3"/>
    <x v="2"/>
    <x v="3"/>
    <x v="2"/>
    <n v="5"/>
    <x v="28"/>
    <n v="3169"/>
  </r>
  <r>
    <x v="1"/>
    <x v="2"/>
    <x v="2"/>
    <x v="0"/>
    <x v="0"/>
    <x v="2"/>
    <n v="5"/>
    <x v="28"/>
    <n v="2767"/>
  </r>
  <r>
    <x v="2"/>
    <x v="10"/>
    <x v="10"/>
    <x v="1"/>
    <x v="7"/>
    <x v="2"/>
    <n v="5"/>
    <x v="28"/>
    <n v="6850"/>
  </r>
  <r>
    <x v="2"/>
    <x v="10"/>
    <x v="10"/>
    <x v="1"/>
    <x v="1"/>
    <x v="2"/>
    <n v="5"/>
    <x v="28"/>
    <n v="4328"/>
  </r>
  <r>
    <x v="2"/>
    <x v="11"/>
    <x v="11"/>
    <x v="1"/>
    <x v="8"/>
    <x v="2"/>
    <n v="5"/>
    <x v="28"/>
    <n v="4198"/>
  </r>
  <r>
    <x v="2"/>
    <x v="11"/>
    <x v="11"/>
    <x v="2"/>
    <x v="2"/>
    <x v="2"/>
    <n v="5"/>
    <x v="28"/>
    <n v="3249"/>
  </r>
  <r>
    <x v="3"/>
    <x v="4"/>
    <x v="4"/>
    <x v="2"/>
    <x v="3"/>
    <x v="2"/>
    <n v="5"/>
    <x v="28"/>
    <n v="5390"/>
  </r>
  <r>
    <x v="3"/>
    <x v="4"/>
    <x v="4"/>
    <x v="2"/>
    <x v="4"/>
    <x v="2"/>
    <n v="5"/>
    <x v="28"/>
    <n v="3502"/>
  </r>
  <r>
    <x v="4"/>
    <x v="5"/>
    <x v="5"/>
    <x v="0"/>
    <x v="5"/>
    <x v="2"/>
    <n v="5"/>
    <x v="28"/>
    <n v="2414"/>
  </r>
  <r>
    <x v="3"/>
    <x v="8"/>
    <x v="8"/>
    <x v="0"/>
    <x v="6"/>
    <x v="2"/>
    <n v="5"/>
    <x v="28"/>
    <n v="2139"/>
  </r>
  <r>
    <x v="3"/>
    <x v="8"/>
    <x v="8"/>
    <x v="1"/>
    <x v="7"/>
    <x v="2"/>
    <n v="5"/>
    <x v="28"/>
    <n v="6468"/>
  </r>
  <r>
    <x v="4"/>
    <x v="9"/>
    <x v="9"/>
    <x v="1"/>
    <x v="1"/>
    <x v="2"/>
    <n v="5"/>
    <x v="28"/>
    <n v="5412"/>
  </r>
  <r>
    <x v="4"/>
    <x v="9"/>
    <x v="9"/>
    <x v="1"/>
    <x v="8"/>
    <x v="2"/>
    <n v="5"/>
    <x v="28"/>
    <n v="2243"/>
  </r>
  <r>
    <x v="0"/>
    <x v="1"/>
    <x v="1"/>
    <x v="2"/>
    <x v="4"/>
    <x v="2"/>
    <n v="5"/>
    <x v="28"/>
    <n v="3797"/>
  </r>
  <r>
    <x v="0"/>
    <x v="1"/>
    <x v="1"/>
    <x v="0"/>
    <x v="5"/>
    <x v="2"/>
    <n v="5"/>
    <x v="28"/>
    <n v="2467"/>
  </r>
  <r>
    <x v="1"/>
    <x v="6"/>
    <x v="6"/>
    <x v="0"/>
    <x v="6"/>
    <x v="2"/>
    <n v="5"/>
    <x v="28"/>
    <n v="2185"/>
  </r>
  <r>
    <x v="2"/>
    <x v="10"/>
    <x v="10"/>
    <x v="1"/>
    <x v="8"/>
    <x v="2"/>
    <n v="5"/>
    <x v="28"/>
    <n v="2318"/>
  </r>
  <r>
    <x v="2"/>
    <x v="11"/>
    <x v="11"/>
    <x v="2"/>
    <x v="3"/>
    <x v="2"/>
    <n v="5"/>
    <x v="28"/>
    <n v="4293"/>
  </r>
  <r>
    <x v="2"/>
    <x v="7"/>
    <x v="7"/>
    <x v="2"/>
    <x v="4"/>
    <x v="2"/>
    <n v="5"/>
    <x v="28"/>
    <n v="4091"/>
  </r>
  <r>
    <x v="2"/>
    <x v="3"/>
    <x v="3"/>
    <x v="1"/>
    <x v="8"/>
    <x v="2"/>
    <n v="5"/>
    <x v="28"/>
    <n v="3916"/>
  </r>
  <r>
    <x v="2"/>
    <x v="10"/>
    <x v="10"/>
    <x v="0"/>
    <x v="6"/>
    <x v="2"/>
    <n v="5"/>
    <x v="28"/>
    <n v="1722"/>
  </r>
  <r>
    <x v="2"/>
    <x v="11"/>
    <x v="11"/>
    <x v="1"/>
    <x v="1"/>
    <x v="2"/>
    <n v="5"/>
    <x v="28"/>
    <n v="2855"/>
  </r>
  <r>
    <x v="3"/>
    <x v="4"/>
    <x v="4"/>
    <x v="2"/>
    <x v="2"/>
    <x v="2"/>
    <n v="5"/>
    <x v="28"/>
    <n v="4002"/>
  </r>
  <r>
    <x v="4"/>
    <x v="5"/>
    <x v="5"/>
    <x v="2"/>
    <x v="4"/>
    <x v="2"/>
    <n v="5"/>
    <x v="28"/>
    <n v="3228"/>
  </r>
  <r>
    <x v="3"/>
    <x v="8"/>
    <x v="8"/>
    <x v="0"/>
    <x v="0"/>
    <x v="2"/>
    <n v="5"/>
    <x v="28"/>
    <n v="3307"/>
  </r>
  <r>
    <x v="4"/>
    <x v="9"/>
    <x v="9"/>
    <x v="1"/>
    <x v="7"/>
    <x v="2"/>
    <n v="5"/>
    <x v="28"/>
    <n v="4756"/>
  </r>
  <r>
    <x v="2"/>
    <x v="10"/>
    <x v="10"/>
    <x v="2"/>
    <x v="4"/>
    <x v="2"/>
    <n v="5"/>
    <x v="28"/>
    <n v="3664"/>
  </r>
  <r>
    <x v="2"/>
    <x v="11"/>
    <x v="11"/>
    <x v="0"/>
    <x v="0"/>
    <x v="2"/>
    <n v="5"/>
    <x v="28"/>
    <n v="3116"/>
  </r>
  <r>
    <x v="0"/>
    <x v="0"/>
    <x v="0"/>
    <x v="0"/>
    <x v="0"/>
    <x v="2"/>
    <n v="6"/>
    <x v="29"/>
    <n v="2810"/>
  </r>
  <r>
    <x v="0"/>
    <x v="1"/>
    <x v="1"/>
    <x v="0"/>
    <x v="0"/>
    <x v="2"/>
    <n v="6"/>
    <x v="29"/>
    <n v="3147"/>
  </r>
  <r>
    <x v="0"/>
    <x v="1"/>
    <x v="1"/>
    <x v="1"/>
    <x v="1"/>
    <x v="2"/>
    <n v="6"/>
    <x v="29"/>
    <n v="3898"/>
  </r>
  <r>
    <x v="0"/>
    <x v="0"/>
    <x v="0"/>
    <x v="1"/>
    <x v="1"/>
    <x v="2"/>
    <n v="6"/>
    <x v="29"/>
    <n v="3373"/>
  </r>
  <r>
    <x v="0"/>
    <x v="0"/>
    <x v="0"/>
    <x v="2"/>
    <x v="2"/>
    <x v="2"/>
    <n v="6"/>
    <x v="29"/>
    <n v="4937"/>
  </r>
  <r>
    <x v="1"/>
    <x v="2"/>
    <x v="2"/>
    <x v="2"/>
    <x v="3"/>
    <x v="2"/>
    <n v="6"/>
    <x v="29"/>
    <n v="4680"/>
  </r>
  <r>
    <x v="2"/>
    <x v="3"/>
    <x v="3"/>
    <x v="2"/>
    <x v="4"/>
    <x v="2"/>
    <n v="6"/>
    <x v="29"/>
    <n v="3416"/>
  </r>
  <r>
    <x v="3"/>
    <x v="4"/>
    <x v="4"/>
    <x v="0"/>
    <x v="5"/>
    <x v="2"/>
    <n v="6"/>
    <x v="29"/>
    <n v="1703"/>
  </r>
  <r>
    <x v="4"/>
    <x v="5"/>
    <x v="5"/>
    <x v="0"/>
    <x v="0"/>
    <x v="2"/>
    <n v="6"/>
    <x v="29"/>
    <n v="2956"/>
  </r>
  <r>
    <x v="0"/>
    <x v="1"/>
    <x v="1"/>
    <x v="0"/>
    <x v="6"/>
    <x v="2"/>
    <n v="6"/>
    <x v="29"/>
    <n v="2675"/>
  </r>
  <r>
    <x v="1"/>
    <x v="6"/>
    <x v="6"/>
    <x v="1"/>
    <x v="7"/>
    <x v="2"/>
    <n v="6"/>
    <x v="29"/>
    <n v="6801"/>
  </r>
  <r>
    <x v="2"/>
    <x v="7"/>
    <x v="7"/>
    <x v="1"/>
    <x v="1"/>
    <x v="2"/>
    <n v="6"/>
    <x v="29"/>
    <n v="3596"/>
  </r>
  <r>
    <x v="3"/>
    <x v="8"/>
    <x v="8"/>
    <x v="1"/>
    <x v="8"/>
    <x v="2"/>
    <n v="6"/>
    <x v="29"/>
    <n v="2402"/>
  </r>
  <r>
    <x v="4"/>
    <x v="9"/>
    <x v="9"/>
    <x v="2"/>
    <x v="2"/>
    <x v="2"/>
    <n v="6"/>
    <x v="29"/>
    <n v="3454"/>
  </r>
  <r>
    <x v="0"/>
    <x v="0"/>
    <x v="0"/>
    <x v="2"/>
    <x v="3"/>
    <x v="2"/>
    <n v="6"/>
    <x v="29"/>
    <n v="3863"/>
  </r>
  <r>
    <x v="1"/>
    <x v="2"/>
    <x v="2"/>
    <x v="2"/>
    <x v="4"/>
    <x v="2"/>
    <n v="6"/>
    <x v="29"/>
    <n v="3571"/>
  </r>
  <r>
    <x v="2"/>
    <x v="3"/>
    <x v="3"/>
    <x v="0"/>
    <x v="5"/>
    <x v="2"/>
    <n v="6"/>
    <x v="29"/>
    <n v="2814"/>
  </r>
  <r>
    <x v="3"/>
    <x v="4"/>
    <x v="4"/>
    <x v="0"/>
    <x v="0"/>
    <x v="2"/>
    <n v="6"/>
    <x v="29"/>
    <n v="2075"/>
  </r>
  <r>
    <x v="4"/>
    <x v="5"/>
    <x v="5"/>
    <x v="0"/>
    <x v="6"/>
    <x v="2"/>
    <n v="6"/>
    <x v="29"/>
    <n v="1555"/>
  </r>
  <r>
    <x v="0"/>
    <x v="1"/>
    <x v="1"/>
    <x v="1"/>
    <x v="7"/>
    <x v="2"/>
    <n v="6"/>
    <x v="29"/>
    <n v="4259"/>
  </r>
  <r>
    <x v="1"/>
    <x v="6"/>
    <x v="6"/>
    <x v="1"/>
    <x v="1"/>
    <x v="2"/>
    <n v="6"/>
    <x v="29"/>
    <n v="2772"/>
  </r>
  <r>
    <x v="2"/>
    <x v="7"/>
    <x v="7"/>
    <x v="1"/>
    <x v="8"/>
    <x v="2"/>
    <n v="6"/>
    <x v="29"/>
    <n v="4949"/>
  </r>
  <r>
    <x v="3"/>
    <x v="8"/>
    <x v="8"/>
    <x v="2"/>
    <x v="2"/>
    <x v="2"/>
    <n v="6"/>
    <x v="29"/>
    <n v="4997"/>
  </r>
  <r>
    <x v="4"/>
    <x v="9"/>
    <x v="9"/>
    <x v="2"/>
    <x v="3"/>
    <x v="2"/>
    <n v="6"/>
    <x v="29"/>
    <n v="3842"/>
  </r>
  <r>
    <x v="0"/>
    <x v="0"/>
    <x v="0"/>
    <x v="2"/>
    <x v="4"/>
    <x v="2"/>
    <n v="6"/>
    <x v="29"/>
    <n v="3046"/>
  </r>
  <r>
    <x v="1"/>
    <x v="2"/>
    <x v="2"/>
    <x v="0"/>
    <x v="5"/>
    <x v="2"/>
    <n v="6"/>
    <x v="29"/>
    <n v="2397"/>
  </r>
  <r>
    <x v="2"/>
    <x v="3"/>
    <x v="3"/>
    <x v="0"/>
    <x v="0"/>
    <x v="2"/>
    <n v="6"/>
    <x v="29"/>
    <n v="1742"/>
  </r>
  <r>
    <x v="3"/>
    <x v="4"/>
    <x v="4"/>
    <x v="0"/>
    <x v="6"/>
    <x v="2"/>
    <n v="6"/>
    <x v="29"/>
    <n v="1373"/>
  </r>
  <r>
    <x v="4"/>
    <x v="5"/>
    <x v="5"/>
    <x v="1"/>
    <x v="7"/>
    <x v="2"/>
    <n v="6"/>
    <x v="29"/>
    <n v="5496"/>
  </r>
  <r>
    <x v="1"/>
    <x v="2"/>
    <x v="2"/>
    <x v="1"/>
    <x v="8"/>
    <x v="2"/>
    <n v="6"/>
    <x v="29"/>
    <n v="2085"/>
  </r>
  <r>
    <x v="2"/>
    <x v="7"/>
    <x v="7"/>
    <x v="2"/>
    <x v="2"/>
    <x v="2"/>
    <n v="6"/>
    <x v="29"/>
    <n v="4286"/>
  </r>
  <r>
    <x v="3"/>
    <x v="8"/>
    <x v="8"/>
    <x v="2"/>
    <x v="3"/>
    <x v="2"/>
    <n v="6"/>
    <x v="29"/>
    <n v="4811"/>
  </r>
  <r>
    <x v="4"/>
    <x v="9"/>
    <x v="9"/>
    <x v="2"/>
    <x v="4"/>
    <x v="2"/>
    <n v="6"/>
    <x v="29"/>
    <n v="2973"/>
  </r>
  <r>
    <x v="0"/>
    <x v="0"/>
    <x v="0"/>
    <x v="0"/>
    <x v="5"/>
    <x v="2"/>
    <n v="6"/>
    <x v="29"/>
    <n v="2580"/>
  </r>
  <r>
    <x v="1"/>
    <x v="6"/>
    <x v="6"/>
    <x v="0"/>
    <x v="0"/>
    <x v="2"/>
    <n v="6"/>
    <x v="29"/>
    <n v="1848"/>
  </r>
  <r>
    <x v="2"/>
    <x v="3"/>
    <x v="3"/>
    <x v="0"/>
    <x v="6"/>
    <x v="2"/>
    <n v="6"/>
    <x v="29"/>
    <n v="1684"/>
  </r>
  <r>
    <x v="3"/>
    <x v="4"/>
    <x v="4"/>
    <x v="1"/>
    <x v="7"/>
    <x v="2"/>
    <n v="6"/>
    <x v="29"/>
    <n v="6030"/>
  </r>
  <r>
    <x v="4"/>
    <x v="5"/>
    <x v="5"/>
    <x v="1"/>
    <x v="1"/>
    <x v="2"/>
    <n v="6"/>
    <x v="29"/>
    <n v="5031"/>
  </r>
  <r>
    <x v="0"/>
    <x v="1"/>
    <x v="1"/>
    <x v="1"/>
    <x v="8"/>
    <x v="2"/>
    <n v="6"/>
    <x v="29"/>
    <n v="4998"/>
  </r>
  <r>
    <x v="1"/>
    <x v="2"/>
    <x v="2"/>
    <x v="2"/>
    <x v="2"/>
    <x v="2"/>
    <n v="6"/>
    <x v="29"/>
    <n v="4831"/>
  </r>
  <r>
    <x v="2"/>
    <x v="7"/>
    <x v="7"/>
    <x v="2"/>
    <x v="3"/>
    <x v="2"/>
    <n v="6"/>
    <x v="29"/>
    <n v="4647"/>
  </r>
  <r>
    <x v="3"/>
    <x v="8"/>
    <x v="8"/>
    <x v="2"/>
    <x v="4"/>
    <x v="2"/>
    <n v="6"/>
    <x v="29"/>
    <n v="4060"/>
  </r>
  <r>
    <x v="4"/>
    <x v="9"/>
    <x v="9"/>
    <x v="0"/>
    <x v="5"/>
    <x v="2"/>
    <n v="6"/>
    <x v="29"/>
    <n v="1943"/>
  </r>
  <r>
    <x v="1"/>
    <x v="2"/>
    <x v="2"/>
    <x v="0"/>
    <x v="6"/>
    <x v="2"/>
    <n v="6"/>
    <x v="29"/>
    <n v="1473"/>
  </r>
  <r>
    <x v="2"/>
    <x v="3"/>
    <x v="3"/>
    <x v="1"/>
    <x v="7"/>
    <x v="2"/>
    <n v="6"/>
    <x v="29"/>
    <n v="5754"/>
  </r>
  <r>
    <x v="3"/>
    <x v="8"/>
    <x v="8"/>
    <x v="1"/>
    <x v="1"/>
    <x v="2"/>
    <n v="6"/>
    <x v="29"/>
    <n v="2612"/>
  </r>
  <r>
    <x v="4"/>
    <x v="5"/>
    <x v="5"/>
    <x v="1"/>
    <x v="8"/>
    <x v="2"/>
    <n v="6"/>
    <x v="29"/>
    <n v="2383"/>
  </r>
  <r>
    <x v="0"/>
    <x v="1"/>
    <x v="1"/>
    <x v="2"/>
    <x v="2"/>
    <x v="2"/>
    <n v="6"/>
    <x v="29"/>
    <n v="4202"/>
  </r>
  <r>
    <x v="0"/>
    <x v="1"/>
    <x v="1"/>
    <x v="2"/>
    <x v="3"/>
    <x v="2"/>
    <n v="6"/>
    <x v="29"/>
    <n v="2697"/>
  </r>
  <r>
    <x v="1"/>
    <x v="6"/>
    <x v="6"/>
    <x v="2"/>
    <x v="4"/>
    <x v="2"/>
    <n v="6"/>
    <x v="29"/>
    <n v="3246"/>
  </r>
  <r>
    <x v="1"/>
    <x v="6"/>
    <x v="6"/>
    <x v="0"/>
    <x v="5"/>
    <x v="2"/>
    <n v="6"/>
    <x v="29"/>
    <n v="1652"/>
  </r>
  <r>
    <x v="2"/>
    <x v="7"/>
    <x v="7"/>
    <x v="0"/>
    <x v="0"/>
    <x v="2"/>
    <n v="6"/>
    <x v="29"/>
    <n v="1766"/>
  </r>
  <r>
    <x v="2"/>
    <x v="7"/>
    <x v="7"/>
    <x v="0"/>
    <x v="6"/>
    <x v="2"/>
    <n v="6"/>
    <x v="29"/>
    <n v="2155"/>
  </r>
  <r>
    <x v="2"/>
    <x v="3"/>
    <x v="3"/>
    <x v="1"/>
    <x v="1"/>
    <x v="2"/>
    <n v="6"/>
    <x v="29"/>
    <n v="5252"/>
  </r>
  <r>
    <x v="0"/>
    <x v="0"/>
    <x v="0"/>
    <x v="1"/>
    <x v="8"/>
    <x v="2"/>
    <n v="6"/>
    <x v="29"/>
    <n v="4227"/>
  </r>
  <r>
    <x v="2"/>
    <x v="10"/>
    <x v="10"/>
    <x v="0"/>
    <x v="5"/>
    <x v="2"/>
    <n v="6"/>
    <x v="29"/>
    <n v="1755"/>
  </r>
  <r>
    <x v="2"/>
    <x v="10"/>
    <x v="10"/>
    <x v="0"/>
    <x v="0"/>
    <x v="2"/>
    <n v="6"/>
    <x v="29"/>
    <n v="2589"/>
  </r>
  <r>
    <x v="2"/>
    <x v="11"/>
    <x v="11"/>
    <x v="0"/>
    <x v="6"/>
    <x v="2"/>
    <n v="6"/>
    <x v="29"/>
    <n v="1572"/>
  </r>
  <r>
    <x v="2"/>
    <x v="11"/>
    <x v="11"/>
    <x v="1"/>
    <x v="7"/>
    <x v="2"/>
    <n v="6"/>
    <x v="29"/>
    <n v="6568"/>
  </r>
  <r>
    <x v="3"/>
    <x v="4"/>
    <x v="4"/>
    <x v="1"/>
    <x v="1"/>
    <x v="2"/>
    <n v="6"/>
    <x v="29"/>
    <n v="4709"/>
  </r>
  <r>
    <x v="3"/>
    <x v="4"/>
    <x v="4"/>
    <x v="1"/>
    <x v="8"/>
    <x v="2"/>
    <n v="6"/>
    <x v="29"/>
    <n v="4503"/>
  </r>
  <r>
    <x v="4"/>
    <x v="5"/>
    <x v="5"/>
    <x v="2"/>
    <x v="2"/>
    <x v="2"/>
    <n v="6"/>
    <x v="29"/>
    <n v="3390"/>
  </r>
  <r>
    <x v="4"/>
    <x v="5"/>
    <x v="5"/>
    <x v="2"/>
    <x v="3"/>
    <x v="2"/>
    <n v="6"/>
    <x v="29"/>
    <n v="4893"/>
  </r>
  <r>
    <x v="3"/>
    <x v="8"/>
    <x v="8"/>
    <x v="0"/>
    <x v="5"/>
    <x v="2"/>
    <n v="6"/>
    <x v="29"/>
    <n v="2921"/>
  </r>
  <r>
    <x v="4"/>
    <x v="9"/>
    <x v="9"/>
    <x v="0"/>
    <x v="0"/>
    <x v="2"/>
    <n v="6"/>
    <x v="29"/>
    <n v="2209"/>
  </r>
  <r>
    <x v="4"/>
    <x v="9"/>
    <x v="9"/>
    <x v="0"/>
    <x v="6"/>
    <x v="2"/>
    <n v="6"/>
    <x v="29"/>
    <n v="1948"/>
  </r>
  <r>
    <x v="2"/>
    <x v="7"/>
    <x v="7"/>
    <x v="1"/>
    <x v="7"/>
    <x v="2"/>
    <n v="6"/>
    <x v="29"/>
    <n v="5507"/>
  </r>
  <r>
    <x v="1"/>
    <x v="6"/>
    <x v="6"/>
    <x v="2"/>
    <x v="3"/>
    <x v="2"/>
    <n v="6"/>
    <x v="29"/>
    <n v="3251"/>
  </r>
  <r>
    <x v="0"/>
    <x v="0"/>
    <x v="0"/>
    <x v="0"/>
    <x v="6"/>
    <x v="2"/>
    <n v="6"/>
    <x v="29"/>
    <n v="1916"/>
  </r>
  <r>
    <x v="0"/>
    <x v="0"/>
    <x v="0"/>
    <x v="1"/>
    <x v="7"/>
    <x v="2"/>
    <n v="6"/>
    <x v="29"/>
    <n v="5568"/>
  </r>
  <r>
    <x v="1"/>
    <x v="2"/>
    <x v="2"/>
    <x v="1"/>
    <x v="1"/>
    <x v="2"/>
    <n v="6"/>
    <x v="29"/>
    <n v="4240"/>
  </r>
  <r>
    <x v="2"/>
    <x v="10"/>
    <x v="10"/>
    <x v="2"/>
    <x v="2"/>
    <x v="2"/>
    <n v="6"/>
    <x v="29"/>
    <n v="4331"/>
  </r>
  <r>
    <x v="2"/>
    <x v="10"/>
    <x v="10"/>
    <x v="2"/>
    <x v="3"/>
    <x v="2"/>
    <n v="6"/>
    <x v="29"/>
    <n v="3951"/>
  </r>
  <r>
    <x v="2"/>
    <x v="11"/>
    <x v="11"/>
    <x v="2"/>
    <x v="4"/>
    <x v="2"/>
    <n v="6"/>
    <x v="29"/>
    <n v="3871"/>
  </r>
  <r>
    <x v="2"/>
    <x v="11"/>
    <x v="11"/>
    <x v="0"/>
    <x v="5"/>
    <x v="2"/>
    <n v="6"/>
    <x v="29"/>
    <n v="2284"/>
  </r>
  <r>
    <x v="2"/>
    <x v="7"/>
    <x v="7"/>
    <x v="0"/>
    <x v="5"/>
    <x v="2"/>
    <n v="6"/>
    <x v="29"/>
    <n v="2665"/>
  </r>
  <r>
    <x v="1"/>
    <x v="6"/>
    <x v="6"/>
    <x v="1"/>
    <x v="8"/>
    <x v="2"/>
    <n v="6"/>
    <x v="29"/>
    <n v="2494"/>
  </r>
  <r>
    <x v="2"/>
    <x v="3"/>
    <x v="3"/>
    <x v="2"/>
    <x v="2"/>
    <x v="2"/>
    <n v="6"/>
    <x v="29"/>
    <n v="3355"/>
  </r>
  <r>
    <x v="2"/>
    <x v="3"/>
    <x v="3"/>
    <x v="2"/>
    <x v="3"/>
    <x v="2"/>
    <n v="6"/>
    <x v="29"/>
    <n v="2794"/>
  </r>
  <r>
    <x v="1"/>
    <x v="2"/>
    <x v="2"/>
    <x v="0"/>
    <x v="0"/>
    <x v="2"/>
    <n v="6"/>
    <x v="29"/>
    <n v="1562"/>
  </r>
  <r>
    <x v="2"/>
    <x v="10"/>
    <x v="10"/>
    <x v="1"/>
    <x v="7"/>
    <x v="2"/>
    <n v="6"/>
    <x v="29"/>
    <n v="6097"/>
  </r>
  <r>
    <x v="2"/>
    <x v="10"/>
    <x v="10"/>
    <x v="1"/>
    <x v="1"/>
    <x v="2"/>
    <n v="6"/>
    <x v="29"/>
    <n v="4497"/>
  </r>
  <r>
    <x v="2"/>
    <x v="11"/>
    <x v="11"/>
    <x v="1"/>
    <x v="8"/>
    <x v="2"/>
    <n v="6"/>
    <x v="29"/>
    <n v="4753"/>
  </r>
  <r>
    <x v="2"/>
    <x v="11"/>
    <x v="11"/>
    <x v="2"/>
    <x v="2"/>
    <x v="2"/>
    <n v="6"/>
    <x v="29"/>
    <n v="3299"/>
  </r>
  <r>
    <x v="3"/>
    <x v="4"/>
    <x v="4"/>
    <x v="2"/>
    <x v="3"/>
    <x v="2"/>
    <n v="6"/>
    <x v="29"/>
    <n v="3742"/>
  </r>
  <r>
    <x v="3"/>
    <x v="4"/>
    <x v="4"/>
    <x v="2"/>
    <x v="4"/>
    <x v="2"/>
    <n v="6"/>
    <x v="29"/>
    <n v="3878"/>
  </r>
  <r>
    <x v="4"/>
    <x v="5"/>
    <x v="5"/>
    <x v="0"/>
    <x v="5"/>
    <x v="2"/>
    <n v="6"/>
    <x v="29"/>
    <n v="2033"/>
  </r>
  <r>
    <x v="3"/>
    <x v="8"/>
    <x v="8"/>
    <x v="0"/>
    <x v="6"/>
    <x v="2"/>
    <n v="6"/>
    <x v="29"/>
    <n v="1662"/>
  </r>
  <r>
    <x v="3"/>
    <x v="8"/>
    <x v="8"/>
    <x v="1"/>
    <x v="7"/>
    <x v="2"/>
    <n v="6"/>
    <x v="29"/>
    <n v="4375"/>
  </r>
  <r>
    <x v="4"/>
    <x v="9"/>
    <x v="9"/>
    <x v="1"/>
    <x v="1"/>
    <x v="2"/>
    <n v="6"/>
    <x v="29"/>
    <n v="5273"/>
  </r>
  <r>
    <x v="4"/>
    <x v="9"/>
    <x v="9"/>
    <x v="1"/>
    <x v="8"/>
    <x v="2"/>
    <n v="6"/>
    <x v="29"/>
    <n v="4625"/>
  </r>
  <r>
    <x v="0"/>
    <x v="1"/>
    <x v="1"/>
    <x v="2"/>
    <x v="4"/>
    <x v="2"/>
    <n v="6"/>
    <x v="29"/>
    <n v="2911"/>
  </r>
  <r>
    <x v="0"/>
    <x v="1"/>
    <x v="1"/>
    <x v="0"/>
    <x v="5"/>
    <x v="2"/>
    <n v="6"/>
    <x v="29"/>
    <n v="2691"/>
  </r>
  <r>
    <x v="1"/>
    <x v="6"/>
    <x v="6"/>
    <x v="0"/>
    <x v="6"/>
    <x v="2"/>
    <n v="6"/>
    <x v="29"/>
    <n v="1380"/>
  </r>
  <r>
    <x v="2"/>
    <x v="10"/>
    <x v="10"/>
    <x v="1"/>
    <x v="8"/>
    <x v="2"/>
    <n v="6"/>
    <x v="29"/>
    <n v="2280"/>
  </r>
  <r>
    <x v="2"/>
    <x v="11"/>
    <x v="11"/>
    <x v="2"/>
    <x v="3"/>
    <x v="2"/>
    <n v="6"/>
    <x v="29"/>
    <n v="4294"/>
  </r>
  <r>
    <x v="2"/>
    <x v="7"/>
    <x v="7"/>
    <x v="2"/>
    <x v="4"/>
    <x v="2"/>
    <n v="6"/>
    <x v="29"/>
    <n v="3965"/>
  </r>
  <r>
    <x v="2"/>
    <x v="3"/>
    <x v="3"/>
    <x v="1"/>
    <x v="8"/>
    <x v="2"/>
    <n v="6"/>
    <x v="29"/>
    <n v="4394"/>
  </r>
  <r>
    <x v="2"/>
    <x v="10"/>
    <x v="10"/>
    <x v="0"/>
    <x v="6"/>
    <x v="2"/>
    <n v="6"/>
    <x v="29"/>
    <n v="2324"/>
  </r>
  <r>
    <x v="2"/>
    <x v="11"/>
    <x v="11"/>
    <x v="1"/>
    <x v="1"/>
    <x v="2"/>
    <n v="6"/>
    <x v="29"/>
    <n v="3869"/>
  </r>
  <r>
    <x v="3"/>
    <x v="4"/>
    <x v="4"/>
    <x v="2"/>
    <x v="2"/>
    <x v="2"/>
    <n v="6"/>
    <x v="29"/>
    <n v="4735"/>
  </r>
  <r>
    <x v="4"/>
    <x v="5"/>
    <x v="5"/>
    <x v="2"/>
    <x v="4"/>
    <x v="2"/>
    <n v="6"/>
    <x v="29"/>
    <n v="3375"/>
  </r>
  <r>
    <x v="3"/>
    <x v="8"/>
    <x v="8"/>
    <x v="0"/>
    <x v="0"/>
    <x v="2"/>
    <n v="6"/>
    <x v="29"/>
    <n v="2069"/>
  </r>
  <r>
    <x v="4"/>
    <x v="9"/>
    <x v="9"/>
    <x v="1"/>
    <x v="7"/>
    <x v="2"/>
    <n v="6"/>
    <x v="29"/>
    <n v="5530"/>
  </r>
  <r>
    <x v="2"/>
    <x v="10"/>
    <x v="10"/>
    <x v="2"/>
    <x v="4"/>
    <x v="2"/>
    <n v="6"/>
    <x v="29"/>
    <n v="2981"/>
  </r>
  <r>
    <x v="2"/>
    <x v="11"/>
    <x v="11"/>
    <x v="0"/>
    <x v="0"/>
    <x v="2"/>
    <n v="6"/>
    <x v="29"/>
    <n v="2495"/>
  </r>
  <r>
    <x v="0"/>
    <x v="0"/>
    <x v="0"/>
    <x v="0"/>
    <x v="0"/>
    <x v="2"/>
    <n v="7"/>
    <x v="30"/>
    <n v="1719"/>
  </r>
  <r>
    <x v="0"/>
    <x v="1"/>
    <x v="1"/>
    <x v="0"/>
    <x v="0"/>
    <x v="2"/>
    <n v="7"/>
    <x v="30"/>
    <n v="1662"/>
  </r>
  <r>
    <x v="0"/>
    <x v="1"/>
    <x v="1"/>
    <x v="1"/>
    <x v="1"/>
    <x v="2"/>
    <n v="7"/>
    <x v="30"/>
    <n v="3966"/>
  </r>
  <r>
    <x v="0"/>
    <x v="0"/>
    <x v="0"/>
    <x v="1"/>
    <x v="1"/>
    <x v="2"/>
    <n v="7"/>
    <x v="30"/>
    <n v="4879"/>
  </r>
  <r>
    <x v="0"/>
    <x v="0"/>
    <x v="0"/>
    <x v="2"/>
    <x v="2"/>
    <x v="2"/>
    <n v="7"/>
    <x v="30"/>
    <n v="3693"/>
  </r>
  <r>
    <x v="1"/>
    <x v="2"/>
    <x v="2"/>
    <x v="2"/>
    <x v="3"/>
    <x v="2"/>
    <n v="7"/>
    <x v="30"/>
    <n v="3411"/>
  </r>
  <r>
    <x v="2"/>
    <x v="3"/>
    <x v="3"/>
    <x v="2"/>
    <x v="4"/>
    <x v="2"/>
    <n v="7"/>
    <x v="30"/>
    <n v="3913"/>
  </r>
  <r>
    <x v="3"/>
    <x v="4"/>
    <x v="4"/>
    <x v="0"/>
    <x v="5"/>
    <x v="2"/>
    <n v="7"/>
    <x v="30"/>
    <n v="2156"/>
  </r>
  <r>
    <x v="4"/>
    <x v="5"/>
    <x v="5"/>
    <x v="0"/>
    <x v="0"/>
    <x v="2"/>
    <n v="7"/>
    <x v="30"/>
    <n v="1839"/>
  </r>
  <r>
    <x v="0"/>
    <x v="1"/>
    <x v="1"/>
    <x v="0"/>
    <x v="6"/>
    <x v="2"/>
    <n v="7"/>
    <x v="30"/>
    <n v="2325"/>
  </r>
  <r>
    <x v="1"/>
    <x v="6"/>
    <x v="6"/>
    <x v="1"/>
    <x v="7"/>
    <x v="2"/>
    <n v="7"/>
    <x v="30"/>
    <n v="5467"/>
  </r>
  <r>
    <x v="2"/>
    <x v="7"/>
    <x v="7"/>
    <x v="1"/>
    <x v="1"/>
    <x v="2"/>
    <n v="7"/>
    <x v="30"/>
    <n v="3106"/>
  </r>
  <r>
    <x v="3"/>
    <x v="8"/>
    <x v="8"/>
    <x v="1"/>
    <x v="8"/>
    <x v="2"/>
    <n v="7"/>
    <x v="30"/>
    <n v="2010"/>
  </r>
  <r>
    <x v="4"/>
    <x v="9"/>
    <x v="9"/>
    <x v="2"/>
    <x v="2"/>
    <x v="2"/>
    <n v="7"/>
    <x v="30"/>
    <n v="4482"/>
  </r>
  <r>
    <x v="0"/>
    <x v="0"/>
    <x v="0"/>
    <x v="2"/>
    <x v="3"/>
    <x v="2"/>
    <n v="7"/>
    <x v="30"/>
    <n v="3832"/>
  </r>
  <r>
    <x v="1"/>
    <x v="2"/>
    <x v="2"/>
    <x v="2"/>
    <x v="4"/>
    <x v="2"/>
    <n v="7"/>
    <x v="30"/>
    <n v="3074"/>
  </r>
  <r>
    <x v="2"/>
    <x v="3"/>
    <x v="3"/>
    <x v="0"/>
    <x v="5"/>
    <x v="2"/>
    <n v="7"/>
    <x v="30"/>
    <n v="1766"/>
  </r>
  <r>
    <x v="3"/>
    <x v="4"/>
    <x v="4"/>
    <x v="0"/>
    <x v="0"/>
    <x v="2"/>
    <n v="7"/>
    <x v="30"/>
    <n v="3250"/>
  </r>
  <r>
    <x v="4"/>
    <x v="5"/>
    <x v="5"/>
    <x v="0"/>
    <x v="6"/>
    <x v="2"/>
    <n v="7"/>
    <x v="30"/>
    <n v="1721"/>
  </r>
  <r>
    <x v="0"/>
    <x v="1"/>
    <x v="1"/>
    <x v="1"/>
    <x v="7"/>
    <x v="2"/>
    <n v="7"/>
    <x v="30"/>
    <n v="4175"/>
  </r>
  <r>
    <x v="1"/>
    <x v="6"/>
    <x v="6"/>
    <x v="1"/>
    <x v="1"/>
    <x v="2"/>
    <n v="7"/>
    <x v="30"/>
    <n v="4480"/>
  </r>
  <r>
    <x v="2"/>
    <x v="7"/>
    <x v="7"/>
    <x v="1"/>
    <x v="8"/>
    <x v="2"/>
    <n v="7"/>
    <x v="30"/>
    <n v="4334"/>
  </r>
  <r>
    <x v="3"/>
    <x v="8"/>
    <x v="8"/>
    <x v="2"/>
    <x v="2"/>
    <x v="2"/>
    <n v="7"/>
    <x v="30"/>
    <n v="3788"/>
  </r>
  <r>
    <x v="4"/>
    <x v="9"/>
    <x v="9"/>
    <x v="2"/>
    <x v="3"/>
    <x v="2"/>
    <n v="7"/>
    <x v="30"/>
    <n v="4758"/>
  </r>
  <r>
    <x v="0"/>
    <x v="0"/>
    <x v="0"/>
    <x v="2"/>
    <x v="4"/>
    <x v="2"/>
    <n v="7"/>
    <x v="30"/>
    <n v="2933"/>
  </r>
  <r>
    <x v="1"/>
    <x v="2"/>
    <x v="2"/>
    <x v="0"/>
    <x v="5"/>
    <x v="2"/>
    <n v="7"/>
    <x v="30"/>
    <n v="1656"/>
  </r>
  <r>
    <x v="2"/>
    <x v="3"/>
    <x v="3"/>
    <x v="0"/>
    <x v="0"/>
    <x v="2"/>
    <n v="7"/>
    <x v="30"/>
    <n v="2566"/>
  </r>
  <r>
    <x v="3"/>
    <x v="4"/>
    <x v="4"/>
    <x v="0"/>
    <x v="6"/>
    <x v="2"/>
    <n v="7"/>
    <x v="30"/>
    <n v="1211"/>
  </r>
  <r>
    <x v="4"/>
    <x v="5"/>
    <x v="5"/>
    <x v="1"/>
    <x v="7"/>
    <x v="2"/>
    <n v="7"/>
    <x v="30"/>
    <n v="5784"/>
  </r>
  <r>
    <x v="1"/>
    <x v="2"/>
    <x v="2"/>
    <x v="1"/>
    <x v="8"/>
    <x v="2"/>
    <n v="7"/>
    <x v="30"/>
    <n v="3695"/>
  </r>
  <r>
    <x v="2"/>
    <x v="7"/>
    <x v="7"/>
    <x v="2"/>
    <x v="2"/>
    <x v="2"/>
    <n v="7"/>
    <x v="30"/>
    <n v="3495"/>
  </r>
  <r>
    <x v="3"/>
    <x v="8"/>
    <x v="8"/>
    <x v="2"/>
    <x v="3"/>
    <x v="2"/>
    <n v="7"/>
    <x v="30"/>
    <n v="3891"/>
  </r>
  <r>
    <x v="4"/>
    <x v="9"/>
    <x v="9"/>
    <x v="2"/>
    <x v="4"/>
    <x v="2"/>
    <n v="7"/>
    <x v="30"/>
    <n v="3167"/>
  </r>
  <r>
    <x v="0"/>
    <x v="0"/>
    <x v="0"/>
    <x v="0"/>
    <x v="5"/>
    <x v="2"/>
    <n v="7"/>
    <x v="30"/>
    <n v="1784"/>
  </r>
  <r>
    <x v="1"/>
    <x v="6"/>
    <x v="6"/>
    <x v="0"/>
    <x v="0"/>
    <x v="2"/>
    <n v="7"/>
    <x v="30"/>
    <n v="2567"/>
  </r>
  <r>
    <x v="2"/>
    <x v="3"/>
    <x v="3"/>
    <x v="0"/>
    <x v="6"/>
    <x v="2"/>
    <n v="7"/>
    <x v="30"/>
    <n v="2860"/>
  </r>
  <r>
    <x v="3"/>
    <x v="4"/>
    <x v="4"/>
    <x v="1"/>
    <x v="7"/>
    <x v="2"/>
    <n v="7"/>
    <x v="30"/>
    <n v="6295"/>
  </r>
  <r>
    <x v="4"/>
    <x v="5"/>
    <x v="5"/>
    <x v="1"/>
    <x v="1"/>
    <x v="2"/>
    <n v="7"/>
    <x v="30"/>
    <n v="4214"/>
  </r>
  <r>
    <x v="0"/>
    <x v="1"/>
    <x v="1"/>
    <x v="1"/>
    <x v="8"/>
    <x v="2"/>
    <n v="7"/>
    <x v="30"/>
    <n v="4977"/>
  </r>
  <r>
    <x v="1"/>
    <x v="2"/>
    <x v="2"/>
    <x v="2"/>
    <x v="2"/>
    <x v="2"/>
    <n v="7"/>
    <x v="30"/>
    <n v="3564"/>
  </r>
  <r>
    <x v="2"/>
    <x v="7"/>
    <x v="7"/>
    <x v="2"/>
    <x v="3"/>
    <x v="2"/>
    <n v="7"/>
    <x v="30"/>
    <n v="3025"/>
  </r>
  <r>
    <x v="3"/>
    <x v="8"/>
    <x v="8"/>
    <x v="2"/>
    <x v="4"/>
    <x v="2"/>
    <n v="7"/>
    <x v="30"/>
    <n v="3403"/>
  </r>
  <r>
    <x v="4"/>
    <x v="9"/>
    <x v="9"/>
    <x v="0"/>
    <x v="5"/>
    <x v="2"/>
    <n v="7"/>
    <x v="30"/>
    <n v="1926"/>
  </r>
  <r>
    <x v="1"/>
    <x v="2"/>
    <x v="2"/>
    <x v="0"/>
    <x v="6"/>
    <x v="2"/>
    <n v="7"/>
    <x v="30"/>
    <n v="1942"/>
  </r>
  <r>
    <x v="2"/>
    <x v="3"/>
    <x v="3"/>
    <x v="1"/>
    <x v="7"/>
    <x v="2"/>
    <n v="7"/>
    <x v="30"/>
    <n v="4369"/>
  </r>
  <r>
    <x v="3"/>
    <x v="8"/>
    <x v="8"/>
    <x v="1"/>
    <x v="1"/>
    <x v="2"/>
    <n v="7"/>
    <x v="30"/>
    <n v="2814"/>
  </r>
  <r>
    <x v="4"/>
    <x v="5"/>
    <x v="5"/>
    <x v="1"/>
    <x v="8"/>
    <x v="2"/>
    <n v="7"/>
    <x v="30"/>
    <n v="2956"/>
  </r>
  <r>
    <x v="0"/>
    <x v="1"/>
    <x v="1"/>
    <x v="2"/>
    <x v="2"/>
    <x v="2"/>
    <n v="7"/>
    <x v="30"/>
    <n v="3297"/>
  </r>
  <r>
    <x v="0"/>
    <x v="1"/>
    <x v="1"/>
    <x v="2"/>
    <x v="3"/>
    <x v="2"/>
    <n v="7"/>
    <x v="30"/>
    <n v="3262"/>
  </r>
  <r>
    <x v="1"/>
    <x v="6"/>
    <x v="6"/>
    <x v="2"/>
    <x v="4"/>
    <x v="2"/>
    <n v="7"/>
    <x v="30"/>
    <n v="3746"/>
  </r>
  <r>
    <x v="1"/>
    <x v="6"/>
    <x v="6"/>
    <x v="0"/>
    <x v="5"/>
    <x v="2"/>
    <n v="7"/>
    <x v="30"/>
    <n v="1766"/>
  </r>
  <r>
    <x v="2"/>
    <x v="7"/>
    <x v="7"/>
    <x v="0"/>
    <x v="0"/>
    <x v="2"/>
    <n v="7"/>
    <x v="30"/>
    <n v="1816"/>
  </r>
  <r>
    <x v="2"/>
    <x v="7"/>
    <x v="7"/>
    <x v="0"/>
    <x v="6"/>
    <x v="2"/>
    <n v="7"/>
    <x v="30"/>
    <n v="2386"/>
  </r>
  <r>
    <x v="2"/>
    <x v="3"/>
    <x v="3"/>
    <x v="1"/>
    <x v="1"/>
    <x v="2"/>
    <n v="7"/>
    <x v="30"/>
    <n v="5103"/>
  </r>
  <r>
    <x v="0"/>
    <x v="0"/>
    <x v="0"/>
    <x v="1"/>
    <x v="8"/>
    <x v="2"/>
    <n v="7"/>
    <x v="30"/>
    <n v="2119"/>
  </r>
  <r>
    <x v="2"/>
    <x v="10"/>
    <x v="10"/>
    <x v="0"/>
    <x v="5"/>
    <x v="2"/>
    <n v="7"/>
    <x v="30"/>
    <n v="2105"/>
  </r>
  <r>
    <x v="2"/>
    <x v="10"/>
    <x v="10"/>
    <x v="0"/>
    <x v="0"/>
    <x v="2"/>
    <n v="7"/>
    <x v="30"/>
    <n v="1836"/>
  </r>
  <r>
    <x v="2"/>
    <x v="11"/>
    <x v="11"/>
    <x v="0"/>
    <x v="6"/>
    <x v="2"/>
    <n v="7"/>
    <x v="30"/>
    <n v="2840"/>
  </r>
  <r>
    <x v="2"/>
    <x v="11"/>
    <x v="11"/>
    <x v="1"/>
    <x v="7"/>
    <x v="2"/>
    <n v="7"/>
    <x v="30"/>
    <n v="6849"/>
  </r>
  <r>
    <x v="3"/>
    <x v="4"/>
    <x v="4"/>
    <x v="1"/>
    <x v="1"/>
    <x v="2"/>
    <n v="7"/>
    <x v="30"/>
    <n v="3696"/>
  </r>
  <r>
    <x v="3"/>
    <x v="4"/>
    <x v="4"/>
    <x v="1"/>
    <x v="8"/>
    <x v="2"/>
    <n v="7"/>
    <x v="30"/>
    <n v="4480"/>
  </r>
  <r>
    <x v="4"/>
    <x v="5"/>
    <x v="5"/>
    <x v="2"/>
    <x v="2"/>
    <x v="2"/>
    <n v="7"/>
    <x v="30"/>
    <n v="3351"/>
  </r>
  <r>
    <x v="4"/>
    <x v="5"/>
    <x v="5"/>
    <x v="2"/>
    <x v="3"/>
    <x v="2"/>
    <n v="7"/>
    <x v="30"/>
    <n v="2610"/>
  </r>
  <r>
    <x v="3"/>
    <x v="8"/>
    <x v="8"/>
    <x v="0"/>
    <x v="5"/>
    <x v="2"/>
    <n v="7"/>
    <x v="30"/>
    <n v="1792"/>
  </r>
  <r>
    <x v="4"/>
    <x v="9"/>
    <x v="9"/>
    <x v="0"/>
    <x v="0"/>
    <x v="2"/>
    <n v="7"/>
    <x v="30"/>
    <n v="3191"/>
  </r>
  <r>
    <x v="4"/>
    <x v="9"/>
    <x v="9"/>
    <x v="0"/>
    <x v="6"/>
    <x v="2"/>
    <n v="7"/>
    <x v="30"/>
    <n v="1311"/>
  </r>
  <r>
    <x v="2"/>
    <x v="7"/>
    <x v="7"/>
    <x v="1"/>
    <x v="7"/>
    <x v="2"/>
    <n v="7"/>
    <x v="30"/>
    <n v="4217"/>
  </r>
  <r>
    <x v="1"/>
    <x v="6"/>
    <x v="6"/>
    <x v="2"/>
    <x v="3"/>
    <x v="2"/>
    <n v="7"/>
    <x v="30"/>
    <n v="4091"/>
  </r>
  <r>
    <x v="0"/>
    <x v="0"/>
    <x v="0"/>
    <x v="0"/>
    <x v="6"/>
    <x v="2"/>
    <n v="7"/>
    <x v="30"/>
    <n v="2695"/>
  </r>
  <r>
    <x v="0"/>
    <x v="0"/>
    <x v="0"/>
    <x v="1"/>
    <x v="7"/>
    <x v="2"/>
    <n v="7"/>
    <x v="30"/>
    <n v="5660"/>
  </r>
  <r>
    <x v="1"/>
    <x v="2"/>
    <x v="2"/>
    <x v="1"/>
    <x v="1"/>
    <x v="2"/>
    <n v="7"/>
    <x v="30"/>
    <n v="3571"/>
  </r>
  <r>
    <x v="2"/>
    <x v="10"/>
    <x v="10"/>
    <x v="2"/>
    <x v="2"/>
    <x v="2"/>
    <n v="7"/>
    <x v="30"/>
    <n v="3517"/>
  </r>
  <r>
    <x v="2"/>
    <x v="10"/>
    <x v="10"/>
    <x v="2"/>
    <x v="3"/>
    <x v="2"/>
    <n v="7"/>
    <x v="30"/>
    <n v="4658"/>
  </r>
  <r>
    <x v="2"/>
    <x v="11"/>
    <x v="11"/>
    <x v="2"/>
    <x v="4"/>
    <x v="2"/>
    <n v="7"/>
    <x v="30"/>
    <n v="3848"/>
  </r>
  <r>
    <x v="2"/>
    <x v="11"/>
    <x v="11"/>
    <x v="0"/>
    <x v="5"/>
    <x v="2"/>
    <n v="7"/>
    <x v="30"/>
    <n v="2613"/>
  </r>
  <r>
    <x v="2"/>
    <x v="7"/>
    <x v="7"/>
    <x v="0"/>
    <x v="5"/>
    <x v="2"/>
    <n v="7"/>
    <x v="30"/>
    <n v="1852"/>
  </r>
  <r>
    <x v="1"/>
    <x v="6"/>
    <x v="6"/>
    <x v="1"/>
    <x v="8"/>
    <x v="2"/>
    <n v="7"/>
    <x v="30"/>
    <n v="4798"/>
  </r>
  <r>
    <x v="2"/>
    <x v="3"/>
    <x v="3"/>
    <x v="2"/>
    <x v="2"/>
    <x v="2"/>
    <n v="7"/>
    <x v="30"/>
    <n v="4872"/>
  </r>
  <r>
    <x v="2"/>
    <x v="3"/>
    <x v="3"/>
    <x v="2"/>
    <x v="3"/>
    <x v="2"/>
    <n v="7"/>
    <x v="30"/>
    <n v="3771"/>
  </r>
  <r>
    <x v="1"/>
    <x v="2"/>
    <x v="2"/>
    <x v="0"/>
    <x v="0"/>
    <x v="2"/>
    <n v="7"/>
    <x v="30"/>
    <n v="2530"/>
  </r>
  <r>
    <x v="2"/>
    <x v="10"/>
    <x v="10"/>
    <x v="1"/>
    <x v="7"/>
    <x v="2"/>
    <n v="7"/>
    <x v="30"/>
    <n v="4684"/>
  </r>
  <r>
    <x v="2"/>
    <x v="10"/>
    <x v="10"/>
    <x v="1"/>
    <x v="1"/>
    <x v="2"/>
    <n v="7"/>
    <x v="30"/>
    <n v="5549"/>
  </r>
  <r>
    <x v="2"/>
    <x v="11"/>
    <x v="11"/>
    <x v="1"/>
    <x v="8"/>
    <x v="2"/>
    <n v="7"/>
    <x v="30"/>
    <n v="2552"/>
  </r>
  <r>
    <x v="2"/>
    <x v="11"/>
    <x v="11"/>
    <x v="2"/>
    <x v="2"/>
    <x v="2"/>
    <n v="7"/>
    <x v="30"/>
    <n v="4761"/>
  </r>
  <r>
    <x v="3"/>
    <x v="4"/>
    <x v="4"/>
    <x v="2"/>
    <x v="3"/>
    <x v="2"/>
    <n v="7"/>
    <x v="30"/>
    <n v="2601"/>
  </r>
  <r>
    <x v="3"/>
    <x v="4"/>
    <x v="4"/>
    <x v="2"/>
    <x v="4"/>
    <x v="2"/>
    <n v="7"/>
    <x v="30"/>
    <n v="2851"/>
  </r>
  <r>
    <x v="4"/>
    <x v="5"/>
    <x v="5"/>
    <x v="0"/>
    <x v="5"/>
    <x v="2"/>
    <n v="7"/>
    <x v="30"/>
    <n v="1722"/>
  </r>
  <r>
    <x v="3"/>
    <x v="8"/>
    <x v="8"/>
    <x v="0"/>
    <x v="6"/>
    <x v="2"/>
    <n v="7"/>
    <x v="30"/>
    <n v="2128"/>
  </r>
  <r>
    <x v="3"/>
    <x v="8"/>
    <x v="8"/>
    <x v="1"/>
    <x v="7"/>
    <x v="2"/>
    <n v="7"/>
    <x v="30"/>
    <n v="5423"/>
  </r>
  <r>
    <x v="4"/>
    <x v="9"/>
    <x v="9"/>
    <x v="1"/>
    <x v="1"/>
    <x v="2"/>
    <n v="7"/>
    <x v="30"/>
    <n v="2714"/>
  </r>
  <r>
    <x v="4"/>
    <x v="9"/>
    <x v="9"/>
    <x v="1"/>
    <x v="8"/>
    <x v="2"/>
    <n v="7"/>
    <x v="30"/>
    <n v="2737"/>
  </r>
  <r>
    <x v="0"/>
    <x v="1"/>
    <x v="1"/>
    <x v="2"/>
    <x v="4"/>
    <x v="2"/>
    <n v="7"/>
    <x v="30"/>
    <n v="4029"/>
  </r>
  <r>
    <x v="0"/>
    <x v="1"/>
    <x v="1"/>
    <x v="0"/>
    <x v="5"/>
    <x v="2"/>
    <n v="7"/>
    <x v="30"/>
    <n v="2016"/>
  </r>
  <r>
    <x v="1"/>
    <x v="6"/>
    <x v="6"/>
    <x v="0"/>
    <x v="6"/>
    <x v="2"/>
    <n v="7"/>
    <x v="30"/>
    <n v="2012"/>
  </r>
  <r>
    <x v="2"/>
    <x v="10"/>
    <x v="10"/>
    <x v="1"/>
    <x v="8"/>
    <x v="2"/>
    <n v="7"/>
    <x v="30"/>
    <n v="2774"/>
  </r>
  <r>
    <x v="2"/>
    <x v="11"/>
    <x v="11"/>
    <x v="2"/>
    <x v="3"/>
    <x v="2"/>
    <n v="7"/>
    <x v="30"/>
    <n v="4388"/>
  </r>
  <r>
    <x v="2"/>
    <x v="7"/>
    <x v="7"/>
    <x v="2"/>
    <x v="4"/>
    <x v="2"/>
    <n v="7"/>
    <x v="30"/>
    <n v="3676"/>
  </r>
  <r>
    <x v="2"/>
    <x v="3"/>
    <x v="3"/>
    <x v="1"/>
    <x v="8"/>
    <x v="2"/>
    <n v="7"/>
    <x v="30"/>
    <n v="4188"/>
  </r>
  <r>
    <x v="2"/>
    <x v="10"/>
    <x v="10"/>
    <x v="0"/>
    <x v="6"/>
    <x v="2"/>
    <n v="7"/>
    <x v="30"/>
    <n v="1348"/>
  </r>
  <r>
    <x v="2"/>
    <x v="11"/>
    <x v="11"/>
    <x v="1"/>
    <x v="1"/>
    <x v="2"/>
    <n v="7"/>
    <x v="30"/>
    <n v="5555"/>
  </r>
  <r>
    <x v="3"/>
    <x v="4"/>
    <x v="4"/>
    <x v="2"/>
    <x v="2"/>
    <x v="2"/>
    <n v="7"/>
    <x v="30"/>
    <n v="3463"/>
  </r>
  <r>
    <x v="4"/>
    <x v="5"/>
    <x v="5"/>
    <x v="2"/>
    <x v="4"/>
    <x v="2"/>
    <n v="7"/>
    <x v="30"/>
    <n v="4068"/>
  </r>
  <r>
    <x v="3"/>
    <x v="8"/>
    <x v="8"/>
    <x v="0"/>
    <x v="0"/>
    <x v="2"/>
    <n v="7"/>
    <x v="30"/>
    <n v="3388"/>
  </r>
  <r>
    <x v="4"/>
    <x v="9"/>
    <x v="9"/>
    <x v="1"/>
    <x v="7"/>
    <x v="2"/>
    <n v="7"/>
    <x v="30"/>
    <n v="6956"/>
  </r>
  <r>
    <x v="2"/>
    <x v="10"/>
    <x v="10"/>
    <x v="2"/>
    <x v="4"/>
    <x v="2"/>
    <n v="7"/>
    <x v="30"/>
    <n v="2829"/>
  </r>
  <r>
    <x v="2"/>
    <x v="11"/>
    <x v="11"/>
    <x v="0"/>
    <x v="0"/>
    <x v="2"/>
    <n v="7"/>
    <x v="30"/>
    <n v="1821"/>
  </r>
  <r>
    <x v="0"/>
    <x v="0"/>
    <x v="0"/>
    <x v="0"/>
    <x v="0"/>
    <x v="2"/>
    <n v="8"/>
    <x v="31"/>
    <n v="2403"/>
  </r>
  <r>
    <x v="0"/>
    <x v="1"/>
    <x v="1"/>
    <x v="0"/>
    <x v="0"/>
    <x v="2"/>
    <n v="8"/>
    <x v="31"/>
    <n v="1625"/>
  </r>
  <r>
    <x v="0"/>
    <x v="1"/>
    <x v="1"/>
    <x v="1"/>
    <x v="1"/>
    <x v="2"/>
    <n v="8"/>
    <x v="31"/>
    <n v="4903"/>
  </r>
  <r>
    <x v="0"/>
    <x v="0"/>
    <x v="0"/>
    <x v="1"/>
    <x v="1"/>
    <x v="2"/>
    <n v="8"/>
    <x v="31"/>
    <n v="3106"/>
  </r>
  <r>
    <x v="0"/>
    <x v="0"/>
    <x v="0"/>
    <x v="2"/>
    <x v="2"/>
    <x v="2"/>
    <n v="8"/>
    <x v="31"/>
    <n v="3328"/>
  </r>
  <r>
    <x v="1"/>
    <x v="2"/>
    <x v="2"/>
    <x v="2"/>
    <x v="3"/>
    <x v="2"/>
    <n v="8"/>
    <x v="31"/>
    <n v="4514"/>
  </r>
  <r>
    <x v="2"/>
    <x v="3"/>
    <x v="3"/>
    <x v="2"/>
    <x v="4"/>
    <x v="2"/>
    <n v="8"/>
    <x v="31"/>
    <n v="3160"/>
  </r>
  <r>
    <x v="3"/>
    <x v="4"/>
    <x v="4"/>
    <x v="0"/>
    <x v="5"/>
    <x v="2"/>
    <n v="8"/>
    <x v="31"/>
    <n v="1889"/>
  </r>
  <r>
    <x v="4"/>
    <x v="5"/>
    <x v="5"/>
    <x v="0"/>
    <x v="0"/>
    <x v="2"/>
    <n v="8"/>
    <x v="31"/>
    <n v="2644"/>
  </r>
  <r>
    <x v="0"/>
    <x v="1"/>
    <x v="1"/>
    <x v="0"/>
    <x v="6"/>
    <x v="2"/>
    <n v="8"/>
    <x v="31"/>
    <n v="1837"/>
  </r>
  <r>
    <x v="1"/>
    <x v="6"/>
    <x v="6"/>
    <x v="1"/>
    <x v="7"/>
    <x v="2"/>
    <n v="8"/>
    <x v="31"/>
    <n v="6465"/>
  </r>
  <r>
    <x v="2"/>
    <x v="7"/>
    <x v="7"/>
    <x v="1"/>
    <x v="1"/>
    <x v="2"/>
    <n v="8"/>
    <x v="31"/>
    <n v="4232"/>
  </r>
  <r>
    <x v="3"/>
    <x v="8"/>
    <x v="8"/>
    <x v="1"/>
    <x v="8"/>
    <x v="2"/>
    <n v="8"/>
    <x v="31"/>
    <n v="4269"/>
  </r>
  <r>
    <x v="4"/>
    <x v="9"/>
    <x v="9"/>
    <x v="2"/>
    <x v="2"/>
    <x v="2"/>
    <n v="8"/>
    <x v="31"/>
    <n v="3989"/>
  </r>
  <r>
    <x v="0"/>
    <x v="0"/>
    <x v="0"/>
    <x v="2"/>
    <x v="3"/>
    <x v="2"/>
    <n v="8"/>
    <x v="31"/>
    <n v="4262"/>
  </r>
  <r>
    <x v="1"/>
    <x v="2"/>
    <x v="2"/>
    <x v="2"/>
    <x v="4"/>
    <x v="2"/>
    <n v="8"/>
    <x v="31"/>
    <n v="3254"/>
  </r>
  <r>
    <x v="2"/>
    <x v="3"/>
    <x v="3"/>
    <x v="0"/>
    <x v="5"/>
    <x v="2"/>
    <n v="8"/>
    <x v="31"/>
    <n v="2225"/>
  </r>
  <r>
    <x v="3"/>
    <x v="4"/>
    <x v="4"/>
    <x v="0"/>
    <x v="0"/>
    <x v="2"/>
    <n v="8"/>
    <x v="31"/>
    <n v="3121"/>
  </r>
  <r>
    <x v="4"/>
    <x v="5"/>
    <x v="5"/>
    <x v="0"/>
    <x v="6"/>
    <x v="2"/>
    <n v="8"/>
    <x v="31"/>
    <n v="1402"/>
  </r>
  <r>
    <x v="0"/>
    <x v="1"/>
    <x v="1"/>
    <x v="1"/>
    <x v="7"/>
    <x v="2"/>
    <n v="8"/>
    <x v="31"/>
    <n v="5619"/>
  </r>
  <r>
    <x v="1"/>
    <x v="6"/>
    <x v="6"/>
    <x v="1"/>
    <x v="1"/>
    <x v="2"/>
    <n v="8"/>
    <x v="31"/>
    <n v="3531"/>
  </r>
  <r>
    <x v="2"/>
    <x v="7"/>
    <x v="7"/>
    <x v="1"/>
    <x v="8"/>
    <x v="2"/>
    <n v="8"/>
    <x v="31"/>
    <n v="2301"/>
  </r>
  <r>
    <x v="3"/>
    <x v="8"/>
    <x v="8"/>
    <x v="2"/>
    <x v="2"/>
    <x v="2"/>
    <n v="8"/>
    <x v="31"/>
    <n v="4867"/>
  </r>
  <r>
    <x v="4"/>
    <x v="9"/>
    <x v="9"/>
    <x v="2"/>
    <x v="3"/>
    <x v="2"/>
    <n v="8"/>
    <x v="31"/>
    <n v="5013"/>
  </r>
  <r>
    <x v="0"/>
    <x v="0"/>
    <x v="0"/>
    <x v="2"/>
    <x v="4"/>
    <x v="2"/>
    <n v="8"/>
    <x v="31"/>
    <n v="2866"/>
  </r>
  <r>
    <x v="1"/>
    <x v="2"/>
    <x v="2"/>
    <x v="0"/>
    <x v="5"/>
    <x v="2"/>
    <n v="8"/>
    <x v="31"/>
    <n v="2685"/>
  </r>
  <r>
    <x v="2"/>
    <x v="3"/>
    <x v="3"/>
    <x v="0"/>
    <x v="0"/>
    <x v="2"/>
    <n v="8"/>
    <x v="31"/>
    <n v="2731"/>
  </r>
  <r>
    <x v="3"/>
    <x v="4"/>
    <x v="4"/>
    <x v="0"/>
    <x v="6"/>
    <x v="2"/>
    <n v="8"/>
    <x v="31"/>
    <n v="2137"/>
  </r>
  <r>
    <x v="4"/>
    <x v="5"/>
    <x v="5"/>
    <x v="1"/>
    <x v="7"/>
    <x v="2"/>
    <n v="8"/>
    <x v="31"/>
    <n v="5446"/>
  </r>
  <r>
    <x v="1"/>
    <x v="2"/>
    <x v="2"/>
    <x v="1"/>
    <x v="8"/>
    <x v="2"/>
    <n v="8"/>
    <x v="31"/>
    <n v="4322"/>
  </r>
  <r>
    <x v="2"/>
    <x v="7"/>
    <x v="7"/>
    <x v="2"/>
    <x v="2"/>
    <x v="2"/>
    <n v="8"/>
    <x v="31"/>
    <n v="5089"/>
  </r>
  <r>
    <x v="3"/>
    <x v="8"/>
    <x v="8"/>
    <x v="2"/>
    <x v="3"/>
    <x v="2"/>
    <n v="8"/>
    <x v="31"/>
    <n v="4127"/>
  </r>
  <r>
    <x v="4"/>
    <x v="9"/>
    <x v="9"/>
    <x v="2"/>
    <x v="4"/>
    <x v="2"/>
    <n v="8"/>
    <x v="31"/>
    <n v="3096"/>
  </r>
  <r>
    <x v="0"/>
    <x v="0"/>
    <x v="0"/>
    <x v="0"/>
    <x v="5"/>
    <x v="2"/>
    <n v="8"/>
    <x v="31"/>
    <n v="2738"/>
  </r>
  <r>
    <x v="1"/>
    <x v="6"/>
    <x v="6"/>
    <x v="0"/>
    <x v="0"/>
    <x v="2"/>
    <n v="8"/>
    <x v="31"/>
    <n v="1740"/>
  </r>
  <r>
    <x v="2"/>
    <x v="3"/>
    <x v="3"/>
    <x v="0"/>
    <x v="6"/>
    <x v="2"/>
    <n v="8"/>
    <x v="31"/>
    <n v="2635"/>
  </r>
  <r>
    <x v="3"/>
    <x v="4"/>
    <x v="4"/>
    <x v="1"/>
    <x v="7"/>
    <x v="2"/>
    <n v="8"/>
    <x v="31"/>
    <n v="4171"/>
  </r>
  <r>
    <x v="4"/>
    <x v="5"/>
    <x v="5"/>
    <x v="1"/>
    <x v="1"/>
    <x v="2"/>
    <n v="8"/>
    <x v="31"/>
    <n v="5438"/>
  </r>
  <r>
    <x v="0"/>
    <x v="1"/>
    <x v="1"/>
    <x v="1"/>
    <x v="8"/>
    <x v="2"/>
    <n v="8"/>
    <x v="31"/>
    <n v="3671"/>
  </r>
  <r>
    <x v="1"/>
    <x v="2"/>
    <x v="2"/>
    <x v="2"/>
    <x v="2"/>
    <x v="2"/>
    <n v="8"/>
    <x v="31"/>
    <n v="3862"/>
  </r>
  <r>
    <x v="2"/>
    <x v="7"/>
    <x v="7"/>
    <x v="2"/>
    <x v="3"/>
    <x v="2"/>
    <n v="8"/>
    <x v="31"/>
    <n v="4013"/>
  </r>
  <r>
    <x v="3"/>
    <x v="8"/>
    <x v="8"/>
    <x v="2"/>
    <x v="4"/>
    <x v="2"/>
    <n v="8"/>
    <x v="31"/>
    <n v="4020"/>
  </r>
  <r>
    <x v="4"/>
    <x v="9"/>
    <x v="9"/>
    <x v="0"/>
    <x v="5"/>
    <x v="2"/>
    <n v="8"/>
    <x v="31"/>
    <n v="2575"/>
  </r>
  <r>
    <x v="1"/>
    <x v="2"/>
    <x v="2"/>
    <x v="0"/>
    <x v="6"/>
    <x v="2"/>
    <n v="8"/>
    <x v="31"/>
    <n v="1432"/>
  </r>
  <r>
    <x v="2"/>
    <x v="3"/>
    <x v="3"/>
    <x v="1"/>
    <x v="7"/>
    <x v="2"/>
    <n v="8"/>
    <x v="31"/>
    <n v="6965"/>
  </r>
  <r>
    <x v="3"/>
    <x v="8"/>
    <x v="8"/>
    <x v="1"/>
    <x v="1"/>
    <x v="2"/>
    <n v="8"/>
    <x v="31"/>
    <n v="3400"/>
  </r>
  <r>
    <x v="4"/>
    <x v="5"/>
    <x v="5"/>
    <x v="1"/>
    <x v="8"/>
    <x v="2"/>
    <n v="8"/>
    <x v="31"/>
    <n v="4659"/>
  </r>
  <r>
    <x v="0"/>
    <x v="1"/>
    <x v="1"/>
    <x v="2"/>
    <x v="2"/>
    <x v="2"/>
    <n v="8"/>
    <x v="31"/>
    <n v="4648"/>
  </r>
  <r>
    <x v="0"/>
    <x v="1"/>
    <x v="1"/>
    <x v="2"/>
    <x v="3"/>
    <x v="2"/>
    <n v="8"/>
    <x v="31"/>
    <n v="5142"/>
  </r>
  <r>
    <x v="1"/>
    <x v="6"/>
    <x v="6"/>
    <x v="2"/>
    <x v="4"/>
    <x v="2"/>
    <n v="8"/>
    <x v="31"/>
    <n v="3450"/>
  </r>
  <r>
    <x v="1"/>
    <x v="6"/>
    <x v="6"/>
    <x v="0"/>
    <x v="5"/>
    <x v="2"/>
    <n v="8"/>
    <x v="31"/>
    <n v="2379"/>
  </r>
  <r>
    <x v="2"/>
    <x v="7"/>
    <x v="7"/>
    <x v="0"/>
    <x v="0"/>
    <x v="2"/>
    <n v="8"/>
    <x v="31"/>
    <n v="3122"/>
  </r>
  <r>
    <x v="2"/>
    <x v="7"/>
    <x v="7"/>
    <x v="0"/>
    <x v="6"/>
    <x v="2"/>
    <n v="8"/>
    <x v="31"/>
    <n v="1697"/>
  </r>
  <r>
    <x v="2"/>
    <x v="3"/>
    <x v="3"/>
    <x v="1"/>
    <x v="1"/>
    <x v="2"/>
    <n v="8"/>
    <x v="31"/>
    <n v="5332"/>
  </r>
  <r>
    <x v="0"/>
    <x v="0"/>
    <x v="0"/>
    <x v="1"/>
    <x v="8"/>
    <x v="2"/>
    <n v="8"/>
    <x v="31"/>
    <n v="4963"/>
  </r>
  <r>
    <x v="2"/>
    <x v="10"/>
    <x v="10"/>
    <x v="0"/>
    <x v="5"/>
    <x v="2"/>
    <n v="8"/>
    <x v="31"/>
    <n v="1886"/>
  </r>
  <r>
    <x v="2"/>
    <x v="10"/>
    <x v="10"/>
    <x v="0"/>
    <x v="0"/>
    <x v="2"/>
    <n v="8"/>
    <x v="31"/>
    <n v="2358"/>
  </r>
  <r>
    <x v="2"/>
    <x v="11"/>
    <x v="11"/>
    <x v="0"/>
    <x v="6"/>
    <x v="2"/>
    <n v="8"/>
    <x v="31"/>
    <n v="1766"/>
  </r>
  <r>
    <x v="2"/>
    <x v="11"/>
    <x v="11"/>
    <x v="1"/>
    <x v="7"/>
    <x v="2"/>
    <n v="8"/>
    <x v="31"/>
    <n v="4710"/>
  </r>
  <r>
    <x v="3"/>
    <x v="4"/>
    <x v="4"/>
    <x v="1"/>
    <x v="1"/>
    <x v="2"/>
    <n v="8"/>
    <x v="31"/>
    <n v="2707"/>
  </r>
  <r>
    <x v="3"/>
    <x v="4"/>
    <x v="4"/>
    <x v="1"/>
    <x v="8"/>
    <x v="2"/>
    <n v="8"/>
    <x v="31"/>
    <n v="3843"/>
  </r>
  <r>
    <x v="4"/>
    <x v="5"/>
    <x v="5"/>
    <x v="2"/>
    <x v="2"/>
    <x v="2"/>
    <n v="8"/>
    <x v="31"/>
    <n v="4498"/>
  </r>
  <r>
    <x v="4"/>
    <x v="5"/>
    <x v="5"/>
    <x v="2"/>
    <x v="3"/>
    <x v="2"/>
    <n v="8"/>
    <x v="31"/>
    <n v="4103"/>
  </r>
  <r>
    <x v="3"/>
    <x v="8"/>
    <x v="8"/>
    <x v="0"/>
    <x v="5"/>
    <x v="2"/>
    <n v="8"/>
    <x v="31"/>
    <n v="2650"/>
  </r>
  <r>
    <x v="4"/>
    <x v="9"/>
    <x v="9"/>
    <x v="0"/>
    <x v="0"/>
    <x v="2"/>
    <n v="8"/>
    <x v="31"/>
    <n v="3290"/>
  </r>
  <r>
    <x v="4"/>
    <x v="9"/>
    <x v="9"/>
    <x v="0"/>
    <x v="6"/>
    <x v="2"/>
    <n v="8"/>
    <x v="31"/>
    <n v="2422"/>
  </r>
  <r>
    <x v="2"/>
    <x v="7"/>
    <x v="7"/>
    <x v="1"/>
    <x v="7"/>
    <x v="2"/>
    <n v="8"/>
    <x v="31"/>
    <n v="5810"/>
  </r>
  <r>
    <x v="1"/>
    <x v="6"/>
    <x v="6"/>
    <x v="2"/>
    <x v="3"/>
    <x v="2"/>
    <n v="8"/>
    <x v="31"/>
    <n v="5162"/>
  </r>
  <r>
    <x v="0"/>
    <x v="0"/>
    <x v="0"/>
    <x v="0"/>
    <x v="6"/>
    <x v="2"/>
    <n v="8"/>
    <x v="31"/>
    <n v="1592"/>
  </r>
  <r>
    <x v="0"/>
    <x v="0"/>
    <x v="0"/>
    <x v="1"/>
    <x v="7"/>
    <x v="2"/>
    <n v="8"/>
    <x v="31"/>
    <n v="5973"/>
  </r>
  <r>
    <x v="1"/>
    <x v="2"/>
    <x v="2"/>
    <x v="1"/>
    <x v="1"/>
    <x v="2"/>
    <n v="8"/>
    <x v="31"/>
    <n v="4701"/>
  </r>
  <r>
    <x v="2"/>
    <x v="10"/>
    <x v="10"/>
    <x v="2"/>
    <x v="2"/>
    <x v="2"/>
    <n v="8"/>
    <x v="31"/>
    <n v="3506"/>
  </r>
  <r>
    <x v="2"/>
    <x v="10"/>
    <x v="10"/>
    <x v="2"/>
    <x v="3"/>
    <x v="2"/>
    <n v="8"/>
    <x v="31"/>
    <n v="4286"/>
  </r>
  <r>
    <x v="2"/>
    <x v="11"/>
    <x v="11"/>
    <x v="2"/>
    <x v="4"/>
    <x v="2"/>
    <n v="8"/>
    <x v="31"/>
    <n v="3529"/>
  </r>
  <r>
    <x v="2"/>
    <x v="11"/>
    <x v="11"/>
    <x v="0"/>
    <x v="5"/>
    <x v="2"/>
    <n v="8"/>
    <x v="31"/>
    <n v="2711"/>
  </r>
  <r>
    <x v="2"/>
    <x v="7"/>
    <x v="7"/>
    <x v="0"/>
    <x v="5"/>
    <x v="2"/>
    <n v="8"/>
    <x v="31"/>
    <n v="2028"/>
  </r>
  <r>
    <x v="1"/>
    <x v="6"/>
    <x v="6"/>
    <x v="1"/>
    <x v="8"/>
    <x v="2"/>
    <n v="8"/>
    <x v="31"/>
    <n v="4895"/>
  </r>
  <r>
    <x v="2"/>
    <x v="3"/>
    <x v="3"/>
    <x v="2"/>
    <x v="2"/>
    <x v="2"/>
    <n v="8"/>
    <x v="31"/>
    <n v="4603"/>
  </r>
  <r>
    <x v="2"/>
    <x v="3"/>
    <x v="3"/>
    <x v="2"/>
    <x v="3"/>
    <x v="2"/>
    <n v="8"/>
    <x v="31"/>
    <n v="4284"/>
  </r>
  <r>
    <x v="1"/>
    <x v="2"/>
    <x v="2"/>
    <x v="0"/>
    <x v="0"/>
    <x v="2"/>
    <n v="8"/>
    <x v="31"/>
    <n v="1665"/>
  </r>
  <r>
    <x v="2"/>
    <x v="10"/>
    <x v="10"/>
    <x v="1"/>
    <x v="7"/>
    <x v="2"/>
    <n v="8"/>
    <x v="31"/>
    <n v="5378"/>
  </r>
  <r>
    <x v="2"/>
    <x v="10"/>
    <x v="10"/>
    <x v="1"/>
    <x v="1"/>
    <x v="2"/>
    <n v="8"/>
    <x v="31"/>
    <n v="5238"/>
  </r>
  <r>
    <x v="2"/>
    <x v="11"/>
    <x v="11"/>
    <x v="1"/>
    <x v="8"/>
    <x v="2"/>
    <n v="8"/>
    <x v="31"/>
    <n v="4507"/>
  </r>
  <r>
    <x v="2"/>
    <x v="11"/>
    <x v="11"/>
    <x v="2"/>
    <x v="2"/>
    <x v="2"/>
    <n v="8"/>
    <x v="31"/>
    <n v="3923"/>
  </r>
  <r>
    <x v="3"/>
    <x v="4"/>
    <x v="4"/>
    <x v="2"/>
    <x v="3"/>
    <x v="2"/>
    <n v="8"/>
    <x v="31"/>
    <n v="4145"/>
  </r>
  <r>
    <x v="3"/>
    <x v="4"/>
    <x v="4"/>
    <x v="2"/>
    <x v="4"/>
    <x v="2"/>
    <n v="8"/>
    <x v="31"/>
    <n v="2973"/>
  </r>
  <r>
    <x v="4"/>
    <x v="5"/>
    <x v="5"/>
    <x v="0"/>
    <x v="5"/>
    <x v="2"/>
    <n v="8"/>
    <x v="31"/>
    <n v="1890"/>
  </r>
  <r>
    <x v="3"/>
    <x v="8"/>
    <x v="8"/>
    <x v="0"/>
    <x v="6"/>
    <x v="2"/>
    <n v="8"/>
    <x v="31"/>
    <n v="1537"/>
  </r>
  <r>
    <x v="3"/>
    <x v="8"/>
    <x v="8"/>
    <x v="1"/>
    <x v="7"/>
    <x v="2"/>
    <n v="8"/>
    <x v="31"/>
    <n v="6596"/>
  </r>
  <r>
    <x v="4"/>
    <x v="9"/>
    <x v="9"/>
    <x v="1"/>
    <x v="1"/>
    <x v="2"/>
    <n v="8"/>
    <x v="31"/>
    <n v="5509"/>
  </r>
  <r>
    <x v="4"/>
    <x v="9"/>
    <x v="9"/>
    <x v="1"/>
    <x v="8"/>
    <x v="2"/>
    <n v="8"/>
    <x v="31"/>
    <n v="2937"/>
  </r>
  <r>
    <x v="0"/>
    <x v="1"/>
    <x v="1"/>
    <x v="2"/>
    <x v="4"/>
    <x v="2"/>
    <n v="8"/>
    <x v="31"/>
    <n v="3233"/>
  </r>
  <r>
    <x v="0"/>
    <x v="1"/>
    <x v="1"/>
    <x v="0"/>
    <x v="5"/>
    <x v="2"/>
    <n v="8"/>
    <x v="31"/>
    <n v="1955"/>
  </r>
  <r>
    <x v="1"/>
    <x v="6"/>
    <x v="6"/>
    <x v="0"/>
    <x v="6"/>
    <x v="2"/>
    <n v="8"/>
    <x v="31"/>
    <n v="2332"/>
  </r>
  <r>
    <x v="2"/>
    <x v="10"/>
    <x v="10"/>
    <x v="1"/>
    <x v="8"/>
    <x v="2"/>
    <n v="8"/>
    <x v="31"/>
    <n v="2526"/>
  </r>
  <r>
    <x v="2"/>
    <x v="11"/>
    <x v="11"/>
    <x v="2"/>
    <x v="3"/>
    <x v="2"/>
    <n v="8"/>
    <x v="31"/>
    <n v="3061"/>
  </r>
  <r>
    <x v="2"/>
    <x v="7"/>
    <x v="7"/>
    <x v="2"/>
    <x v="4"/>
    <x v="2"/>
    <n v="8"/>
    <x v="31"/>
    <n v="3670"/>
  </r>
  <r>
    <x v="2"/>
    <x v="3"/>
    <x v="3"/>
    <x v="1"/>
    <x v="8"/>
    <x v="2"/>
    <n v="8"/>
    <x v="31"/>
    <n v="4494"/>
  </r>
  <r>
    <x v="2"/>
    <x v="10"/>
    <x v="10"/>
    <x v="0"/>
    <x v="6"/>
    <x v="2"/>
    <n v="8"/>
    <x v="31"/>
    <n v="2032"/>
  </r>
  <r>
    <x v="2"/>
    <x v="11"/>
    <x v="11"/>
    <x v="1"/>
    <x v="1"/>
    <x v="2"/>
    <n v="8"/>
    <x v="31"/>
    <n v="2848"/>
  </r>
  <r>
    <x v="3"/>
    <x v="4"/>
    <x v="4"/>
    <x v="2"/>
    <x v="2"/>
    <x v="2"/>
    <n v="8"/>
    <x v="31"/>
    <n v="4495"/>
  </r>
  <r>
    <x v="4"/>
    <x v="5"/>
    <x v="5"/>
    <x v="2"/>
    <x v="4"/>
    <x v="2"/>
    <n v="8"/>
    <x v="31"/>
    <n v="2864"/>
  </r>
  <r>
    <x v="3"/>
    <x v="8"/>
    <x v="8"/>
    <x v="0"/>
    <x v="0"/>
    <x v="2"/>
    <n v="8"/>
    <x v="31"/>
    <n v="1755"/>
  </r>
  <r>
    <x v="4"/>
    <x v="9"/>
    <x v="9"/>
    <x v="1"/>
    <x v="7"/>
    <x v="2"/>
    <n v="8"/>
    <x v="31"/>
    <n v="5112"/>
  </r>
  <r>
    <x v="2"/>
    <x v="10"/>
    <x v="10"/>
    <x v="2"/>
    <x v="4"/>
    <x v="2"/>
    <n v="8"/>
    <x v="31"/>
    <n v="3599"/>
  </r>
  <r>
    <x v="2"/>
    <x v="11"/>
    <x v="11"/>
    <x v="0"/>
    <x v="0"/>
    <x v="2"/>
    <n v="8"/>
    <x v="31"/>
    <n v="1935"/>
  </r>
  <r>
    <x v="0"/>
    <x v="0"/>
    <x v="0"/>
    <x v="0"/>
    <x v="0"/>
    <x v="2"/>
    <n v="9"/>
    <x v="32"/>
    <n v="2125"/>
  </r>
  <r>
    <x v="0"/>
    <x v="1"/>
    <x v="1"/>
    <x v="0"/>
    <x v="0"/>
    <x v="2"/>
    <n v="9"/>
    <x v="32"/>
    <n v="1565"/>
  </r>
  <r>
    <x v="0"/>
    <x v="1"/>
    <x v="1"/>
    <x v="1"/>
    <x v="1"/>
    <x v="2"/>
    <n v="9"/>
    <x v="32"/>
    <n v="4377"/>
  </r>
  <r>
    <x v="0"/>
    <x v="0"/>
    <x v="0"/>
    <x v="1"/>
    <x v="1"/>
    <x v="2"/>
    <n v="9"/>
    <x v="32"/>
    <n v="3771"/>
  </r>
  <r>
    <x v="0"/>
    <x v="0"/>
    <x v="0"/>
    <x v="2"/>
    <x v="2"/>
    <x v="2"/>
    <n v="9"/>
    <x v="32"/>
    <n v="5046"/>
  </r>
  <r>
    <x v="1"/>
    <x v="2"/>
    <x v="2"/>
    <x v="2"/>
    <x v="3"/>
    <x v="2"/>
    <n v="9"/>
    <x v="32"/>
    <n v="2991"/>
  </r>
  <r>
    <x v="2"/>
    <x v="3"/>
    <x v="3"/>
    <x v="2"/>
    <x v="4"/>
    <x v="2"/>
    <n v="9"/>
    <x v="32"/>
    <n v="3695"/>
  </r>
  <r>
    <x v="3"/>
    <x v="4"/>
    <x v="4"/>
    <x v="0"/>
    <x v="5"/>
    <x v="2"/>
    <n v="9"/>
    <x v="32"/>
    <n v="2616"/>
  </r>
  <r>
    <x v="4"/>
    <x v="5"/>
    <x v="5"/>
    <x v="0"/>
    <x v="0"/>
    <x v="2"/>
    <n v="9"/>
    <x v="32"/>
    <n v="1990"/>
  </r>
  <r>
    <x v="0"/>
    <x v="1"/>
    <x v="1"/>
    <x v="0"/>
    <x v="6"/>
    <x v="2"/>
    <n v="9"/>
    <x v="32"/>
    <n v="1326"/>
  </r>
  <r>
    <x v="1"/>
    <x v="6"/>
    <x v="6"/>
    <x v="1"/>
    <x v="7"/>
    <x v="2"/>
    <n v="9"/>
    <x v="32"/>
    <n v="4144"/>
  </r>
  <r>
    <x v="2"/>
    <x v="7"/>
    <x v="7"/>
    <x v="1"/>
    <x v="1"/>
    <x v="2"/>
    <n v="9"/>
    <x v="32"/>
    <n v="4505"/>
  </r>
  <r>
    <x v="3"/>
    <x v="8"/>
    <x v="8"/>
    <x v="1"/>
    <x v="8"/>
    <x v="2"/>
    <n v="9"/>
    <x v="32"/>
    <n v="4817"/>
  </r>
  <r>
    <x v="4"/>
    <x v="9"/>
    <x v="9"/>
    <x v="2"/>
    <x v="2"/>
    <x v="2"/>
    <n v="9"/>
    <x v="32"/>
    <n v="3288"/>
  </r>
  <r>
    <x v="0"/>
    <x v="0"/>
    <x v="0"/>
    <x v="2"/>
    <x v="3"/>
    <x v="2"/>
    <n v="9"/>
    <x v="32"/>
    <n v="3440"/>
  </r>
  <r>
    <x v="1"/>
    <x v="2"/>
    <x v="2"/>
    <x v="2"/>
    <x v="4"/>
    <x v="2"/>
    <n v="9"/>
    <x v="32"/>
    <n v="3481"/>
  </r>
  <r>
    <x v="2"/>
    <x v="3"/>
    <x v="3"/>
    <x v="0"/>
    <x v="5"/>
    <x v="2"/>
    <n v="9"/>
    <x v="32"/>
    <n v="1655"/>
  </r>
  <r>
    <x v="3"/>
    <x v="4"/>
    <x v="4"/>
    <x v="0"/>
    <x v="0"/>
    <x v="2"/>
    <n v="9"/>
    <x v="32"/>
    <n v="2688"/>
  </r>
  <r>
    <x v="4"/>
    <x v="5"/>
    <x v="5"/>
    <x v="0"/>
    <x v="6"/>
    <x v="2"/>
    <n v="9"/>
    <x v="32"/>
    <n v="2520"/>
  </r>
  <r>
    <x v="0"/>
    <x v="1"/>
    <x v="1"/>
    <x v="1"/>
    <x v="7"/>
    <x v="2"/>
    <n v="9"/>
    <x v="32"/>
    <n v="4893"/>
  </r>
  <r>
    <x v="1"/>
    <x v="6"/>
    <x v="6"/>
    <x v="1"/>
    <x v="1"/>
    <x v="2"/>
    <n v="9"/>
    <x v="32"/>
    <n v="4334"/>
  </r>
  <r>
    <x v="2"/>
    <x v="7"/>
    <x v="7"/>
    <x v="1"/>
    <x v="8"/>
    <x v="2"/>
    <n v="9"/>
    <x v="32"/>
    <n v="4305"/>
  </r>
  <r>
    <x v="3"/>
    <x v="8"/>
    <x v="8"/>
    <x v="2"/>
    <x v="2"/>
    <x v="2"/>
    <n v="9"/>
    <x v="32"/>
    <n v="3800"/>
  </r>
  <r>
    <x v="4"/>
    <x v="9"/>
    <x v="9"/>
    <x v="2"/>
    <x v="3"/>
    <x v="2"/>
    <n v="9"/>
    <x v="32"/>
    <n v="4275"/>
  </r>
  <r>
    <x v="0"/>
    <x v="0"/>
    <x v="0"/>
    <x v="2"/>
    <x v="4"/>
    <x v="2"/>
    <n v="9"/>
    <x v="32"/>
    <n v="4000"/>
  </r>
  <r>
    <x v="1"/>
    <x v="2"/>
    <x v="2"/>
    <x v="0"/>
    <x v="5"/>
    <x v="2"/>
    <n v="9"/>
    <x v="32"/>
    <n v="1921"/>
  </r>
  <r>
    <x v="2"/>
    <x v="3"/>
    <x v="3"/>
    <x v="0"/>
    <x v="0"/>
    <x v="2"/>
    <n v="9"/>
    <x v="32"/>
    <n v="2996"/>
  </r>
  <r>
    <x v="3"/>
    <x v="4"/>
    <x v="4"/>
    <x v="0"/>
    <x v="6"/>
    <x v="2"/>
    <n v="9"/>
    <x v="32"/>
    <n v="1836"/>
  </r>
  <r>
    <x v="4"/>
    <x v="5"/>
    <x v="5"/>
    <x v="1"/>
    <x v="7"/>
    <x v="2"/>
    <n v="9"/>
    <x v="32"/>
    <n v="6708"/>
  </r>
  <r>
    <x v="1"/>
    <x v="2"/>
    <x v="2"/>
    <x v="1"/>
    <x v="8"/>
    <x v="2"/>
    <n v="9"/>
    <x v="32"/>
    <n v="2565"/>
  </r>
  <r>
    <x v="2"/>
    <x v="7"/>
    <x v="7"/>
    <x v="2"/>
    <x v="2"/>
    <x v="2"/>
    <n v="9"/>
    <x v="32"/>
    <n v="3396"/>
  </r>
  <r>
    <x v="3"/>
    <x v="8"/>
    <x v="8"/>
    <x v="2"/>
    <x v="3"/>
    <x v="2"/>
    <n v="9"/>
    <x v="32"/>
    <n v="5533"/>
  </r>
  <r>
    <x v="4"/>
    <x v="9"/>
    <x v="9"/>
    <x v="2"/>
    <x v="4"/>
    <x v="2"/>
    <n v="9"/>
    <x v="32"/>
    <n v="3262"/>
  </r>
  <r>
    <x v="0"/>
    <x v="0"/>
    <x v="0"/>
    <x v="0"/>
    <x v="5"/>
    <x v="2"/>
    <n v="9"/>
    <x v="32"/>
    <n v="2959"/>
  </r>
  <r>
    <x v="1"/>
    <x v="6"/>
    <x v="6"/>
    <x v="0"/>
    <x v="0"/>
    <x v="2"/>
    <n v="9"/>
    <x v="32"/>
    <n v="1575"/>
  </r>
  <r>
    <x v="2"/>
    <x v="3"/>
    <x v="3"/>
    <x v="0"/>
    <x v="6"/>
    <x v="2"/>
    <n v="9"/>
    <x v="32"/>
    <n v="1898"/>
  </r>
  <r>
    <x v="3"/>
    <x v="4"/>
    <x v="4"/>
    <x v="1"/>
    <x v="7"/>
    <x v="2"/>
    <n v="9"/>
    <x v="32"/>
    <n v="4767"/>
  </r>
  <r>
    <x v="4"/>
    <x v="5"/>
    <x v="5"/>
    <x v="1"/>
    <x v="1"/>
    <x v="2"/>
    <n v="9"/>
    <x v="32"/>
    <n v="5537"/>
  </r>
  <r>
    <x v="0"/>
    <x v="1"/>
    <x v="1"/>
    <x v="1"/>
    <x v="8"/>
    <x v="2"/>
    <n v="9"/>
    <x v="32"/>
    <n v="3144"/>
  </r>
  <r>
    <x v="1"/>
    <x v="2"/>
    <x v="2"/>
    <x v="2"/>
    <x v="2"/>
    <x v="2"/>
    <n v="9"/>
    <x v="32"/>
    <n v="4412"/>
  </r>
  <r>
    <x v="2"/>
    <x v="7"/>
    <x v="7"/>
    <x v="2"/>
    <x v="3"/>
    <x v="2"/>
    <n v="9"/>
    <x v="32"/>
    <n v="4817"/>
  </r>
  <r>
    <x v="3"/>
    <x v="8"/>
    <x v="8"/>
    <x v="2"/>
    <x v="4"/>
    <x v="2"/>
    <n v="9"/>
    <x v="32"/>
    <n v="3067"/>
  </r>
  <r>
    <x v="4"/>
    <x v="9"/>
    <x v="9"/>
    <x v="0"/>
    <x v="5"/>
    <x v="2"/>
    <n v="9"/>
    <x v="32"/>
    <n v="2278"/>
  </r>
  <r>
    <x v="1"/>
    <x v="2"/>
    <x v="2"/>
    <x v="0"/>
    <x v="6"/>
    <x v="2"/>
    <n v="9"/>
    <x v="32"/>
    <n v="1207"/>
  </r>
  <r>
    <x v="2"/>
    <x v="3"/>
    <x v="3"/>
    <x v="1"/>
    <x v="7"/>
    <x v="2"/>
    <n v="9"/>
    <x v="32"/>
    <n v="4429"/>
  </r>
  <r>
    <x v="3"/>
    <x v="8"/>
    <x v="8"/>
    <x v="1"/>
    <x v="1"/>
    <x v="2"/>
    <n v="9"/>
    <x v="32"/>
    <n v="4922"/>
  </r>
  <r>
    <x v="4"/>
    <x v="5"/>
    <x v="5"/>
    <x v="1"/>
    <x v="8"/>
    <x v="2"/>
    <n v="9"/>
    <x v="32"/>
    <n v="4301"/>
  </r>
  <r>
    <x v="0"/>
    <x v="1"/>
    <x v="1"/>
    <x v="2"/>
    <x v="2"/>
    <x v="2"/>
    <n v="9"/>
    <x v="32"/>
    <n v="4857"/>
  </r>
  <r>
    <x v="0"/>
    <x v="1"/>
    <x v="1"/>
    <x v="2"/>
    <x v="3"/>
    <x v="2"/>
    <n v="9"/>
    <x v="32"/>
    <n v="3122"/>
  </r>
  <r>
    <x v="1"/>
    <x v="6"/>
    <x v="6"/>
    <x v="2"/>
    <x v="4"/>
    <x v="2"/>
    <n v="9"/>
    <x v="32"/>
    <n v="3097"/>
  </r>
  <r>
    <x v="1"/>
    <x v="6"/>
    <x v="6"/>
    <x v="0"/>
    <x v="5"/>
    <x v="2"/>
    <n v="9"/>
    <x v="32"/>
    <n v="2760"/>
  </r>
  <r>
    <x v="2"/>
    <x v="7"/>
    <x v="7"/>
    <x v="0"/>
    <x v="0"/>
    <x v="2"/>
    <n v="9"/>
    <x v="32"/>
    <n v="2547"/>
  </r>
  <r>
    <x v="2"/>
    <x v="7"/>
    <x v="7"/>
    <x v="0"/>
    <x v="6"/>
    <x v="2"/>
    <n v="9"/>
    <x v="32"/>
    <n v="1920"/>
  </r>
  <r>
    <x v="2"/>
    <x v="3"/>
    <x v="3"/>
    <x v="1"/>
    <x v="1"/>
    <x v="2"/>
    <n v="9"/>
    <x v="32"/>
    <n v="3264"/>
  </r>
  <r>
    <x v="0"/>
    <x v="0"/>
    <x v="0"/>
    <x v="1"/>
    <x v="8"/>
    <x v="2"/>
    <n v="9"/>
    <x v="32"/>
    <n v="4988"/>
  </r>
  <r>
    <x v="2"/>
    <x v="10"/>
    <x v="10"/>
    <x v="0"/>
    <x v="5"/>
    <x v="2"/>
    <n v="9"/>
    <x v="32"/>
    <n v="2623"/>
  </r>
  <r>
    <x v="2"/>
    <x v="10"/>
    <x v="10"/>
    <x v="0"/>
    <x v="0"/>
    <x v="2"/>
    <n v="9"/>
    <x v="32"/>
    <n v="2941"/>
  </r>
  <r>
    <x v="2"/>
    <x v="11"/>
    <x v="11"/>
    <x v="0"/>
    <x v="6"/>
    <x v="2"/>
    <n v="9"/>
    <x v="32"/>
    <n v="1939"/>
  </r>
  <r>
    <x v="2"/>
    <x v="11"/>
    <x v="11"/>
    <x v="1"/>
    <x v="7"/>
    <x v="2"/>
    <n v="9"/>
    <x v="32"/>
    <n v="5398"/>
  </r>
  <r>
    <x v="3"/>
    <x v="4"/>
    <x v="4"/>
    <x v="1"/>
    <x v="1"/>
    <x v="2"/>
    <n v="9"/>
    <x v="32"/>
    <n v="3010"/>
  </r>
  <r>
    <x v="3"/>
    <x v="4"/>
    <x v="4"/>
    <x v="1"/>
    <x v="8"/>
    <x v="2"/>
    <n v="9"/>
    <x v="32"/>
    <n v="3912"/>
  </r>
  <r>
    <x v="4"/>
    <x v="5"/>
    <x v="5"/>
    <x v="2"/>
    <x v="2"/>
    <x v="2"/>
    <n v="9"/>
    <x v="32"/>
    <n v="3247"/>
  </r>
  <r>
    <x v="4"/>
    <x v="5"/>
    <x v="5"/>
    <x v="2"/>
    <x v="3"/>
    <x v="2"/>
    <n v="9"/>
    <x v="32"/>
    <n v="4241"/>
  </r>
  <r>
    <x v="3"/>
    <x v="8"/>
    <x v="8"/>
    <x v="0"/>
    <x v="5"/>
    <x v="2"/>
    <n v="9"/>
    <x v="32"/>
    <n v="2836"/>
  </r>
  <r>
    <x v="4"/>
    <x v="9"/>
    <x v="9"/>
    <x v="0"/>
    <x v="0"/>
    <x v="2"/>
    <n v="9"/>
    <x v="32"/>
    <n v="2963"/>
  </r>
  <r>
    <x v="4"/>
    <x v="9"/>
    <x v="9"/>
    <x v="0"/>
    <x v="6"/>
    <x v="2"/>
    <n v="9"/>
    <x v="32"/>
    <n v="2095"/>
  </r>
  <r>
    <x v="2"/>
    <x v="7"/>
    <x v="7"/>
    <x v="1"/>
    <x v="7"/>
    <x v="2"/>
    <n v="9"/>
    <x v="32"/>
    <n v="6458"/>
  </r>
  <r>
    <x v="1"/>
    <x v="6"/>
    <x v="6"/>
    <x v="2"/>
    <x v="3"/>
    <x v="2"/>
    <n v="9"/>
    <x v="32"/>
    <n v="2859"/>
  </r>
  <r>
    <x v="0"/>
    <x v="0"/>
    <x v="0"/>
    <x v="0"/>
    <x v="6"/>
    <x v="2"/>
    <n v="9"/>
    <x v="32"/>
    <n v="2020"/>
  </r>
  <r>
    <x v="0"/>
    <x v="0"/>
    <x v="0"/>
    <x v="1"/>
    <x v="7"/>
    <x v="2"/>
    <n v="9"/>
    <x v="32"/>
    <n v="6213"/>
  </r>
  <r>
    <x v="1"/>
    <x v="2"/>
    <x v="2"/>
    <x v="1"/>
    <x v="1"/>
    <x v="2"/>
    <n v="9"/>
    <x v="32"/>
    <n v="3149"/>
  </r>
  <r>
    <x v="2"/>
    <x v="10"/>
    <x v="10"/>
    <x v="2"/>
    <x v="2"/>
    <x v="2"/>
    <n v="9"/>
    <x v="32"/>
    <n v="4001"/>
  </r>
  <r>
    <x v="2"/>
    <x v="10"/>
    <x v="10"/>
    <x v="2"/>
    <x v="3"/>
    <x v="2"/>
    <n v="9"/>
    <x v="32"/>
    <n v="5127"/>
  </r>
  <r>
    <x v="2"/>
    <x v="11"/>
    <x v="11"/>
    <x v="2"/>
    <x v="4"/>
    <x v="2"/>
    <n v="9"/>
    <x v="32"/>
    <n v="2850"/>
  </r>
  <r>
    <x v="2"/>
    <x v="11"/>
    <x v="11"/>
    <x v="0"/>
    <x v="5"/>
    <x v="2"/>
    <n v="9"/>
    <x v="32"/>
    <n v="2615"/>
  </r>
  <r>
    <x v="2"/>
    <x v="7"/>
    <x v="7"/>
    <x v="0"/>
    <x v="5"/>
    <x v="2"/>
    <n v="9"/>
    <x v="32"/>
    <n v="1639"/>
  </r>
  <r>
    <x v="1"/>
    <x v="6"/>
    <x v="6"/>
    <x v="1"/>
    <x v="8"/>
    <x v="2"/>
    <n v="9"/>
    <x v="32"/>
    <n v="3348"/>
  </r>
  <r>
    <x v="2"/>
    <x v="3"/>
    <x v="3"/>
    <x v="2"/>
    <x v="2"/>
    <x v="2"/>
    <n v="9"/>
    <x v="32"/>
    <n v="4858"/>
  </r>
  <r>
    <x v="2"/>
    <x v="3"/>
    <x v="3"/>
    <x v="2"/>
    <x v="3"/>
    <x v="2"/>
    <n v="9"/>
    <x v="32"/>
    <n v="5148"/>
  </r>
  <r>
    <x v="1"/>
    <x v="2"/>
    <x v="2"/>
    <x v="0"/>
    <x v="0"/>
    <x v="2"/>
    <n v="9"/>
    <x v="32"/>
    <n v="2080"/>
  </r>
  <r>
    <x v="2"/>
    <x v="10"/>
    <x v="10"/>
    <x v="1"/>
    <x v="7"/>
    <x v="2"/>
    <n v="9"/>
    <x v="32"/>
    <n v="5840"/>
  </r>
  <r>
    <x v="2"/>
    <x v="10"/>
    <x v="10"/>
    <x v="1"/>
    <x v="1"/>
    <x v="2"/>
    <n v="9"/>
    <x v="32"/>
    <n v="2935"/>
  </r>
  <r>
    <x v="2"/>
    <x v="11"/>
    <x v="11"/>
    <x v="1"/>
    <x v="8"/>
    <x v="2"/>
    <n v="9"/>
    <x v="32"/>
    <n v="4800"/>
  </r>
  <r>
    <x v="2"/>
    <x v="11"/>
    <x v="11"/>
    <x v="2"/>
    <x v="2"/>
    <x v="2"/>
    <n v="9"/>
    <x v="32"/>
    <n v="4634"/>
  </r>
  <r>
    <x v="3"/>
    <x v="4"/>
    <x v="4"/>
    <x v="2"/>
    <x v="3"/>
    <x v="2"/>
    <n v="9"/>
    <x v="32"/>
    <n v="2676"/>
  </r>
  <r>
    <x v="3"/>
    <x v="4"/>
    <x v="4"/>
    <x v="2"/>
    <x v="4"/>
    <x v="2"/>
    <n v="9"/>
    <x v="32"/>
    <n v="3028"/>
  </r>
  <r>
    <x v="4"/>
    <x v="5"/>
    <x v="5"/>
    <x v="0"/>
    <x v="5"/>
    <x v="2"/>
    <n v="9"/>
    <x v="32"/>
    <n v="2484"/>
  </r>
  <r>
    <x v="3"/>
    <x v="8"/>
    <x v="8"/>
    <x v="0"/>
    <x v="6"/>
    <x v="2"/>
    <n v="9"/>
    <x v="32"/>
    <n v="2096"/>
  </r>
  <r>
    <x v="3"/>
    <x v="8"/>
    <x v="8"/>
    <x v="1"/>
    <x v="7"/>
    <x v="2"/>
    <n v="9"/>
    <x v="32"/>
    <n v="4464"/>
  </r>
  <r>
    <x v="4"/>
    <x v="9"/>
    <x v="9"/>
    <x v="1"/>
    <x v="1"/>
    <x v="2"/>
    <n v="9"/>
    <x v="32"/>
    <n v="4065"/>
  </r>
  <r>
    <x v="4"/>
    <x v="9"/>
    <x v="9"/>
    <x v="1"/>
    <x v="8"/>
    <x v="2"/>
    <n v="9"/>
    <x v="32"/>
    <n v="2372"/>
  </r>
  <r>
    <x v="0"/>
    <x v="1"/>
    <x v="1"/>
    <x v="2"/>
    <x v="4"/>
    <x v="2"/>
    <n v="9"/>
    <x v="32"/>
    <n v="2880"/>
  </r>
  <r>
    <x v="0"/>
    <x v="1"/>
    <x v="1"/>
    <x v="0"/>
    <x v="5"/>
    <x v="2"/>
    <n v="9"/>
    <x v="32"/>
    <n v="2268"/>
  </r>
  <r>
    <x v="1"/>
    <x v="6"/>
    <x v="6"/>
    <x v="0"/>
    <x v="6"/>
    <x v="2"/>
    <n v="9"/>
    <x v="32"/>
    <n v="1852"/>
  </r>
  <r>
    <x v="2"/>
    <x v="10"/>
    <x v="10"/>
    <x v="1"/>
    <x v="8"/>
    <x v="2"/>
    <n v="9"/>
    <x v="32"/>
    <n v="2716"/>
  </r>
  <r>
    <x v="2"/>
    <x v="11"/>
    <x v="11"/>
    <x v="2"/>
    <x v="3"/>
    <x v="2"/>
    <n v="9"/>
    <x v="32"/>
    <n v="5031"/>
  </r>
  <r>
    <x v="2"/>
    <x v="7"/>
    <x v="7"/>
    <x v="2"/>
    <x v="4"/>
    <x v="2"/>
    <n v="9"/>
    <x v="32"/>
    <n v="3008"/>
  </r>
  <r>
    <x v="2"/>
    <x v="3"/>
    <x v="3"/>
    <x v="1"/>
    <x v="8"/>
    <x v="2"/>
    <n v="9"/>
    <x v="32"/>
    <n v="2432"/>
  </r>
  <r>
    <x v="2"/>
    <x v="10"/>
    <x v="10"/>
    <x v="0"/>
    <x v="6"/>
    <x v="2"/>
    <n v="9"/>
    <x v="32"/>
    <n v="2252"/>
  </r>
  <r>
    <x v="2"/>
    <x v="11"/>
    <x v="11"/>
    <x v="1"/>
    <x v="1"/>
    <x v="2"/>
    <n v="9"/>
    <x v="32"/>
    <n v="3860"/>
  </r>
  <r>
    <x v="3"/>
    <x v="4"/>
    <x v="4"/>
    <x v="2"/>
    <x v="2"/>
    <x v="2"/>
    <n v="9"/>
    <x v="32"/>
    <n v="3912"/>
  </r>
  <r>
    <x v="4"/>
    <x v="5"/>
    <x v="5"/>
    <x v="2"/>
    <x v="4"/>
    <x v="2"/>
    <n v="9"/>
    <x v="32"/>
    <n v="3366"/>
  </r>
  <r>
    <x v="3"/>
    <x v="8"/>
    <x v="8"/>
    <x v="0"/>
    <x v="0"/>
    <x v="2"/>
    <n v="9"/>
    <x v="32"/>
    <n v="3065"/>
  </r>
  <r>
    <x v="4"/>
    <x v="9"/>
    <x v="9"/>
    <x v="1"/>
    <x v="7"/>
    <x v="2"/>
    <n v="9"/>
    <x v="32"/>
    <n v="6296"/>
  </r>
  <r>
    <x v="2"/>
    <x v="10"/>
    <x v="10"/>
    <x v="2"/>
    <x v="4"/>
    <x v="2"/>
    <n v="9"/>
    <x v="32"/>
    <n v="3401"/>
  </r>
  <r>
    <x v="2"/>
    <x v="11"/>
    <x v="11"/>
    <x v="0"/>
    <x v="0"/>
    <x v="2"/>
    <n v="9"/>
    <x v="32"/>
    <n v="1657"/>
  </r>
  <r>
    <x v="0"/>
    <x v="0"/>
    <x v="0"/>
    <x v="0"/>
    <x v="0"/>
    <x v="2"/>
    <n v="10"/>
    <x v="33"/>
    <n v="3212"/>
  </r>
  <r>
    <x v="0"/>
    <x v="1"/>
    <x v="1"/>
    <x v="0"/>
    <x v="0"/>
    <x v="2"/>
    <n v="10"/>
    <x v="33"/>
    <n v="1851"/>
  </r>
  <r>
    <x v="0"/>
    <x v="1"/>
    <x v="1"/>
    <x v="1"/>
    <x v="1"/>
    <x v="2"/>
    <n v="10"/>
    <x v="33"/>
    <n v="3672"/>
  </r>
  <r>
    <x v="0"/>
    <x v="0"/>
    <x v="0"/>
    <x v="1"/>
    <x v="1"/>
    <x v="2"/>
    <n v="10"/>
    <x v="33"/>
    <n v="3524"/>
  </r>
  <r>
    <x v="0"/>
    <x v="0"/>
    <x v="0"/>
    <x v="2"/>
    <x v="2"/>
    <x v="2"/>
    <n v="10"/>
    <x v="33"/>
    <n v="4346"/>
  </r>
  <r>
    <x v="1"/>
    <x v="2"/>
    <x v="2"/>
    <x v="2"/>
    <x v="3"/>
    <x v="2"/>
    <n v="10"/>
    <x v="33"/>
    <n v="4927"/>
  </r>
  <r>
    <x v="2"/>
    <x v="3"/>
    <x v="3"/>
    <x v="2"/>
    <x v="4"/>
    <x v="2"/>
    <n v="10"/>
    <x v="33"/>
    <n v="3424"/>
  </r>
  <r>
    <x v="3"/>
    <x v="4"/>
    <x v="4"/>
    <x v="0"/>
    <x v="5"/>
    <x v="2"/>
    <n v="10"/>
    <x v="33"/>
    <n v="2425"/>
  </r>
  <r>
    <x v="4"/>
    <x v="5"/>
    <x v="5"/>
    <x v="0"/>
    <x v="0"/>
    <x v="2"/>
    <n v="10"/>
    <x v="33"/>
    <n v="1601"/>
  </r>
  <r>
    <x v="0"/>
    <x v="1"/>
    <x v="1"/>
    <x v="0"/>
    <x v="6"/>
    <x v="2"/>
    <n v="10"/>
    <x v="33"/>
    <n v="2744"/>
  </r>
  <r>
    <x v="1"/>
    <x v="6"/>
    <x v="6"/>
    <x v="1"/>
    <x v="7"/>
    <x v="2"/>
    <n v="10"/>
    <x v="33"/>
    <n v="6531"/>
  </r>
  <r>
    <x v="2"/>
    <x v="7"/>
    <x v="7"/>
    <x v="1"/>
    <x v="1"/>
    <x v="2"/>
    <n v="10"/>
    <x v="33"/>
    <n v="3501"/>
  </r>
  <r>
    <x v="3"/>
    <x v="8"/>
    <x v="8"/>
    <x v="1"/>
    <x v="8"/>
    <x v="2"/>
    <n v="10"/>
    <x v="33"/>
    <n v="2046"/>
  </r>
  <r>
    <x v="4"/>
    <x v="9"/>
    <x v="9"/>
    <x v="2"/>
    <x v="2"/>
    <x v="2"/>
    <n v="10"/>
    <x v="33"/>
    <n v="3513"/>
  </r>
  <r>
    <x v="0"/>
    <x v="0"/>
    <x v="0"/>
    <x v="2"/>
    <x v="3"/>
    <x v="2"/>
    <n v="10"/>
    <x v="33"/>
    <n v="2947"/>
  </r>
  <r>
    <x v="1"/>
    <x v="2"/>
    <x v="2"/>
    <x v="2"/>
    <x v="4"/>
    <x v="2"/>
    <n v="10"/>
    <x v="33"/>
    <n v="3983"/>
  </r>
  <r>
    <x v="2"/>
    <x v="3"/>
    <x v="3"/>
    <x v="0"/>
    <x v="5"/>
    <x v="2"/>
    <n v="10"/>
    <x v="33"/>
    <n v="2992"/>
  </r>
  <r>
    <x v="3"/>
    <x v="4"/>
    <x v="4"/>
    <x v="0"/>
    <x v="0"/>
    <x v="2"/>
    <n v="10"/>
    <x v="33"/>
    <n v="2007"/>
  </r>
  <r>
    <x v="4"/>
    <x v="5"/>
    <x v="5"/>
    <x v="0"/>
    <x v="6"/>
    <x v="2"/>
    <n v="10"/>
    <x v="33"/>
    <n v="1864"/>
  </r>
  <r>
    <x v="0"/>
    <x v="1"/>
    <x v="1"/>
    <x v="1"/>
    <x v="7"/>
    <x v="2"/>
    <n v="10"/>
    <x v="33"/>
    <n v="6896"/>
  </r>
  <r>
    <x v="1"/>
    <x v="6"/>
    <x v="6"/>
    <x v="1"/>
    <x v="1"/>
    <x v="2"/>
    <n v="10"/>
    <x v="33"/>
    <n v="3595"/>
  </r>
  <r>
    <x v="2"/>
    <x v="7"/>
    <x v="7"/>
    <x v="1"/>
    <x v="8"/>
    <x v="2"/>
    <n v="10"/>
    <x v="33"/>
    <n v="3350"/>
  </r>
  <r>
    <x v="3"/>
    <x v="8"/>
    <x v="8"/>
    <x v="2"/>
    <x v="2"/>
    <x v="2"/>
    <n v="10"/>
    <x v="33"/>
    <n v="4493"/>
  </r>
  <r>
    <x v="4"/>
    <x v="9"/>
    <x v="9"/>
    <x v="2"/>
    <x v="3"/>
    <x v="2"/>
    <n v="10"/>
    <x v="33"/>
    <n v="4469"/>
  </r>
  <r>
    <x v="0"/>
    <x v="0"/>
    <x v="0"/>
    <x v="2"/>
    <x v="4"/>
    <x v="2"/>
    <n v="10"/>
    <x v="33"/>
    <n v="3373"/>
  </r>
  <r>
    <x v="1"/>
    <x v="2"/>
    <x v="2"/>
    <x v="0"/>
    <x v="5"/>
    <x v="2"/>
    <n v="10"/>
    <x v="33"/>
    <n v="1741"/>
  </r>
  <r>
    <x v="2"/>
    <x v="3"/>
    <x v="3"/>
    <x v="0"/>
    <x v="0"/>
    <x v="2"/>
    <n v="10"/>
    <x v="33"/>
    <n v="2333"/>
  </r>
  <r>
    <x v="3"/>
    <x v="4"/>
    <x v="4"/>
    <x v="0"/>
    <x v="6"/>
    <x v="2"/>
    <n v="10"/>
    <x v="33"/>
    <n v="1203"/>
  </r>
  <r>
    <x v="4"/>
    <x v="5"/>
    <x v="5"/>
    <x v="1"/>
    <x v="7"/>
    <x v="2"/>
    <n v="10"/>
    <x v="33"/>
    <n v="6782"/>
  </r>
  <r>
    <x v="1"/>
    <x v="2"/>
    <x v="2"/>
    <x v="1"/>
    <x v="8"/>
    <x v="2"/>
    <n v="10"/>
    <x v="33"/>
    <n v="4106"/>
  </r>
  <r>
    <x v="2"/>
    <x v="7"/>
    <x v="7"/>
    <x v="2"/>
    <x v="2"/>
    <x v="2"/>
    <n v="10"/>
    <x v="33"/>
    <n v="4233"/>
  </r>
  <r>
    <x v="3"/>
    <x v="8"/>
    <x v="8"/>
    <x v="2"/>
    <x v="3"/>
    <x v="2"/>
    <n v="10"/>
    <x v="33"/>
    <n v="3157"/>
  </r>
  <r>
    <x v="4"/>
    <x v="9"/>
    <x v="9"/>
    <x v="2"/>
    <x v="4"/>
    <x v="2"/>
    <n v="10"/>
    <x v="33"/>
    <n v="2974"/>
  </r>
  <r>
    <x v="0"/>
    <x v="0"/>
    <x v="0"/>
    <x v="0"/>
    <x v="5"/>
    <x v="2"/>
    <n v="10"/>
    <x v="33"/>
    <n v="1752"/>
  </r>
  <r>
    <x v="1"/>
    <x v="6"/>
    <x v="6"/>
    <x v="0"/>
    <x v="0"/>
    <x v="2"/>
    <n v="10"/>
    <x v="33"/>
    <n v="1593"/>
  </r>
  <r>
    <x v="2"/>
    <x v="3"/>
    <x v="3"/>
    <x v="0"/>
    <x v="6"/>
    <x v="2"/>
    <n v="10"/>
    <x v="33"/>
    <n v="2610"/>
  </r>
  <r>
    <x v="3"/>
    <x v="4"/>
    <x v="4"/>
    <x v="1"/>
    <x v="7"/>
    <x v="2"/>
    <n v="10"/>
    <x v="33"/>
    <n v="4415"/>
  </r>
  <r>
    <x v="4"/>
    <x v="5"/>
    <x v="5"/>
    <x v="1"/>
    <x v="1"/>
    <x v="2"/>
    <n v="10"/>
    <x v="33"/>
    <n v="4394"/>
  </r>
  <r>
    <x v="0"/>
    <x v="1"/>
    <x v="1"/>
    <x v="1"/>
    <x v="8"/>
    <x v="2"/>
    <n v="10"/>
    <x v="33"/>
    <n v="2108"/>
  </r>
  <r>
    <x v="1"/>
    <x v="2"/>
    <x v="2"/>
    <x v="2"/>
    <x v="2"/>
    <x v="2"/>
    <n v="10"/>
    <x v="33"/>
    <n v="4265"/>
  </r>
  <r>
    <x v="2"/>
    <x v="7"/>
    <x v="7"/>
    <x v="2"/>
    <x v="3"/>
    <x v="2"/>
    <n v="10"/>
    <x v="33"/>
    <n v="2946"/>
  </r>
  <r>
    <x v="3"/>
    <x v="8"/>
    <x v="8"/>
    <x v="2"/>
    <x v="4"/>
    <x v="2"/>
    <n v="10"/>
    <x v="33"/>
    <n v="3190"/>
  </r>
  <r>
    <x v="4"/>
    <x v="9"/>
    <x v="9"/>
    <x v="0"/>
    <x v="5"/>
    <x v="2"/>
    <n v="10"/>
    <x v="33"/>
    <n v="1640"/>
  </r>
  <r>
    <x v="1"/>
    <x v="2"/>
    <x v="2"/>
    <x v="0"/>
    <x v="6"/>
    <x v="2"/>
    <n v="10"/>
    <x v="33"/>
    <n v="2783"/>
  </r>
  <r>
    <x v="2"/>
    <x v="3"/>
    <x v="3"/>
    <x v="1"/>
    <x v="7"/>
    <x v="2"/>
    <n v="10"/>
    <x v="33"/>
    <n v="6934"/>
  </r>
  <r>
    <x v="3"/>
    <x v="8"/>
    <x v="8"/>
    <x v="1"/>
    <x v="1"/>
    <x v="2"/>
    <n v="10"/>
    <x v="33"/>
    <n v="3876"/>
  </r>
  <r>
    <x v="4"/>
    <x v="5"/>
    <x v="5"/>
    <x v="1"/>
    <x v="8"/>
    <x v="2"/>
    <n v="10"/>
    <x v="33"/>
    <n v="4408"/>
  </r>
  <r>
    <x v="0"/>
    <x v="1"/>
    <x v="1"/>
    <x v="2"/>
    <x v="2"/>
    <x v="2"/>
    <n v="10"/>
    <x v="33"/>
    <n v="3303"/>
  </r>
  <r>
    <x v="0"/>
    <x v="1"/>
    <x v="1"/>
    <x v="2"/>
    <x v="3"/>
    <x v="2"/>
    <n v="10"/>
    <x v="33"/>
    <n v="4272"/>
  </r>
  <r>
    <x v="1"/>
    <x v="6"/>
    <x v="6"/>
    <x v="2"/>
    <x v="4"/>
    <x v="2"/>
    <n v="10"/>
    <x v="33"/>
    <n v="3285"/>
  </r>
  <r>
    <x v="1"/>
    <x v="6"/>
    <x v="6"/>
    <x v="0"/>
    <x v="5"/>
    <x v="2"/>
    <n v="10"/>
    <x v="33"/>
    <n v="2420"/>
  </r>
  <r>
    <x v="2"/>
    <x v="7"/>
    <x v="7"/>
    <x v="0"/>
    <x v="0"/>
    <x v="2"/>
    <n v="10"/>
    <x v="33"/>
    <n v="1510"/>
  </r>
  <r>
    <x v="2"/>
    <x v="7"/>
    <x v="7"/>
    <x v="0"/>
    <x v="6"/>
    <x v="2"/>
    <n v="10"/>
    <x v="33"/>
    <n v="1384"/>
  </r>
  <r>
    <x v="2"/>
    <x v="3"/>
    <x v="3"/>
    <x v="1"/>
    <x v="1"/>
    <x v="2"/>
    <n v="10"/>
    <x v="33"/>
    <n v="4609"/>
  </r>
  <r>
    <x v="0"/>
    <x v="0"/>
    <x v="0"/>
    <x v="1"/>
    <x v="8"/>
    <x v="2"/>
    <n v="10"/>
    <x v="33"/>
    <n v="4779"/>
  </r>
  <r>
    <x v="2"/>
    <x v="10"/>
    <x v="10"/>
    <x v="0"/>
    <x v="5"/>
    <x v="2"/>
    <n v="10"/>
    <x v="33"/>
    <n v="1659"/>
  </r>
  <r>
    <x v="2"/>
    <x v="10"/>
    <x v="10"/>
    <x v="0"/>
    <x v="0"/>
    <x v="2"/>
    <n v="10"/>
    <x v="33"/>
    <n v="2689"/>
  </r>
  <r>
    <x v="2"/>
    <x v="11"/>
    <x v="11"/>
    <x v="0"/>
    <x v="6"/>
    <x v="2"/>
    <n v="10"/>
    <x v="33"/>
    <n v="2888"/>
  </r>
  <r>
    <x v="2"/>
    <x v="11"/>
    <x v="11"/>
    <x v="1"/>
    <x v="7"/>
    <x v="2"/>
    <n v="10"/>
    <x v="33"/>
    <n v="6920"/>
  </r>
  <r>
    <x v="3"/>
    <x v="4"/>
    <x v="4"/>
    <x v="1"/>
    <x v="1"/>
    <x v="2"/>
    <n v="10"/>
    <x v="33"/>
    <n v="3732"/>
  </r>
  <r>
    <x v="3"/>
    <x v="4"/>
    <x v="4"/>
    <x v="1"/>
    <x v="8"/>
    <x v="2"/>
    <n v="10"/>
    <x v="33"/>
    <n v="2037"/>
  </r>
  <r>
    <x v="4"/>
    <x v="5"/>
    <x v="5"/>
    <x v="2"/>
    <x v="2"/>
    <x v="2"/>
    <n v="10"/>
    <x v="33"/>
    <n v="4728"/>
  </r>
  <r>
    <x v="4"/>
    <x v="5"/>
    <x v="5"/>
    <x v="2"/>
    <x v="3"/>
    <x v="2"/>
    <n v="10"/>
    <x v="33"/>
    <n v="4669"/>
  </r>
  <r>
    <x v="3"/>
    <x v="8"/>
    <x v="8"/>
    <x v="0"/>
    <x v="5"/>
    <x v="2"/>
    <n v="10"/>
    <x v="33"/>
    <n v="1684"/>
  </r>
  <r>
    <x v="4"/>
    <x v="9"/>
    <x v="9"/>
    <x v="0"/>
    <x v="0"/>
    <x v="2"/>
    <n v="10"/>
    <x v="33"/>
    <n v="1812"/>
  </r>
  <r>
    <x v="4"/>
    <x v="9"/>
    <x v="9"/>
    <x v="0"/>
    <x v="6"/>
    <x v="2"/>
    <n v="10"/>
    <x v="33"/>
    <n v="2312"/>
  </r>
  <r>
    <x v="2"/>
    <x v="7"/>
    <x v="7"/>
    <x v="1"/>
    <x v="7"/>
    <x v="2"/>
    <n v="10"/>
    <x v="33"/>
    <n v="5828"/>
  </r>
  <r>
    <x v="1"/>
    <x v="6"/>
    <x v="6"/>
    <x v="2"/>
    <x v="3"/>
    <x v="2"/>
    <n v="10"/>
    <x v="33"/>
    <n v="4413"/>
  </r>
  <r>
    <x v="0"/>
    <x v="0"/>
    <x v="0"/>
    <x v="0"/>
    <x v="6"/>
    <x v="2"/>
    <n v="10"/>
    <x v="33"/>
    <n v="1317"/>
  </r>
  <r>
    <x v="0"/>
    <x v="0"/>
    <x v="0"/>
    <x v="1"/>
    <x v="7"/>
    <x v="2"/>
    <n v="10"/>
    <x v="33"/>
    <n v="4864"/>
  </r>
  <r>
    <x v="1"/>
    <x v="2"/>
    <x v="2"/>
    <x v="1"/>
    <x v="1"/>
    <x v="2"/>
    <n v="10"/>
    <x v="33"/>
    <n v="3407"/>
  </r>
  <r>
    <x v="2"/>
    <x v="10"/>
    <x v="10"/>
    <x v="2"/>
    <x v="2"/>
    <x v="2"/>
    <n v="10"/>
    <x v="33"/>
    <n v="3950"/>
  </r>
  <r>
    <x v="2"/>
    <x v="10"/>
    <x v="10"/>
    <x v="2"/>
    <x v="3"/>
    <x v="2"/>
    <n v="10"/>
    <x v="33"/>
    <n v="5526"/>
  </r>
  <r>
    <x v="2"/>
    <x v="11"/>
    <x v="11"/>
    <x v="2"/>
    <x v="4"/>
    <x v="2"/>
    <n v="10"/>
    <x v="33"/>
    <n v="2856"/>
  </r>
  <r>
    <x v="2"/>
    <x v="11"/>
    <x v="11"/>
    <x v="0"/>
    <x v="5"/>
    <x v="2"/>
    <n v="10"/>
    <x v="33"/>
    <n v="2124"/>
  </r>
  <r>
    <x v="2"/>
    <x v="7"/>
    <x v="7"/>
    <x v="0"/>
    <x v="5"/>
    <x v="2"/>
    <n v="10"/>
    <x v="33"/>
    <n v="2552"/>
  </r>
  <r>
    <x v="1"/>
    <x v="6"/>
    <x v="6"/>
    <x v="1"/>
    <x v="8"/>
    <x v="2"/>
    <n v="10"/>
    <x v="33"/>
    <n v="3202"/>
  </r>
  <r>
    <x v="2"/>
    <x v="3"/>
    <x v="3"/>
    <x v="2"/>
    <x v="2"/>
    <x v="2"/>
    <n v="10"/>
    <x v="33"/>
    <n v="3441"/>
  </r>
  <r>
    <x v="2"/>
    <x v="3"/>
    <x v="3"/>
    <x v="2"/>
    <x v="3"/>
    <x v="2"/>
    <n v="10"/>
    <x v="33"/>
    <n v="4437"/>
  </r>
  <r>
    <x v="1"/>
    <x v="2"/>
    <x v="2"/>
    <x v="0"/>
    <x v="0"/>
    <x v="2"/>
    <n v="10"/>
    <x v="33"/>
    <n v="2183"/>
  </r>
  <r>
    <x v="2"/>
    <x v="10"/>
    <x v="10"/>
    <x v="1"/>
    <x v="7"/>
    <x v="2"/>
    <n v="10"/>
    <x v="33"/>
    <n v="4760"/>
  </r>
  <r>
    <x v="2"/>
    <x v="10"/>
    <x v="10"/>
    <x v="1"/>
    <x v="1"/>
    <x v="2"/>
    <n v="10"/>
    <x v="33"/>
    <n v="3044"/>
  </r>
  <r>
    <x v="2"/>
    <x v="11"/>
    <x v="11"/>
    <x v="1"/>
    <x v="8"/>
    <x v="2"/>
    <n v="10"/>
    <x v="33"/>
    <n v="4647"/>
  </r>
  <r>
    <x v="2"/>
    <x v="11"/>
    <x v="11"/>
    <x v="2"/>
    <x v="2"/>
    <x v="2"/>
    <n v="10"/>
    <x v="33"/>
    <n v="4610"/>
  </r>
  <r>
    <x v="3"/>
    <x v="4"/>
    <x v="4"/>
    <x v="2"/>
    <x v="3"/>
    <x v="2"/>
    <n v="10"/>
    <x v="33"/>
    <n v="3547"/>
  </r>
  <r>
    <x v="3"/>
    <x v="4"/>
    <x v="4"/>
    <x v="2"/>
    <x v="4"/>
    <x v="2"/>
    <n v="10"/>
    <x v="33"/>
    <n v="3577"/>
  </r>
  <r>
    <x v="4"/>
    <x v="5"/>
    <x v="5"/>
    <x v="0"/>
    <x v="5"/>
    <x v="2"/>
    <n v="10"/>
    <x v="33"/>
    <n v="2769"/>
  </r>
  <r>
    <x v="3"/>
    <x v="8"/>
    <x v="8"/>
    <x v="0"/>
    <x v="6"/>
    <x v="2"/>
    <n v="10"/>
    <x v="33"/>
    <n v="1833"/>
  </r>
  <r>
    <x v="3"/>
    <x v="8"/>
    <x v="8"/>
    <x v="1"/>
    <x v="7"/>
    <x v="2"/>
    <n v="10"/>
    <x v="33"/>
    <n v="5743"/>
  </r>
  <r>
    <x v="4"/>
    <x v="9"/>
    <x v="9"/>
    <x v="1"/>
    <x v="1"/>
    <x v="2"/>
    <n v="10"/>
    <x v="33"/>
    <n v="4868"/>
  </r>
  <r>
    <x v="4"/>
    <x v="9"/>
    <x v="9"/>
    <x v="1"/>
    <x v="8"/>
    <x v="2"/>
    <n v="10"/>
    <x v="33"/>
    <n v="2358"/>
  </r>
  <r>
    <x v="0"/>
    <x v="1"/>
    <x v="1"/>
    <x v="2"/>
    <x v="4"/>
    <x v="2"/>
    <n v="10"/>
    <x v="33"/>
    <n v="2864"/>
  </r>
  <r>
    <x v="0"/>
    <x v="1"/>
    <x v="1"/>
    <x v="0"/>
    <x v="5"/>
    <x v="2"/>
    <n v="10"/>
    <x v="33"/>
    <n v="1925"/>
  </r>
  <r>
    <x v="1"/>
    <x v="6"/>
    <x v="6"/>
    <x v="0"/>
    <x v="6"/>
    <x v="2"/>
    <n v="10"/>
    <x v="33"/>
    <n v="1320"/>
  </r>
  <r>
    <x v="2"/>
    <x v="10"/>
    <x v="10"/>
    <x v="1"/>
    <x v="8"/>
    <x v="2"/>
    <n v="10"/>
    <x v="33"/>
    <n v="4645"/>
  </r>
  <r>
    <x v="2"/>
    <x v="11"/>
    <x v="11"/>
    <x v="2"/>
    <x v="3"/>
    <x v="2"/>
    <n v="10"/>
    <x v="33"/>
    <n v="4234"/>
  </r>
  <r>
    <x v="2"/>
    <x v="7"/>
    <x v="7"/>
    <x v="2"/>
    <x v="4"/>
    <x v="2"/>
    <n v="10"/>
    <x v="33"/>
    <n v="3363"/>
  </r>
  <r>
    <x v="2"/>
    <x v="3"/>
    <x v="3"/>
    <x v="1"/>
    <x v="8"/>
    <x v="2"/>
    <n v="10"/>
    <x v="33"/>
    <n v="4095"/>
  </r>
  <r>
    <x v="2"/>
    <x v="10"/>
    <x v="10"/>
    <x v="0"/>
    <x v="6"/>
    <x v="2"/>
    <n v="10"/>
    <x v="33"/>
    <n v="1428"/>
  </r>
  <r>
    <x v="2"/>
    <x v="11"/>
    <x v="11"/>
    <x v="1"/>
    <x v="1"/>
    <x v="2"/>
    <n v="10"/>
    <x v="33"/>
    <n v="3192"/>
  </r>
  <r>
    <x v="3"/>
    <x v="4"/>
    <x v="4"/>
    <x v="2"/>
    <x v="2"/>
    <x v="2"/>
    <n v="10"/>
    <x v="33"/>
    <n v="3235"/>
  </r>
  <r>
    <x v="4"/>
    <x v="5"/>
    <x v="5"/>
    <x v="2"/>
    <x v="4"/>
    <x v="2"/>
    <n v="10"/>
    <x v="33"/>
    <n v="2833"/>
  </r>
  <r>
    <x v="3"/>
    <x v="8"/>
    <x v="8"/>
    <x v="0"/>
    <x v="0"/>
    <x v="2"/>
    <n v="10"/>
    <x v="33"/>
    <n v="2344"/>
  </r>
  <r>
    <x v="4"/>
    <x v="9"/>
    <x v="9"/>
    <x v="1"/>
    <x v="7"/>
    <x v="2"/>
    <n v="10"/>
    <x v="33"/>
    <n v="4947"/>
  </r>
  <r>
    <x v="2"/>
    <x v="10"/>
    <x v="10"/>
    <x v="2"/>
    <x v="4"/>
    <x v="2"/>
    <n v="10"/>
    <x v="33"/>
    <n v="3630"/>
  </r>
  <r>
    <x v="2"/>
    <x v="11"/>
    <x v="11"/>
    <x v="0"/>
    <x v="0"/>
    <x v="2"/>
    <n v="10"/>
    <x v="33"/>
    <n v="2813"/>
  </r>
  <r>
    <x v="0"/>
    <x v="0"/>
    <x v="0"/>
    <x v="0"/>
    <x v="0"/>
    <x v="2"/>
    <n v="11"/>
    <x v="34"/>
    <n v="2427"/>
  </r>
  <r>
    <x v="0"/>
    <x v="1"/>
    <x v="1"/>
    <x v="0"/>
    <x v="0"/>
    <x v="2"/>
    <n v="11"/>
    <x v="34"/>
    <n v="1673"/>
  </r>
  <r>
    <x v="0"/>
    <x v="1"/>
    <x v="1"/>
    <x v="1"/>
    <x v="1"/>
    <x v="2"/>
    <n v="11"/>
    <x v="34"/>
    <n v="5506"/>
  </r>
  <r>
    <x v="0"/>
    <x v="0"/>
    <x v="0"/>
    <x v="1"/>
    <x v="1"/>
    <x v="2"/>
    <n v="11"/>
    <x v="34"/>
    <n v="4893"/>
  </r>
  <r>
    <x v="0"/>
    <x v="0"/>
    <x v="0"/>
    <x v="2"/>
    <x v="2"/>
    <x v="2"/>
    <n v="11"/>
    <x v="34"/>
    <n v="3464"/>
  </r>
  <r>
    <x v="1"/>
    <x v="2"/>
    <x v="2"/>
    <x v="2"/>
    <x v="3"/>
    <x v="2"/>
    <n v="11"/>
    <x v="34"/>
    <n v="4096"/>
  </r>
  <r>
    <x v="2"/>
    <x v="3"/>
    <x v="3"/>
    <x v="2"/>
    <x v="4"/>
    <x v="2"/>
    <n v="11"/>
    <x v="34"/>
    <n v="3592"/>
  </r>
  <r>
    <x v="3"/>
    <x v="4"/>
    <x v="4"/>
    <x v="0"/>
    <x v="5"/>
    <x v="2"/>
    <n v="11"/>
    <x v="34"/>
    <n v="2274"/>
  </r>
  <r>
    <x v="4"/>
    <x v="5"/>
    <x v="5"/>
    <x v="0"/>
    <x v="0"/>
    <x v="2"/>
    <n v="11"/>
    <x v="34"/>
    <n v="2587"/>
  </r>
  <r>
    <x v="0"/>
    <x v="1"/>
    <x v="1"/>
    <x v="0"/>
    <x v="6"/>
    <x v="2"/>
    <n v="11"/>
    <x v="34"/>
    <n v="1756"/>
  </r>
  <r>
    <x v="1"/>
    <x v="6"/>
    <x v="6"/>
    <x v="1"/>
    <x v="7"/>
    <x v="2"/>
    <n v="11"/>
    <x v="34"/>
    <n v="6790"/>
  </r>
  <r>
    <x v="2"/>
    <x v="7"/>
    <x v="7"/>
    <x v="1"/>
    <x v="1"/>
    <x v="2"/>
    <n v="11"/>
    <x v="34"/>
    <n v="2676"/>
  </r>
  <r>
    <x v="3"/>
    <x v="8"/>
    <x v="8"/>
    <x v="1"/>
    <x v="8"/>
    <x v="2"/>
    <n v="11"/>
    <x v="34"/>
    <n v="2530"/>
  </r>
  <r>
    <x v="4"/>
    <x v="9"/>
    <x v="9"/>
    <x v="2"/>
    <x v="2"/>
    <x v="2"/>
    <n v="11"/>
    <x v="34"/>
    <n v="3523"/>
  </r>
  <r>
    <x v="0"/>
    <x v="0"/>
    <x v="0"/>
    <x v="2"/>
    <x v="3"/>
    <x v="2"/>
    <n v="11"/>
    <x v="34"/>
    <n v="3679"/>
  </r>
  <r>
    <x v="1"/>
    <x v="2"/>
    <x v="2"/>
    <x v="2"/>
    <x v="4"/>
    <x v="2"/>
    <n v="11"/>
    <x v="34"/>
    <n v="3982"/>
  </r>
  <r>
    <x v="2"/>
    <x v="3"/>
    <x v="3"/>
    <x v="0"/>
    <x v="5"/>
    <x v="2"/>
    <n v="11"/>
    <x v="34"/>
    <n v="1800"/>
  </r>
  <r>
    <x v="3"/>
    <x v="4"/>
    <x v="4"/>
    <x v="0"/>
    <x v="0"/>
    <x v="2"/>
    <n v="11"/>
    <x v="34"/>
    <n v="2837"/>
  </r>
  <r>
    <x v="4"/>
    <x v="5"/>
    <x v="5"/>
    <x v="0"/>
    <x v="6"/>
    <x v="2"/>
    <n v="11"/>
    <x v="34"/>
    <n v="1843"/>
  </r>
  <r>
    <x v="0"/>
    <x v="1"/>
    <x v="1"/>
    <x v="1"/>
    <x v="7"/>
    <x v="2"/>
    <n v="11"/>
    <x v="34"/>
    <n v="4936"/>
  </r>
  <r>
    <x v="1"/>
    <x v="6"/>
    <x v="6"/>
    <x v="1"/>
    <x v="1"/>
    <x v="2"/>
    <n v="11"/>
    <x v="34"/>
    <n v="3025"/>
  </r>
  <r>
    <x v="2"/>
    <x v="7"/>
    <x v="7"/>
    <x v="1"/>
    <x v="8"/>
    <x v="2"/>
    <n v="11"/>
    <x v="34"/>
    <n v="4514"/>
  </r>
  <r>
    <x v="3"/>
    <x v="8"/>
    <x v="8"/>
    <x v="2"/>
    <x v="2"/>
    <x v="2"/>
    <n v="11"/>
    <x v="34"/>
    <n v="3703"/>
  </r>
  <r>
    <x v="4"/>
    <x v="9"/>
    <x v="9"/>
    <x v="2"/>
    <x v="3"/>
    <x v="2"/>
    <n v="11"/>
    <x v="34"/>
    <n v="5062"/>
  </r>
  <r>
    <x v="0"/>
    <x v="0"/>
    <x v="0"/>
    <x v="2"/>
    <x v="4"/>
    <x v="2"/>
    <n v="11"/>
    <x v="34"/>
    <n v="3278"/>
  </r>
  <r>
    <x v="1"/>
    <x v="2"/>
    <x v="2"/>
    <x v="0"/>
    <x v="5"/>
    <x v="2"/>
    <n v="11"/>
    <x v="34"/>
    <n v="1581"/>
  </r>
  <r>
    <x v="2"/>
    <x v="3"/>
    <x v="3"/>
    <x v="0"/>
    <x v="0"/>
    <x v="2"/>
    <n v="11"/>
    <x v="34"/>
    <n v="1740"/>
  </r>
  <r>
    <x v="3"/>
    <x v="4"/>
    <x v="4"/>
    <x v="0"/>
    <x v="6"/>
    <x v="2"/>
    <n v="11"/>
    <x v="34"/>
    <n v="1441"/>
  </r>
  <r>
    <x v="4"/>
    <x v="5"/>
    <x v="5"/>
    <x v="1"/>
    <x v="7"/>
    <x v="2"/>
    <n v="11"/>
    <x v="34"/>
    <n v="6725"/>
  </r>
  <r>
    <x v="1"/>
    <x v="2"/>
    <x v="2"/>
    <x v="1"/>
    <x v="8"/>
    <x v="2"/>
    <n v="11"/>
    <x v="34"/>
    <n v="2527"/>
  </r>
  <r>
    <x v="2"/>
    <x v="7"/>
    <x v="7"/>
    <x v="2"/>
    <x v="2"/>
    <x v="2"/>
    <n v="11"/>
    <x v="34"/>
    <n v="4776"/>
  </r>
  <r>
    <x v="3"/>
    <x v="8"/>
    <x v="8"/>
    <x v="2"/>
    <x v="3"/>
    <x v="2"/>
    <n v="11"/>
    <x v="34"/>
    <n v="3209"/>
  </r>
  <r>
    <x v="4"/>
    <x v="9"/>
    <x v="9"/>
    <x v="2"/>
    <x v="4"/>
    <x v="2"/>
    <n v="11"/>
    <x v="34"/>
    <n v="3733"/>
  </r>
  <r>
    <x v="0"/>
    <x v="0"/>
    <x v="0"/>
    <x v="0"/>
    <x v="5"/>
    <x v="2"/>
    <n v="11"/>
    <x v="34"/>
    <n v="1861"/>
  </r>
  <r>
    <x v="1"/>
    <x v="6"/>
    <x v="6"/>
    <x v="0"/>
    <x v="0"/>
    <x v="2"/>
    <n v="11"/>
    <x v="34"/>
    <n v="1647"/>
  </r>
  <r>
    <x v="2"/>
    <x v="3"/>
    <x v="3"/>
    <x v="0"/>
    <x v="6"/>
    <x v="2"/>
    <n v="11"/>
    <x v="34"/>
    <n v="1220"/>
  </r>
  <r>
    <x v="3"/>
    <x v="4"/>
    <x v="4"/>
    <x v="1"/>
    <x v="7"/>
    <x v="2"/>
    <n v="11"/>
    <x v="34"/>
    <n v="4063"/>
  </r>
  <r>
    <x v="4"/>
    <x v="5"/>
    <x v="5"/>
    <x v="1"/>
    <x v="1"/>
    <x v="2"/>
    <n v="11"/>
    <x v="34"/>
    <n v="4716"/>
  </r>
  <r>
    <x v="0"/>
    <x v="1"/>
    <x v="1"/>
    <x v="1"/>
    <x v="8"/>
    <x v="2"/>
    <n v="11"/>
    <x v="34"/>
    <n v="2421"/>
  </r>
  <r>
    <x v="1"/>
    <x v="2"/>
    <x v="2"/>
    <x v="2"/>
    <x v="2"/>
    <x v="2"/>
    <n v="11"/>
    <x v="34"/>
    <n v="4631"/>
  </r>
  <r>
    <x v="2"/>
    <x v="7"/>
    <x v="7"/>
    <x v="2"/>
    <x v="3"/>
    <x v="2"/>
    <n v="11"/>
    <x v="34"/>
    <n v="3997"/>
  </r>
  <r>
    <x v="3"/>
    <x v="8"/>
    <x v="8"/>
    <x v="2"/>
    <x v="4"/>
    <x v="2"/>
    <n v="11"/>
    <x v="34"/>
    <n v="2817"/>
  </r>
  <r>
    <x v="4"/>
    <x v="9"/>
    <x v="9"/>
    <x v="0"/>
    <x v="5"/>
    <x v="2"/>
    <n v="11"/>
    <x v="34"/>
    <n v="2836"/>
  </r>
  <r>
    <x v="1"/>
    <x v="2"/>
    <x v="2"/>
    <x v="0"/>
    <x v="6"/>
    <x v="2"/>
    <n v="11"/>
    <x v="34"/>
    <n v="1955"/>
  </r>
  <r>
    <x v="2"/>
    <x v="3"/>
    <x v="3"/>
    <x v="1"/>
    <x v="7"/>
    <x v="2"/>
    <n v="11"/>
    <x v="34"/>
    <n v="4058"/>
  </r>
  <r>
    <x v="3"/>
    <x v="8"/>
    <x v="8"/>
    <x v="1"/>
    <x v="1"/>
    <x v="2"/>
    <n v="11"/>
    <x v="34"/>
    <n v="4322"/>
  </r>
  <r>
    <x v="4"/>
    <x v="5"/>
    <x v="5"/>
    <x v="1"/>
    <x v="8"/>
    <x v="2"/>
    <n v="11"/>
    <x v="34"/>
    <n v="2090"/>
  </r>
  <r>
    <x v="0"/>
    <x v="1"/>
    <x v="1"/>
    <x v="2"/>
    <x v="2"/>
    <x v="2"/>
    <n v="11"/>
    <x v="34"/>
    <n v="4284"/>
  </r>
  <r>
    <x v="0"/>
    <x v="1"/>
    <x v="1"/>
    <x v="2"/>
    <x v="3"/>
    <x v="2"/>
    <n v="11"/>
    <x v="34"/>
    <n v="4396"/>
  </r>
  <r>
    <x v="1"/>
    <x v="6"/>
    <x v="6"/>
    <x v="2"/>
    <x v="4"/>
    <x v="2"/>
    <n v="11"/>
    <x v="34"/>
    <n v="4032"/>
  </r>
  <r>
    <x v="1"/>
    <x v="6"/>
    <x v="6"/>
    <x v="0"/>
    <x v="5"/>
    <x v="2"/>
    <n v="11"/>
    <x v="34"/>
    <n v="2505"/>
  </r>
  <r>
    <x v="2"/>
    <x v="7"/>
    <x v="7"/>
    <x v="0"/>
    <x v="0"/>
    <x v="2"/>
    <n v="11"/>
    <x v="34"/>
    <n v="3297"/>
  </r>
  <r>
    <x v="2"/>
    <x v="7"/>
    <x v="7"/>
    <x v="0"/>
    <x v="6"/>
    <x v="2"/>
    <n v="11"/>
    <x v="34"/>
    <n v="1946"/>
  </r>
  <r>
    <x v="2"/>
    <x v="3"/>
    <x v="3"/>
    <x v="1"/>
    <x v="1"/>
    <x v="2"/>
    <n v="11"/>
    <x v="34"/>
    <n v="4299"/>
  </r>
  <r>
    <x v="0"/>
    <x v="0"/>
    <x v="0"/>
    <x v="1"/>
    <x v="8"/>
    <x v="2"/>
    <n v="11"/>
    <x v="34"/>
    <n v="4863"/>
  </r>
  <r>
    <x v="2"/>
    <x v="10"/>
    <x v="10"/>
    <x v="0"/>
    <x v="5"/>
    <x v="2"/>
    <n v="11"/>
    <x v="34"/>
    <n v="2356"/>
  </r>
  <r>
    <x v="2"/>
    <x v="10"/>
    <x v="10"/>
    <x v="0"/>
    <x v="0"/>
    <x v="2"/>
    <n v="11"/>
    <x v="34"/>
    <n v="3198"/>
  </r>
  <r>
    <x v="2"/>
    <x v="11"/>
    <x v="11"/>
    <x v="0"/>
    <x v="6"/>
    <x v="2"/>
    <n v="11"/>
    <x v="34"/>
    <n v="1566"/>
  </r>
  <r>
    <x v="2"/>
    <x v="11"/>
    <x v="11"/>
    <x v="1"/>
    <x v="7"/>
    <x v="2"/>
    <n v="11"/>
    <x v="34"/>
    <n v="6713"/>
  </r>
  <r>
    <x v="3"/>
    <x v="4"/>
    <x v="4"/>
    <x v="1"/>
    <x v="1"/>
    <x v="2"/>
    <n v="11"/>
    <x v="34"/>
    <n v="4645"/>
  </r>
  <r>
    <x v="3"/>
    <x v="4"/>
    <x v="4"/>
    <x v="1"/>
    <x v="8"/>
    <x v="2"/>
    <n v="11"/>
    <x v="34"/>
    <n v="2193"/>
  </r>
  <r>
    <x v="4"/>
    <x v="5"/>
    <x v="5"/>
    <x v="2"/>
    <x v="2"/>
    <x v="2"/>
    <n v="11"/>
    <x v="34"/>
    <n v="4479"/>
  </r>
  <r>
    <x v="4"/>
    <x v="5"/>
    <x v="5"/>
    <x v="2"/>
    <x v="3"/>
    <x v="2"/>
    <n v="11"/>
    <x v="34"/>
    <n v="5055"/>
  </r>
  <r>
    <x v="3"/>
    <x v="8"/>
    <x v="8"/>
    <x v="0"/>
    <x v="5"/>
    <x v="2"/>
    <n v="11"/>
    <x v="34"/>
    <n v="2114"/>
  </r>
  <r>
    <x v="4"/>
    <x v="9"/>
    <x v="9"/>
    <x v="0"/>
    <x v="0"/>
    <x v="2"/>
    <n v="11"/>
    <x v="34"/>
    <n v="2892"/>
  </r>
  <r>
    <x v="4"/>
    <x v="9"/>
    <x v="9"/>
    <x v="0"/>
    <x v="6"/>
    <x v="2"/>
    <n v="11"/>
    <x v="34"/>
    <n v="2849"/>
  </r>
  <r>
    <x v="2"/>
    <x v="7"/>
    <x v="7"/>
    <x v="1"/>
    <x v="7"/>
    <x v="2"/>
    <n v="11"/>
    <x v="34"/>
    <n v="6816"/>
  </r>
  <r>
    <x v="1"/>
    <x v="6"/>
    <x v="6"/>
    <x v="2"/>
    <x v="3"/>
    <x v="2"/>
    <n v="11"/>
    <x v="34"/>
    <n v="4009"/>
  </r>
  <r>
    <x v="0"/>
    <x v="0"/>
    <x v="0"/>
    <x v="0"/>
    <x v="6"/>
    <x v="2"/>
    <n v="11"/>
    <x v="34"/>
    <n v="2412"/>
  </r>
  <r>
    <x v="0"/>
    <x v="0"/>
    <x v="0"/>
    <x v="1"/>
    <x v="7"/>
    <x v="2"/>
    <n v="11"/>
    <x v="34"/>
    <n v="4881"/>
  </r>
  <r>
    <x v="1"/>
    <x v="2"/>
    <x v="2"/>
    <x v="1"/>
    <x v="1"/>
    <x v="2"/>
    <n v="11"/>
    <x v="34"/>
    <n v="4226"/>
  </r>
  <r>
    <x v="2"/>
    <x v="10"/>
    <x v="10"/>
    <x v="2"/>
    <x v="2"/>
    <x v="2"/>
    <n v="11"/>
    <x v="34"/>
    <n v="4885"/>
  </r>
  <r>
    <x v="2"/>
    <x v="10"/>
    <x v="10"/>
    <x v="2"/>
    <x v="3"/>
    <x v="2"/>
    <n v="11"/>
    <x v="34"/>
    <n v="5547"/>
  </r>
  <r>
    <x v="2"/>
    <x v="11"/>
    <x v="11"/>
    <x v="2"/>
    <x v="4"/>
    <x v="2"/>
    <n v="11"/>
    <x v="34"/>
    <n v="3707"/>
  </r>
  <r>
    <x v="2"/>
    <x v="11"/>
    <x v="11"/>
    <x v="0"/>
    <x v="5"/>
    <x v="2"/>
    <n v="11"/>
    <x v="34"/>
    <n v="2544"/>
  </r>
  <r>
    <x v="2"/>
    <x v="7"/>
    <x v="7"/>
    <x v="0"/>
    <x v="5"/>
    <x v="2"/>
    <n v="11"/>
    <x v="34"/>
    <n v="2032"/>
  </r>
  <r>
    <x v="1"/>
    <x v="6"/>
    <x v="6"/>
    <x v="1"/>
    <x v="8"/>
    <x v="2"/>
    <n v="11"/>
    <x v="34"/>
    <n v="2472"/>
  </r>
  <r>
    <x v="2"/>
    <x v="3"/>
    <x v="3"/>
    <x v="2"/>
    <x v="2"/>
    <x v="2"/>
    <n v="11"/>
    <x v="34"/>
    <n v="4324"/>
  </r>
  <r>
    <x v="2"/>
    <x v="3"/>
    <x v="3"/>
    <x v="2"/>
    <x v="3"/>
    <x v="2"/>
    <n v="11"/>
    <x v="34"/>
    <n v="4195"/>
  </r>
  <r>
    <x v="1"/>
    <x v="2"/>
    <x v="2"/>
    <x v="0"/>
    <x v="0"/>
    <x v="2"/>
    <n v="11"/>
    <x v="34"/>
    <n v="2204"/>
  </r>
  <r>
    <x v="2"/>
    <x v="10"/>
    <x v="10"/>
    <x v="1"/>
    <x v="7"/>
    <x v="2"/>
    <n v="11"/>
    <x v="34"/>
    <n v="6881"/>
  </r>
  <r>
    <x v="2"/>
    <x v="10"/>
    <x v="10"/>
    <x v="1"/>
    <x v="1"/>
    <x v="2"/>
    <n v="11"/>
    <x v="34"/>
    <n v="2652"/>
  </r>
  <r>
    <x v="2"/>
    <x v="11"/>
    <x v="11"/>
    <x v="1"/>
    <x v="8"/>
    <x v="2"/>
    <n v="11"/>
    <x v="34"/>
    <n v="3014"/>
  </r>
  <r>
    <x v="2"/>
    <x v="11"/>
    <x v="11"/>
    <x v="2"/>
    <x v="2"/>
    <x v="2"/>
    <n v="11"/>
    <x v="34"/>
    <n v="4929"/>
  </r>
  <r>
    <x v="3"/>
    <x v="4"/>
    <x v="4"/>
    <x v="2"/>
    <x v="3"/>
    <x v="2"/>
    <n v="11"/>
    <x v="34"/>
    <n v="4184"/>
  </r>
  <r>
    <x v="3"/>
    <x v="4"/>
    <x v="4"/>
    <x v="2"/>
    <x v="4"/>
    <x v="2"/>
    <n v="11"/>
    <x v="34"/>
    <n v="3060"/>
  </r>
  <r>
    <x v="4"/>
    <x v="5"/>
    <x v="5"/>
    <x v="0"/>
    <x v="5"/>
    <x v="2"/>
    <n v="11"/>
    <x v="34"/>
    <n v="1557"/>
  </r>
  <r>
    <x v="3"/>
    <x v="8"/>
    <x v="8"/>
    <x v="0"/>
    <x v="6"/>
    <x v="2"/>
    <n v="11"/>
    <x v="34"/>
    <n v="2341"/>
  </r>
  <r>
    <x v="3"/>
    <x v="8"/>
    <x v="8"/>
    <x v="1"/>
    <x v="7"/>
    <x v="2"/>
    <n v="11"/>
    <x v="34"/>
    <n v="6316"/>
  </r>
  <r>
    <x v="4"/>
    <x v="9"/>
    <x v="9"/>
    <x v="1"/>
    <x v="1"/>
    <x v="2"/>
    <n v="11"/>
    <x v="34"/>
    <n v="4074"/>
  </r>
  <r>
    <x v="4"/>
    <x v="9"/>
    <x v="9"/>
    <x v="1"/>
    <x v="8"/>
    <x v="2"/>
    <n v="11"/>
    <x v="34"/>
    <n v="2474"/>
  </r>
  <r>
    <x v="0"/>
    <x v="1"/>
    <x v="1"/>
    <x v="2"/>
    <x v="4"/>
    <x v="2"/>
    <n v="11"/>
    <x v="34"/>
    <n v="3212"/>
  </r>
  <r>
    <x v="0"/>
    <x v="1"/>
    <x v="1"/>
    <x v="0"/>
    <x v="5"/>
    <x v="2"/>
    <n v="11"/>
    <x v="34"/>
    <n v="2793"/>
  </r>
  <r>
    <x v="1"/>
    <x v="6"/>
    <x v="6"/>
    <x v="0"/>
    <x v="6"/>
    <x v="2"/>
    <n v="11"/>
    <x v="34"/>
    <n v="2789"/>
  </r>
  <r>
    <x v="2"/>
    <x v="10"/>
    <x v="10"/>
    <x v="1"/>
    <x v="8"/>
    <x v="2"/>
    <n v="11"/>
    <x v="34"/>
    <n v="3316"/>
  </r>
  <r>
    <x v="2"/>
    <x v="11"/>
    <x v="11"/>
    <x v="2"/>
    <x v="3"/>
    <x v="2"/>
    <n v="11"/>
    <x v="34"/>
    <n v="4963"/>
  </r>
  <r>
    <x v="2"/>
    <x v="7"/>
    <x v="7"/>
    <x v="2"/>
    <x v="4"/>
    <x v="2"/>
    <n v="11"/>
    <x v="34"/>
    <n v="3266"/>
  </r>
  <r>
    <x v="2"/>
    <x v="3"/>
    <x v="3"/>
    <x v="1"/>
    <x v="8"/>
    <x v="2"/>
    <n v="11"/>
    <x v="34"/>
    <n v="4306"/>
  </r>
  <r>
    <x v="2"/>
    <x v="10"/>
    <x v="10"/>
    <x v="0"/>
    <x v="6"/>
    <x v="2"/>
    <n v="11"/>
    <x v="34"/>
    <n v="1276"/>
  </r>
  <r>
    <x v="2"/>
    <x v="11"/>
    <x v="11"/>
    <x v="1"/>
    <x v="1"/>
    <x v="2"/>
    <n v="11"/>
    <x v="34"/>
    <n v="3263"/>
  </r>
  <r>
    <x v="3"/>
    <x v="4"/>
    <x v="4"/>
    <x v="2"/>
    <x v="2"/>
    <x v="2"/>
    <n v="11"/>
    <x v="34"/>
    <n v="3672"/>
  </r>
  <r>
    <x v="4"/>
    <x v="5"/>
    <x v="5"/>
    <x v="2"/>
    <x v="4"/>
    <x v="2"/>
    <n v="11"/>
    <x v="34"/>
    <n v="3455"/>
  </r>
  <r>
    <x v="3"/>
    <x v="8"/>
    <x v="8"/>
    <x v="0"/>
    <x v="0"/>
    <x v="2"/>
    <n v="11"/>
    <x v="34"/>
    <n v="1837"/>
  </r>
  <r>
    <x v="4"/>
    <x v="9"/>
    <x v="9"/>
    <x v="1"/>
    <x v="7"/>
    <x v="2"/>
    <n v="11"/>
    <x v="34"/>
    <n v="4414"/>
  </r>
  <r>
    <x v="2"/>
    <x v="10"/>
    <x v="10"/>
    <x v="2"/>
    <x v="4"/>
    <x v="2"/>
    <n v="11"/>
    <x v="34"/>
    <n v="3503"/>
  </r>
  <r>
    <x v="2"/>
    <x v="11"/>
    <x v="11"/>
    <x v="0"/>
    <x v="0"/>
    <x v="2"/>
    <n v="11"/>
    <x v="34"/>
    <n v="1503"/>
  </r>
  <r>
    <x v="0"/>
    <x v="0"/>
    <x v="0"/>
    <x v="0"/>
    <x v="0"/>
    <x v="2"/>
    <n v="12"/>
    <x v="35"/>
    <n v="2187"/>
  </r>
  <r>
    <x v="0"/>
    <x v="1"/>
    <x v="1"/>
    <x v="0"/>
    <x v="0"/>
    <x v="2"/>
    <n v="12"/>
    <x v="35"/>
    <n v="2125"/>
  </r>
  <r>
    <x v="0"/>
    <x v="1"/>
    <x v="1"/>
    <x v="1"/>
    <x v="1"/>
    <x v="2"/>
    <n v="12"/>
    <x v="35"/>
    <n v="4055"/>
  </r>
  <r>
    <x v="0"/>
    <x v="0"/>
    <x v="0"/>
    <x v="1"/>
    <x v="1"/>
    <x v="2"/>
    <n v="12"/>
    <x v="35"/>
    <n v="3256"/>
  </r>
  <r>
    <x v="0"/>
    <x v="0"/>
    <x v="0"/>
    <x v="2"/>
    <x v="2"/>
    <x v="2"/>
    <n v="12"/>
    <x v="35"/>
    <n v="4542"/>
  </r>
  <r>
    <x v="1"/>
    <x v="2"/>
    <x v="2"/>
    <x v="2"/>
    <x v="3"/>
    <x v="2"/>
    <n v="12"/>
    <x v="35"/>
    <n v="5060"/>
  </r>
  <r>
    <x v="2"/>
    <x v="3"/>
    <x v="3"/>
    <x v="2"/>
    <x v="4"/>
    <x v="2"/>
    <n v="12"/>
    <x v="35"/>
    <n v="3284"/>
  </r>
  <r>
    <x v="3"/>
    <x v="4"/>
    <x v="4"/>
    <x v="0"/>
    <x v="5"/>
    <x v="2"/>
    <n v="12"/>
    <x v="35"/>
    <n v="2865"/>
  </r>
  <r>
    <x v="4"/>
    <x v="5"/>
    <x v="5"/>
    <x v="0"/>
    <x v="0"/>
    <x v="2"/>
    <n v="12"/>
    <x v="35"/>
    <n v="2776"/>
  </r>
  <r>
    <x v="0"/>
    <x v="1"/>
    <x v="1"/>
    <x v="0"/>
    <x v="6"/>
    <x v="2"/>
    <n v="12"/>
    <x v="35"/>
    <n v="1839"/>
  </r>
  <r>
    <x v="1"/>
    <x v="6"/>
    <x v="6"/>
    <x v="1"/>
    <x v="7"/>
    <x v="2"/>
    <n v="12"/>
    <x v="35"/>
    <n v="5460"/>
  </r>
  <r>
    <x v="2"/>
    <x v="7"/>
    <x v="7"/>
    <x v="1"/>
    <x v="1"/>
    <x v="2"/>
    <n v="12"/>
    <x v="35"/>
    <n v="3215"/>
  </r>
  <r>
    <x v="3"/>
    <x v="8"/>
    <x v="8"/>
    <x v="1"/>
    <x v="8"/>
    <x v="2"/>
    <n v="12"/>
    <x v="35"/>
    <n v="4319"/>
  </r>
  <r>
    <x v="4"/>
    <x v="9"/>
    <x v="9"/>
    <x v="2"/>
    <x v="2"/>
    <x v="2"/>
    <n v="12"/>
    <x v="35"/>
    <n v="3914"/>
  </r>
  <r>
    <x v="0"/>
    <x v="0"/>
    <x v="0"/>
    <x v="2"/>
    <x v="3"/>
    <x v="2"/>
    <n v="12"/>
    <x v="35"/>
    <n v="4608"/>
  </r>
  <r>
    <x v="1"/>
    <x v="2"/>
    <x v="2"/>
    <x v="2"/>
    <x v="4"/>
    <x v="2"/>
    <n v="12"/>
    <x v="35"/>
    <n v="2930"/>
  </r>
  <r>
    <x v="2"/>
    <x v="3"/>
    <x v="3"/>
    <x v="0"/>
    <x v="5"/>
    <x v="2"/>
    <n v="12"/>
    <x v="35"/>
    <n v="2154"/>
  </r>
  <r>
    <x v="3"/>
    <x v="4"/>
    <x v="4"/>
    <x v="0"/>
    <x v="0"/>
    <x v="2"/>
    <n v="12"/>
    <x v="35"/>
    <n v="1586"/>
  </r>
  <r>
    <x v="4"/>
    <x v="5"/>
    <x v="5"/>
    <x v="0"/>
    <x v="6"/>
    <x v="2"/>
    <n v="12"/>
    <x v="35"/>
    <n v="2878"/>
  </r>
  <r>
    <x v="0"/>
    <x v="1"/>
    <x v="1"/>
    <x v="1"/>
    <x v="7"/>
    <x v="2"/>
    <n v="12"/>
    <x v="35"/>
    <n v="4400"/>
  </r>
  <r>
    <x v="1"/>
    <x v="6"/>
    <x v="6"/>
    <x v="1"/>
    <x v="1"/>
    <x v="2"/>
    <n v="12"/>
    <x v="35"/>
    <n v="4948"/>
  </r>
  <r>
    <x v="2"/>
    <x v="7"/>
    <x v="7"/>
    <x v="1"/>
    <x v="8"/>
    <x v="2"/>
    <n v="12"/>
    <x v="35"/>
    <n v="4196"/>
  </r>
  <r>
    <x v="3"/>
    <x v="8"/>
    <x v="8"/>
    <x v="2"/>
    <x v="2"/>
    <x v="2"/>
    <n v="12"/>
    <x v="35"/>
    <n v="5097"/>
  </r>
  <r>
    <x v="4"/>
    <x v="9"/>
    <x v="9"/>
    <x v="2"/>
    <x v="3"/>
    <x v="2"/>
    <n v="12"/>
    <x v="35"/>
    <n v="5419"/>
  </r>
  <r>
    <x v="0"/>
    <x v="0"/>
    <x v="0"/>
    <x v="2"/>
    <x v="4"/>
    <x v="2"/>
    <n v="12"/>
    <x v="35"/>
    <n v="3645"/>
  </r>
  <r>
    <x v="1"/>
    <x v="2"/>
    <x v="2"/>
    <x v="0"/>
    <x v="5"/>
    <x v="2"/>
    <n v="12"/>
    <x v="35"/>
    <n v="2172"/>
  </r>
  <r>
    <x v="2"/>
    <x v="3"/>
    <x v="3"/>
    <x v="0"/>
    <x v="0"/>
    <x v="2"/>
    <n v="12"/>
    <x v="35"/>
    <n v="2256"/>
  </r>
  <r>
    <x v="3"/>
    <x v="4"/>
    <x v="4"/>
    <x v="0"/>
    <x v="6"/>
    <x v="2"/>
    <n v="12"/>
    <x v="35"/>
    <n v="2741"/>
  </r>
  <r>
    <x v="4"/>
    <x v="5"/>
    <x v="5"/>
    <x v="1"/>
    <x v="7"/>
    <x v="2"/>
    <n v="12"/>
    <x v="35"/>
    <n v="5137"/>
  </r>
  <r>
    <x v="1"/>
    <x v="2"/>
    <x v="2"/>
    <x v="1"/>
    <x v="8"/>
    <x v="2"/>
    <n v="12"/>
    <x v="35"/>
    <n v="2505"/>
  </r>
  <r>
    <x v="2"/>
    <x v="7"/>
    <x v="7"/>
    <x v="2"/>
    <x v="2"/>
    <x v="2"/>
    <n v="12"/>
    <x v="35"/>
    <n v="3288"/>
  </r>
  <r>
    <x v="3"/>
    <x v="8"/>
    <x v="8"/>
    <x v="2"/>
    <x v="3"/>
    <x v="2"/>
    <n v="12"/>
    <x v="35"/>
    <n v="3228"/>
  </r>
  <r>
    <x v="4"/>
    <x v="9"/>
    <x v="9"/>
    <x v="2"/>
    <x v="4"/>
    <x v="2"/>
    <n v="12"/>
    <x v="35"/>
    <n v="3791"/>
  </r>
  <r>
    <x v="0"/>
    <x v="0"/>
    <x v="0"/>
    <x v="0"/>
    <x v="5"/>
    <x v="2"/>
    <n v="12"/>
    <x v="35"/>
    <n v="2395"/>
  </r>
  <r>
    <x v="1"/>
    <x v="6"/>
    <x v="6"/>
    <x v="0"/>
    <x v="0"/>
    <x v="2"/>
    <n v="12"/>
    <x v="35"/>
    <n v="2262"/>
  </r>
  <r>
    <x v="2"/>
    <x v="3"/>
    <x v="3"/>
    <x v="0"/>
    <x v="6"/>
    <x v="2"/>
    <n v="12"/>
    <x v="35"/>
    <n v="2350"/>
  </r>
  <r>
    <x v="3"/>
    <x v="4"/>
    <x v="4"/>
    <x v="1"/>
    <x v="7"/>
    <x v="2"/>
    <n v="12"/>
    <x v="35"/>
    <n v="4637"/>
  </r>
  <r>
    <x v="4"/>
    <x v="5"/>
    <x v="5"/>
    <x v="1"/>
    <x v="1"/>
    <x v="2"/>
    <n v="12"/>
    <x v="35"/>
    <n v="5124"/>
  </r>
  <r>
    <x v="0"/>
    <x v="1"/>
    <x v="1"/>
    <x v="1"/>
    <x v="8"/>
    <x v="2"/>
    <n v="12"/>
    <x v="35"/>
    <n v="4776"/>
  </r>
  <r>
    <x v="1"/>
    <x v="2"/>
    <x v="2"/>
    <x v="2"/>
    <x v="2"/>
    <x v="2"/>
    <n v="12"/>
    <x v="35"/>
    <n v="3571"/>
  </r>
  <r>
    <x v="2"/>
    <x v="7"/>
    <x v="7"/>
    <x v="2"/>
    <x v="3"/>
    <x v="2"/>
    <n v="12"/>
    <x v="35"/>
    <n v="3652"/>
  </r>
  <r>
    <x v="3"/>
    <x v="8"/>
    <x v="8"/>
    <x v="2"/>
    <x v="4"/>
    <x v="2"/>
    <n v="12"/>
    <x v="35"/>
    <n v="3127"/>
  </r>
  <r>
    <x v="4"/>
    <x v="9"/>
    <x v="9"/>
    <x v="0"/>
    <x v="5"/>
    <x v="2"/>
    <n v="12"/>
    <x v="35"/>
    <n v="2770"/>
  </r>
  <r>
    <x v="1"/>
    <x v="2"/>
    <x v="2"/>
    <x v="0"/>
    <x v="6"/>
    <x v="2"/>
    <n v="12"/>
    <x v="35"/>
    <n v="2279"/>
  </r>
  <r>
    <x v="2"/>
    <x v="3"/>
    <x v="3"/>
    <x v="1"/>
    <x v="7"/>
    <x v="2"/>
    <n v="12"/>
    <x v="35"/>
    <n v="4241"/>
  </r>
  <r>
    <x v="3"/>
    <x v="8"/>
    <x v="8"/>
    <x v="1"/>
    <x v="1"/>
    <x v="2"/>
    <n v="12"/>
    <x v="35"/>
    <n v="3946"/>
  </r>
  <r>
    <x v="4"/>
    <x v="5"/>
    <x v="5"/>
    <x v="1"/>
    <x v="8"/>
    <x v="2"/>
    <n v="12"/>
    <x v="35"/>
    <n v="4267"/>
  </r>
  <r>
    <x v="0"/>
    <x v="1"/>
    <x v="1"/>
    <x v="2"/>
    <x v="2"/>
    <x v="2"/>
    <n v="12"/>
    <x v="35"/>
    <n v="4332"/>
  </r>
  <r>
    <x v="0"/>
    <x v="1"/>
    <x v="1"/>
    <x v="2"/>
    <x v="3"/>
    <x v="2"/>
    <n v="12"/>
    <x v="35"/>
    <n v="3020"/>
  </r>
  <r>
    <x v="1"/>
    <x v="6"/>
    <x v="6"/>
    <x v="2"/>
    <x v="4"/>
    <x v="2"/>
    <n v="12"/>
    <x v="35"/>
    <n v="3380"/>
  </r>
  <r>
    <x v="1"/>
    <x v="6"/>
    <x v="6"/>
    <x v="0"/>
    <x v="5"/>
    <x v="2"/>
    <n v="12"/>
    <x v="35"/>
    <n v="2866"/>
  </r>
  <r>
    <x v="2"/>
    <x v="7"/>
    <x v="7"/>
    <x v="0"/>
    <x v="0"/>
    <x v="2"/>
    <n v="12"/>
    <x v="35"/>
    <n v="2195"/>
  </r>
  <r>
    <x v="2"/>
    <x v="7"/>
    <x v="7"/>
    <x v="0"/>
    <x v="6"/>
    <x v="2"/>
    <n v="12"/>
    <x v="35"/>
    <n v="1678"/>
  </r>
  <r>
    <x v="2"/>
    <x v="3"/>
    <x v="3"/>
    <x v="1"/>
    <x v="1"/>
    <x v="2"/>
    <n v="12"/>
    <x v="35"/>
    <n v="5389"/>
  </r>
  <r>
    <x v="0"/>
    <x v="0"/>
    <x v="0"/>
    <x v="1"/>
    <x v="8"/>
    <x v="2"/>
    <n v="12"/>
    <x v="35"/>
    <n v="2842"/>
  </r>
  <r>
    <x v="2"/>
    <x v="10"/>
    <x v="10"/>
    <x v="0"/>
    <x v="5"/>
    <x v="2"/>
    <n v="12"/>
    <x v="35"/>
    <n v="1663"/>
  </r>
  <r>
    <x v="2"/>
    <x v="10"/>
    <x v="10"/>
    <x v="0"/>
    <x v="0"/>
    <x v="2"/>
    <n v="12"/>
    <x v="35"/>
    <n v="2571"/>
  </r>
  <r>
    <x v="2"/>
    <x v="11"/>
    <x v="11"/>
    <x v="0"/>
    <x v="6"/>
    <x v="2"/>
    <n v="12"/>
    <x v="35"/>
    <n v="2574"/>
  </r>
  <r>
    <x v="2"/>
    <x v="11"/>
    <x v="11"/>
    <x v="1"/>
    <x v="7"/>
    <x v="2"/>
    <n v="12"/>
    <x v="35"/>
    <n v="4633"/>
  </r>
  <r>
    <x v="3"/>
    <x v="4"/>
    <x v="4"/>
    <x v="1"/>
    <x v="1"/>
    <x v="2"/>
    <n v="12"/>
    <x v="35"/>
    <n v="3524"/>
  </r>
  <r>
    <x v="3"/>
    <x v="4"/>
    <x v="4"/>
    <x v="1"/>
    <x v="8"/>
    <x v="2"/>
    <n v="12"/>
    <x v="35"/>
    <n v="2258"/>
  </r>
  <r>
    <x v="4"/>
    <x v="5"/>
    <x v="5"/>
    <x v="2"/>
    <x v="2"/>
    <x v="2"/>
    <n v="12"/>
    <x v="35"/>
    <n v="3642"/>
  </r>
  <r>
    <x v="4"/>
    <x v="5"/>
    <x v="5"/>
    <x v="2"/>
    <x v="3"/>
    <x v="2"/>
    <n v="12"/>
    <x v="35"/>
    <n v="2961"/>
  </r>
  <r>
    <x v="3"/>
    <x v="8"/>
    <x v="8"/>
    <x v="0"/>
    <x v="5"/>
    <x v="2"/>
    <n v="12"/>
    <x v="35"/>
    <n v="1581"/>
  </r>
  <r>
    <x v="4"/>
    <x v="9"/>
    <x v="9"/>
    <x v="0"/>
    <x v="0"/>
    <x v="2"/>
    <n v="12"/>
    <x v="35"/>
    <n v="2161"/>
  </r>
  <r>
    <x v="4"/>
    <x v="9"/>
    <x v="9"/>
    <x v="0"/>
    <x v="6"/>
    <x v="2"/>
    <n v="12"/>
    <x v="35"/>
    <n v="2006"/>
  </r>
  <r>
    <x v="2"/>
    <x v="7"/>
    <x v="7"/>
    <x v="1"/>
    <x v="7"/>
    <x v="2"/>
    <n v="12"/>
    <x v="35"/>
    <n v="5661"/>
  </r>
  <r>
    <x v="1"/>
    <x v="6"/>
    <x v="6"/>
    <x v="2"/>
    <x v="3"/>
    <x v="2"/>
    <n v="12"/>
    <x v="35"/>
    <n v="3340"/>
  </r>
  <r>
    <x v="0"/>
    <x v="0"/>
    <x v="0"/>
    <x v="0"/>
    <x v="6"/>
    <x v="2"/>
    <n v="12"/>
    <x v="35"/>
    <n v="1526"/>
  </r>
  <r>
    <x v="0"/>
    <x v="0"/>
    <x v="0"/>
    <x v="1"/>
    <x v="7"/>
    <x v="2"/>
    <n v="12"/>
    <x v="35"/>
    <n v="4061"/>
  </r>
  <r>
    <x v="1"/>
    <x v="2"/>
    <x v="2"/>
    <x v="1"/>
    <x v="1"/>
    <x v="2"/>
    <n v="12"/>
    <x v="35"/>
    <n v="3392"/>
  </r>
  <r>
    <x v="2"/>
    <x v="10"/>
    <x v="10"/>
    <x v="2"/>
    <x v="2"/>
    <x v="2"/>
    <n v="12"/>
    <x v="35"/>
    <n v="4090"/>
  </r>
  <r>
    <x v="2"/>
    <x v="10"/>
    <x v="10"/>
    <x v="2"/>
    <x v="3"/>
    <x v="2"/>
    <n v="12"/>
    <x v="35"/>
    <n v="3229"/>
  </r>
  <r>
    <x v="2"/>
    <x v="11"/>
    <x v="11"/>
    <x v="2"/>
    <x v="4"/>
    <x v="2"/>
    <n v="12"/>
    <x v="35"/>
    <n v="2807"/>
  </r>
  <r>
    <x v="2"/>
    <x v="11"/>
    <x v="11"/>
    <x v="0"/>
    <x v="5"/>
    <x v="2"/>
    <n v="12"/>
    <x v="35"/>
    <n v="2615"/>
  </r>
  <r>
    <x v="2"/>
    <x v="7"/>
    <x v="7"/>
    <x v="0"/>
    <x v="5"/>
    <x v="2"/>
    <n v="12"/>
    <x v="35"/>
    <n v="2751"/>
  </r>
  <r>
    <x v="1"/>
    <x v="6"/>
    <x v="6"/>
    <x v="1"/>
    <x v="8"/>
    <x v="2"/>
    <n v="12"/>
    <x v="35"/>
    <n v="2315"/>
  </r>
  <r>
    <x v="2"/>
    <x v="3"/>
    <x v="3"/>
    <x v="2"/>
    <x v="2"/>
    <x v="2"/>
    <n v="12"/>
    <x v="35"/>
    <n v="4261"/>
  </r>
  <r>
    <x v="2"/>
    <x v="3"/>
    <x v="3"/>
    <x v="2"/>
    <x v="3"/>
    <x v="2"/>
    <n v="12"/>
    <x v="35"/>
    <n v="4601"/>
  </r>
  <r>
    <x v="1"/>
    <x v="2"/>
    <x v="2"/>
    <x v="0"/>
    <x v="0"/>
    <x v="2"/>
    <n v="12"/>
    <x v="35"/>
    <n v="3089"/>
  </r>
  <r>
    <x v="2"/>
    <x v="10"/>
    <x v="10"/>
    <x v="1"/>
    <x v="7"/>
    <x v="2"/>
    <n v="12"/>
    <x v="35"/>
    <n v="4912"/>
  </r>
  <r>
    <x v="2"/>
    <x v="10"/>
    <x v="10"/>
    <x v="1"/>
    <x v="1"/>
    <x v="2"/>
    <n v="12"/>
    <x v="35"/>
    <n v="3945"/>
  </r>
  <r>
    <x v="2"/>
    <x v="11"/>
    <x v="11"/>
    <x v="1"/>
    <x v="8"/>
    <x v="2"/>
    <n v="12"/>
    <x v="35"/>
    <n v="3077"/>
  </r>
  <r>
    <x v="2"/>
    <x v="11"/>
    <x v="11"/>
    <x v="2"/>
    <x v="2"/>
    <x v="2"/>
    <n v="12"/>
    <x v="35"/>
    <n v="5049"/>
  </r>
  <r>
    <x v="3"/>
    <x v="4"/>
    <x v="4"/>
    <x v="2"/>
    <x v="3"/>
    <x v="2"/>
    <n v="12"/>
    <x v="35"/>
    <n v="4524"/>
  </r>
  <r>
    <x v="3"/>
    <x v="4"/>
    <x v="4"/>
    <x v="2"/>
    <x v="4"/>
    <x v="2"/>
    <n v="12"/>
    <x v="35"/>
    <n v="2901"/>
  </r>
  <r>
    <x v="4"/>
    <x v="5"/>
    <x v="5"/>
    <x v="0"/>
    <x v="5"/>
    <x v="2"/>
    <n v="12"/>
    <x v="35"/>
    <n v="2948"/>
  </r>
  <r>
    <x v="3"/>
    <x v="8"/>
    <x v="8"/>
    <x v="0"/>
    <x v="6"/>
    <x v="2"/>
    <n v="12"/>
    <x v="35"/>
    <n v="1502"/>
  </r>
  <r>
    <x v="3"/>
    <x v="8"/>
    <x v="8"/>
    <x v="1"/>
    <x v="7"/>
    <x v="2"/>
    <n v="12"/>
    <x v="35"/>
    <n v="6705"/>
  </r>
  <r>
    <x v="4"/>
    <x v="9"/>
    <x v="9"/>
    <x v="1"/>
    <x v="1"/>
    <x v="2"/>
    <n v="12"/>
    <x v="35"/>
    <n v="3289"/>
  </r>
  <r>
    <x v="4"/>
    <x v="9"/>
    <x v="9"/>
    <x v="1"/>
    <x v="8"/>
    <x v="2"/>
    <n v="12"/>
    <x v="35"/>
    <n v="3226"/>
  </r>
  <r>
    <x v="0"/>
    <x v="1"/>
    <x v="1"/>
    <x v="2"/>
    <x v="4"/>
    <x v="2"/>
    <n v="12"/>
    <x v="35"/>
    <n v="3783"/>
  </r>
  <r>
    <x v="0"/>
    <x v="1"/>
    <x v="1"/>
    <x v="0"/>
    <x v="5"/>
    <x v="2"/>
    <n v="12"/>
    <x v="35"/>
    <n v="2848"/>
  </r>
  <r>
    <x v="1"/>
    <x v="6"/>
    <x v="6"/>
    <x v="0"/>
    <x v="6"/>
    <x v="2"/>
    <n v="12"/>
    <x v="35"/>
    <n v="2778"/>
  </r>
  <r>
    <x v="2"/>
    <x v="10"/>
    <x v="10"/>
    <x v="1"/>
    <x v="8"/>
    <x v="2"/>
    <n v="12"/>
    <x v="35"/>
    <n v="4040"/>
  </r>
  <r>
    <x v="2"/>
    <x v="11"/>
    <x v="11"/>
    <x v="2"/>
    <x v="3"/>
    <x v="2"/>
    <n v="12"/>
    <x v="35"/>
    <n v="3457"/>
  </r>
  <r>
    <x v="2"/>
    <x v="7"/>
    <x v="7"/>
    <x v="2"/>
    <x v="4"/>
    <x v="2"/>
    <n v="12"/>
    <x v="35"/>
    <n v="3860"/>
  </r>
  <r>
    <x v="2"/>
    <x v="3"/>
    <x v="3"/>
    <x v="1"/>
    <x v="8"/>
    <x v="2"/>
    <n v="12"/>
    <x v="35"/>
    <n v="3405"/>
  </r>
  <r>
    <x v="2"/>
    <x v="10"/>
    <x v="10"/>
    <x v="0"/>
    <x v="6"/>
    <x v="2"/>
    <n v="12"/>
    <x v="35"/>
    <n v="2503"/>
  </r>
  <r>
    <x v="2"/>
    <x v="11"/>
    <x v="11"/>
    <x v="1"/>
    <x v="1"/>
    <x v="2"/>
    <n v="12"/>
    <x v="35"/>
    <n v="2958"/>
  </r>
  <r>
    <x v="3"/>
    <x v="4"/>
    <x v="4"/>
    <x v="2"/>
    <x v="2"/>
    <x v="2"/>
    <n v="12"/>
    <x v="35"/>
    <n v="3298"/>
  </r>
  <r>
    <x v="4"/>
    <x v="5"/>
    <x v="5"/>
    <x v="2"/>
    <x v="4"/>
    <x v="2"/>
    <n v="12"/>
    <x v="35"/>
    <n v="3678"/>
  </r>
  <r>
    <x v="3"/>
    <x v="8"/>
    <x v="8"/>
    <x v="0"/>
    <x v="0"/>
    <x v="2"/>
    <n v="12"/>
    <x v="35"/>
    <n v="1575"/>
  </r>
  <r>
    <x v="4"/>
    <x v="9"/>
    <x v="9"/>
    <x v="1"/>
    <x v="7"/>
    <x v="2"/>
    <n v="12"/>
    <x v="35"/>
    <n v="6532"/>
  </r>
  <r>
    <x v="2"/>
    <x v="10"/>
    <x v="10"/>
    <x v="2"/>
    <x v="4"/>
    <x v="2"/>
    <n v="12"/>
    <x v="35"/>
    <n v="3797"/>
  </r>
  <r>
    <x v="2"/>
    <x v="11"/>
    <x v="11"/>
    <x v="0"/>
    <x v="0"/>
    <x v="2"/>
    <n v="12"/>
    <x v="35"/>
    <n v="29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7">
  <r>
    <x v="0"/>
    <s v="Житомир"/>
    <x v="0"/>
    <s v="Товари для дому"/>
    <s v="Зубочистки"/>
    <x v="0"/>
    <x v="0"/>
    <x v="0"/>
    <n v="2044.5000000000002"/>
    <n v="2350"/>
  </r>
  <r>
    <x v="0"/>
    <s v="Бердичів"/>
    <x v="1"/>
    <s v="Товари для дому"/>
    <s v="Зубочистки"/>
    <x v="0"/>
    <x v="0"/>
    <x v="0"/>
    <n v="2712.4400000000005"/>
    <n v="3154"/>
  </r>
  <r>
    <x v="0"/>
    <s v="Бердичів"/>
    <x v="1"/>
    <s v="Косметика"/>
    <s v="Дезодорант"/>
    <x v="0"/>
    <x v="0"/>
    <x v="0"/>
    <n v="4431.5999999999995"/>
    <n v="4924"/>
  </r>
  <r>
    <x v="0"/>
    <s v="Житомир"/>
    <x v="0"/>
    <s v="Косметика"/>
    <s v="Дезодорант"/>
    <x v="0"/>
    <x v="0"/>
    <x v="0"/>
    <n v="3023.4500000000003"/>
    <n v="3557"/>
  </r>
  <r>
    <x v="0"/>
    <s v="Житомир"/>
    <x v="0"/>
    <s v="Побутова хімія"/>
    <s v="Засіб для миття посуду"/>
    <x v="0"/>
    <x v="0"/>
    <x v="0"/>
    <n v="3607.7000000000003"/>
    <n v="4195"/>
  </r>
  <r>
    <x v="1"/>
    <s v="Запоріжжя"/>
    <x v="2"/>
    <s v="Побутова хімія"/>
    <s v="Засіб для посудомийних машин"/>
    <x v="0"/>
    <x v="0"/>
    <x v="0"/>
    <n v="2418.1299999999997"/>
    <n v="2717"/>
  </r>
  <r>
    <x v="2"/>
    <s v="Бориспіль"/>
    <x v="3"/>
    <s v="Побутова хімія"/>
    <s v="Засоби для догляду за меблями"/>
    <x v="0"/>
    <x v="0"/>
    <x v="0"/>
    <n v="2559.5400000000004"/>
    <n v="2942"/>
  </r>
  <r>
    <x v="3"/>
    <s v="Одеса"/>
    <x v="4"/>
    <s v="Товари для дому"/>
    <s v="Серветки"/>
    <x v="0"/>
    <x v="0"/>
    <x v="0"/>
    <n v="2082.08"/>
    <n v="2288"/>
  </r>
  <r>
    <x v="4"/>
    <s v="Харків"/>
    <x v="5"/>
    <s v="Товари для дому"/>
    <s v="Зубочистки"/>
    <x v="0"/>
    <x v="0"/>
    <x v="0"/>
    <n v="2386.7999999999997"/>
    <n v="2652"/>
  </r>
  <r>
    <x v="0"/>
    <s v="Бердичів"/>
    <x v="1"/>
    <s v="Товари для дому"/>
    <s v="Одноразовий посуд"/>
    <x v="0"/>
    <x v="0"/>
    <x v="0"/>
    <n v="1963.5000000000002"/>
    <n v="2310"/>
  </r>
  <r>
    <x v="1"/>
    <s v="Бердянськ"/>
    <x v="6"/>
    <s v="Косметика"/>
    <s v="Шампунь"/>
    <x v="0"/>
    <x v="0"/>
    <x v="0"/>
    <n v="5013.6299999999992"/>
    <n v="5391"/>
  </r>
  <r>
    <x v="2"/>
    <s v="Біла Церква"/>
    <x v="7"/>
    <s v="Косметика"/>
    <s v="Дезодорант"/>
    <x v="0"/>
    <x v="0"/>
    <x v="0"/>
    <n v="3375.54"/>
    <n v="3591"/>
  </r>
  <r>
    <x v="3"/>
    <s v="Чорноморськ"/>
    <x v="8"/>
    <s v="Косметика"/>
    <s v="Мило"/>
    <x v="0"/>
    <x v="0"/>
    <x v="0"/>
    <n v="3279.1800000000003"/>
    <n v="3813"/>
  </r>
  <r>
    <x v="4"/>
    <s v="Чугуїв"/>
    <x v="9"/>
    <s v="Побутова хімія"/>
    <s v="Засіб для миття посуду"/>
    <x v="0"/>
    <x v="0"/>
    <x v="0"/>
    <n v="3631.6499999999996"/>
    <n v="3905"/>
  </r>
  <r>
    <x v="0"/>
    <s v="Житомир"/>
    <x v="0"/>
    <s v="Побутова хімія"/>
    <s v="Засіб для посудомийних машин"/>
    <x v="0"/>
    <x v="0"/>
    <x v="0"/>
    <n v="2994.5200000000004"/>
    <n v="3482"/>
  </r>
  <r>
    <x v="1"/>
    <s v="Запоріжжя"/>
    <x v="2"/>
    <s v="Побутова хімія"/>
    <s v="Засоби для догляду за меблями"/>
    <x v="0"/>
    <x v="0"/>
    <x v="0"/>
    <n v="3055.7799999999997"/>
    <n v="3358"/>
  </r>
  <r>
    <x v="2"/>
    <s v="Бориспіль"/>
    <x v="3"/>
    <s v="Товари для дому"/>
    <s v="Серветки"/>
    <x v="0"/>
    <x v="0"/>
    <x v="0"/>
    <n v="1754.4"/>
    <n v="2040"/>
  </r>
  <r>
    <x v="3"/>
    <s v="Одеса"/>
    <x v="4"/>
    <s v="Товари для дому"/>
    <s v="Зубочистки"/>
    <x v="0"/>
    <x v="0"/>
    <x v="0"/>
    <n v="2015.6499999999999"/>
    <n v="2215"/>
  </r>
  <r>
    <x v="4"/>
    <s v="Харків"/>
    <x v="5"/>
    <s v="Товари для дому"/>
    <s v="Одноразовий посуд"/>
    <x v="0"/>
    <x v="0"/>
    <x v="0"/>
    <n v="2487.1200000000003"/>
    <n v="2892"/>
  </r>
  <r>
    <x v="0"/>
    <s v="Бердичів"/>
    <x v="1"/>
    <s v="Косметика"/>
    <s v="Шампунь"/>
    <x v="0"/>
    <x v="0"/>
    <x v="0"/>
    <n v="3752.68"/>
    <n v="4079"/>
  </r>
  <r>
    <x v="1"/>
    <s v="Бердянськ"/>
    <x v="6"/>
    <s v="Косметика"/>
    <s v="Дезодорант"/>
    <x v="0"/>
    <x v="0"/>
    <x v="0"/>
    <n v="2837.8599999999997"/>
    <n v="3019"/>
  </r>
  <r>
    <x v="2"/>
    <s v="Біла Церква"/>
    <x v="7"/>
    <s v="Косметика"/>
    <s v="Мило"/>
    <x v="0"/>
    <x v="0"/>
    <x v="0"/>
    <n v="2929.5199999999995"/>
    <n v="3329"/>
  </r>
  <r>
    <x v="3"/>
    <s v="Чорноморськ"/>
    <x v="8"/>
    <s v="Побутова хімія"/>
    <s v="Засіб для миття посуду"/>
    <x v="0"/>
    <x v="0"/>
    <x v="0"/>
    <n v="3441.3399999999997"/>
    <n v="3661"/>
  </r>
  <r>
    <x v="4"/>
    <s v="Чугуїв"/>
    <x v="9"/>
    <s v="Побутова хімія"/>
    <s v="Засіб для посудомийних машин"/>
    <x v="0"/>
    <x v="0"/>
    <x v="0"/>
    <n v="4603.6799999999994"/>
    <n v="5004"/>
  </r>
  <r>
    <x v="0"/>
    <s v="Житомир"/>
    <x v="0"/>
    <s v="Побутова хімія"/>
    <s v="Засоби для догляду за меблями"/>
    <x v="0"/>
    <x v="0"/>
    <x v="0"/>
    <n v="3768.4599999999996"/>
    <n v="4009"/>
  </r>
  <r>
    <x v="1"/>
    <s v="Запоріжжя"/>
    <x v="2"/>
    <s v="Товари для дому"/>
    <s v="Серветки"/>
    <x v="0"/>
    <x v="0"/>
    <x v="0"/>
    <n v="2653.2"/>
    <n v="2948"/>
  </r>
  <r>
    <x v="2"/>
    <s v="Бориспіль"/>
    <x v="3"/>
    <s v="Товари для дому"/>
    <s v="Зубочистки"/>
    <x v="0"/>
    <x v="0"/>
    <x v="0"/>
    <n v="2729.6299999999997"/>
    <n v="3067"/>
  </r>
  <r>
    <x v="3"/>
    <s v="Одеса"/>
    <x v="4"/>
    <s v="Товари для дому"/>
    <s v="Одноразовий посуд"/>
    <x v="0"/>
    <x v="0"/>
    <x v="0"/>
    <n v="2114.64"/>
    <n v="2376"/>
  </r>
  <r>
    <x v="4"/>
    <s v="Харків"/>
    <x v="5"/>
    <s v="Косметика"/>
    <s v="Шампунь"/>
    <x v="0"/>
    <x v="0"/>
    <x v="0"/>
    <n v="4800.5999999999995"/>
    <n v="5334"/>
  </r>
  <r>
    <x v="1"/>
    <s v="Запоріжжя"/>
    <x v="2"/>
    <s v="Косметика"/>
    <s v="Мило"/>
    <x v="0"/>
    <x v="0"/>
    <x v="0"/>
    <n v="4166.08"/>
    <n v="4432"/>
  </r>
  <r>
    <x v="2"/>
    <s v="Біла Церква"/>
    <x v="7"/>
    <s v="Побутова хімія"/>
    <s v="Засіб для миття посуду"/>
    <x v="0"/>
    <x v="0"/>
    <x v="0"/>
    <n v="4611.04"/>
    <n v="5012"/>
  </r>
  <r>
    <x v="3"/>
    <s v="Чорноморськ"/>
    <x v="8"/>
    <s v="Побутова хімія"/>
    <s v="Засіб для посудомийних машин"/>
    <x v="0"/>
    <x v="0"/>
    <x v="0"/>
    <n v="3105.27"/>
    <n v="3339"/>
  </r>
  <r>
    <x v="4"/>
    <s v="Чугуїв"/>
    <x v="9"/>
    <s v="Побутова хімія"/>
    <s v="Засоби для догляду за меблями"/>
    <x v="0"/>
    <x v="0"/>
    <x v="0"/>
    <n v="3407.5"/>
    <n v="3625"/>
  </r>
  <r>
    <x v="0"/>
    <s v="Житомир"/>
    <x v="0"/>
    <s v="Товари для дому"/>
    <s v="Серветки"/>
    <x v="0"/>
    <x v="0"/>
    <x v="0"/>
    <n v="1417.2800000000002"/>
    <n v="1648"/>
  </r>
  <r>
    <x v="1"/>
    <s v="Бердянськ"/>
    <x v="6"/>
    <s v="Товари для дому"/>
    <s v="Зубочистки"/>
    <x v="0"/>
    <x v="0"/>
    <x v="0"/>
    <n v="2390.7600000000002"/>
    <n v="2748"/>
  </r>
  <r>
    <x v="2"/>
    <s v="Бориспіль"/>
    <x v="3"/>
    <s v="Товари для дому"/>
    <s v="Одноразовий посуд"/>
    <x v="0"/>
    <x v="0"/>
    <x v="0"/>
    <n v="2456.1"/>
    <n v="2729"/>
  </r>
  <r>
    <x v="3"/>
    <s v="Одеса"/>
    <x v="4"/>
    <s v="Косметика"/>
    <s v="Шампунь"/>
    <x v="0"/>
    <x v="0"/>
    <x v="0"/>
    <n v="4464.8999999999996"/>
    <n v="4961"/>
  </r>
  <r>
    <x v="4"/>
    <s v="Харків"/>
    <x v="5"/>
    <s v="Косметика"/>
    <s v="Дезодорант"/>
    <x v="0"/>
    <x v="0"/>
    <x v="0"/>
    <n v="4895.8899999999994"/>
    <n v="5501"/>
  </r>
  <r>
    <x v="0"/>
    <s v="Бердичів"/>
    <x v="1"/>
    <s v="Косметика"/>
    <s v="Мило"/>
    <x v="0"/>
    <x v="0"/>
    <x v="0"/>
    <n v="4027.83"/>
    <n v="4331"/>
  </r>
  <r>
    <x v="1"/>
    <s v="Запоріжжя"/>
    <x v="2"/>
    <s v="Побутова хімія"/>
    <s v="Засіб для миття посуду"/>
    <x v="0"/>
    <x v="0"/>
    <x v="0"/>
    <n v="3319.2"/>
    <n v="3688"/>
  </r>
  <r>
    <x v="2"/>
    <s v="Біла Церква"/>
    <x v="7"/>
    <s v="Побутова хімія"/>
    <s v="Засіб для посудомийних машин"/>
    <x v="0"/>
    <x v="0"/>
    <x v="0"/>
    <n v="3419.3600000000006"/>
    <n v="3976"/>
  </r>
  <r>
    <x v="3"/>
    <s v="Чорноморськ"/>
    <x v="8"/>
    <s v="Побутова хімія"/>
    <s v="Засоби для догляду за меблями"/>
    <x v="0"/>
    <x v="0"/>
    <x v="0"/>
    <n v="2948.6500000000005"/>
    <n v="3469"/>
  </r>
  <r>
    <x v="4"/>
    <s v="Чугуїв"/>
    <x v="9"/>
    <s v="Товари для дому"/>
    <s v="Серветки"/>
    <x v="0"/>
    <x v="0"/>
    <x v="0"/>
    <n v="1809.9899999999998"/>
    <n v="1989"/>
  </r>
  <r>
    <x v="1"/>
    <s v="Запоріжжя"/>
    <x v="2"/>
    <s v="Товари для дому"/>
    <s v="Одноразовий посуд"/>
    <x v="0"/>
    <x v="0"/>
    <x v="0"/>
    <n v="1709.9999999999998"/>
    <n v="1900"/>
  </r>
  <r>
    <x v="2"/>
    <s v="Бориспіль"/>
    <x v="3"/>
    <s v="Косметика"/>
    <s v="Шампунь"/>
    <x v="0"/>
    <x v="0"/>
    <x v="0"/>
    <n v="5406.88"/>
    <n v="5752"/>
  </r>
  <r>
    <x v="3"/>
    <s v="Чорноморськ"/>
    <x v="8"/>
    <s v="Косметика"/>
    <s v="Дезодорант"/>
    <x v="0"/>
    <x v="0"/>
    <x v="0"/>
    <n v="3352.7999999999997"/>
    <n v="3810"/>
  </r>
  <r>
    <x v="4"/>
    <s v="Харків"/>
    <x v="5"/>
    <s v="Косметика"/>
    <s v="Мило"/>
    <x v="0"/>
    <x v="0"/>
    <x v="0"/>
    <n v="3825.6399999999994"/>
    <n v="4204"/>
  </r>
  <r>
    <x v="0"/>
    <s v="Бердичів"/>
    <x v="1"/>
    <s v="Побутова хімія"/>
    <s v="Засіб для миття посуду"/>
    <x v="0"/>
    <x v="0"/>
    <x v="0"/>
    <n v="4254.2999999999993"/>
    <n v="4727"/>
  </r>
  <r>
    <x v="0"/>
    <s v="Бердичів"/>
    <x v="1"/>
    <s v="Побутова хімія"/>
    <s v="Засіб для посудомийних машин"/>
    <x v="0"/>
    <x v="0"/>
    <x v="0"/>
    <n v="4623.1500000000005"/>
    <n v="5439"/>
  </r>
  <r>
    <x v="1"/>
    <s v="Бердянськ"/>
    <x v="6"/>
    <s v="Побутова хімія"/>
    <s v="Засоби для догляду за меблями"/>
    <x v="0"/>
    <x v="0"/>
    <x v="0"/>
    <n v="3222.7599999999998"/>
    <n v="3503"/>
  </r>
  <r>
    <x v="1"/>
    <s v="Бердянськ"/>
    <x v="6"/>
    <s v="Товари для дому"/>
    <s v="Серветки"/>
    <x v="0"/>
    <x v="0"/>
    <x v="0"/>
    <n v="2664.8999999999996"/>
    <n v="2961"/>
  </r>
  <r>
    <x v="2"/>
    <s v="Біла Церква"/>
    <x v="7"/>
    <s v="Товари для дому"/>
    <s v="Зубочистки"/>
    <x v="0"/>
    <x v="0"/>
    <x v="0"/>
    <n v="1749.84"/>
    <n v="1902"/>
  </r>
  <r>
    <x v="2"/>
    <s v="Біла Церква"/>
    <x v="7"/>
    <s v="Товари для дому"/>
    <s v="Одноразовий посуд"/>
    <x v="0"/>
    <x v="0"/>
    <x v="0"/>
    <n v="1433.5199999999998"/>
    <n v="1629"/>
  </r>
  <r>
    <x v="2"/>
    <s v="Бориспіль"/>
    <x v="3"/>
    <s v="Косметика"/>
    <s v="Дезодорант"/>
    <x v="0"/>
    <x v="0"/>
    <x v="0"/>
    <n v="3934.6500000000005"/>
    <n v="4629"/>
  </r>
  <r>
    <x v="0"/>
    <s v="Житомир"/>
    <x v="0"/>
    <s v="Косметика"/>
    <s v="Мило"/>
    <x v="0"/>
    <x v="0"/>
    <x v="0"/>
    <n v="2397.7200000000003"/>
    <n v="2756"/>
  </r>
  <r>
    <x v="2"/>
    <s v="Ірпінь"/>
    <x v="10"/>
    <s v="Товари для дому"/>
    <s v="Серветки"/>
    <x v="0"/>
    <x v="0"/>
    <x v="0"/>
    <n v="1591.9199999999998"/>
    <n v="1809"/>
  </r>
  <r>
    <x v="2"/>
    <s v="Ірпінь"/>
    <x v="10"/>
    <s v="Товари для дому"/>
    <s v="Зубочистки"/>
    <x v="0"/>
    <x v="0"/>
    <x v="0"/>
    <n v="1393.2000000000003"/>
    <n v="1620"/>
  </r>
  <r>
    <x v="2"/>
    <s v="Київ"/>
    <x v="11"/>
    <s v="Товари для дому"/>
    <s v="Одноразовий посуд"/>
    <x v="0"/>
    <x v="0"/>
    <x v="0"/>
    <n v="1368.5100000000002"/>
    <n v="1573"/>
  </r>
  <r>
    <x v="2"/>
    <s v="Київ"/>
    <x v="11"/>
    <s v="Косметика"/>
    <s v="Шампунь"/>
    <x v="0"/>
    <x v="0"/>
    <x v="0"/>
    <n v="5368.34"/>
    <n v="5711"/>
  </r>
  <r>
    <x v="3"/>
    <s v="Одеса"/>
    <x v="4"/>
    <s v="Косметика"/>
    <s v="Дезодорант"/>
    <x v="0"/>
    <x v="0"/>
    <x v="0"/>
    <n v="4985.8899999999994"/>
    <n v="5479"/>
  </r>
  <r>
    <x v="3"/>
    <s v="Одеса"/>
    <x v="4"/>
    <s v="Косметика"/>
    <s v="Мило"/>
    <x v="0"/>
    <x v="0"/>
    <x v="0"/>
    <n v="1891.62"/>
    <n v="2034"/>
  </r>
  <r>
    <x v="4"/>
    <s v="Харків"/>
    <x v="5"/>
    <s v="Побутова хімія"/>
    <s v="Засіб для миття посуду"/>
    <x v="0"/>
    <x v="0"/>
    <x v="0"/>
    <n v="3141.3199999999997"/>
    <n v="3452"/>
  </r>
  <r>
    <x v="4"/>
    <s v="Харків"/>
    <x v="5"/>
    <s v="Побутова хімія"/>
    <s v="Засіб для посудомийних машин"/>
    <x v="0"/>
    <x v="0"/>
    <x v="0"/>
    <n v="2538.7999999999997"/>
    <n v="2885"/>
  </r>
  <r>
    <x v="3"/>
    <s v="Чорноморськ"/>
    <x v="8"/>
    <s v="Товари для дому"/>
    <s v="Серветки"/>
    <x v="0"/>
    <x v="0"/>
    <x v="0"/>
    <n v="1472.9499999999998"/>
    <n v="1655"/>
  </r>
  <r>
    <x v="4"/>
    <s v="Чугуїв"/>
    <x v="9"/>
    <s v="Товари для дому"/>
    <s v="Зубочистки"/>
    <x v="0"/>
    <x v="0"/>
    <x v="0"/>
    <n v="1737.4"/>
    <n v="2044"/>
  </r>
  <r>
    <x v="4"/>
    <s v="Чугуїв"/>
    <x v="9"/>
    <s v="Товари для дому"/>
    <s v="Одноразовий посуд"/>
    <x v="0"/>
    <x v="0"/>
    <x v="0"/>
    <n v="1882.35"/>
    <n v="2115"/>
  </r>
  <r>
    <x v="2"/>
    <s v="Біла Церква"/>
    <x v="7"/>
    <s v="Косметика"/>
    <s v="Шампунь"/>
    <x v="0"/>
    <x v="0"/>
    <x v="0"/>
    <n v="5710.68"/>
    <n v="6564"/>
  </r>
  <r>
    <x v="1"/>
    <s v="Бердянськ"/>
    <x v="6"/>
    <s v="Побутова хімія"/>
    <s v="Засіб для посудомийних машин"/>
    <x v="0"/>
    <x v="0"/>
    <x v="0"/>
    <n v="2476.1099999999997"/>
    <n v="2721"/>
  </r>
  <r>
    <x v="0"/>
    <s v="Житомир"/>
    <x v="0"/>
    <s v="Товари для дому"/>
    <s v="Одноразовий посуд"/>
    <x v="0"/>
    <x v="0"/>
    <x v="0"/>
    <n v="2321.4399999999996"/>
    <n v="2638"/>
  </r>
  <r>
    <x v="0"/>
    <s v="Житомир"/>
    <x v="0"/>
    <s v="Косметика"/>
    <s v="Шампунь"/>
    <x v="0"/>
    <x v="0"/>
    <x v="0"/>
    <n v="5919.3899999999994"/>
    <n v="6651"/>
  </r>
  <r>
    <x v="1"/>
    <s v="Запоріжжя"/>
    <x v="2"/>
    <s v="Косметика"/>
    <s v="Дезодорант"/>
    <x v="0"/>
    <x v="0"/>
    <x v="0"/>
    <n v="2758.16"/>
    <n v="2998"/>
  </r>
  <r>
    <x v="2"/>
    <s v="Ірпінь"/>
    <x v="10"/>
    <s v="Побутова хімія"/>
    <s v="Засіб для миття посуду"/>
    <x v="0"/>
    <x v="0"/>
    <x v="0"/>
    <n v="3451.3599999999997"/>
    <n v="3922"/>
  </r>
  <r>
    <x v="2"/>
    <s v="Ірпінь"/>
    <x v="10"/>
    <s v="Побутова хімія"/>
    <s v="Засіб для посудомийних машин"/>
    <x v="0"/>
    <x v="0"/>
    <x v="0"/>
    <n v="3578.0799999999995"/>
    <n v="4066"/>
  </r>
  <r>
    <x v="2"/>
    <s v="Київ"/>
    <x v="11"/>
    <s v="Побутова хімія"/>
    <s v="Засоби для догляду за меблями"/>
    <x v="0"/>
    <x v="0"/>
    <x v="0"/>
    <n v="2567.96"/>
    <n v="2986"/>
  </r>
  <r>
    <x v="2"/>
    <s v="Київ"/>
    <x v="11"/>
    <s v="Товари для дому"/>
    <s v="Серветки"/>
    <x v="0"/>
    <x v="0"/>
    <x v="0"/>
    <n v="1438.2399999999998"/>
    <n v="1616"/>
  </r>
  <r>
    <x v="2"/>
    <s v="Біла Церква"/>
    <x v="7"/>
    <s v="Товари для дому"/>
    <s v="Серветки"/>
    <x v="0"/>
    <x v="0"/>
    <x v="0"/>
    <n v="2617.16"/>
    <n v="2876"/>
  </r>
  <r>
    <x v="1"/>
    <s v="Бердянськ"/>
    <x v="6"/>
    <s v="Косметика"/>
    <s v="Мило"/>
    <x v="0"/>
    <x v="0"/>
    <x v="0"/>
    <n v="3878.6000000000004"/>
    <n v="4510"/>
  </r>
  <r>
    <x v="2"/>
    <s v="Бориспіль"/>
    <x v="3"/>
    <s v="Побутова хімія"/>
    <s v="Засіб для миття посуду"/>
    <x v="0"/>
    <x v="0"/>
    <x v="0"/>
    <n v="3740.4599999999996"/>
    <n v="4022"/>
  </r>
  <r>
    <x v="2"/>
    <s v="Бориспіль"/>
    <x v="3"/>
    <s v="Побутова хімія"/>
    <s v="Засіб для посудомийних машин"/>
    <x v="0"/>
    <x v="0"/>
    <x v="0"/>
    <n v="2306.5200000000004"/>
    <n v="2682"/>
  </r>
  <r>
    <x v="1"/>
    <s v="Запоріжжя"/>
    <x v="2"/>
    <s v="Товари для дому"/>
    <s v="Зубочистки"/>
    <x v="0"/>
    <x v="0"/>
    <x v="0"/>
    <n v="2444.04"/>
    <n v="2628"/>
  </r>
  <r>
    <x v="2"/>
    <s v="Ірпінь"/>
    <x v="10"/>
    <s v="Косметика"/>
    <s v="Шампунь"/>
    <x v="0"/>
    <x v="0"/>
    <x v="0"/>
    <n v="4942.42"/>
    <n v="5747"/>
  </r>
  <r>
    <x v="2"/>
    <s v="Ірпінь"/>
    <x v="10"/>
    <s v="Косметика"/>
    <s v="Дезодорант"/>
    <x v="0"/>
    <x v="0"/>
    <x v="0"/>
    <n v="4700.76"/>
    <n v="5466"/>
  </r>
  <r>
    <x v="2"/>
    <s v="Київ"/>
    <x v="11"/>
    <s v="Косметика"/>
    <s v="Мило"/>
    <x v="0"/>
    <x v="0"/>
    <x v="0"/>
    <n v="2019.6000000000001"/>
    <n v="2376"/>
  </r>
  <r>
    <x v="2"/>
    <s v="Київ"/>
    <x v="11"/>
    <s v="Побутова хімія"/>
    <s v="Засіб для миття посуду"/>
    <x v="0"/>
    <x v="0"/>
    <x v="0"/>
    <n v="3584.3199999999997"/>
    <n v="3896"/>
  </r>
  <r>
    <x v="3"/>
    <s v="Одеса"/>
    <x v="4"/>
    <s v="Побутова хімія"/>
    <s v="Засіб для посудомийних машин"/>
    <x v="0"/>
    <x v="0"/>
    <x v="0"/>
    <n v="3496.5300000000007"/>
    <n v="4019"/>
  </r>
  <r>
    <x v="3"/>
    <s v="Одеса"/>
    <x v="4"/>
    <s v="Побутова хімія"/>
    <s v="Засоби для догляду за меблями"/>
    <x v="0"/>
    <x v="0"/>
    <x v="0"/>
    <n v="2516.0400000000004"/>
    <n v="2892"/>
  </r>
  <r>
    <x v="4"/>
    <s v="Харків"/>
    <x v="5"/>
    <s v="Товари для дому"/>
    <s v="Серветки"/>
    <x v="0"/>
    <x v="0"/>
    <x v="0"/>
    <n v="1771.3200000000002"/>
    <n v="2036"/>
  </r>
  <r>
    <x v="3"/>
    <s v="Чорноморськ"/>
    <x v="8"/>
    <s v="Товари для дому"/>
    <s v="Одноразовий посуд"/>
    <x v="0"/>
    <x v="0"/>
    <x v="0"/>
    <n v="1796.34"/>
    <n v="1911"/>
  </r>
  <r>
    <x v="3"/>
    <s v="Чорноморськ"/>
    <x v="8"/>
    <s v="Косметика"/>
    <s v="Шампунь"/>
    <x v="0"/>
    <x v="0"/>
    <x v="0"/>
    <n v="5451.0599999999995"/>
    <n v="5799"/>
  </r>
  <r>
    <x v="4"/>
    <s v="Чугуїв"/>
    <x v="9"/>
    <s v="Косметика"/>
    <s v="Дезодорант"/>
    <x v="0"/>
    <x v="0"/>
    <x v="0"/>
    <n v="2325.8399999999997"/>
    <n v="2643"/>
  </r>
  <r>
    <x v="4"/>
    <s v="Чугуїв"/>
    <x v="9"/>
    <s v="Косметика"/>
    <s v="Мило"/>
    <x v="0"/>
    <x v="0"/>
    <x v="0"/>
    <n v="3550.2799999999997"/>
    <n v="3859"/>
  </r>
  <r>
    <x v="0"/>
    <s v="Бердичів"/>
    <x v="1"/>
    <s v="Побутова хімія"/>
    <s v="Засоби для догляду за меблями"/>
    <x v="0"/>
    <x v="0"/>
    <x v="0"/>
    <n v="2468.4"/>
    <n v="2904"/>
  </r>
  <r>
    <x v="0"/>
    <s v="Бердичів"/>
    <x v="1"/>
    <s v="Товари для дому"/>
    <s v="Серветки"/>
    <x v="0"/>
    <x v="0"/>
    <x v="0"/>
    <n v="1682.1"/>
    <n v="1890"/>
  </r>
  <r>
    <x v="1"/>
    <s v="Бердянськ"/>
    <x v="6"/>
    <s v="Товари для дому"/>
    <s v="Одноразовий посуд"/>
    <x v="0"/>
    <x v="0"/>
    <x v="0"/>
    <n v="2024.8799999999997"/>
    <n v="2301"/>
  </r>
  <r>
    <x v="2"/>
    <s v="Ірпінь"/>
    <x v="10"/>
    <s v="Косметика"/>
    <s v="Мило"/>
    <x v="0"/>
    <x v="0"/>
    <x v="0"/>
    <n v="3112.3299999999995"/>
    <n v="3497"/>
  </r>
  <r>
    <x v="2"/>
    <s v="Київ"/>
    <x v="11"/>
    <s v="Побутова хімія"/>
    <s v="Засіб для посудомийних машин"/>
    <x v="0"/>
    <x v="0"/>
    <x v="0"/>
    <n v="3598.2400000000007"/>
    <n v="4184"/>
  </r>
  <r>
    <x v="2"/>
    <s v="Біла Церква"/>
    <x v="7"/>
    <s v="Побутова хімія"/>
    <s v="Засоби для догляду за меблями"/>
    <x v="0"/>
    <x v="0"/>
    <x v="0"/>
    <n v="2945.2500000000005"/>
    <n v="3465"/>
  </r>
  <r>
    <x v="2"/>
    <s v="Бориспіль"/>
    <x v="3"/>
    <s v="Косметика"/>
    <s v="Мило"/>
    <x v="0"/>
    <x v="0"/>
    <x v="0"/>
    <n v="2307.38"/>
    <n v="2683"/>
  </r>
  <r>
    <x v="2"/>
    <s v="Ірпінь"/>
    <x v="10"/>
    <s v="Товари для дому"/>
    <s v="Одноразовий посуд"/>
    <x v="0"/>
    <x v="0"/>
    <x v="0"/>
    <n v="1934.7599999999998"/>
    <n v="2103"/>
  </r>
  <r>
    <x v="2"/>
    <s v="Київ"/>
    <x v="11"/>
    <s v="Косметика"/>
    <s v="Дезодорант"/>
    <x v="0"/>
    <x v="0"/>
    <x v="0"/>
    <n v="4688.72"/>
    <n v="5452"/>
  </r>
  <r>
    <x v="3"/>
    <s v="Одеса"/>
    <x v="4"/>
    <s v="Побутова хімія"/>
    <s v="Засіб для миття посуду"/>
    <x v="0"/>
    <x v="0"/>
    <x v="0"/>
    <n v="3792.6000000000004"/>
    <n v="4410"/>
  </r>
  <r>
    <x v="4"/>
    <s v="Харків"/>
    <x v="5"/>
    <s v="Побутова хімія"/>
    <s v="Засоби для догляду за меблями"/>
    <x v="0"/>
    <x v="0"/>
    <x v="0"/>
    <n v="3312.0900000000006"/>
    <n v="3807"/>
  </r>
  <r>
    <x v="3"/>
    <s v="Чорноморськ"/>
    <x v="8"/>
    <s v="Товари для дому"/>
    <s v="Зубочистки"/>
    <x v="0"/>
    <x v="0"/>
    <x v="0"/>
    <n v="1858.9500000000003"/>
    <n v="2187"/>
  </r>
  <r>
    <x v="4"/>
    <s v="Чугуїв"/>
    <x v="9"/>
    <s v="Косметика"/>
    <s v="Шампунь"/>
    <x v="0"/>
    <x v="0"/>
    <x v="0"/>
    <n v="4806.8999999999996"/>
    <n v="5341"/>
  </r>
  <r>
    <x v="2"/>
    <s v="Ірпінь"/>
    <x v="10"/>
    <s v="Побутова хімія"/>
    <s v="Засоби для догляду за меблями"/>
    <x v="0"/>
    <x v="0"/>
    <x v="0"/>
    <n v="3043.04"/>
    <n v="3344"/>
  </r>
  <r>
    <x v="2"/>
    <s v="Київ"/>
    <x v="11"/>
    <s v="Товари для дому"/>
    <s v="Зубочистки"/>
    <x v="0"/>
    <x v="0"/>
    <x v="0"/>
    <n v="2268.96"/>
    <n v="2608"/>
  </r>
  <r>
    <x v="0"/>
    <s v="Житомир"/>
    <x v="0"/>
    <s v="Товари для дому"/>
    <s v="Зубочистки"/>
    <x v="0"/>
    <x v="1"/>
    <x v="1"/>
    <n v="2453.64"/>
    <n v="2667"/>
  </r>
  <r>
    <x v="0"/>
    <s v="Бердичів"/>
    <x v="1"/>
    <s v="Товари для дому"/>
    <s v="Зубочистки"/>
    <x v="0"/>
    <x v="1"/>
    <x v="1"/>
    <n v="2871.8999999999996"/>
    <n v="3191"/>
  </r>
  <r>
    <x v="0"/>
    <s v="Бердичів"/>
    <x v="1"/>
    <s v="Косметика"/>
    <s v="Дезодорант"/>
    <x v="0"/>
    <x v="1"/>
    <x v="1"/>
    <n v="2476.8999999999996"/>
    <n v="2635"/>
  </r>
  <r>
    <x v="0"/>
    <s v="Житомир"/>
    <x v="0"/>
    <s v="Косметика"/>
    <s v="Дезодорант"/>
    <x v="0"/>
    <x v="1"/>
    <x v="1"/>
    <n v="2942.34"/>
    <n v="3382"/>
  </r>
  <r>
    <x v="0"/>
    <s v="Житомир"/>
    <x v="0"/>
    <s v="Побутова хімія"/>
    <s v="Засіб для миття посуду"/>
    <x v="0"/>
    <x v="1"/>
    <x v="1"/>
    <n v="3871.5899999999997"/>
    <n v="4163"/>
  </r>
  <r>
    <x v="1"/>
    <s v="Запоріжжя"/>
    <x v="2"/>
    <s v="Побутова хімія"/>
    <s v="Засіб для посудомийних машин"/>
    <x v="0"/>
    <x v="1"/>
    <x v="1"/>
    <n v="4509.84"/>
    <n v="5244"/>
  </r>
  <r>
    <x v="2"/>
    <s v="Бориспіль"/>
    <x v="3"/>
    <s v="Побутова хімія"/>
    <s v="Засоби для догляду за меблями"/>
    <x v="0"/>
    <x v="1"/>
    <x v="1"/>
    <n v="3438.9599999999996"/>
    <n v="3864"/>
  </r>
  <r>
    <x v="3"/>
    <s v="Одеса"/>
    <x v="4"/>
    <s v="Товари для дому"/>
    <s v="Серветки"/>
    <x v="0"/>
    <x v="1"/>
    <x v="1"/>
    <n v="1660.9799999999998"/>
    <n v="1786"/>
  </r>
  <r>
    <x v="4"/>
    <s v="Харків"/>
    <x v="5"/>
    <s v="Товари для дому"/>
    <s v="Зубочистки"/>
    <x v="0"/>
    <x v="1"/>
    <x v="1"/>
    <n v="2361.64"/>
    <n v="2567"/>
  </r>
  <r>
    <x v="0"/>
    <s v="Бердичів"/>
    <x v="1"/>
    <s v="Товари для дому"/>
    <s v="Одноразовий посуд"/>
    <x v="0"/>
    <x v="1"/>
    <x v="1"/>
    <n v="1114.9599999999998"/>
    <n v="1267"/>
  </r>
  <r>
    <x v="1"/>
    <s v="Бердянськ"/>
    <x v="6"/>
    <s v="Косметика"/>
    <s v="Шампунь"/>
    <x v="0"/>
    <x v="1"/>
    <x v="1"/>
    <n v="5161.72"/>
    <n v="6002"/>
  </r>
  <r>
    <x v="2"/>
    <s v="Біла Церква"/>
    <x v="7"/>
    <s v="Косметика"/>
    <s v="Дезодорант"/>
    <x v="0"/>
    <x v="1"/>
    <x v="1"/>
    <n v="2982.9799999999996"/>
    <n v="3278"/>
  </r>
  <r>
    <x v="3"/>
    <s v="Чорноморськ"/>
    <x v="8"/>
    <s v="Косметика"/>
    <s v="Мило"/>
    <x v="0"/>
    <x v="1"/>
    <x v="1"/>
    <n v="3482.5699999999997"/>
    <n v="3827"/>
  </r>
  <r>
    <x v="4"/>
    <s v="Чугуїв"/>
    <x v="9"/>
    <s v="Побутова хімія"/>
    <s v="Засіб для миття посуду"/>
    <x v="0"/>
    <x v="1"/>
    <x v="1"/>
    <n v="3594.5999999999995"/>
    <n v="3994"/>
  </r>
  <r>
    <x v="0"/>
    <s v="Житомир"/>
    <x v="0"/>
    <s v="Побутова хімія"/>
    <s v="Засіб для посудомийних машин"/>
    <x v="0"/>
    <x v="1"/>
    <x v="1"/>
    <n v="2830.2"/>
    <n v="3180"/>
  </r>
  <r>
    <x v="1"/>
    <s v="Запоріжжя"/>
    <x v="2"/>
    <s v="Побутова хімія"/>
    <s v="Засоби для догляду за меблями"/>
    <x v="0"/>
    <x v="1"/>
    <x v="1"/>
    <n v="3187.1600000000003"/>
    <n v="3706"/>
  </r>
  <r>
    <x v="2"/>
    <s v="Бориспіль"/>
    <x v="3"/>
    <s v="Товари для дому"/>
    <s v="Серветки"/>
    <x v="0"/>
    <x v="1"/>
    <x v="1"/>
    <n v="1700.8500000000001"/>
    <n v="1955"/>
  </r>
  <r>
    <x v="3"/>
    <s v="Одеса"/>
    <x v="4"/>
    <s v="Товари для дому"/>
    <s v="Зубочистки"/>
    <x v="0"/>
    <x v="1"/>
    <x v="1"/>
    <n v="2946.6900000000005"/>
    <n v="3387"/>
  </r>
  <r>
    <x v="4"/>
    <s v="Харків"/>
    <x v="5"/>
    <s v="Товари для дому"/>
    <s v="Одноразовий посуд"/>
    <x v="0"/>
    <x v="1"/>
    <x v="1"/>
    <n v="2073.89"/>
    <n v="2279"/>
  </r>
  <r>
    <x v="0"/>
    <s v="Бердичів"/>
    <x v="1"/>
    <s v="Косметика"/>
    <s v="Шампунь"/>
    <x v="0"/>
    <x v="1"/>
    <x v="1"/>
    <n v="5634.08"/>
    <n v="6124"/>
  </r>
  <r>
    <x v="1"/>
    <s v="Бердянськ"/>
    <x v="6"/>
    <s v="Косметика"/>
    <s v="Дезодорант"/>
    <x v="0"/>
    <x v="1"/>
    <x v="1"/>
    <n v="5032.7999999999993"/>
    <n v="5592"/>
  </r>
  <r>
    <x v="2"/>
    <s v="Біла Церква"/>
    <x v="7"/>
    <s v="Косметика"/>
    <s v="Мило"/>
    <x v="0"/>
    <x v="1"/>
    <x v="1"/>
    <n v="3296.58"/>
    <n v="3507"/>
  </r>
  <r>
    <x v="3"/>
    <s v="Чорноморськ"/>
    <x v="8"/>
    <s v="Побутова хімія"/>
    <s v="Засіб для миття посуду"/>
    <x v="0"/>
    <x v="1"/>
    <x v="1"/>
    <n v="3710.55"/>
    <n v="4265"/>
  </r>
  <r>
    <x v="4"/>
    <s v="Чугуїв"/>
    <x v="9"/>
    <s v="Побутова хімія"/>
    <s v="Засіб для посудомийних машин"/>
    <x v="0"/>
    <x v="1"/>
    <x v="1"/>
    <n v="3987.4799999999996"/>
    <n v="4242"/>
  </r>
  <r>
    <x v="0"/>
    <s v="Житомир"/>
    <x v="0"/>
    <s v="Побутова хімія"/>
    <s v="Засоби для догляду за меблями"/>
    <x v="0"/>
    <x v="1"/>
    <x v="1"/>
    <n v="2964.7799999999997"/>
    <n v="3258"/>
  </r>
  <r>
    <x v="1"/>
    <s v="Запоріжжя"/>
    <x v="2"/>
    <s v="Товари для дому"/>
    <s v="Серветки"/>
    <x v="0"/>
    <x v="1"/>
    <x v="1"/>
    <n v="2453.7299999999996"/>
    <n v="2757"/>
  </r>
  <r>
    <x v="2"/>
    <s v="Бориспіль"/>
    <x v="3"/>
    <s v="Товари для дому"/>
    <s v="Зубочистки"/>
    <x v="0"/>
    <x v="1"/>
    <x v="1"/>
    <n v="2090.6099999999997"/>
    <n v="2349"/>
  </r>
  <r>
    <x v="3"/>
    <s v="Одеса"/>
    <x v="4"/>
    <s v="Товари для дому"/>
    <s v="Одноразовий посуд"/>
    <x v="0"/>
    <x v="1"/>
    <x v="1"/>
    <n v="2082.0600000000004"/>
    <n v="2421"/>
  </r>
  <r>
    <x v="4"/>
    <s v="Харків"/>
    <x v="5"/>
    <s v="Косметика"/>
    <s v="Шампунь"/>
    <x v="0"/>
    <x v="1"/>
    <x v="1"/>
    <n v="4626"/>
    <n v="5140"/>
  </r>
  <r>
    <x v="1"/>
    <s v="Запоріжжя"/>
    <x v="2"/>
    <s v="Косметика"/>
    <s v="Мило"/>
    <x v="0"/>
    <x v="1"/>
    <x v="1"/>
    <n v="3556.7999999999997"/>
    <n v="3952"/>
  </r>
  <r>
    <x v="2"/>
    <s v="Біла Церква"/>
    <x v="7"/>
    <s v="Побутова хімія"/>
    <s v="Засіб для миття посуду"/>
    <x v="0"/>
    <x v="1"/>
    <x v="1"/>
    <n v="3371.25"/>
    <n v="3625"/>
  </r>
  <r>
    <x v="3"/>
    <s v="Чорноморськ"/>
    <x v="8"/>
    <s v="Побутова хімія"/>
    <s v="Засіб для посудомийних машин"/>
    <x v="0"/>
    <x v="1"/>
    <x v="1"/>
    <n v="3060.33"/>
    <n v="3363"/>
  </r>
  <r>
    <x v="4"/>
    <s v="Чугуїв"/>
    <x v="9"/>
    <s v="Побутова хімія"/>
    <s v="Засоби для догляду за меблями"/>
    <x v="0"/>
    <x v="1"/>
    <x v="1"/>
    <n v="3123.3999999999996"/>
    <n v="3395"/>
  </r>
  <r>
    <x v="0"/>
    <s v="Житомир"/>
    <x v="0"/>
    <s v="Товари для дому"/>
    <s v="Серветки"/>
    <x v="0"/>
    <x v="1"/>
    <x v="1"/>
    <n v="1523.2799999999997"/>
    <n v="1731"/>
  </r>
  <r>
    <x v="1"/>
    <s v="Бердянськ"/>
    <x v="6"/>
    <s v="Товари для дому"/>
    <s v="Зубочистки"/>
    <x v="0"/>
    <x v="1"/>
    <x v="1"/>
    <n v="1683.4500000000003"/>
    <n v="1935"/>
  </r>
  <r>
    <x v="2"/>
    <s v="Бориспіль"/>
    <x v="3"/>
    <s v="Товари для дому"/>
    <s v="Одноразовий посуд"/>
    <x v="0"/>
    <x v="1"/>
    <x v="1"/>
    <n v="1498.6399999999999"/>
    <n v="1703"/>
  </r>
  <r>
    <x v="3"/>
    <s v="Одеса"/>
    <x v="4"/>
    <s v="Косметика"/>
    <s v="Шампунь"/>
    <x v="0"/>
    <x v="1"/>
    <x v="1"/>
    <n v="4348.08"/>
    <n v="4941"/>
  </r>
  <r>
    <x v="4"/>
    <s v="Харків"/>
    <x v="5"/>
    <s v="Косметика"/>
    <s v="Дезодорант"/>
    <x v="0"/>
    <x v="1"/>
    <x v="1"/>
    <n v="3856.64"/>
    <n v="4192"/>
  </r>
  <r>
    <x v="0"/>
    <s v="Бердичів"/>
    <x v="1"/>
    <s v="Косметика"/>
    <s v="Мило"/>
    <x v="0"/>
    <x v="1"/>
    <x v="1"/>
    <n v="3422.3999999999996"/>
    <n v="3720"/>
  </r>
  <r>
    <x v="1"/>
    <s v="Запоріжжя"/>
    <x v="2"/>
    <s v="Побутова хімія"/>
    <s v="Засіб для миття посуду"/>
    <x v="0"/>
    <x v="1"/>
    <x v="1"/>
    <n v="4436.7999999999993"/>
    <n v="4720"/>
  </r>
  <r>
    <x v="2"/>
    <s v="Біла Церква"/>
    <x v="7"/>
    <s v="Побутова хімія"/>
    <s v="Засіб для посудомийних машин"/>
    <x v="0"/>
    <x v="1"/>
    <x v="1"/>
    <n v="4461.57"/>
    <n v="5013"/>
  </r>
  <r>
    <x v="3"/>
    <s v="Чорноморськ"/>
    <x v="8"/>
    <s v="Побутова хімія"/>
    <s v="Засоби для догляду за меблями"/>
    <x v="0"/>
    <x v="1"/>
    <x v="1"/>
    <n v="3791.9599999999996"/>
    <n v="4034"/>
  </r>
  <r>
    <x v="4"/>
    <s v="Чугуїв"/>
    <x v="9"/>
    <s v="Товари для дому"/>
    <s v="Серветки"/>
    <x v="0"/>
    <x v="1"/>
    <x v="1"/>
    <n v="1651.7599999999998"/>
    <n v="1877"/>
  </r>
  <r>
    <x v="1"/>
    <s v="Запоріжжя"/>
    <x v="2"/>
    <s v="Товари для дому"/>
    <s v="Одноразовий посуд"/>
    <x v="0"/>
    <x v="1"/>
    <x v="1"/>
    <n v="2094.3599999999997"/>
    <n v="2252"/>
  </r>
  <r>
    <x v="2"/>
    <s v="Бориспіль"/>
    <x v="3"/>
    <s v="Косметика"/>
    <s v="Шампунь"/>
    <x v="0"/>
    <x v="1"/>
    <x v="1"/>
    <n v="4153.5"/>
    <n v="4615"/>
  </r>
  <r>
    <x v="3"/>
    <s v="Чорноморськ"/>
    <x v="8"/>
    <s v="Косметика"/>
    <s v="Дезодорант"/>
    <x v="0"/>
    <x v="1"/>
    <x v="1"/>
    <n v="2273.84"/>
    <n v="2644"/>
  </r>
  <r>
    <x v="4"/>
    <s v="Харків"/>
    <x v="5"/>
    <s v="Косметика"/>
    <s v="Мило"/>
    <x v="0"/>
    <x v="1"/>
    <x v="1"/>
    <n v="2583.0300000000002"/>
    <n v="2969"/>
  </r>
  <r>
    <x v="0"/>
    <s v="Бердичів"/>
    <x v="1"/>
    <s v="Побутова хімія"/>
    <s v="Засіб для миття посуду"/>
    <x v="0"/>
    <x v="1"/>
    <x v="1"/>
    <n v="4449.1099999999997"/>
    <n v="4999"/>
  </r>
  <r>
    <x v="0"/>
    <s v="Бердичів"/>
    <x v="1"/>
    <s v="Побутова хімія"/>
    <s v="Засіб для посудомийних машин"/>
    <x v="0"/>
    <x v="1"/>
    <x v="1"/>
    <n v="3541.1000000000004"/>
    <n v="4166"/>
  </r>
  <r>
    <x v="1"/>
    <s v="Бердянськ"/>
    <x v="6"/>
    <s v="Побутова хімія"/>
    <s v="Засоби для догляду за меблями"/>
    <x v="0"/>
    <x v="1"/>
    <x v="1"/>
    <n v="2641.5199999999995"/>
    <n v="2968"/>
  </r>
  <r>
    <x v="1"/>
    <s v="Бердянськ"/>
    <x v="6"/>
    <s v="Товари для дому"/>
    <s v="Серветки"/>
    <x v="0"/>
    <x v="1"/>
    <x v="1"/>
    <n v="2165.04"/>
    <n v="2328"/>
  </r>
  <r>
    <x v="2"/>
    <s v="Біла Церква"/>
    <x v="7"/>
    <s v="Товари для дому"/>
    <s v="Зубочистки"/>
    <x v="0"/>
    <x v="1"/>
    <x v="1"/>
    <n v="2396.06"/>
    <n v="2549"/>
  </r>
  <r>
    <x v="2"/>
    <s v="Біла Церква"/>
    <x v="7"/>
    <s v="Товари для дому"/>
    <s v="Одноразовий посуд"/>
    <x v="0"/>
    <x v="1"/>
    <x v="1"/>
    <n v="2160.3399999999997"/>
    <n v="2374"/>
  </r>
  <r>
    <x v="2"/>
    <s v="Бориспіль"/>
    <x v="3"/>
    <s v="Косметика"/>
    <s v="Дезодорант"/>
    <x v="0"/>
    <x v="1"/>
    <x v="1"/>
    <n v="2759.6400000000003"/>
    <n v="3172"/>
  </r>
  <r>
    <x v="0"/>
    <s v="Житомир"/>
    <x v="0"/>
    <s v="Косметика"/>
    <s v="Мило"/>
    <x v="0"/>
    <x v="1"/>
    <x v="1"/>
    <n v="1830.9"/>
    <n v="2154"/>
  </r>
  <r>
    <x v="2"/>
    <s v="Ірпінь"/>
    <x v="10"/>
    <s v="Товари для дому"/>
    <s v="Серветки"/>
    <x v="0"/>
    <x v="1"/>
    <x v="1"/>
    <n v="2388.7599999999998"/>
    <n v="2684"/>
  </r>
  <r>
    <x v="2"/>
    <s v="Ірпінь"/>
    <x v="10"/>
    <s v="Товари для дому"/>
    <s v="Зубочистки"/>
    <x v="0"/>
    <x v="1"/>
    <x v="1"/>
    <n v="1743.5099999999998"/>
    <n v="1959"/>
  </r>
  <r>
    <x v="2"/>
    <s v="Київ"/>
    <x v="11"/>
    <s v="Товари для дому"/>
    <s v="Одноразовий посуд"/>
    <x v="0"/>
    <x v="1"/>
    <x v="1"/>
    <n v="2539.83"/>
    <n v="2731"/>
  </r>
  <r>
    <x v="2"/>
    <s v="Київ"/>
    <x v="11"/>
    <s v="Косметика"/>
    <s v="Шампунь"/>
    <x v="0"/>
    <x v="1"/>
    <x v="1"/>
    <n v="6221.99"/>
    <n v="6991"/>
  </r>
  <r>
    <x v="3"/>
    <s v="Одеса"/>
    <x v="4"/>
    <s v="Косметика"/>
    <s v="Дезодорант"/>
    <x v="0"/>
    <x v="1"/>
    <x v="1"/>
    <n v="2452.2500000000005"/>
    <n v="2885"/>
  </r>
  <r>
    <x v="3"/>
    <s v="Одеса"/>
    <x v="4"/>
    <s v="Косметика"/>
    <s v="Мило"/>
    <x v="0"/>
    <x v="1"/>
    <x v="1"/>
    <n v="2379.8599999999997"/>
    <n v="2674"/>
  </r>
  <r>
    <x v="4"/>
    <s v="Харків"/>
    <x v="5"/>
    <s v="Побутова хімія"/>
    <s v="Засіб для миття посуду"/>
    <x v="0"/>
    <x v="1"/>
    <x v="1"/>
    <n v="3935.01"/>
    <n v="4523"/>
  </r>
  <r>
    <x v="4"/>
    <s v="Харків"/>
    <x v="5"/>
    <s v="Побутова хімія"/>
    <s v="Засіб для посудомийних машин"/>
    <x v="0"/>
    <x v="1"/>
    <x v="1"/>
    <n v="4764.7599999999993"/>
    <n v="5236"/>
  </r>
  <r>
    <x v="3"/>
    <s v="Чорноморськ"/>
    <x v="8"/>
    <s v="Товари для дому"/>
    <s v="Серветки"/>
    <x v="0"/>
    <x v="1"/>
    <x v="1"/>
    <n v="2344.3000000000002"/>
    <n v="2758"/>
  </r>
  <r>
    <x v="4"/>
    <s v="Чугуїв"/>
    <x v="9"/>
    <s v="Товари для дому"/>
    <s v="Зубочистки"/>
    <x v="0"/>
    <x v="1"/>
    <x v="1"/>
    <n v="1418.46"/>
    <n v="1509"/>
  </r>
  <r>
    <x v="4"/>
    <s v="Чугуїв"/>
    <x v="9"/>
    <s v="Товари для дому"/>
    <s v="Одноразовий посуд"/>
    <x v="0"/>
    <x v="1"/>
    <x v="1"/>
    <n v="1436.2000000000003"/>
    <n v="1670"/>
  </r>
  <r>
    <x v="2"/>
    <s v="Біла Церква"/>
    <x v="7"/>
    <s v="Косметика"/>
    <s v="Шампунь"/>
    <x v="0"/>
    <x v="1"/>
    <x v="1"/>
    <n v="5721.7599999999993"/>
    <n v="6502"/>
  </r>
  <r>
    <x v="1"/>
    <s v="Бердянськ"/>
    <x v="6"/>
    <s v="Побутова хімія"/>
    <s v="Засіб для посудомийних машин"/>
    <x v="0"/>
    <x v="1"/>
    <x v="1"/>
    <n v="3802.0600000000004"/>
    <n v="4421"/>
  </r>
  <r>
    <x v="0"/>
    <s v="Житомир"/>
    <x v="0"/>
    <s v="Товари для дому"/>
    <s v="Одноразовий посуд"/>
    <x v="0"/>
    <x v="1"/>
    <x v="1"/>
    <n v="1992.3199999999997"/>
    <n v="2264"/>
  </r>
  <r>
    <x v="0"/>
    <s v="Житомир"/>
    <x v="0"/>
    <s v="Косметика"/>
    <s v="Шампунь"/>
    <x v="0"/>
    <x v="1"/>
    <x v="1"/>
    <n v="4698.4399999999996"/>
    <n v="5107"/>
  </r>
  <r>
    <x v="1"/>
    <s v="Запоріжжя"/>
    <x v="2"/>
    <s v="Косметика"/>
    <s v="Дезодорант"/>
    <x v="0"/>
    <x v="1"/>
    <x v="1"/>
    <n v="2996.2400000000002"/>
    <n v="3484"/>
  </r>
  <r>
    <x v="2"/>
    <s v="Ірпінь"/>
    <x v="10"/>
    <s v="Побутова хімія"/>
    <s v="Засіб для миття посуду"/>
    <x v="0"/>
    <x v="1"/>
    <x v="1"/>
    <n v="2999.7"/>
    <n v="3333"/>
  </r>
  <r>
    <x v="2"/>
    <s v="Ірпінь"/>
    <x v="10"/>
    <s v="Побутова хімія"/>
    <s v="Засіб для посудомийних машин"/>
    <x v="0"/>
    <x v="1"/>
    <x v="1"/>
    <n v="2924.24"/>
    <n v="3323"/>
  </r>
  <r>
    <x v="2"/>
    <s v="Київ"/>
    <x v="11"/>
    <s v="Побутова хімія"/>
    <s v="Засоби для догляду за меблями"/>
    <x v="0"/>
    <x v="1"/>
    <x v="1"/>
    <n v="3414.9599999999996"/>
    <n v="3672"/>
  </r>
  <r>
    <x v="2"/>
    <s v="Київ"/>
    <x v="11"/>
    <s v="Товари для дому"/>
    <s v="Серветки"/>
    <x v="0"/>
    <x v="1"/>
    <x v="1"/>
    <n v="1448.7199999999998"/>
    <n v="1592"/>
  </r>
  <r>
    <x v="2"/>
    <s v="Біла Церква"/>
    <x v="7"/>
    <s v="Товари для дому"/>
    <s v="Серветки"/>
    <x v="0"/>
    <x v="1"/>
    <x v="1"/>
    <n v="2336.8799999999997"/>
    <n v="2568"/>
  </r>
  <r>
    <x v="1"/>
    <s v="Бердянськ"/>
    <x v="6"/>
    <s v="Косметика"/>
    <s v="Мило"/>
    <x v="0"/>
    <x v="1"/>
    <x v="1"/>
    <n v="3954.16"/>
    <n v="4298"/>
  </r>
  <r>
    <x v="2"/>
    <s v="Бориспіль"/>
    <x v="3"/>
    <s v="Побутова хімія"/>
    <s v="Засіб для миття посуду"/>
    <x v="0"/>
    <x v="1"/>
    <x v="1"/>
    <n v="4531.8799999999992"/>
    <n v="5092"/>
  </r>
  <r>
    <x v="2"/>
    <s v="Бориспіль"/>
    <x v="3"/>
    <s v="Побутова хімія"/>
    <s v="Засіб для посудомийних машин"/>
    <x v="0"/>
    <x v="1"/>
    <x v="1"/>
    <n v="2674.9500000000003"/>
    <n v="3147"/>
  </r>
  <r>
    <x v="1"/>
    <s v="Запоріжжя"/>
    <x v="2"/>
    <s v="Товари для дому"/>
    <s v="Зубочистки"/>
    <x v="0"/>
    <x v="1"/>
    <x v="1"/>
    <n v="2710.02"/>
    <n v="2914"/>
  </r>
  <r>
    <x v="2"/>
    <s v="Ірпінь"/>
    <x v="10"/>
    <s v="Косметика"/>
    <s v="Шампунь"/>
    <x v="0"/>
    <x v="1"/>
    <x v="1"/>
    <n v="4973.3500000000004"/>
    <n v="5851"/>
  </r>
  <r>
    <x v="2"/>
    <s v="Ірпінь"/>
    <x v="10"/>
    <s v="Косметика"/>
    <s v="Дезодорант"/>
    <x v="0"/>
    <x v="1"/>
    <x v="1"/>
    <n v="4574.67"/>
    <n v="4919"/>
  </r>
  <r>
    <x v="2"/>
    <s v="Київ"/>
    <x v="11"/>
    <s v="Косметика"/>
    <s v="Мило"/>
    <x v="0"/>
    <x v="1"/>
    <x v="1"/>
    <n v="1993.2500000000002"/>
    <n v="2345"/>
  </r>
  <r>
    <x v="2"/>
    <s v="Київ"/>
    <x v="11"/>
    <s v="Побутова хімія"/>
    <s v="Засіб для миття посуду"/>
    <x v="0"/>
    <x v="1"/>
    <x v="1"/>
    <n v="4356.5499999999993"/>
    <n v="4895"/>
  </r>
  <r>
    <x v="3"/>
    <s v="Одеса"/>
    <x v="4"/>
    <s v="Побутова хімія"/>
    <s v="Засіб для посудомийних машин"/>
    <x v="0"/>
    <x v="1"/>
    <x v="1"/>
    <n v="3446.0799999999995"/>
    <n v="3916"/>
  </r>
  <r>
    <x v="3"/>
    <s v="Одеса"/>
    <x v="4"/>
    <s v="Побутова хімія"/>
    <s v="Засоби для догляду за меблями"/>
    <x v="0"/>
    <x v="1"/>
    <x v="1"/>
    <n v="2880.57"/>
    <n v="3311"/>
  </r>
  <r>
    <x v="4"/>
    <s v="Харків"/>
    <x v="5"/>
    <s v="Товари для дому"/>
    <s v="Серветки"/>
    <x v="0"/>
    <x v="1"/>
    <x v="1"/>
    <n v="2476.9"/>
    <n v="2914"/>
  </r>
  <r>
    <x v="3"/>
    <s v="Чорноморськ"/>
    <x v="8"/>
    <s v="Товари для дому"/>
    <s v="Одноразовий посуд"/>
    <x v="0"/>
    <x v="1"/>
    <x v="1"/>
    <n v="1763.0899999999997"/>
    <n v="1981"/>
  </r>
  <r>
    <x v="3"/>
    <s v="Чорноморськ"/>
    <x v="8"/>
    <s v="Косметика"/>
    <s v="Шампунь"/>
    <x v="0"/>
    <x v="1"/>
    <x v="1"/>
    <n v="3963.1699999999996"/>
    <n v="4453"/>
  </r>
  <r>
    <x v="4"/>
    <s v="Чугуїв"/>
    <x v="9"/>
    <s v="Косметика"/>
    <s v="Дезодорант"/>
    <x v="0"/>
    <x v="1"/>
    <x v="1"/>
    <n v="4928.07"/>
    <n v="5299"/>
  </r>
  <r>
    <x v="4"/>
    <s v="Чугуїв"/>
    <x v="9"/>
    <s v="Косметика"/>
    <s v="Мило"/>
    <x v="0"/>
    <x v="1"/>
    <x v="1"/>
    <n v="2776.7599999999998"/>
    <n v="2954"/>
  </r>
  <r>
    <x v="0"/>
    <s v="Бердичів"/>
    <x v="1"/>
    <s v="Побутова хімія"/>
    <s v="Засоби для догляду за меблями"/>
    <x v="0"/>
    <x v="1"/>
    <x v="1"/>
    <n v="3038.49"/>
    <n v="3339"/>
  </r>
  <r>
    <x v="0"/>
    <s v="Бердичів"/>
    <x v="1"/>
    <s v="Товари для дому"/>
    <s v="Серветки"/>
    <x v="0"/>
    <x v="1"/>
    <x v="1"/>
    <n v="2013.1799999999998"/>
    <n v="2262"/>
  </r>
  <r>
    <x v="1"/>
    <s v="Бердянськ"/>
    <x v="6"/>
    <s v="Товари для дому"/>
    <s v="Одноразовий посуд"/>
    <x v="0"/>
    <x v="1"/>
    <x v="1"/>
    <n v="2238.35"/>
    <n v="2515"/>
  </r>
  <r>
    <x v="2"/>
    <s v="Ірпінь"/>
    <x v="10"/>
    <s v="Косметика"/>
    <s v="Мило"/>
    <x v="0"/>
    <x v="1"/>
    <x v="1"/>
    <n v="3547.2799999999997"/>
    <n v="4031"/>
  </r>
  <r>
    <x v="2"/>
    <s v="Київ"/>
    <x v="11"/>
    <s v="Побутова хімія"/>
    <s v="Засіб для посудомийних машин"/>
    <x v="0"/>
    <x v="1"/>
    <x v="1"/>
    <n v="2871.7"/>
    <n v="3055"/>
  </r>
  <r>
    <x v="2"/>
    <s v="Біла Церква"/>
    <x v="7"/>
    <s v="Побутова хімія"/>
    <s v="Засоби для догляду за меблями"/>
    <x v="0"/>
    <x v="1"/>
    <x v="1"/>
    <n v="3418.68"/>
    <n v="3676"/>
  </r>
  <r>
    <x v="2"/>
    <s v="Бориспіль"/>
    <x v="3"/>
    <s v="Косметика"/>
    <s v="Мило"/>
    <x v="0"/>
    <x v="1"/>
    <x v="1"/>
    <n v="3986.3400000000006"/>
    <n v="4582"/>
  </r>
  <r>
    <x v="2"/>
    <s v="Ірпінь"/>
    <x v="10"/>
    <s v="Товари для дому"/>
    <s v="Одноразовий посуд"/>
    <x v="0"/>
    <x v="1"/>
    <x v="1"/>
    <n v="1580.56"/>
    <n v="1718"/>
  </r>
  <r>
    <x v="2"/>
    <s v="Київ"/>
    <x v="11"/>
    <s v="Косметика"/>
    <s v="Дезодорант"/>
    <x v="0"/>
    <x v="1"/>
    <x v="1"/>
    <n v="4141.28"/>
    <n v="4706"/>
  </r>
  <r>
    <x v="3"/>
    <s v="Одеса"/>
    <x v="4"/>
    <s v="Побутова хімія"/>
    <s v="Засіб для миття посуду"/>
    <x v="0"/>
    <x v="1"/>
    <x v="1"/>
    <n v="2965.8300000000004"/>
    <n v="3409"/>
  </r>
  <r>
    <x v="4"/>
    <s v="Харків"/>
    <x v="5"/>
    <s v="Побутова хімія"/>
    <s v="Засоби для догляду за меблями"/>
    <x v="0"/>
    <x v="1"/>
    <x v="1"/>
    <n v="3805.5599999999995"/>
    <n v="4092"/>
  </r>
  <r>
    <x v="3"/>
    <s v="Чорноморськ"/>
    <x v="8"/>
    <s v="Товари для дому"/>
    <s v="Зубочистки"/>
    <x v="0"/>
    <x v="1"/>
    <x v="1"/>
    <n v="1450.54"/>
    <n v="1594"/>
  </r>
  <r>
    <x v="4"/>
    <s v="Чугуїв"/>
    <x v="9"/>
    <s v="Косметика"/>
    <s v="Шампунь"/>
    <x v="0"/>
    <x v="1"/>
    <x v="1"/>
    <n v="6505.3499999999995"/>
    <n v="6995"/>
  </r>
  <r>
    <x v="2"/>
    <s v="Ірпінь"/>
    <x v="10"/>
    <s v="Побутова хімія"/>
    <s v="Засоби для догляду за меблями"/>
    <x v="0"/>
    <x v="1"/>
    <x v="1"/>
    <n v="3606.2799999999997"/>
    <n v="4052"/>
  </r>
  <r>
    <x v="2"/>
    <s v="Київ"/>
    <x v="11"/>
    <s v="Товари для дому"/>
    <s v="Зубочистки"/>
    <x v="0"/>
    <x v="1"/>
    <x v="1"/>
    <n v="2100.87"/>
    <n v="2259"/>
  </r>
  <r>
    <x v="0"/>
    <s v="Житомир"/>
    <x v="0"/>
    <s v="Товари для дому"/>
    <s v="Зубочистки"/>
    <x v="0"/>
    <x v="2"/>
    <x v="2"/>
    <n v="1856.5399999999997"/>
    <n v="2086"/>
  </r>
  <r>
    <x v="0"/>
    <s v="Бердичів"/>
    <x v="1"/>
    <s v="Товари для дому"/>
    <s v="Зубочистки"/>
    <x v="0"/>
    <x v="2"/>
    <x v="2"/>
    <n v="1808.1699999999998"/>
    <n v="1987"/>
  </r>
  <r>
    <x v="0"/>
    <s v="Бердичів"/>
    <x v="1"/>
    <s v="Косметика"/>
    <s v="Дезодорант"/>
    <x v="0"/>
    <x v="2"/>
    <x v="2"/>
    <n v="3149.0999999999995"/>
    <n v="3499"/>
  </r>
  <r>
    <x v="0"/>
    <s v="Житомир"/>
    <x v="0"/>
    <s v="Косметика"/>
    <s v="Дезодорант"/>
    <x v="0"/>
    <x v="2"/>
    <x v="2"/>
    <n v="3263.1500000000005"/>
    <n v="3839"/>
  </r>
  <r>
    <x v="0"/>
    <s v="Житомир"/>
    <x v="0"/>
    <s v="Побутова хімія"/>
    <s v="Засіб для миття посуду"/>
    <x v="0"/>
    <x v="2"/>
    <x v="2"/>
    <n v="3520.7000000000003"/>
    <n v="4142"/>
  </r>
  <r>
    <x v="1"/>
    <s v="Запоріжжя"/>
    <x v="2"/>
    <s v="Побутова хімія"/>
    <s v="Засіб для посудомийних машин"/>
    <x v="0"/>
    <x v="2"/>
    <x v="2"/>
    <n v="4508.1399999999994"/>
    <n v="4954"/>
  </r>
  <r>
    <x v="2"/>
    <s v="Бориспіль"/>
    <x v="3"/>
    <s v="Побутова хімія"/>
    <s v="Засоби для догляду за меблями"/>
    <x v="0"/>
    <x v="2"/>
    <x v="2"/>
    <n v="3251.1699999999996"/>
    <n v="3653"/>
  </r>
  <r>
    <x v="3"/>
    <s v="Одеса"/>
    <x v="4"/>
    <s v="Товари для дому"/>
    <s v="Серветки"/>
    <x v="0"/>
    <x v="2"/>
    <x v="2"/>
    <n v="1897.2000000000003"/>
    <n v="2232"/>
  </r>
  <r>
    <x v="4"/>
    <s v="Харків"/>
    <x v="5"/>
    <s v="Товари для дому"/>
    <s v="Зубочистки"/>
    <x v="0"/>
    <x v="2"/>
    <x v="2"/>
    <n v="3009.5999999999995"/>
    <n v="3344"/>
  </r>
  <r>
    <x v="0"/>
    <s v="Бердичів"/>
    <x v="1"/>
    <s v="Товари для дому"/>
    <s v="Одноразовий посуд"/>
    <x v="0"/>
    <x v="2"/>
    <x v="2"/>
    <n v="2350.6"/>
    <n v="2555"/>
  </r>
  <r>
    <x v="1"/>
    <s v="Бердянськ"/>
    <x v="6"/>
    <s v="Косметика"/>
    <s v="Шампунь"/>
    <x v="0"/>
    <x v="2"/>
    <x v="2"/>
    <n v="6218.94"/>
    <n v="6834"/>
  </r>
  <r>
    <x v="2"/>
    <s v="Біла Церква"/>
    <x v="7"/>
    <s v="Косметика"/>
    <s v="Дезодорант"/>
    <x v="0"/>
    <x v="2"/>
    <x v="2"/>
    <n v="4519.5199999999995"/>
    <n v="4808"/>
  </r>
  <r>
    <x v="3"/>
    <s v="Чорноморськ"/>
    <x v="8"/>
    <s v="Косметика"/>
    <s v="Мило"/>
    <x v="0"/>
    <x v="2"/>
    <x v="2"/>
    <n v="4181.2199999999993"/>
    <n v="4698"/>
  </r>
  <r>
    <x v="4"/>
    <s v="Чугуїв"/>
    <x v="9"/>
    <s v="Побутова хімія"/>
    <s v="Засіб для миття посуду"/>
    <x v="0"/>
    <x v="2"/>
    <x v="2"/>
    <n v="3540.9799999999996"/>
    <n v="3767"/>
  </r>
  <r>
    <x v="0"/>
    <s v="Житомир"/>
    <x v="0"/>
    <s v="Побутова хімія"/>
    <s v="Засіб для посудомийних машин"/>
    <x v="0"/>
    <x v="2"/>
    <x v="2"/>
    <n v="2986.2299999999996"/>
    <n v="3211"/>
  </r>
  <r>
    <x v="1"/>
    <s v="Запоріжжя"/>
    <x v="2"/>
    <s v="Побутова хімія"/>
    <s v="Засоби для догляду за меблями"/>
    <x v="0"/>
    <x v="2"/>
    <x v="2"/>
    <n v="3263.6299999999997"/>
    <n v="3667"/>
  </r>
  <r>
    <x v="2"/>
    <s v="Бориспіль"/>
    <x v="3"/>
    <s v="Товари для дому"/>
    <s v="Серветки"/>
    <x v="0"/>
    <x v="2"/>
    <x v="2"/>
    <n v="2136.6"/>
    <n v="2374"/>
  </r>
  <r>
    <x v="3"/>
    <s v="Одеса"/>
    <x v="4"/>
    <s v="Товари для дому"/>
    <s v="Зубочистки"/>
    <x v="0"/>
    <x v="2"/>
    <x v="2"/>
    <n v="2555.0600000000004"/>
    <n v="2971"/>
  </r>
  <r>
    <x v="4"/>
    <s v="Харків"/>
    <x v="5"/>
    <s v="Товари для дому"/>
    <s v="Одноразовий посуд"/>
    <x v="0"/>
    <x v="2"/>
    <x v="2"/>
    <n v="1208.8799999999999"/>
    <n v="1314"/>
  </r>
  <r>
    <x v="0"/>
    <s v="Бердичів"/>
    <x v="1"/>
    <s v="Косметика"/>
    <s v="Шампунь"/>
    <x v="0"/>
    <x v="2"/>
    <x v="2"/>
    <n v="5601.0499999999993"/>
    <n v="6155"/>
  </r>
  <r>
    <x v="1"/>
    <s v="Бердянськ"/>
    <x v="6"/>
    <s v="Косметика"/>
    <s v="Дезодорант"/>
    <x v="0"/>
    <x v="2"/>
    <x v="2"/>
    <n v="4874.53"/>
    <n v="5477"/>
  </r>
  <r>
    <x v="2"/>
    <s v="Біла Церква"/>
    <x v="7"/>
    <s v="Косметика"/>
    <s v="Мило"/>
    <x v="0"/>
    <x v="2"/>
    <x v="2"/>
    <n v="2747.3599999999997"/>
    <n v="3122"/>
  </r>
  <r>
    <x v="3"/>
    <s v="Чорноморськ"/>
    <x v="8"/>
    <s v="Побутова хімія"/>
    <s v="Засіб для миття посуду"/>
    <x v="0"/>
    <x v="2"/>
    <x v="2"/>
    <n v="2948.4300000000003"/>
    <n v="3389"/>
  </r>
  <r>
    <x v="4"/>
    <s v="Чугуїв"/>
    <x v="9"/>
    <s v="Побутова хімія"/>
    <s v="Засіб для посудомийних машин"/>
    <x v="0"/>
    <x v="2"/>
    <x v="2"/>
    <n v="3237.3599999999997"/>
    <n v="3444"/>
  </r>
  <r>
    <x v="0"/>
    <s v="Житомир"/>
    <x v="0"/>
    <s v="Побутова хімія"/>
    <s v="Засоби для догляду за меблями"/>
    <x v="0"/>
    <x v="2"/>
    <x v="2"/>
    <n v="3259.18"/>
    <n v="3662"/>
  </r>
  <r>
    <x v="1"/>
    <s v="Запоріжжя"/>
    <x v="2"/>
    <s v="Товари для дому"/>
    <s v="Серветки"/>
    <x v="0"/>
    <x v="2"/>
    <x v="2"/>
    <n v="1886.9199999999998"/>
    <n v="2051"/>
  </r>
  <r>
    <x v="2"/>
    <s v="Бориспіль"/>
    <x v="3"/>
    <s v="Товари для дому"/>
    <s v="Зубочистки"/>
    <x v="0"/>
    <x v="2"/>
    <x v="2"/>
    <n v="2392.2999999999997"/>
    <n v="2545"/>
  </r>
  <r>
    <x v="3"/>
    <s v="Одеса"/>
    <x v="4"/>
    <s v="Товари для дому"/>
    <s v="Одноразовий посуд"/>
    <x v="0"/>
    <x v="2"/>
    <x v="2"/>
    <n v="1122"/>
    <n v="1320"/>
  </r>
  <r>
    <x v="4"/>
    <s v="Харків"/>
    <x v="5"/>
    <s v="Косметика"/>
    <s v="Шампунь"/>
    <x v="0"/>
    <x v="2"/>
    <x v="2"/>
    <n v="5362.6299999999992"/>
    <n v="5893"/>
  </r>
  <r>
    <x v="1"/>
    <s v="Запоріжжя"/>
    <x v="2"/>
    <s v="Косметика"/>
    <s v="Мило"/>
    <x v="0"/>
    <x v="2"/>
    <x v="2"/>
    <n v="2757.4"/>
    <n v="3244"/>
  </r>
  <r>
    <x v="2"/>
    <s v="Біла Церква"/>
    <x v="7"/>
    <s v="Побутова хімія"/>
    <s v="Засіб для миття посуду"/>
    <x v="0"/>
    <x v="2"/>
    <x v="2"/>
    <n v="3401.5799999999995"/>
    <n v="3822"/>
  </r>
  <r>
    <x v="3"/>
    <s v="Чорноморськ"/>
    <x v="8"/>
    <s v="Побутова хімія"/>
    <s v="Засіб для посудомийних машин"/>
    <x v="0"/>
    <x v="2"/>
    <x v="2"/>
    <n v="3637.7999999999997"/>
    <n v="3870"/>
  </r>
  <r>
    <x v="4"/>
    <s v="Чугуїв"/>
    <x v="9"/>
    <s v="Побутова хімія"/>
    <s v="Засоби для догляду за меблями"/>
    <x v="0"/>
    <x v="2"/>
    <x v="2"/>
    <n v="3136.3199999999997"/>
    <n v="3564"/>
  </r>
  <r>
    <x v="0"/>
    <s v="Житомир"/>
    <x v="0"/>
    <s v="Товари для дому"/>
    <s v="Серветки"/>
    <x v="0"/>
    <x v="2"/>
    <x v="2"/>
    <n v="2457.3199999999997"/>
    <n v="2671"/>
  </r>
  <r>
    <x v="1"/>
    <s v="Бердянськ"/>
    <x v="6"/>
    <s v="Товари для дому"/>
    <s v="Зубочистки"/>
    <x v="0"/>
    <x v="2"/>
    <x v="2"/>
    <n v="1992.6200000000003"/>
    <n v="2317"/>
  </r>
  <r>
    <x v="2"/>
    <s v="Бориспіль"/>
    <x v="3"/>
    <s v="Товари для дому"/>
    <s v="Одноразовий посуд"/>
    <x v="0"/>
    <x v="2"/>
    <x v="2"/>
    <n v="2412.79"/>
    <n v="2711"/>
  </r>
  <r>
    <x v="3"/>
    <s v="Одеса"/>
    <x v="4"/>
    <s v="Косметика"/>
    <s v="Шампунь"/>
    <x v="0"/>
    <x v="2"/>
    <x v="2"/>
    <n v="3776.0799999999995"/>
    <n v="4291"/>
  </r>
  <r>
    <x v="4"/>
    <s v="Харків"/>
    <x v="5"/>
    <s v="Косметика"/>
    <s v="Дезодорант"/>
    <x v="0"/>
    <x v="2"/>
    <x v="2"/>
    <n v="3152.7"/>
    <n v="3390"/>
  </r>
  <r>
    <x v="0"/>
    <s v="Бердичів"/>
    <x v="1"/>
    <s v="Косметика"/>
    <s v="Мило"/>
    <x v="0"/>
    <x v="2"/>
    <x v="2"/>
    <n v="1841.84"/>
    <n v="2002"/>
  </r>
  <r>
    <x v="1"/>
    <s v="Запоріжжя"/>
    <x v="2"/>
    <s v="Побутова хімія"/>
    <s v="Засіб для миття посуду"/>
    <x v="0"/>
    <x v="2"/>
    <x v="2"/>
    <n v="4183.9000000000005"/>
    <n v="4865"/>
  </r>
  <r>
    <x v="2"/>
    <s v="Біла Церква"/>
    <x v="7"/>
    <s v="Побутова хімія"/>
    <s v="Засіб для посудомийних машин"/>
    <x v="0"/>
    <x v="2"/>
    <x v="2"/>
    <n v="3212.22"/>
    <n v="3454"/>
  </r>
  <r>
    <x v="3"/>
    <s v="Чорноморськ"/>
    <x v="8"/>
    <s v="Побутова хімія"/>
    <s v="Засоби для догляду за меблями"/>
    <x v="0"/>
    <x v="2"/>
    <x v="2"/>
    <n v="2580.16"/>
    <n v="2932"/>
  </r>
  <r>
    <x v="4"/>
    <s v="Чугуїв"/>
    <x v="9"/>
    <s v="Товари для дому"/>
    <s v="Серветки"/>
    <x v="0"/>
    <x v="2"/>
    <x v="2"/>
    <n v="2027.0200000000002"/>
    <n v="2357"/>
  </r>
  <r>
    <x v="1"/>
    <s v="Запоріжжя"/>
    <x v="2"/>
    <s v="Товари для дому"/>
    <s v="Одноразовий посуд"/>
    <x v="0"/>
    <x v="2"/>
    <x v="2"/>
    <n v="1328.4900000000002"/>
    <n v="1527"/>
  </r>
  <r>
    <x v="2"/>
    <s v="Бориспіль"/>
    <x v="3"/>
    <s v="Косметика"/>
    <s v="Шампунь"/>
    <x v="0"/>
    <x v="2"/>
    <x v="2"/>
    <n v="4141.84"/>
    <n v="4502"/>
  </r>
  <r>
    <x v="3"/>
    <s v="Чорноморськ"/>
    <x v="8"/>
    <s v="Косметика"/>
    <s v="Дезодорант"/>
    <x v="0"/>
    <x v="2"/>
    <x v="2"/>
    <n v="4289.9999999999991"/>
    <n v="4875"/>
  </r>
  <r>
    <x v="4"/>
    <s v="Харків"/>
    <x v="5"/>
    <s v="Косметика"/>
    <s v="Мило"/>
    <x v="0"/>
    <x v="2"/>
    <x v="2"/>
    <n v="1944.6499999999999"/>
    <n v="2185"/>
  </r>
  <r>
    <x v="0"/>
    <s v="Бердичів"/>
    <x v="1"/>
    <s v="Побутова хімія"/>
    <s v="Засіб для миття посуду"/>
    <x v="0"/>
    <x v="2"/>
    <x v="2"/>
    <n v="4252.55"/>
    <n v="5003"/>
  </r>
  <r>
    <x v="0"/>
    <s v="Бердичів"/>
    <x v="1"/>
    <s v="Побутова хімія"/>
    <s v="Засіб для посудомийних машин"/>
    <x v="0"/>
    <x v="2"/>
    <x v="2"/>
    <n v="4527.0400000000009"/>
    <n v="5264"/>
  </r>
  <r>
    <x v="1"/>
    <s v="Бердянськ"/>
    <x v="6"/>
    <s v="Побутова хімія"/>
    <s v="Засоби для догляду за меблями"/>
    <x v="0"/>
    <x v="2"/>
    <x v="2"/>
    <n v="3272.3599999999997"/>
    <n v="3596"/>
  </r>
  <r>
    <x v="1"/>
    <s v="Бердянськ"/>
    <x v="6"/>
    <s v="Товари для дому"/>
    <s v="Серветки"/>
    <x v="0"/>
    <x v="2"/>
    <x v="2"/>
    <n v="1783.1799999999998"/>
    <n v="1897"/>
  </r>
  <r>
    <x v="2"/>
    <s v="Біла Церква"/>
    <x v="7"/>
    <s v="Товари для дому"/>
    <s v="Зубочистки"/>
    <x v="0"/>
    <x v="2"/>
    <x v="2"/>
    <n v="2091.5699999999997"/>
    <n v="2249"/>
  </r>
  <r>
    <x v="2"/>
    <s v="Біла Церква"/>
    <x v="7"/>
    <s v="Товари для дому"/>
    <s v="Одноразовий посуд"/>
    <x v="0"/>
    <x v="2"/>
    <x v="2"/>
    <n v="2650.7999999999997"/>
    <n v="2820"/>
  </r>
  <r>
    <x v="2"/>
    <s v="Бориспіль"/>
    <x v="3"/>
    <s v="Косметика"/>
    <s v="Дезодорант"/>
    <x v="0"/>
    <x v="2"/>
    <x v="2"/>
    <n v="4491.83"/>
    <n v="5047"/>
  </r>
  <r>
    <x v="0"/>
    <s v="Житомир"/>
    <x v="0"/>
    <s v="Косметика"/>
    <s v="Мило"/>
    <x v="0"/>
    <x v="2"/>
    <x v="2"/>
    <n v="3117.2100000000005"/>
    <n v="3583"/>
  </r>
  <r>
    <x v="2"/>
    <s v="Ірпінь"/>
    <x v="10"/>
    <s v="Товари для дому"/>
    <s v="Серветки"/>
    <x v="0"/>
    <x v="2"/>
    <x v="2"/>
    <n v="2334.0400000000004"/>
    <n v="2714"/>
  </r>
  <r>
    <x v="2"/>
    <s v="Ірпінь"/>
    <x v="10"/>
    <s v="Товари для дому"/>
    <s v="Зубочистки"/>
    <x v="0"/>
    <x v="2"/>
    <x v="2"/>
    <n v="2363.1299999999997"/>
    <n v="2541"/>
  </r>
  <r>
    <x v="2"/>
    <s v="Київ"/>
    <x v="11"/>
    <s v="Товари для дому"/>
    <s v="Одноразовий посуд"/>
    <x v="0"/>
    <x v="2"/>
    <x v="2"/>
    <n v="2019.3999999999999"/>
    <n v="2195"/>
  </r>
  <r>
    <x v="2"/>
    <s v="Київ"/>
    <x v="11"/>
    <s v="Косметика"/>
    <s v="Шампунь"/>
    <x v="0"/>
    <x v="2"/>
    <x v="2"/>
    <n v="3832.2"/>
    <n v="4258"/>
  </r>
  <r>
    <x v="3"/>
    <s v="Одеса"/>
    <x v="4"/>
    <s v="Косметика"/>
    <s v="Дезодорант"/>
    <x v="0"/>
    <x v="2"/>
    <x v="2"/>
    <n v="3610.2599999999998"/>
    <n v="3882"/>
  </r>
  <r>
    <x v="3"/>
    <s v="Одеса"/>
    <x v="4"/>
    <s v="Косметика"/>
    <s v="Мило"/>
    <x v="0"/>
    <x v="2"/>
    <x v="2"/>
    <n v="2109.5800000000004"/>
    <n v="2453"/>
  </r>
  <r>
    <x v="4"/>
    <s v="Харків"/>
    <x v="5"/>
    <s v="Побутова хімія"/>
    <s v="Засіб для миття посуду"/>
    <x v="0"/>
    <x v="2"/>
    <x v="2"/>
    <n v="4411.7999999999993"/>
    <n v="4902"/>
  </r>
  <r>
    <x v="4"/>
    <s v="Харків"/>
    <x v="5"/>
    <s v="Побутова хімія"/>
    <s v="Засіб для посудомийних машин"/>
    <x v="0"/>
    <x v="2"/>
    <x v="2"/>
    <n v="3464.37"/>
    <n v="3807"/>
  </r>
  <r>
    <x v="3"/>
    <s v="Чорноморськ"/>
    <x v="8"/>
    <s v="Товари для дому"/>
    <s v="Серветки"/>
    <x v="0"/>
    <x v="2"/>
    <x v="2"/>
    <n v="1879.1000000000001"/>
    <n v="2185"/>
  </r>
  <r>
    <x v="4"/>
    <s v="Чугуїв"/>
    <x v="9"/>
    <s v="Товари для дому"/>
    <s v="Зубочистки"/>
    <x v="0"/>
    <x v="2"/>
    <x v="2"/>
    <n v="2788.1200000000003"/>
    <n v="3242"/>
  </r>
  <r>
    <x v="4"/>
    <s v="Чугуїв"/>
    <x v="9"/>
    <s v="Товари для дому"/>
    <s v="Одноразовий посуд"/>
    <x v="0"/>
    <x v="2"/>
    <x v="2"/>
    <n v="1699.0099999999998"/>
    <n v="1909"/>
  </r>
  <r>
    <x v="2"/>
    <s v="Біла Церква"/>
    <x v="7"/>
    <s v="Косметика"/>
    <s v="Шампунь"/>
    <x v="0"/>
    <x v="2"/>
    <x v="2"/>
    <n v="4193.34"/>
    <n v="4461"/>
  </r>
  <r>
    <x v="1"/>
    <s v="Бердянськ"/>
    <x v="6"/>
    <s v="Побутова хімія"/>
    <s v="Засіб для посудомийних машин"/>
    <x v="0"/>
    <x v="2"/>
    <x v="2"/>
    <n v="3186.6500000000005"/>
    <n v="3749"/>
  </r>
  <r>
    <x v="0"/>
    <s v="Житомир"/>
    <x v="0"/>
    <s v="Товари для дому"/>
    <s v="Одноразовий посуд"/>
    <x v="0"/>
    <x v="2"/>
    <x v="2"/>
    <n v="2461.2300000000005"/>
    <n v="2829"/>
  </r>
  <r>
    <x v="0"/>
    <s v="Житомир"/>
    <x v="0"/>
    <s v="Косметика"/>
    <s v="Шампунь"/>
    <x v="0"/>
    <x v="2"/>
    <x v="2"/>
    <n v="5614.62"/>
    <n v="5973"/>
  </r>
  <r>
    <x v="1"/>
    <s v="Запоріжжя"/>
    <x v="2"/>
    <s v="Косметика"/>
    <s v="Дезодорант"/>
    <x v="0"/>
    <x v="2"/>
    <x v="2"/>
    <n v="2309.4500000000003"/>
    <n v="2717"/>
  </r>
  <r>
    <x v="2"/>
    <s v="Ірпінь"/>
    <x v="10"/>
    <s v="Побутова хімія"/>
    <s v="Засіб для миття посуду"/>
    <x v="0"/>
    <x v="2"/>
    <x v="2"/>
    <n v="3978.3600000000006"/>
    <n v="4626"/>
  </r>
  <r>
    <x v="2"/>
    <s v="Ірпінь"/>
    <x v="10"/>
    <s v="Побутова хімія"/>
    <s v="Засіб для посудомийних машин"/>
    <x v="0"/>
    <x v="2"/>
    <x v="2"/>
    <n v="3259.0200000000004"/>
    <n v="3746"/>
  </r>
  <r>
    <x v="2"/>
    <s v="Київ"/>
    <x v="11"/>
    <s v="Побутова хімія"/>
    <s v="Засоби для догляду за меблями"/>
    <x v="0"/>
    <x v="2"/>
    <x v="2"/>
    <n v="3606.7799999999997"/>
    <n v="3837"/>
  </r>
  <r>
    <x v="2"/>
    <s v="Київ"/>
    <x v="11"/>
    <s v="Товари для дому"/>
    <s v="Серветки"/>
    <x v="0"/>
    <x v="2"/>
    <x v="2"/>
    <n v="1972.0799999999997"/>
    <n v="2241"/>
  </r>
  <r>
    <x v="2"/>
    <s v="Біла Церква"/>
    <x v="7"/>
    <s v="Товари для дому"/>
    <s v="Серветки"/>
    <x v="0"/>
    <x v="2"/>
    <x v="2"/>
    <n v="1727.7599999999998"/>
    <n v="1878"/>
  </r>
  <r>
    <x v="1"/>
    <s v="Бердянськ"/>
    <x v="6"/>
    <s v="Косметика"/>
    <s v="Мило"/>
    <x v="0"/>
    <x v="2"/>
    <x v="2"/>
    <n v="2844.9000000000005"/>
    <n v="3270"/>
  </r>
  <r>
    <x v="2"/>
    <s v="Бориспіль"/>
    <x v="3"/>
    <s v="Побутова хімія"/>
    <s v="Засіб для миття посуду"/>
    <x v="0"/>
    <x v="2"/>
    <x v="2"/>
    <n v="3483.4800000000005"/>
    <n v="4004"/>
  </r>
  <r>
    <x v="2"/>
    <s v="Бориспіль"/>
    <x v="3"/>
    <s v="Побутова хімія"/>
    <s v="Засіб для посудомийних машин"/>
    <x v="0"/>
    <x v="2"/>
    <x v="2"/>
    <n v="3433.4399999999996"/>
    <n v="3732"/>
  </r>
  <r>
    <x v="1"/>
    <s v="Запоріжжя"/>
    <x v="2"/>
    <s v="Товари для дому"/>
    <s v="Зубочистки"/>
    <x v="0"/>
    <x v="2"/>
    <x v="2"/>
    <n v="2291.75"/>
    <n v="2575"/>
  </r>
  <r>
    <x v="2"/>
    <s v="Ірпінь"/>
    <x v="10"/>
    <s v="Косметика"/>
    <s v="Шампунь"/>
    <x v="0"/>
    <x v="2"/>
    <x v="2"/>
    <n v="4395.5999999999995"/>
    <n v="4995"/>
  </r>
  <r>
    <x v="2"/>
    <s v="Ірпінь"/>
    <x v="10"/>
    <s v="Косметика"/>
    <s v="Дезодорант"/>
    <x v="0"/>
    <x v="2"/>
    <x v="2"/>
    <n v="2435.3999999999996"/>
    <n v="2706"/>
  </r>
  <r>
    <x v="2"/>
    <s v="Київ"/>
    <x v="11"/>
    <s v="Косметика"/>
    <s v="Мило"/>
    <x v="0"/>
    <x v="2"/>
    <x v="2"/>
    <n v="2442.8799999999997"/>
    <n v="2776"/>
  </r>
  <r>
    <x v="2"/>
    <s v="Київ"/>
    <x v="11"/>
    <s v="Побутова хімія"/>
    <s v="Засіб для миття посуду"/>
    <x v="0"/>
    <x v="2"/>
    <x v="2"/>
    <n v="3600.9300000000003"/>
    <n v="4139"/>
  </r>
  <r>
    <x v="3"/>
    <s v="Одеса"/>
    <x v="4"/>
    <s v="Побутова хімія"/>
    <s v="Засіб для посудомийних машин"/>
    <x v="0"/>
    <x v="2"/>
    <x v="2"/>
    <n v="4388.3999999999996"/>
    <n v="4770"/>
  </r>
  <r>
    <x v="3"/>
    <s v="Одеса"/>
    <x v="4"/>
    <s v="Побутова хімія"/>
    <s v="Засоби для догляду за меблями"/>
    <x v="0"/>
    <x v="2"/>
    <x v="2"/>
    <n v="2885.12"/>
    <n v="3136"/>
  </r>
  <r>
    <x v="4"/>
    <s v="Харків"/>
    <x v="5"/>
    <s v="Товари для дому"/>
    <s v="Серветки"/>
    <x v="0"/>
    <x v="2"/>
    <x v="2"/>
    <n v="1843.6599999999999"/>
    <n v="2026"/>
  </r>
  <r>
    <x v="3"/>
    <s v="Чорноморськ"/>
    <x v="8"/>
    <s v="Товари для дому"/>
    <s v="Одноразовий посуд"/>
    <x v="0"/>
    <x v="2"/>
    <x v="2"/>
    <n v="2527.0699999999997"/>
    <n v="2777"/>
  </r>
  <r>
    <x v="3"/>
    <s v="Чорноморськ"/>
    <x v="8"/>
    <s v="Косметика"/>
    <s v="Шампунь"/>
    <x v="0"/>
    <x v="2"/>
    <x v="2"/>
    <n v="4143.5999999999995"/>
    <n v="4604"/>
  </r>
  <r>
    <x v="4"/>
    <s v="Чугуїв"/>
    <x v="9"/>
    <s v="Косметика"/>
    <s v="Дезодорант"/>
    <x v="0"/>
    <x v="2"/>
    <x v="2"/>
    <n v="3862.5999999999995"/>
    <n v="4340"/>
  </r>
  <r>
    <x v="4"/>
    <s v="Чугуїв"/>
    <x v="9"/>
    <s v="Косметика"/>
    <s v="Мило"/>
    <x v="0"/>
    <x v="2"/>
    <x v="2"/>
    <n v="2421.8999999999996"/>
    <n v="2691"/>
  </r>
  <r>
    <x v="0"/>
    <s v="Бердичів"/>
    <x v="1"/>
    <s v="Побутова хімія"/>
    <s v="Засоби для догляду за меблями"/>
    <x v="0"/>
    <x v="2"/>
    <x v="2"/>
    <n v="2730.5199999999995"/>
    <n v="3068"/>
  </r>
  <r>
    <x v="0"/>
    <s v="Бердичів"/>
    <x v="1"/>
    <s v="Товари для дому"/>
    <s v="Серветки"/>
    <x v="0"/>
    <x v="2"/>
    <x v="2"/>
    <n v="2279.5499999999997"/>
    <n v="2505"/>
  </r>
  <r>
    <x v="1"/>
    <s v="Бердянськ"/>
    <x v="6"/>
    <s v="Товари для дому"/>
    <s v="Одноразовий посуд"/>
    <x v="0"/>
    <x v="2"/>
    <x v="2"/>
    <n v="1165.8000000000002"/>
    <n v="1340"/>
  </r>
  <r>
    <x v="2"/>
    <s v="Ірпінь"/>
    <x v="10"/>
    <s v="Косметика"/>
    <s v="Мило"/>
    <x v="0"/>
    <x v="2"/>
    <x v="2"/>
    <n v="4296.9199999999992"/>
    <n v="4828"/>
  </r>
  <r>
    <x v="2"/>
    <s v="Київ"/>
    <x v="11"/>
    <s v="Побутова хімія"/>
    <s v="Засіб для посудомийних машин"/>
    <x v="0"/>
    <x v="2"/>
    <x v="2"/>
    <n v="4395.5999999999995"/>
    <n v="4995"/>
  </r>
  <r>
    <x v="2"/>
    <s v="Біла Церква"/>
    <x v="7"/>
    <s v="Побутова хімія"/>
    <s v="Засоби для догляду за меблями"/>
    <x v="0"/>
    <x v="2"/>
    <x v="2"/>
    <n v="3634.5399999999995"/>
    <n v="3994"/>
  </r>
  <r>
    <x v="2"/>
    <s v="Бориспіль"/>
    <x v="3"/>
    <s v="Косметика"/>
    <s v="Мило"/>
    <x v="0"/>
    <x v="2"/>
    <x v="2"/>
    <n v="1857.6799999999998"/>
    <n v="2111"/>
  </r>
  <r>
    <x v="2"/>
    <s v="Ірпінь"/>
    <x v="10"/>
    <s v="Товари для дому"/>
    <s v="Одноразовий посуд"/>
    <x v="0"/>
    <x v="2"/>
    <x v="2"/>
    <n v="1245.8400000000001"/>
    <n v="1432"/>
  </r>
  <r>
    <x v="2"/>
    <s v="Київ"/>
    <x v="11"/>
    <s v="Косметика"/>
    <s v="Дезодорант"/>
    <x v="0"/>
    <x v="2"/>
    <x v="2"/>
    <n v="3566.4200000000005"/>
    <n v="4147"/>
  </r>
  <r>
    <x v="3"/>
    <s v="Одеса"/>
    <x v="4"/>
    <s v="Побутова хімія"/>
    <s v="Засіб для миття посуду"/>
    <x v="0"/>
    <x v="2"/>
    <x v="2"/>
    <n v="4091.9000000000005"/>
    <n v="4814"/>
  </r>
  <r>
    <x v="4"/>
    <s v="Харків"/>
    <x v="5"/>
    <s v="Побутова хімія"/>
    <s v="Засоби для догляду за меблями"/>
    <x v="0"/>
    <x v="2"/>
    <x v="2"/>
    <n v="2845.56"/>
    <n v="3093"/>
  </r>
  <r>
    <x v="3"/>
    <s v="Чорноморськ"/>
    <x v="8"/>
    <s v="Товари для дому"/>
    <s v="Зубочистки"/>
    <x v="0"/>
    <x v="2"/>
    <x v="2"/>
    <n v="1517.1599999999999"/>
    <n v="1614"/>
  </r>
  <r>
    <x v="4"/>
    <s v="Чугуїв"/>
    <x v="9"/>
    <s v="Косметика"/>
    <s v="Шампунь"/>
    <x v="0"/>
    <x v="2"/>
    <x v="2"/>
    <n v="5331.99"/>
    <n v="5991"/>
  </r>
  <r>
    <x v="2"/>
    <s v="Ірпінь"/>
    <x v="10"/>
    <s v="Побутова хімія"/>
    <s v="Засоби для догляду за меблями"/>
    <x v="0"/>
    <x v="2"/>
    <x v="2"/>
    <n v="3603.5999999999995"/>
    <n v="4095"/>
  </r>
  <r>
    <x v="2"/>
    <s v="Київ"/>
    <x v="11"/>
    <s v="Товари для дому"/>
    <s v="Зубочистки"/>
    <x v="0"/>
    <x v="2"/>
    <x v="2"/>
    <n v="2631.6000000000004"/>
    <n v="3096"/>
  </r>
  <r>
    <x v="0"/>
    <s v="Житомир"/>
    <x v="0"/>
    <s v="Товари для дому"/>
    <s v="Зубочистки"/>
    <x v="0"/>
    <x v="3"/>
    <x v="3"/>
    <n v="2098.08"/>
    <n v="2256"/>
  </r>
  <r>
    <x v="0"/>
    <s v="Бердичів"/>
    <x v="1"/>
    <s v="Товари для дому"/>
    <s v="Зубочистки"/>
    <x v="0"/>
    <x v="3"/>
    <x v="3"/>
    <n v="1834.2899999999997"/>
    <n v="2061"/>
  </r>
  <r>
    <x v="0"/>
    <s v="Бердичів"/>
    <x v="1"/>
    <s v="Косметика"/>
    <s v="Дезодорант"/>
    <x v="0"/>
    <x v="3"/>
    <x v="3"/>
    <n v="4633.3399999999992"/>
    <n v="5206"/>
  </r>
  <r>
    <x v="0"/>
    <s v="Житомир"/>
    <x v="0"/>
    <s v="Косметика"/>
    <s v="Дезодорант"/>
    <x v="0"/>
    <x v="3"/>
    <x v="3"/>
    <n v="4283.58"/>
    <n v="4606"/>
  </r>
  <r>
    <x v="0"/>
    <s v="Житомир"/>
    <x v="0"/>
    <s v="Побутова хімія"/>
    <s v="Засіб для миття посуду"/>
    <x v="0"/>
    <x v="3"/>
    <x v="3"/>
    <n v="3410.0999999999995"/>
    <n v="3789"/>
  </r>
  <r>
    <x v="1"/>
    <s v="Запоріжжя"/>
    <x v="2"/>
    <s v="Побутова хімія"/>
    <s v="Засіб для посудомийних машин"/>
    <x v="0"/>
    <x v="3"/>
    <x v="3"/>
    <n v="4945.34"/>
    <n v="5261"/>
  </r>
  <r>
    <x v="2"/>
    <s v="Бориспіль"/>
    <x v="3"/>
    <s v="Побутова хімія"/>
    <s v="Засоби для догляду за меблями"/>
    <x v="0"/>
    <x v="3"/>
    <x v="3"/>
    <n v="3547.95"/>
    <n v="3815"/>
  </r>
  <r>
    <x v="3"/>
    <s v="Одеса"/>
    <x v="4"/>
    <s v="Товари для дому"/>
    <s v="Серветки"/>
    <x v="0"/>
    <x v="3"/>
    <x v="3"/>
    <n v="2577.0299999999997"/>
    <n v="2771"/>
  </r>
  <r>
    <x v="4"/>
    <s v="Харків"/>
    <x v="5"/>
    <s v="Товари для дому"/>
    <s v="Зубочистки"/>
    <x v="0"/>
    <x v="3"/>
    <x v="3"/>
    <n v="2599.5600000000004"/>
    <n v="2988"/>
  </r>
  <r>
    <x v="0"/>
    <s v="Бердичів"/>
    <x v="1"/>
    <s v="Товари для дому"/>
    <s v="Одноразовий посуд"/>
    <x v="0"/>
    <x v="3"/>
    <x v="3"/>
    <n v="1873.1100000000001"/>
    <n v="2153"/>
  </r>
  <r>
    <x v="1"/>
    <s v="Бердянськ"/>
    <x v="6"/>
    <s v="Косметика"/>
    <s v="Шампунь"/>
    <x v="0"/>
    <x v="3"/>
    <x v="3"/>
    <n v="4052.7"/>
    <n v="4503"/>
  </r>
  <r>
    <x v="2"/>
    <s v="Біла Церква"/>
    <x v="7"/>
    <s v="Косметика"/>
    <s v="Дезодорант"/>
    <x v="0"/>
    <x v="3"/>
    <x v="3"/>
    <n v="3431.9999999999995"/>
    <n v="3900"/>
  </r>
  <r>
    <x v="3"/>
    <s v="Чорноморськ"/>
    <x v="8"/>
    <s v="Косметика"/>
    <s v="Мило"/>
    <x v="0"/>
    <x v="3"/>
    <x v="3"/>
    <n v="2064.48"/>
    <n v="2244"/>
  </r>
  <r>
    <x v="4"/>
    <s v="Чугуїв"/>
    <x v="9"/>
    <s v="Побутова хімія"/>
    <s v="Засіб для миття посуду"/>
    <x v="0"/>
    <x v="3"/>
    <x v="3"/>
    <n v="4174.7199999999993"/>
    <n v="4744"/>
  </r>
  <r>
    <x v="0"/>
    <s v="Житомир"/>
    <x v="0"/>
    <s v="Побутова хімія"/>
    <s v="Засіб для посудомийних машин"/>
    <x v="0"/>
    <x v="3"/>
    <x v="3"/>
    <n v="2398.7000000000003"/>
    <n v="2822"/>
  </r>
  <r>
    <x v="1"/>
    <s v="Запоріжжя"/>
    <x v="2"/>
    <s v="Побутова хімія"/>
    <s v="Засоби для догляду за меблями"/>
    <x v="0"/>
    <x v="3"/>
    <x v="3"/>
    <n v="3291.7599999999998"/>
    <n v="3578"/>
  </r>
  <r>
    <x v="2"/>
    <s v="Бориспіль"/>
    <x v="3"/>
    <s v="Товари для дому"/>
    <s v="Серветки"/>
    <x v="0"/>
    <x v="3"/>
    <x v="3"/>
    <n v="1714.8799999999999"/>
    <n v="1864"/>
  </r>
  <r>
    <x v="3"/>
    <s v="Одеса"/>
    <x v="4"/>
    <s v="Товари для дому"/>
    <s v="Зубочистки"/>
    <x v="0"/>
    <x v="3"/>
    <x v="3"/>
    <n v="2608.1999999999998"/>
    <n v="2835"/>
  </r>
  <r>
    <x v="4"/>
    <s v="Харків"/>
    <x v="5"/>
    <s v="Товари для дому"/>
    <s v="Одноразовий посуд"/>
    <x v="0"/>
    <x v="3"/>
    <x v="3"/>
    <n v="1288.32"/>
    <n v="1464"/>
  </r>
  <r>
    <x v="0"/>
    <s v="Бердичів"/>
    <x v="1"/>
    <s v="Косметика"/>
    <s v="Шампунь"/>
    <x v="0"/>
    <x v="3"/>
    <x v="3"/>
    <n v="4926.9400000000005"/>
    <n v="5729"/>
  </r>
  <r>
    <x v="1"/>
    <s v="Бердянськ"/>
    <x v="6"/>
    <s v="Косметика"/>
    <s v="Дезодорант"/>
    <x v="0"/>
    <x v="3"/>
    <x v="3"/>
    <n v="3882.0599999999995"/>
    <n v="4266"/>
  </r>
  <r>
    <x v="2"/>
    <s v="Біла Церква"/>
    <x v="7"/>
    <s v="Косметика"/>
    <s v="Мило"/>
    <x v="0"/>
    <x v="3"/>
    <x v="3"/>
    <n v="3295.64"/>
    <n v="3506"/>
  </r>
  <r>
    <x v="3"/>
    <s v="Чорноморськ"/>
    <x v="8"/>
    <s v="Побутова хімія"/>
    <s v="Засіб для миття посуду"/>
    <x v="0"/>
    <x v="3"/>
    <x v="3"/>
    <n v="4369.2"/>
    <n v="4965"/>
  </r>
  <r>
    <x v="4"/>
    <s v="Чугуїв"/>
    <x v="9"/>
    <s v="Побутова хімія"/>
    <s v="Засіб для посудомийних машин"/>
    <x v="0"/>
    <x v="3"/>
    <x v="3"/>
    <n v="2697.9"/>
    <n v="3174"/>
  </r>
  <r>
    <x v="0"/>
    <s v="Житомир"/>
    <x v="0"/>
    <s v="Побутова хімія"/>
    <s v="Засоби для догляду за меблями"/>
    <x v="0"/>
    <x v="3"/>
    <x v="3"/>
    <n v="2751.72"/>
    <n v="2991"/>
  </r>
  <r>
    <x v="1"/>
    <s v="Запоріжжя"/>
    <x v="2"/>
    <s v="Товари для дому"/>
    <s v="Серветки"/>
    <x v="0"/>
    <x v="3"/>
    <x v="3"/>
    <n v="2348.7199999999998"/>
    <n v="2669"/>
  </r>
  <r>
    <x v="2"/>
    <s v="Бориспіль"/>
    <x v="3"/>
    <s v="Товари для дому"/>
    <s v="Зубочистки"/>
    <x v="0"/>
    <x v="3"/>
    <x v="3"/>
    <n v="1840.0199999999998"/>
    <n v="2022"/>
  </r>
  <r>
    <x v="3"/>
    <s v="Одеса"/>
    <x v="4"/>
    <s v="Товари для дому"/>
    <s v="Одноразовий посуд"/>
    <x v="0"/>
    <x v="3"/>
    <x v="3"/>
    <n v="1143.25"/>
    <n v="1345"/>
  </r>
  <r>
    <x v="4"/>
    <s v="Харків"/>
    <x v="5"/>
    <s v="Косметика"/>
    <s v="Шампунь"/>
    <x v="0"/>
    <x v="3"/>
    <x v="3"/>
    <n v="4068.24"/>
    <n v="4623"/>
  </r>
  <r>
    <x v="1"/>
    <s v="Запоріжжя"/>
    <x v="2"/>
    <s v="Косметика"/>
    <s v="Мило"/>
    <x v="0"/>
    <x v="3"/>
    <x v="3"/>
    <n v="4474.4699999999993"/>
    <n v="4917"/>
  </r>
  <r>
    <x v="2"/>
    <s v="Біла Церква"/>
    <x v="7"/>
    <s v="Побутова хімія"/>
    <s v="Засіб для миття посуду"/>
    <x v="0"/>
    <x v="3"/>
    <x v="3"/>
    <n v="4376.1899999999996"/>
    <n v="4809"/>
  </r>
  <r>
    <x v="3"/>
    <s v="Чорноморськ"/>
    <x v="8"/>
    <s v="Побутова хімія"/>
    <s v="Засіб для посудомийних машин"/>
    <x v="0"/>
    <x v="3"/>
    <x v="3"/>
    <n v="3817.7999999999997"/>
    <n v="4242"/>
  </r>
  <r>
    <x v="4"/>
    <s v="Чугуїв"/>
    <x v="9"/>
    <s v="Побутова хімія"/>
    <s v="Засоби для догляду за меблями"/>
    <x v="0"/>
    <x v="3"/>
    <x v="3"/>
    <n v="3255.9799999999996"/>
    <n v="3578"/>
  </r>
  <r>
    <x v="0"/>
    <s v="Житомир"/>
    <x v="0"/>
    <s v="Товари для дому"/>
    <s v="Серветки"/>
    <x v="0"/>
    <x v="3"/>
    <x v="3"/>
    <n v="2409.4399999999996"/>
    <n v="2738"/>
  </r>
  <r>
    <x v="1"/>
    <s v="Бердянськ"/>
    <x v="6"/>
    <s v="Товари для дому"/>
    <s v="Зубочистки"/>
    <x v="0"/>
    <x v="3"/>
    <x v="3"/>
    <n v="2471.9399999999996"/>
    <n v="2658"/>
  </r>
  <r>
    <x v="2"/>
    <s v="Бориспіль"/>
    <x v="3"/>
    <s v="Товари для дому"/>
    <s v="Одноразовий посуд"/>
    <x v="0"/>
    <x v="3"/>
    <x v="3"/>
    <n v="1711.2900000000002"/>
    <n v="1967"/>
  </r>
  <r>
    <x v="3"/>
    <s v="Одеса"/>
    <x v="4"/>
    <s v="Косметика"/>
    <s v="Шампунь"/>
    <x v="0"/>
    <x v="3"/>
    <x v="3"/>
    <n v="4362.18"/>
    <n v="5014"/>
  </r>
  <r>
    <x v="4"/>
    <s v="Харків"/>
    <x v="5"/>
    <s v="Косметика"/>
    <s v="Дезодорант"/>
    <x v="0"/>
    <x v="3"/>
    <x v="3"/>
    <n v="4803.8899999999994"/>
    <n v="5279"/>
  </r>
  <r>
    <x v="0"/>
    <s v="Бердичів"/>
    <x v="1"/>
    <s v="Косметика"/>
    <s v="Мило"/>
    <x v="0"/>
    <x v="3"/>
    <x v="3"/>
    <n v="4028.3999999999996"/>
    <n v="4476"/>
  </r>
  <r>
    <x v="1"/>
    <s v="Запоріжжя"/>
    <x v="2"/>
    <s v="Побутова хімія"/>
    <s v="Засіб для миття посуду"/>
    <x v="0"/>
    <x v="3"/>
    <x v="3"/>
    <n v="3637.9199999999996"/>
    <n v="4134"/>
  </r>
  <r>
    <x v="2"/>
    <s v="Біла Церква"/>
    <x v="7"/>
    <s v="Побутова хімія"/>
    <s v="Засіб для посудомийних машин"/>
    <x v="0"/>
    <x v="3"/>
    <x v="3"/>
    <n v="4206.5"/>
    <n v="4475"/>
  </r>
  <r>
    <x v="3"/>
    <s v="Чорноморськ"/>
    <x v="8"/>
    <s v="Побутова хімія"/>
    <s v="Засоби для догляду за меблями"/>
    <x v="0"/>
    <x v="3"/>
    <x v="3"/>
    <n v="2738.7000000000003"/>
    <n v="3222"/>
  </r>
  <r>
    <x v="4"/>
    <s v="Чугуїв"/>
    <x v="9"/>
    <s v="Товари для дому"/>
    <s v="Серветки"/>
    <x v="0"/>
    <x v="3"/>
    <x v="3"/>
    <n v="1649.82"/>
    <n v="1774"/>
  </r>
  <r>
    <x v="1"/>
    <s v="Запоріжжя"/>
    <x v="2"/>
    <s v="Товари для дому"/>
    <s v="Одноразовий посуд"/>
    <x v="0"/>
    <x v="3"/>
    <x v="3"/>
    <n v="1450.2900000000002"/>
    <n v="1667"/>
  </r>
  <r>
    <x v="2"/>
    <s v="Бориспіль"/>
    <x v="3"/>
    <s v="Косметика"/>
    <s v="Шампунь"/>
    <x v="0"/>
    <x v="3"/>
    <x v="3"/>
    <n v="4645.7999999999993"/>
    <n v="5162"/>
  </r>
  <r>
    <x v="3"/>
    <s v="Чорноморськ"/>
    <x v="8"/>
    <s v="Косметика"/>
    <s v="Дезодорант"/>
    <x v="0"/>
    <x v="3"/>
    <x v="3"/>
    <n v="3329.3999999999996"/>
    <n v="3580"/>
  </r>
  <r>
    <x v="4"/>
    <s v="Харків"/>
    <x v="5"/>
    <s v="Косметика"/>
    <s v="Мило"/>
    <x v="0"/>
    <x v="3"/>
    <x v="3"/>
    <n v="2259"/>
    <n v="2510"/>
  </r>
  <r>
    <x v="0"/>
    <s v="Бердичів"/>
    <x v="1"/>
    <s v="Побутова хімія"/>
    <s v="Засіб для миття посуду"/>
    <x v="0"/>
    <x v="3"/>
    <x v="3"/>
    <n v="4051.2799999999997"/>
    <n v="4552"/>
  </r>
  <r>
    <x v="0"/>
    <s v="Бердичів"/>
    <x v="1"/>
    <s v="Побутова хімія"/>
    <s v="Засіб для посудомийних машин"/>
    <x v="0"/>
    <x v="3"/>
    <x v="3"/>
    <n v="4289.04"/>
    <n v="4662"/>
  </r>
  <r>
    <x v="1"/>
    <s v="Бердянськ"/>
    <x v="6"/>
    <s v="Побутова хімія"/>
    <s v="Засоби для догляду за меблями"/>
    <x v="0"/>
    <x v="3"/>
    <x v="3"/>
    <n v="2386.8000000000002"/>
    <n v="2808"/>
  </r>
  <r>
    <x v="1"/>
    <s v="Бердянськ"/>
    <x v="6"/>
    <s v="Товари для дому"/>
    <s v="Серветки"/>
    <x v="0"/>
    <x v="3"/>
    <x v="3"/>
    <n v="1654.5099999999998"/>
    <n v="1859"/>
  </r>
  <r>
    <x v="2"/>
    <s v="Біла Церква"/>
    <x v="7"/>
    <s v="Товари для дому"/>
    <s v="Зубочистки"/>
    <x v="0"/>
    <x v="3"/>
    <x v="3"/>
    <n v="2872.0299999999997"/>
    <n v="3227"/>
  </r>
  <r>
    <x v="2"/>
    <s v="Біла Церква"/>
    <x v="7"/>
    <s v="Товари для дому"/>
    <s v="Одноразовий посуд"/>
    <x v="0"/>
    <x v="3"/>
    <x v="3"/>
    <n v="1398.3600000000001"/>
    <n v="1626"/>
  </r>
  <r>
    <x v="2"/>
    <s v="Бориспіль"/>
    <x v="3"/>
    <s v="Косметика"/>
    <s v="Дезодорант"/>
    <x v="0"/>
    <x v="3"/>
    <x v="3"/>
    <n v="4188.3399999999992"/>
    <n v="4706"/>
  </r>
  <r>
    <x v="0"/>
    <s v="Житомир"/>
    <x v="0"/>
    <s v="Косметика"/>
    <s v="Мило"/>
    <x v="0"/>
    <x v="3"/>
    <x v="3"/>
    <n v="2953.8599999999997"/>
    <n v="3246"/>
  </r>
  <r>
    <x v="2"/>
    <s v="Ірпінь"/>
    <x v="10"/>
    <s v="Товари для дому"/>
    <s v="Серветки"/>
    <x v="0"/>
    <x v="3"/>
    <x v="3"/>
    <n v="1574.9999999999998"/>
    <n v="1750"/>
  </r>
  <r>
    <x v="2"/>
    <s v="Ірпінь"/>
    <x v="10"/>
    <s v="Товари для дому"/>
    <s v="Зубочистки"/>
    <x v="0"/>
    <x v="3"/>
    <x v="3"/>
    <n v="1796.9099999999999"/>
    <n v="2019"/>
  </r>
  <r>
    <x v="2"/>
    <s v="Київ"/>
    <x v="11"/>
    <s v="Товари для дому"/>
    <s v="Одноразовий посуд"/>
    <x v="0"/>
    <x v="3"/>
    <x v="3"/>
    <n v="2633.04"/>
    <n v="2862"/>
  </r>
  <r>
    <x v="2"/>
    <s v="Київ"/>
    <x v="11"/>
    <s v="Косметика"/>
    <s v="Шампунь"/>
    <x v="0"/>
    <x v="3"/>
    <x v="3"/>
    <n v="3723.6000000000004"/>
    <n v="4280"/>
  </r>
  <r>
    <x v="3"/>
    <s v="Одеса"/>
    <x v="4"/>
    <s v="Косметика"/>
    <s v="Дезодорант"/>
    <x v="0"/>
    <x v="3"/>
    <x v="3"/>
    <n v="3205.0800000000004"/>
    <n v="3684"/>
  </r>
  <r>
    <x v="3"/>
    <s v="Одеса"/>
    <x v="4"/>
    <s v="Косметика"/>
    <s v="Мило"/>
    <x v="0"/>
    <x v="3"/>
    <x v="3"/>
    <n v="3786.7500000000005"/>
    <n v="4455"/>
  </r>
  <r>
    <x v="4"/>
    <s v="Харків"/>
    <x v="5"/>
    <s v="Побутова хімія"/>
    <s v="Засіб для миття посуду"/>
    <x v="0"/>
    <x v="3"/>
    <x v="3"/>
    <n v="3593.5199999999995"/>
    <n v="3906"/>
  </r>
  <r>
    <x v="4"/>
    <s v="Харків"/>
    <x v="5"/>
    <s v="Побутова хімія"/>
    <s v="Засіб для посудомийних машин"/>
    <x v="0"/>
    <x v="3"/>
    <x v="3"/>
    <n v="2813.5000000000005"/>
    <n v="3310"/>
  </r>
  <r>
    <x v="3"/>
    <s v="Чорноморськ"/>
    <x v="8"/>
    <s v="Товари для дому"/>
    <s v="Серветки"/>
    <x v="0"/>
    <x v="3"/>
    <x v="3"/>
    <n v="2092.0899999999997"/>
    <n v="2299"/>
  </r>
  <r>
    <x v="4"/>
    <s v="Чугуїв"/>
    <x v="9"/>
    <s v="Товари для дому"/>
    <s v="Зубочистки"/>
    <x v="0"/>
    <x v="3"/>
    <x v="3"/>
    <n v="2847.2599999999998"/>
    <n v="3029"/>
  </r>
  <r>
    <x v="4"/>
    <s v="Чугуїв"/>
    <x v="9"/>
    <s v="Товари для дому"/>
    <s v="Одноразовий посуд"/>
    <x v="0"/>
    <x v="3"/>
    <x v="3"/>
    <n v="2273.8599999999997"/>
    <n v="2419"/>
  </r>
  <r>
    <x v="2"/>
    <s v="Біла Церква"/>
    <x v="7"/>
    <s v="Косметика"/>
    <s v="Шампунь"/>
    <x v="0"/>
    <x v="3"/>
    <x v="3"/>
    <n v="3889.5999999999995"/>
    <n v="4420"/>
  </r>
  <r>
    <x v="1"/>
    <s v="Бердянськ"/>
    <x v="6"/>
    <s v="Побутова хімія"/>
    <s v="Засіб для посудомийних машин"/>
    <x v="0"/>
    <x v="3"/>
    <x v="3"/>
    <n v="4168.7999999999993"/>
    <n v="4632"/>
  </r>
  <r>
    <x v="0"/>
    <s v="Житомир"/>
    <x v="0"/>
    <s v="Товари для дому"/>
    <s v="Одноразовий посуд"/>
    <x v="0"/>
    <x v="3"/>
    <x v="3"/>
    <n v="1109.29"/>
    <n v="1219"/>
  </r>
  <r>
    <x v="0"/>
    <s v="Житомир"/>
    <x v="0"/>
    <s v="Косметика"/>
    <s v="Шампунь"/>
    <x v="0"/>
    <x v="3"/>
    <x v="3"/>
    <n v="4856.7199999999993"/>
    <n v="5519"/>
  </r>
  <r>
    <x v="1"/>
    <s v="Запоріжжя"/>
    <x v="2"/>
    <s v="Косметика"/>
    <s v="Дезодорант"/>
    <x v="0"/>
    <x v="3"/>
    <x v="3"/>
    <n v="3213.7899999999995"/>
    <n v="3611"/>
  </r>
  <r>
    <x v="2"/>
    <s v="Ірпінь"/>
    <x v="10"/>
    <s v="Побутова хімія"/>
    <s v="Засіб для миття посуду"/>
    <x v="0"/>
    <x v="3"/>
    <x v="3"/>
    <n v="4289.96"/>
    <n v="4663"/>
  </r>
  <r>
    <x v="2"/>
    <s v="Ірпінь"/>
    <x v="10"/>
    <s v="Побутова хімія"/>
    <s v="Засіб для посудомийних машин"/>
    <x v="0"/>
    <x v="3"/>
    <x v="3"/>
    <n v="4925.3599999999997"/>
    <n v="5597"/>
  </r>
  <r>
    <x v="2"/>
    <s v="Київ"/>
    <x v="11"/>
    <s v="Побутова хімія"/>
    <s v="Засоби для догляду за меблями"/>
    <x v="0"/>
    <x v="3"/>
    <x v="3"/>
    <n v="3582.8999999999996"/>
    <n v="3981"/>
  </r>
  <r>
    <x v="2"/>
    <s v="Київ"/>
    <x v="11"/>
    <s v="Товари для дому"/>
    <s v="Серветки"/>
    <x v="0"/>
    <x v="3"/>
    <x v="3"/>
    <n v="2632.83"/>
    <n v="2831"/>
  </r>
  <r>
    <x v="2"/>
    <s v="Біла Церква"/>
    <x v="7"/>
    <s v="Товари для дому"/>
    <s v="Серветки"/>
    <x v="0"/>
    <x v="3"/>
    <x v="3"/>
    <n v="1943.5800000000002"/>
    <n v="2234"/>
  </r>
  <r>
    <x v="1"/>
    <s v="Бердянськ"/>
    <x v="6"/>
    <s v="Косметика"/>
    <s v="Мило"/>
    <x v="0"/>
    <x v="3"/>
    <x v="3"/>
    <n v="2556.7800000000002"/>
    <n v="2973"/>
  </r>
  <r>
    <x v="2"/>
    <s v="Бориспіль"/>
    <x v="3"/>
    <s v="Побутова хімія"/>
    <s v="Засіб для миття посуду"/>
    <x v="0"/>
    <x v="3"/>
    <x v="3"/>
    <n v="3983.1000000000004"/>
    <n v="4686"/>
  </r>
  <r>
    <x v="2"/>
    <s v="Бориспіль"/>
    <x v="3"/>
    <s v="Побутова хімія"/>
    <s v="Засіб для посудомийних машин"/>
    <x v="0"/>
    <x v="3"/>
    <x v="3"/>
    <n v="2773.5000000000005"/>
    <n v="3225"/>
  </r>
  <r>
    <x v="1"/>
    <s v="Запоріжжя"/>
    <x v="2"/>
    <s v="Товари для дому"/>
    <s v="Зубочистки"/>
    <x v="0"/>
    <x v="3"/>
    <x v="3"/>
    <n v="1388.3999999999999"/>
    <n v="1560"/>
  </r>
  <r>
    <x v="2"/>
    <s v="Ірпінь"/>
    <x v="10"/>
    <s v="Косметика"/>
    <s v="Шампунь"/>
    <x v="0"/>
    <x v="3"/>
    <x v="3"/>
    <n v="5018.6499999999996"/>
    <n v="5515"/>
  </r>
  <r>
    <x v="2"/>
    <s v="Ірпінь"/>
    <x v="10"/>
    <s v="Косметика"/>
    <s v="Дезодорант"/>
    <x v="0"/>
    <x v="3"/>
    <x v="3"/>
    <n v="4815.1400000000003"/>
    <n v="5599"/>
  </r>
  <r>
    <x v="2"/>
    <s v="Київ"/>
    <x v="11"/>
    <s v="Косметика"/>
    <s v="Мило"/>
    <x v="0"/>
    <x v="3"/>
    <x v="3"/>
    <n v="4382.8799999999992"/>
    <n v="4764"/>
  </r>
  <r>
    <x v="2"/>
    <s v="Київ"/>
    <x v="11"/>
    <s v="Побутова хімія"/>
    <s v="Засіб для миття посуду"/>
    <x v="0"/>
    <x v="3"/>
    <x v="3"/>
    <n v="2944.6400000000003"/>
    <n v="3424"/>
  </r>
  <r>
    <x v="3"/>
    <s v="Одеса"/>
    <x v="4"/>
    <s v="Побутова хімія"/>
    <s v="Засіб для посудомийних машин"/>
    <x v="0"/>
    <x v="3"/>
    <x v="3"/>
    <n v="3108.68"/>
    <n v="3379"/>
  </r>
  <r>
    <x v="3"/>
    <s v="Одеса"/>
    <x v="4"/>
    <s v="Побутова хімія"/>
    <s v="Засоби для догляду за меблями"/>
    <x v="0"/>
    <x v="3"/>
    <x v="3"/>
    <n v="3602.72"/>
    <n v="4048"/>
  </r>
  <r>
    <x v="4"/>
    <s v="Харків"/>
    <x v="5"/>
    <s v="Товари для дому"/>
    <s v="Серветки"/>
    <x v="0"/>
    <x v="3"/>
    <x v="3"/>
    <n v="2631.2"/>
    <n v="2990"/>
  </r>
  <r>
    <x v="3"/>
    <s v="Чорноморськ"/>
    <x v="8"/>
    <s v="Товари для дому"/>
    <s v="Одноразовий посуд"/>
    <x v="0"/>
    <x v="3"/>
    <x v="3"/>
    <n v="2161.06"/>
    <n v="2299"/>
  </r>
  <r>
    <x v="3"/>
    <s v="Чорноморськ"/>
    <x v="8"/>
    <s v="Косметика"/>
    <s v="Шампунь"/>
    <x v="0"/>
    <x v="3"/>
    <x v="3"/>
    <n v="5202.8999999999996"/>
    <n v="5781"/>
  </r>
  <r>
    <x v="4"/>
    <s v="Чугуїв"/>
    <x v="9"/>
    <s v="Косметика"/>
    <s v="Дезодорант"/>
    <x v="0"/>
    <x v="3"/>
    <x v="3"/>
    <n v="4089.2099999999996"/>
    <n v="4397"/>
  </r>
  <r>
    <x v="4"/>
    <s v="Чугуїв"/>
    <x v="9"/>
    <s v="Косметика"/>
    <s v="Мило"/>
    <x v="0"/>
    <x v="3"/>
    <x v="3"/>
    <n v="3800.7"/>
    <n v="4223"/>
  </r>
  <r>
    <x v="0"/>
    <s v="Бердичів"/>
    <x v="1"/>
    <s v="Побутова хімія"/>
    <s v="Засоби для догляду за меблями"/>
    <x v="0"/>
    <x v="3"/>
    <x v="3"/>
    <n v="2739.16"/>
    <n v="2914"/>
  </r>
  <r>
    <x v="0"/>
    <s v="Бердичів"/>
    <x v="1"/>
    <s v="Товари для дому"/>
    <s v="Серветки"/>
    <x v="0"/>
    <x v="3"/>
    <x v="3"/>
    <n v="1580.6399999999999"/>
    <n v="1776"/>
  </r>
  <r>
    <x v="1"/>
    <s v="Бердянськ"/>
    <x v="6"/>
    <s v="Товари для дому"/>
    <s v="Одноразовий посуд"/>
    <x v="0"/>
    <x v="3"/>
    <x v="3"/>
    <n v="1040.4000000000001"/>
    <n v="1224"/>
  </r>
  <r>
    <x v="2"/>
    <s v="Ірпінь"/>
    <x v="10"/>
    <s v="Косметика"/>
    <s v="Мило"/>
    <x v="0"/>
    <x v="3"/>
    <x v="3"/>
    <n v="2609.5000000000005"/>
    <n v="3070"/>
  </r>
  <r>
    <x v="2"/>
    <s v="Київ"/>
    <x v="11"/>
    <s v="Побутова хімія"/>
    <s v="Засіб для посудомийних машин"/>
    <x v="0"/>
    <x v="3"/>
    <x v="3"/>
    <n v="3613.6099999999997"/>
    <n v="3971"/>
  </r>
  <r>
    <x v="2"/>
    <s v="Біла Церква"/>
    <x v="7"/>
    <s v="Побутова хімія"/>
    <s v="Засоби для догляду за меблями"/>
    <x v="0"/>
    <x v="3"/>
    <x v="3"/>
    <n v="2983.89"/>
    <n v="3279"/>
  </r>
  <r>
    <x v="2"/>
    <s v="Бориспіль"/>
    <x v="3"/>
    <s v="Косметика"/>
    <s v="Мило"/>
    <x v="0"/>
    <x v="3"/>
    <x v="3"/>
    <n v="3720.6399999999994"/>
    <n v="4228"/>
  </r>
  <r>
    <x v="2"/>
    <s v="Ірпінь"/>
    <x v="10"/>
    <s v="Товари для дому"/>
    <s v="Одноразовий посуд"/>
    <x v="0"/>
    <x v="3"/>
    <x v="3"/>
    <n v="1593.8999999999999"/>
    <n v="1771"/>
  </r>
  <r>
    <x v="2"/>
    <s v="Київ"/>
    <x v="11"/>
    <s v="Косметика"/>
    <s v="Дезодорант"/>
    <x v="0"/>
    <x v="3"/>
    <x v="3"/>
    <n v="3989.9000000000005"/>
    <n v="4694"/>
  </r>
  <r>
    <x v="3"/>
    <s v="Одеса"/>
    <x v="4"/>
    <s v="Побутова хімія"/>
    <s v="Засіб для миття посуду"/>
    <x v="0"/>
    <x v="3"/>
    <x v="3"/>
    <n v="3558.9500000000003"/>
    <n v="4187"/>
  </r>
  <r>
    <x v="4"/>
    <s v="Харків"/>
    <x v="5"/>
    <s v="Побутова хімія"/>
    <s v="Засоби для догляду за меблями"/>
    <x v="0"/>
    <x v="3"/>
    <x v="3"/>
    <n v="2789.7000000000003"/>
    <n v="3282"/>
  </r>
  <r>
    <x v="3"/>
    <s v="Чорноморськ"/>
    <x v="8"/>
    <s v="Товари для дому"/>
    <s v="Зубочистки"/>
    <x v="0"/>
    <x v="3"/>
    <x v="3"/>
    <n v="2987.9999999999995"/>
    <n v="3320"/>
  </r>
  <r>
    <x v="4"/>
    <s v="Чугуїв"/>
    <x v="9"/>
    <s v="Косметика"/>
    <s v="Шампунь"/>
    <x v="0"/>
    <x v="3"/>
    <x v="3"/>
    <n v="5217.2999999999993"/>
    <n v="5610"/>
  </r>
  <r>
    <x v="2"/>
    <s v="Ірпінь"/>
    <x v="10"/>
    <s v="Побутова хімія"/>
    <s v="Засоби для догляду за меблями"/>
    <x v="0"/>
    <x v="3"/>
    <x v="3"/>
    <n v="2957.68"/>
    <n v="3361"/>
  </r>
  <r>
    <x v="2"/>
    <s v="Київ"/>
    <x v="11"/>
    <s v="Товари для дому"/>
    <s v="Зубочистки"/>
    <x v="0"/>
    <x v="3"/>
    <x v="3"/>
    <n v="2066.25"/>
    <n v="2375"/>
  </r>
  <r>
    <x v="0"/>
    <s v="Житомир"/>
    <x v="0"/>
    <s v="Товари для дому"/>
    <s v="Зубочистки"/>
    <x v="0"/>
    <x v="4"/>
    <x v="4"/>
    <n v="2779.0399999999995"/>
    <n v="3158"/>
  </r>
  <r>
    <x v="0"/>
    <s v="Бердичів"/>
    <x v="1"/>
    <s v="Товари для дому"/>
    <s v="Зубочистки"/>
    <x v="0"/>
    <x v="4"/>
    <x v="4"/>
    <n v="2694.6"/>
    <n v="2994"/>
  </r>
  <r>
    <x v="0"/>
    <s v="Бердичів"/>
    <x v="1"/>
    <s v="Косметика"/>
    <s v="Дезодорант"/>
    <x v="0"/>
    <x v="4"/>
    <x v="4"/>
    <n v="4487.119999999999"/>
    <n v="5099"/>
  </r>
  <r>
    <x v="0"/>
    <s v="Житомир"/>
    <x v="0"/>
    <s v="Косметика"/>
    <s v="Дезодорант"/>
    <x v="0"/>
    <x v="4"/>
    <x v="4"/>
    <n v="4177.0200000000004"/>
    <n v="4857"/>
  </r>
  <r>
    <x v="0"/>
    <s v="Житомир"/>
    <x v="0"/>
    <s v="Побутова хімія"/>
    <s v="Засіб для миття посуду"/>
    <x v="0"/>
    <x v="4"/>
    <x v="4"/>
    <n v="3694.1000000000004"/>
    <n v="4346"/>
  </r>
  <r>
    <x v="1"/>
    <s v="Запоріжжя"/>
    <x v="2"/>
    <s v="Побутова хімія"/>
    <s v="Засіб для посудомийних машин"/>
    <x v="0"/>
    <x v="4"/>
    <x v="4"/>
    <n v="3011.0700000000006"/>
    <n v="3461"/>
  </r>
  <r>
    <x v="2"/>
    <s v="Бориспіль"/>
    <x v="3"/>
    <s v="Побутова хімія"/>
    <s v="Засоби для догляду за меблями"/>
    <x v="0"/>
    <x v="4"/>
    <x v="4"/>
    <n v="3336.6099999999997"/>
    <n v="3749"/>
  </r>
  <r>
    <x v="3"/>
    <s v="Одеса"/>
    <x v="4"/>
    <s v="Товари для дому"/>
    <s v="Серветки"/>
    <x v="0"/>
    <x v="4"/>
    <x v="4"/>
    <n v="1550.4"/>
    <n v="1824"/>
  </r>
  <r>
    <x v="4"/>
    <s v="Харків"/>
    <x v="5"/>
    <s v="Товари для дому"/>
    <s v="Зубочистки"/>
    <x v="0"/>
    <x v="4"/>
    <x v="4"/>
    <n v="2774.5899999999997"/>
    <n v="3049"/>
  </r>
  <r>
    <x v="0"/>
    <s v="Бердичів"/>
    <x v="1"/>
    <s v="Товари для дому"/>
    <s v="Одноразовий посуд"/>
    <x v="0"/>
    <x v="4"/>
    <x v="4"/>
    <n v="1884.1299999999999"/>
    <n v="2117"/>
  </r>
  <r>
    <x v="1"/>
    <s v="Бердянськ"/>
    <x v="6"/>
    <s v="Косметика"/>
    <s v="Шампунь"/>
    <x v="0"/>
    <x v="4"/>
    <x v="4"/>
    <n v="4149.9000000000005"/>
    <n v="4770"/>
  </r>
  <r>
    <x v="2"/>
    <s v="Біла Церква"/>
    <x v="7"/>
    <s v="Косметика"/>
    <s v="Дезодорант"/>
    <x v="0"/>
    <x v="4"/>
    <x v="4"/>
    <n v="3430.68"/>
    <n v="3729"/>
  </r>
  <r>
    <x v="3"/>
    <s v="Чорноморськ"/>
    <x v="8"/>
    <s v="Косметика"/>
    <s v="Мило"/>
    <x v="0"/>
    <x v="4"/>
    <x v="4"/>
    <n v="3085.5000000000005"/>
    <n v="3630"/>
  </r>
  <r>
    <x v="4"/>
    <s v="Чугуїв"/>
    <x v="9"/>
    <s v="Побутова хімія"/>
    <s v="Засіб для миття посуду"/>
    <x v="0"/>
    <x v="4"/>
    <x v="4"/>
    <n v="4085.0999999999995"/>
    <n v="4539"/>
  </r>
  <r>
    <x v="0"/>
    <s v="Житомир"/>
    <x v="0"/>
    <s v="Побутова хімія"/>
    <s v="Засіб для посудомийних машин"/>
    <x v="0"/>
    <x v="4"/>
    <x v="4"/>
    <n v="4346.9000000000005"/>
    <n v="5114"/>
  </r>
  <r>
    <x v="1"/>
    <s v="Запоріжжя"/>
    <x v="2"/>
    <s v="Побутова хімія"/>
    <s v="Засоби для догляду за меблями"/>
    <x v="0"/>
    <x v="4"/>
    <x v="4"/>
    <n v="3535.3499999999995"/>
    <n v="3885"/>
  </r>
  <r>
    <x v="2"/>
    <s v="Бориспіль"/>
    <x v="3"/>
    <s v="Товари для дому"/>
    <s v="Серветки"/>
    <x v="0"/>
    <x v="4"/>
    <x v="4"/>
    <n v="1819.7599999999998"/>
    <n v="1978"/>
  </r>
  <r>
    <x v="3"/>
    <s v="Одеса"/>
    <x v="4"/>
    <s v="Товари для дому"/>
    <s v="Зубочистки"/>
    <x v="0"/>
    <x v="4"/>
    <x v="4"/>
    <n v="2472.65"/>
    <n v="2909"/>
  </r>
  <r>
    <x v="4"/>
    <s v="Харків"/>
    <x v="5"/>
    <s v="Товари для дому"/>
    <s v="Одноразовий посуд"/>
    <x v="0"/>
    <x v="4"/>
    <x v="4"/>
    <n v="2290.1800000000003"/>
    <n v="2663"/>
  </r>
  <r>
    <x v="0"/>
    <s v="Бердичів"/>
    <x v="1"/>
    <s v="Косметика"/>
    <s v="Шампунь"/>
    <x v="0"/>
    <x v="4"/>
    <x v="4"/>
    <n v="4624.7999999999993"/>
    <n v="4920"/>
  </r>
  <r>
    <x v="1"/>
    <s v="Бердянськ"/>
    <x v="6"/>
    <s v="Косметика"/>
    <s v="Дезодорант"/>
    <x v="0"/>
    <x v="4"/>
    <x v="4"/>
    <n v="3383.7599999999998"/>
    <n v="3678"/>
  </r>
  <r>
    <x v="2"/>
    <s v="Біла Церква"/>
    <x v="7"/>
    <s v="Косметика"/>
    <s v="Мило"/>
    <x v="0"/>
    <x v="4"/>
    <x v="4"/>
    <n v="3291.2000000000003"/>
    <n v="3872"/>
  </r>
  <r>
    <x v="3"/>
    <s v="Чорноморськ"/>
    <x v="8"/>
    <s v="Побутова хімія"/>
    <s v="Засіб для миття посуду"/>
    <x v="0"/>
    <x v="4"/>
    <x v="4"/>
    <n v="3507.9500000000003"/>
    <n v="4127"/>
  </r>
  <r>
    <x v="4"/>
    <s v="Чугуїв"/>
    <x v="9"/>
    <s v="Побутова хімія"/>
    <s v="Засіб для посудомийних машин"/>
    <x v="0"/>
    <x v="4"/>
    <x v="4"/>
    <n v="4196.16"/>
    <n v="4512"/>
  </r>
  <r>
    <x v="0"/>
    <s v="Житомир"/>
    <x v="0"/>
    <s v="Побутова хімія"/>
    <s v="Засоби для догляду за меблями"/>
    <x v="0"/>
    <x v="4"/>
    <x v="4"/>
    <n v="3146.3999999999996"/>
    <n v="3420"/>
  </r>
  <r>
    <x v="1"/>
    <s v="Запоріжжя"/>
    <x v="2"/>
    <s v="Товари для дому"/>
    <s v="Серветки"/>
    <x v="0"/>
    <x v="4"/>
    <x v="4"/>
    <n v="2585.1999999999998"/>
    <n v="2810"/>
  </r>
  <r>
    <x v="2"/>
    <s v="Бориспіль"/>
    <x v="3"/>
    <s v="Товари для дому"/>
    <s v="Зубочистки"/>
    <x v="0"/>
    <x v="4"/>
    <x v="4"/>
    <n v="1716.2999999999997"/>
    <n v="1907"/>
  </r>
  <r>
    <x v="3"/>
    <s v="Одеса"/>
    <x v="4"/>
    <s v="Товари для дому"/>
    <s v="Одноразовий посуд"/>
    <x v="0"/>
    <x v="4"/>
    <x v="4"/>
    <n v="1139.7"/>
    <n v="1310"/>
  </r>
  <r>
    <x v="4"/>
    <s v="Харків"/>
    <x v="5"/>
    <s v="Косметика"/>
    <s v="Шампунь"/>
    <x v="0"/>
    <x v="4"/>
    <x v="4"/>
    <n v="5010.3600000000006"/>
    <n v="5826"/>
  </r>
  <r>
    <x v="1"/>
    <s v="Запоріжжя"/>
    <x v="2"/>
    <s v="Косметика"/>
    <s v="Мило"/>
    <x v="0"/>
    <x v="4"/>
    <x v="4"/>
    <n v="4628.6099999999997"/>
    <n v="4977"/>
  </r>
  <r>
    <x v="2"/>
    <s v="Біла Церква"/>
    <x v="7"/>
    <s v="Побутова хімія"/>
    <s v="Засіб для миття посуду"/>
    <x v="0"/>
    <x v="4"/>
    <x v="4"/>
    <n v="3620.6000000000004"/>
    <n v="4210"/>
  </r>
  <r>
    <x v="3"/>
    <s v="Чорноморськ"/>
    <x v="8"/>
    <s v="Побутова хімія"/>
    <s v="Засіб для посудомийних машин"/>
    <x v="0"/>
    <x v="4"/>
    <x v="4"/>
    <n v="3528.8499999999995"/>
    <n v="3965"/>
  </r>
  <r>
    <x v="4"/>
    <s v="Чугуїв"/>
    <x v="9"/>
    <s v="Побутова хімія"/>
    <s v="Засоби для догляду за меблями"/>
    <x v="0"/>
    <x v="4"/>
    <x v="4"/>
    <n v="3065.9199999999996"/>
    <n v="3484"/>
  </r>
  <r>
    <x v="0"/>
    <s v="Житомир"/>
    <x v="0"/>
    <s v="Товари для дому"/>
    <s v="Серветки"/>
    <x v="0"/>
    <x v="4"/>
    <x v="4"/>
    <n v="2067.12"/>
    <n v="2349"/>
  </r>
  <r>
    <x v="1"/>
    <s v="Бердянськ"/>
    <x v="6"/>
    <s v="Товари для дому"/>
    <s v="Зубочистки"/>
    <x v="0"/>
    <x v="4"/>
    <x v="4"/>
    <n v="2286.2399999999998"/>
    <n v="2598"/>
  </r>
  <r>
    <x v="2"/>
    <s v="Бориспіль"/>
    <x v="3"/>
    <s v="Товари для дому"/>
    <s v="Одноразовий посуд"/>
    <x v="0"/>
    <x v="4"/>
    <x v="4"/>
    <n v="1590.1599999999999"/>
    <n v="1807"/>
  </r>
  <r>
    <x v="3"/>
    <s v="Одеса"/>
    <x v="4"/>
    <s v="Косметика"/>
    <s v="Шампунь"/>
    <x v="0"/>
    <x v="4"/>
    <x v="4"/>
    <n v="4794.5700000000006"/>
    <n v="5511"/>
  </r>
  <r>
    <x v="4"/>
    <s v="Харків"/>
    <x v="5"/>
    <s v="Косметика"/>
    <s v="Дезодорант"/>
    <x v="0"/>
    <x v="4"/>
    <x v="4"/>
    <n v="4508.0999999999995"/>
    <n v="5009"/>
  </r>
  <r>
    <x v="0"/>
    <s v="Бердичів"/>
    <x v="1"/>
    <s v="Косметика"/>
    <s v="Мило"/>
    <x v="0"/>
    <x v="4"/>
    <x v="4"/>
    <n v="3796.2"/>
    <n v="4218"/>
  </r>
  <r>
    <x v="1"/>
    <s v="Запоріжжя"/>
    <x v="2"/>
    <s v="Побутова хімія"/>
    <s v="Засіб для миття посуду"/>
    <x v="0"/>
    <x v="4"/>
    <x v="4"/>
    <n v="4196.0099999999993"/>
    <n v="4611"/>
  </r>
  <r>
    <x v="2"/>
    <s v="Біла Церква"/>
    <x v="7"/>
    <s v="Побутова хімія"/>
    <s v="Засіб для посудомийних машин"/>
    <x v="0"/>
    <x v="4"/>
    <x v="4"/>
    <n v="3323.5000000000005"/>
    <n v="3910"/>
  </r>
  <r>
    <x v="3"/>
    <s v="Чорноморськ"/>
    <x v="8"/>
    <s v="Побутова хімія"/>
    <s v="Засоби для догляду за меблями"/>
    <x v="0"/>
    <x v="4"/>
    <x v="4"/>
    <n v="3523.4200000000005"/>
    <n v="4097"/>
  </r>
  <r>
    <x v="4"/>
    <s v="Чугуїв"/>
    <x v="9"/>
    <s v="Товари для дому"/>
    <s v="Серветки"/>
    <x v="0"/>
    <x v="4"/>
    <x v="4"/>
    <n v="2601.7599999999998"/>
    <n v="2828"/>
  </r>
  <r>
    <x v="1"/>
    <s v="Запоріжжя"/>
    <x v="2"/>
    <s v="Товари для дому"/>
    <s v="Одноразовий посуд"/>
    <x v="0"/>
    <x v="4"/>
    <x v="4"/>
    <n v="2357.2600000000002"/>
    <n v="2741"/>
  </r>
  <r>
    <x v="2"/>
    <s v="Бориспіль"/>
    <x v="3"/>
    <s v="Косметика"/>
    <s v="Шампунь"/>
    <x v="0"/>
    <x v="4"/>
    <x v="4"/>
    <n v="4360.7699999999995"/>
    <n v="4689"/>
  </r>
  <r>
    <x v="3"/>
    <s v="Чорноморськ"/>
    <x v="8"/>
    <s v="Косметика"/>
    <s v="Дезодорант"/>
    <x v="0"/>
    <x v="4"/>
    <x v="4"/>
    <n v="2855.1"/>
    <n v="3070"/>
  </r>
  <r>
    <x v="4"/>
    <s v="Харків"/>
    <x v="5"/>
    <s v="Косметика"/>
    <s v="Мило"/>
    <x v="0"/>
    <x v="4"/>
    <x v="4"/>
    <n v="4288.91"/>
    <n v="4819"/>
  </r>
  <r>
    <x v="0"/>
    <s v="Бердичів"/>
    <x v="1"/>
    <s v="Побутова хімія"/>
    <s v="Засіб для миття посуду"/>
    <x v="0"/>
    <x v="4"/>
    <x v="4"/>
    <n v="3375.7699999999995"/>
    <n v="3793"/>
  </r>
  <r>
    <x v="0"/>
    <s v="Бердичів"/>
    <x v="1"/>
    <s v="Побутова хімія"/>
    <s v="Засіб для посудомийних машин"/>
    <x v="0"/>
    <x v="4"/>
    <x v="4"/>
    <n v="3947.4000000000005"/>
    <n v="4590"/>
  </r>
  <r>
    <x v="1"/>
    <s v="Бердянськ"/>
    <x v="6"/>
    <s v="Побутова хімія"/>
    <s v="Засоби для догляду за меблями"/>
    <x v="0"/>
    <x v="4"/>
    <x v="4"/>
    <n v="3426.4999999999995"/>
    <n v="3850"/>
  </r>
  <r>
    <x v="1"/>
    <s v="Бердянськ"/>
    <x v="6"/>
    <s v="Товари для дому"/>
    <s v="Серветки"/>
    <x v="0"/>
    <x v="4"/>
    <x v="4"/>
    <n v="2181.09"/>
    <n v="2507"/>
  </r>
  <r>
    <x v="2"/>
    <s v="Біла Церква"/>
    <x v="7"/>
    <s v="Товари для дому"/>
    <s v="Зубочистки"/>
    <x v="0"/>
    <x v="4"/>
    <x v="4"/>
    <n v="2483.6800000000003"/>
    <n v="2888"/>
  </r>
  <r>
    <x v="2"/>
    <s v="Біла Церква"/>
    <x v="7"/>
    <s v="Товари для дому"/>
    <s v="Одноразовий посуд"/>
    <x v="0"/>
    <x v="4"/>
    <x v="4"/>
    <n v="1560.6"/>
    <n v="1734"/>
  </r>
  <r>
    <x v="2"/>
    <s v="Бориспіль"/>
    <x v="3"/>
    <s v="Косметика"/>
    <s v="Дезодорант"/>
    <x v="0"/>
    <x v="4"/>
    <x v="4"/>
    <n v="3860.0999999999995"/>
    <n v="4289"/>
  </r>
  <r>
    <x v="0"/>
    <s v="Житомир"/>
    <x v="0"/>
    <s v="Косметика"/>
    <s v="Мило"/>
    <x v="0"/>
    <x v="4"/>
    <x v="4"/>
    <n v="3823.5999999999995"/>
    <n v="4345"/>
  </r>
  <r>
    <x v="2"/>
    <s v="Ірпінь"/>
    <x v="10"/>
    <s v="Товари для дому"/>
    <s v="Серветки"/>
    <x v="0"/>
    <x v="4"/>
    <x v="4"/>
    <n v="2335.8799999999997"/>
    <n v="2539"/>
  </r>
  <r>
    <x v="2"/>
    <s v="Ірпінь"/>
    <x v="10"/>
    <s v="Товари для дому"/>
    <s v="Зубочистки"/>
    <x v="0"/>
    <x v="4"/>
    <x v="4"/>
    <n v="1716.2999999999997"/>
    <n v="1907"/>
  </r>
  <r>
    <x v="2"/>
    <s v="Київ"/>
    <x v="11"/>
    <s v="Товари для дому"/>
    <s v="Одноразовий посуд"/>
    <x v="0"/>
    <x v="4"/>
    <x v="4"/>
    <n v="1219.7400000000002"/>
    <n v="1402"/>
  </r>
  <r>
    <x v="2"/>
    <s v="Київ"/>
    <x v="11"/>
    <s v="Косметика"/>
    <s v="Шампунь"/>
    <x v="0"/>
    <x v="4"/>
    <x v="4"/>
    <n v="4732.91"/>
    <n v="5201"/>
  </r>
  <r>
    <x v="3"/>
    <s v="Одеса"/>
    <x v="4"/>
    <s v="Косметика"/>
    <s v="Дезодорант"/>
    <x v="0"/>
    <x v="4"/>
    <x v="4"/>
    <n v="3893.4799999999996"/>
    <n v="4142"/>
  </r>
  <r>
    <x v="3"/>
    <s v="Одеса"/>
    <x v="4"/>
    <s v="Косметика"/>
    <s v="Мило"/>
    <x v="0"/>
    <x v="4"/>
    <x v="4"/>
    <n v="2842.8399999999997"/>
    <n v="3124"/>
  </r>
  <r>
    <x v="4"/>
    <s v="Харків"/>
    <x v="5"/>
    <s v="Побутова хімія"/>
    <s v="Засіб для миття посуду"/>
    <x v="0"/>
    <x v="4"/>
    <x v="4"/>
    <n v="2863.1299999999997"/>
    <n v="3217"/>
  </r>
  <r>
    <x v="4"/>
    <s v="Харків"/>
    <x v="5"/>
    <s v="Побутова хімія"/>
    <s v="Засіб для посудомийних машин"/>
    <x v="0"/>
    <x v="4"/>
    <x v="4"/>
    <n v="4113.4399999999996"/>
    <n v="4376"/>
  </r>
  <r>
    <x v="3"/>
    <s v="Чорноморськ"/>
    <x v="8"/>
    <s v="Товари для дому"/>
    <s v="Серветки"/>
    <x v="0"/>
    <x v="4"/>
    <x v="4"/>
    <n v="2505.35"/>
    <n v="2815"/>
  </r>
  <r>
    <x v="4"/>
    <s v="Чугуїв"/>
    <x v="9"/>
    <s v="Товари для дому"/>
    <s v="Зубочистки"/>
    <x v="0"/>
    <x v="4"/>
    <x v="4"/>
    <n v="2547.3200000000002"/>
    <n v="2962"/>
  </r>
  <r>
    <x v="4"/>
    <s v="Чугуїв"/>
    <x v="9"/>
    <s v="Товари для дому"/>
    <s v="Одноразовий посуд"/>
    <x v="0"/>
    <x v="4"/>
    <x v="4"/>
    <n v="1614.7999999999997"/>
    <n v="1835"/>
  </r>
  <r>
    <x v="2"/>
    <s v="Біла Церква"/>
    <x v="7"/>
    <s v="Косметика"/>
    <s v="Шампунь"/>
    <x v="0"/>
    <x v="4"/>
    <x v="4"/>
    <n v="6145.9199999999992"/>
    <n v="6984"/>
  </r>
  <r>
    <x v="1"/>
    <s v="Бердянськ"/>
    <x v="6"/>
    <s v="Побутова хімія"/>
    <s v="Засіб для посудомийних машин"/>
    <x v="0"/>
    <x v="4"/>
    <x v="4"/>
    <n v="5062.33"/>
    <n v="5563"/>
  </r>
  <r>
    <x v="0"/>
    <s v="Житомир"/>
    <x v="0"/>
    <s v="Товари для дому"/>
    <s v="Одноразовий посуд"/>
    <x v="0"/>
    <x v="4"/>
    <x v="4"/>
    <n v="2127.96"/>
    <n v="2313"/>
  </r>
  <r>
    <x v="0"/>
    <s v="Житомир"/>
    <x v="0"/>
    <s v="Косметика"/>
    <s v="Шампунь"/>
    <x v="0"/>
    <x v="4"/>
    <x v="4"/>
    <n v="3683.68"/>
    <n v="4048"/>
  </r>
  <r>
    <x v="1"/>
    <s v="Запоріжжя"/>
    <x v="2"/>
    <s v="Косметика"/>
    <s v="Дезодорант"/>
    <x v="0"/>
    <x v="4"/>
    <x v="4"/>
    <n v="3154.6200000000003"/>
    <n v="3626"/>
  </r>
  <r>
    <x v="2"/>
    <s v="Ірпінь"/>
    <x v="10"/>
    <s v="Побутова хімія"/>
    <s v="Засіб для миття посуду"/>
    <x v="0"/>
    <x v="4"/>
    <x v="4"/>
    <n v="3173.08"/>
    <n v="3449"/>
  </r>
  <r>
    <x v="2"/>
    <s v="Ірпінь"/>
    <x v="10"/>
    <s v="Побутова хімія"/>
    <s v="Засіб для посудомийних машин"/>
    <x v="0"/>
    <x v="4"/>
    <x v="4"/>
    <n v="4036.0399999999995"/>
    <n v="4387"/>
  </r>
  <r>
    <x v="2"/>
    <s v="Київ"/>
    <x v="11"/>
    <s v="Побутова хімія"/>
    <s v="Засоби для догляду за меблями"/>
    <x v="0"/>
    <x v="4"/>
    <x v="4"/>
    <n v="3177.2400000000002"/>
    <n v="3652"/>
  </r>
  <r>
    <x v="2"/>
    <s v="Київ"/>
    <x v="11"/>
    <s v="Товари для дому"/>
    <s v="Серветки"/>
    <x v="0"/>
    <x v="4"/>
    <x v="4"/>
    <n v="1473.84"/>
    <n v="1656"/>
  </r>
  <r>
    <x v="2"/>
    <s v="Біла Церква"/>
    <x v="7"/>
    <s v="Товари для дому"/>
    <s v="Серветки"/>
    <x v="0"/>
    <x v="4"/>
    <x v="4"/>
    <n v="2119.04"/>
    <n v="2408"/>
  </r>
  <r>
    <x v="1"/>
    <s v="Бердянськ"/>
    <x v="6"/>
    <s v="Косметика"/>
    <s v="Мило"/>
    <x v="0"/>
    <x v="4"/>
    <x v="4"/>
    <n v="2018.4799999999998"/>
    <n v="2194"/>
  </r>
  <r>
    <x v="2"/>
    <s v="Бориспіль"/>
    <x v="3"/>
    <s v="Побутова хімія"/>
    <s v="Засіб для миття посуду"/>
    <x v="0"/>
    <x v="4"/>
    <x v="4"/>
    <n v="3386.24"/>
    <n v="3848"/>
  </r>
  <r>
    <x v="2"/>
    <s v="Бориспіль"/>
    <x v="3"/>
    <s v="Побутова хімія"/>
    <s v="Засіб для посудомийних машин"/>
    <x v="0"/>
    <x v="4"/>
    <x v="4"/>
    <n v="4042.9399999999996"/>
    <n v="4301"/>
  </r>
  <r>
    <x v="1"/>
    <s v="Запоріжжя"/>
    <x v="2"/>
    <s v="Товари для дому"/>
    <s v="Зубочистки"/>
    <x v="0"/>
    <x v="4"/>
    <x v="4"/>
    <n v="2574.16"/>
    <n v="2798"/>
  </r>
  <r>
    <x v="2"/>
    <s v="Ірпінь"/>
    <x v="10"/>
    <s v="Косметика"/>
    <s v="Шампунь"/>
    <x v="0"/>
    <x v="4"/>
    <x v="4"/>
    <n v="4478.0200000000004"/>
    <n v="5207"/>
  </r>
  <r>
    <x v="2"/>
    <s v="Ірпінь"/>
    <x v="10"/>
    <s v="Косметика"/>
    <s v="Дезодорант"/>
    <x v="0"/>
    <x v="4"/>
    <x v="4"/>
    <n v="3433.7599999999998"/>
    <n v="3902"/>
  </r>
  <r>
    <x v="2"/>
    <s v="Київ"/>
    <x v="11"/>
    <s v="Косметика"/>
    <s v="Мило"/>
    <x v="0"/>
    <x v="4"/>
    <x v="4"/>
    <n v="3977.6099999999997"/>
    <n v="4371"/>
  </r>
  <r>
    <x v="2"/>
    <s v="Київ"/>
    <x v="11"/>
    <s v="Побутова хімія"/>
    <s v="Засіб для миття посуду"/>
    <x v="0"/>
    <x v="4"/>
    <x v="4"/>
    <n v="3297.2400000000002"/>
    <n v="3834"/>
  </r>
  <r>
    <x v="3"/>
    <s v="Одеса"/>
    <x v="4"/>
    <s v="Побутова хімія"/>
    <s v="Засіб для посудомийних машин"/>
    <x v="0"/>
    <x v="4"/>
    <x v="4"/>
    <n v="2818.6399999999994"/>
    <n v="3203"/>
  </r>
  <r>
    <x v="3"/>
    <s v="Одеса"/>
    <x v="4"/>
    <s v="Побутова хімія"/>
    <s v="Засоби для догляду за меблями"/>
    <x v="0"/>
    <x v="4"/>
    <x v="4"/>
    <n v="2822.56"/>
    <n v="3068"/>
  </r>
  <r>
    <x v="4"/>
    <s v="Харків"/>
    <x v="5"/>
    <s v="Товари для дому"/>
    <s v="Серветки"/>
    <x v="0"/>
    <x v="4"/>
    <x v="4"/>
    <n v="2169.1999999999998"/>
    <n v="2465"/>
  </r>
  <r>
    <x v="3"/>
    <s v="Чорноморськ"/>
    <x v="8"/>
    <s v="Товари для дому"/>
    <s v="Одноразовий посуд"/>
    <x v="0"/>
    <x v="4"/>
    <x v="4"/>
    <n v="1089"/>
    <n v="1210"/>
  </r>
  <r>
    <x v="3"/>
    <s v="Чорноморськ"/>
    <x v="8"/>
    <s v="Косметика"/>
    <s v="Шампунь"/>
    <x v="0"/>
    <x v="4"/>
    <x v="4"/>
    <n v="4546.08"/>
    <n v="5166"/>
  </r>
  <r>
    <x v="4"/>
    <s v="Чугуїв"/>
    <x v="9"/>
    <s v="Косметика"/>
    <s v="Дезодорант"/>
    <x v="0"/>
    <x v="4"/>
    <x v="4"/>
    <n v="2655.5"/>
    <n v="2825"/>
  </r>
  <r>
    <x v="4"/>
    <s v="Чугуїв"/>
    <x v="9"/>
    <s v="Косметика"/>
    <s v="Мило"/>
    <x v="0"/>
    <x v="4"/>
    <x v="4"/>
    <n v="2700.72"/>
    <n v="2904"/>
  </r>
  <r>
    <x v="0"/>
    <s v="Бердичів"/>
    <x v="1"/>
    <s v="Побутова хімія"/>
    <s v="Засоби для догляду за меблями"/>
    <x v="0"/>
    <x v="4"/>
    <x v="4"/>
    <n v="2866.38"/>
    <n v="3333"/>
  </r>
  <r>
    <x v="0"/>
    <s v="Бердичів"/>
    <x v="1"/>
    <s v="Товари для дому"/>
    <s v="Серветки"/>
    <x v="0"/>
    <x v="4"/>
    <x v="4"/>
    <n v="1421.04"/>
    <n v="1528"/>
  </r>
  <r>
    <x v="1"/>
    <s v="Бердянськ"/>
    <x v="6"/>
    <s v="Товари для дому"/>
    <s v="Одноразовий посуд"/>
    <x v="0"/>
    <x v="4"/>
    <x v="4"/>
    <n v="2549.8199999999997"/>
    <n v="2802"/>
  </r>
  <r>
    <x v="2"/>
    <s v="Ірпінь"/>
    <x v="10"/>
    <s v="Косметика"/>
    <s v="Мило"/>
    <x v="0"/>
    <x v="4"/>
    <x v="4"/>
    <n v="2342.5599999999995"/>
    <n v="2662"/>
  </r>
  <r>
    <x v="2"/>
    <s v="Київ"/>
    <x v="11"/>
    <s v="Побутова хімія"/>
    <s v="Засіб для посудомийних машин"/>
    <x v="0"/>
    <x v="4"/>
    <x v="4"/>
    <n v="4649.3999999999996"/>
    <n v="5166"/>
  </r>
  <r>
    <x v="2"/>
    <s v="Біла Церква"/>
    <x v="7"/>
    <s v="Побутова хімія"/>
    <s v="Засоби для догляду за меблями"/>
    <x v="0"/>
    <x v="4"/>
    <x v="4"/>
    <n v="2397"/>
    <n v="2820"/>
  </r>
  <r>
    <x v="2"/>
    <s v="Бориспіль"/>
    <x v="3"/>
    <s v="Косметика"/>
    <s v="Мило"/>
    <x v="0"/>
    <x v="4"/>
    <x v="4"/>
    <n v="3786.7500000000005"/>
    <n v="4455"/>
  </r>
  <r>
    <x v="2"/>
    <s v="Ірпінь"/>
    <x v="10"/>
    <s v="Товари для дому"/>
    <s v="Одноразовий посуд"/>
    <x v="0"/>
    <x v="4"/>
    <x v="4"/>
    <n v="1974.9000000000003"/>
    <n v="2270"/>
  </r>
  <r>
    <x v="2"/>
    <s v="Київ"/>
    <x v="11"/>
    <s v="Косметика"/>
    <s v="Дезодорант"/>
    <x v="0"/>
    <x v="4"/>
    <x v="4"/>
    <n v="3666.1800000000003"/>
    <n v="4263"/>
  </r>
  <r>
    <x v="3"/>
    <s v="Одеса"/>
    <x v="4"/>
    <s v="Побутова хімія"/>
    <s v="Засіб для миття посуду"/>
    <x v="0"/>
    <x v="4"/>
    <x v="4"/>
    <n v="4295.9000000000005"/>
    <n v="5054"/>
  </r>
  <r>
    <x v="4"/>
    <s v="Харків"/>
    <x v="5"/>
    <s v="Побутова хімія"/>
    <s v="Засоби для догляду за меблями"/>
    <x v="0"/>
    <x v="4"/>
    <x v="4"/>
    <n v="3718.64"/>
    <n v="3956"/>
  </r>
  <r>
    <x v="3"/>
    <s v="Чорноморськ"/>
    <x v="8"/>
    <s v="Товари для дому"/>
    <s v="Зубочистки"/>
    <x v="0"/>
    <x v="4"/>
    <x v="4"/>
    <n v="2821.2799999999997"/>
    <n v="3206"/>
  </r>
  <r>
    <x v="4"/>
    <s v="Чугуїв"/>
    <x v="9"/>
    <s v="Косметика"/>
    <s v="Шампунь"/>
    <x v="0"/>
    <x v="4"/>
    <x v="4"/>
    <n v="4674.5999999999995"/>
    <n v="5194"/>
  </r>
  <r>
    <x v="2"/>
    <s v="Ірпінь"/>
    <x v="10"/>
    <s v="Побутова хімія"/>
    <s v="Засоби для догляду за меблями"/>
    <x v="0"/>
    <x v="4"/>
    <x v="4"/>
    <n v="2778.16"/>
    <n v="3157"/>
  </r>
  <r>
    <x v="2"/>
    <s v="Київ"/>
    <x v="11"/>
    <s v="Товари для дому"/>
    <s v="Зубочистки"/>
    <x v="0"/>
    <x v="4"/>
    <x v="4"/>
    <n v="2615.56"/>
    <n v="2843"/>
  </r>
  <r>
    <x v="0"/>
    <s v="Житомир"/>
    <x v="0"/>
    <s v="Товари для дому"/>
    <s v="Зубочистки"/>
    <x v="0"/>
    <x v="5"/>
    <x v="5"/>
    <n v="2047.8899999999999"/>
    <n v="2301"/>
  </r>
  <r>
    <x v="0"/>
    <s v="Бердичів"/>
    <x v="1"/>
    <s v="Товари для дому"/>
    <s v="Зубочистки"/>
    <x v="0"/>
    <x v="5"/>
    <x v="5"/>
    <n v="2097.5700000000002"/>
    <n v="2411"/>
  </r>
  <r>
    <x v="0"/>
    <s v="Бердичів"/>
    <x v="1"/>
    <s v="Косметика"/>
    <s v="Дезодорант"/>
    <x v="0"/>
    <x v="5"/>
    <x v="5"/>
    <n v="4915.5599999999995"/>
    <n v="5343"/>
  </r>
  <r>
    <x v="0"/>
    <s v="Житомир"/>
    <x v="0"/>
    <s v="Косметика"/>
    <s v="Дезодорант"/>
    <x v="0"/>
    <x v="5"/>
    <x v="5"/>
    <n v="4360.3999999999996"/>
    <n v="4955"/>
  </r>
  <r>
    <x v="0"/>
    <s v="Житомир"/>
    <x v="0"/>
    <s v="Побутова хімія"/>
    <s v="Засіб для миття посуду"/>
    <x v="0"/>
    <x v="5"/>
    <x v="5"/>
    <n v="3619.7999999999997"/>
    <n v="4022"/>
  </r>
  <r>
    <x v="1"/>
    <s v="Запоріжжя"/>
    <x v="2"/>
    <s v="Побутова хімія"/>
    <s v="Засіб для посудомийних машин"/>
    <x v="0"/>
    <x v="5"/>
    <x v="5"/>
    <n v="3137.2"/>
    <n v="3565"/>
  </r>
  <r>
    <x v="2"/>
    <s v="Бориспіль"/>
    <x v="3"/>
    <s v="Побутова хімія"/>
    <s v="Засоби для догляду за меблями"/>
    <x v="0"/>
    <x v="5"/>
    <x v="5"/>
    <n v="3341.6700000000005"/>
    <n v="3841"/>
  </r>
  <r>
    <x v="3"/>
    <s v="Одеса"/>
    <x v="4"/>
    <s v="Товари для дому"/>
    <s v="Серветки"/>
    <x v="0"/>
    <x v="5"/>
    <x v="5"/>
    <n v="2289.9"/>
    <n v="2694"/>
  </r>
  <r>
    <x v="4"/>
    <s v="Харків"/>
    <x v="5"/>
    <s v="Товари для дому"/>
    <s v="Зубочистки"/>
    <x v="0"/>
    <x v="5"/>
    <x v="5"/>
    <n v="2070"/>
    <n v="2300"/>
  </r>
  <r>
    <x v="0"/>
    <s v="Бердичів"/>
    <x v="1"/>
    <s v="Товари для дому"/>
    <s v="Одноразовий посуд"/>
    <x v="0"/>
    <x v="5"/>
    <x v="5"/>
    <n v="2009.62"/>
    <n v="2258"/>
  </r>
  <r>
    <x v="1"/>
    <s v="Бердянськ"/>
    <x v="6"/>
    <s v="Косметика"/>
    <s v="Шампунь"/>
    <x v="0"/>
    <x v="5"/>
    <x v="5"/>
    <n v="4611.3200000000006"/>
    <n v="5362"/>
  </r>
  <r>
    <x v="2"/>
    <s v="Біла Церква"/>
    <x v="7"/>
    <s v="Косметика"/>
    <s v="Дезодорант"/>
    <x v="0"/>
    <x v="5"/>
    <x v="5"/>
    <n v="2780.3599999999997"/>
    <n v="3124"/>
  </r>
  <r>
    <x v="3"/>
    <s v="Чорноморськ"/>
    <x v="8"/>
    <s v="Косметика"/>
    <s v="Мило"/>
    <x v="0"/>
    <x v="5"/>
    <x v="5"/>
    <n v="3920.45"/>
    <n v="4405"/>
  </r>
  <r>
    <x v="4"/>
    <s v="Чугуїв"/>
    <x v="9"/>
    <s v="Побутова хімія"/>
    <s v="Засіб для миття посуду"/>
    <x v="0"/>
    <x v="5"/>
    <x v="5"/>
    <n v="3132.22"/>
    <n v="3442"/>
  </r>
  <r>
    <x v="0"/>
    <s v="Житомир"/>
    <x v="0"/>
    <s v="Побутова хімія"/>
    <s v="Засіб для посудомийних машин"/>
    <x v="0"/>
    <x v="5"/>
    <x v="5"/>
    <n v="4364.42"/>
    <n v="4643"/>
  </r>
  <r>
    <x v="1"/>
    <s v="Запоріжжя"/>
    <x v="2"/>
    <s v="Побутова хімія"/>
    <s v="Засоби для догляду за меблями"/>
    <x v="0"/>
    <x v="5"/>
    <x v="5"/>
    <n v="2663.07"/>
    <n v="3061"/>
  </r>
  <r>
    <x v="2"/>
    <s v="Бориспіль"/>
    <x v="3"/>
    <s v="Товари для дому"/>
    <s v="Серветки"/>
    <x v="0"/>
    <x v="5"/>
    <x v="5"/>
    <n v="2305.0299999999997"/>
    <n v="2533"/>
  </r>
  <r>
    <x v="3"/>
    <s v="Одеса"/>
    <x v="4"/>
    <s v="Товари для дому"/>
    <s v="Зубочистки"/>
    <x v="0"/>
    <x v="5"/>
    <x v="5"/>
    <n v="2344.5"/>
    <n v="2605"/>
  </r>
  <r>
    <x v="4"/>
    <s v="Харків"/>
    <x v="5"/>
    <s v="Товари для дому"/>
    <s v="Одноразовий посуд"/>
    <x v="0"/>
    <x v="5"/>
    <x v="5"/>
    <n v="1737.8799999999999"/>
    <n v="1889"/>
  </r>
  <r>
    <x v="0"/>
    <s v="Бердичів"/>
    <x v="1"/>
    <s v="Косметика"/>
    <s v="Шампунь"/>
    <x v="0"/>
    <x v="5"/>
    <x v="5"/>
    <n v="3816.5000000000005"/>
    <n v="4490"/>
  </r>
  <r>
    <x v="1"/>
    <s v="Бердянськ"/>
    <x v="6"/>
    <s v="Косметика"/>
    <s v="Дезодорант"/>
    <x v="0"/>
    <x v="5"/>
    <x v="5"/>
    <n v="4121.3899999999994"/>
    <n v="4529"/>
  </r>
  <r>
    <x v="2"/>
    <s v="Біла Церква"/>
    <x v="7"/>
    <s v="Косметика"/>
    <s v="Мило"/>
    <x v="0"/>
    <x v="5"/>
    <x v="5"/>
    <n v="3578.7999999999997"/>
    <n v="3890"/>
  </r>
  <r>
    <x v="3"/>
    <s v="Чорноморськ"/>
    <x v="8"/>
    <s v="Побутова хімія"/>
    <s v="Засіб для миття посуду"/>
    <x v="0"/>
    <x v="5"/>
    <x v="5"/>
    <n v="4242.5999999999995"/>
    <n v="4714"/>
  </r>
  <r>
    <x v="4"/>
    <s v="Чугуїв"/>
    <x v="9"/>
    <s v="Побутова хімія"/>
    <s v="Засіб для посудомийних машин"/>
    <x v="0"/>
    <x v="5"/>
    <x v="5"/>
    <n v="4044.95"/>
    <n v="4445"/>
  </r>
  <r>
    <x v="0"/>
    <s v="Житомир"/>
    <x v="0"/>
    <s v="Побутова хімія"/>
    <s v="Засоби для догляду за меблями"/>
    <x v="0"/>
    <x v="5"/>
    <x v="5"/>
    <n v="3519.9999999999995"/>
    <n v="4000"/>
  </r>
  <r>
    <x v="1"/>
    <s v="Запоріжжя"/>
    <x v="2"/>
    <s v="Товари для дому"/>
    <s v="Серветки"/>
    <x v="0"/>
    <x v="5"/>
    <x v="5"/>
    <n v="1628.9999999999998"/>
    <n v="1810"/>
  </r>
  <r>
    <x v="2"/>
    <s v="Бориспіль"/>
    <x v="3"/>
    <s v="Товари для дому"/>
    <s v="Зубочистки"/>
    <x v="0"/>
    <x v="5"/>
    <x v="5"/>
    <n v="3072.16"/>
    <n v="3376"/>
  </r>
  <r>
    <x v="3"/>
    <s v="Одеса"/>
    <x v="4"/>
    <s v="Товари для дому"/>
    <s v="Одноразовий посуд"/>
    <x v="0"/>
    <x v="5"/>
    <x v="5"/>
    <n v="1577.28"/>
    <n v="1696"/>
  </r>
  <r>
    <x v="4"/>
    <s v="Харків"/>
    <x v="5"/>
    <s v="Косметика"/>
    <s v="Шампунь"/>
    <x v="0"/>
    <x v="5"/>
    <x v="5"/>
    <n v="3953.3799999999997"/>
    <n v="4442"/>
  </r>
  <r>
    <x v="1"/>
    <s v="Запоріжжя"/>
    <x v="2"/>
    <s v="Косметика"/>
    <s v="Мило"/>
    <x v="0"/>
    <x v="5"/>
    <x v="5"/>
    <n v="2329"/>
    <n v="2740"/>
  </r>
  <r>
    <x v="2"/>
    <s v="Біла Церква"/>
    <x v="7"/>
    <s v="Побутова хімія"/>
    <s v="Засіб для миття посуду"/>
    <x v="0"/>
    <x v="5"/>
    <x v="5"/>
    <n v="3176.2599999999998"/>
    <n v="3379"/>
  </r>
  <r>
    <x v="3"/>
    <s v="Чорноморськ"/>
    <x v="8"/>
    <s v="Побутова хімія"/>
    <s v="Засіб для посудомийних машин"/>
    <x v="0"/>
    <x v="5"/>
    <x v="5"/>
    <n v="3658.4999999999995"/>
    <n v="4065"/>
  </r>
  <r>
    <x v="4"/>
    <s v="Чугуїв"/>
    <x v="9"/>
    <s v="Побутова хімія"/>
    <s v="Засоби для догляду за меблями"/>
    <x v="0"/>
    <x v="5"/>
    <x v="5"/>
    <n v="3527.9599999999996"/>
    <n v="3964"/>
  </r>
  <r>
    <x v="0"/>
    <s v="Житомир"/>
    <x v="0"/>
    <s v="Товари для дому"/>
    <s v="Серветки"/>
    <x v="0"/>
    <x v="5"/>
    <x v="5"/>
    <n v="1910.9999999999998"/>
    <n v="2100"/>
  </r>
  <r>
    <x v="1"/>
    <s v="Бердянськ"/>
    <x v="6"/>
    <s v="Товари для дому"/>
    <s v="Зубочистки"/>
    <x v="0"/>
    <x v="5"/>
    <x v="5"/>
    <n v="1724.9999999999998"/>
    <n v="1875"/>
  </r>
  <r>
    <x v="2"/>
    <s v="Бориспіль"/>
    <x v="3"/>
    <s v="Товари для дому"/>
    <s v="Одноразовий посуд"/>
    <x v="0"/>
    <x v="5"/>
    <x v="5"/>
    <n v="2291.5800000000004"/>
    <n v="2634"/>
  </r>
  <r>
    <x v="3"/>
    <s v="Одеса"/>
    <x v="4"/>
    <s v="Косметика"/>
    <s v="Шампунь"/>
    <x v="0"/>
    <x v="5"/>
    <x v="5"/>
    <n v="5788.5000000000009"/>
    <n v="6810"/>
  </r>
  <r>
    <x v="4"/>
    <s v="Харків"/>
    <x v="5"/>
    <s v="Косметика"/>
    <s v="Дезодорант"/>
    <x v="0"/>
    <x v="5"/>
    <x v="5"/>
    <n v="4172.6500000000005"/>
    <n v="4909"/>
  </r>
  <r>
    <x v="0"/>
    <s v="Бердичів"/>
    <x v="1"/>
    <s v="Косметика"/>
    <s v="Мило"/>
    <x v="0"/>
    <x v="5"/>
    <x v="5"/>
    <n v="2746.29"/>
    <n v="2953"/>
  </r>
  <r>
    <x v="1"/>
    <s v="Запоріжжя"/>
    <x v="2"/>
    <s v="Побутова хімія"/>
    <s v="Засіб для миття посуду"/>
    <x v="0"/>
    <x v="5"/>
    <x v="5"/>
    <n v="3473.47"/>
    <n v="3817"/>
  </r>
  <r>
    <x v="2"/>
    <s v="Біла Церква"/>
    <x v="7"/>
    <s v="Побутова хімія"/>
    <s v="Засіб для посудомийних машин"/>
    <x v="0"/>
    <x v="5"/>
    <x v="5"/>
    <n v="4171.2"/>
    <n v="4740"/>
  </r>
  <r>
    <x v="3"/>
    <s v="Чорноморськ"/>
    <x v="8"/>
    <s v="Побутова хімія"/>
    <s v="Засоби для догляду за меблями"/>
    <x v="0"/>
    <x v="5"/>
    <x v="5"/>
    <n v="3418.49"/>
    <n v="3841"/>
  </r>
  <r>
    <x v="4"/>
    <s v="Чугуїв"/>
    <x v="9"/>
    <s v="Товари для дому"/>
    <s v="Серветки"/>
    <x v="0"/>
    <x v="5"/>
    <x v="5"/>
    <n v="1576.7500000000002"/>
    <n v="1855"/>
  </r>
  <r>
    <x v="1"/>
    <s v="Запоріжжя"/>
    <x v="2"/>
    <s v="Товари для дому"/>
    <s v="Одноразовий посуд"/>
    <x v="0"/>
    <x v="5"/>
    <x v="5"/>
    <n v="1720.81"/>
    <n v="1891"/>
  </r>
  <r>
    <x v="2"/>
    <s v="Бориспіль"/>
    <x v="3"/>
    <s v="Косметика"/>
    <s v="Шампунь"/>
    <x v="0"/>
    <x v="5"/>
    <x v="5"/>
    <n v="5348.98"/>
    <n v="5878"/>
  </r>
  <r>
    <x v="3"/>
    <s v="Чорноморськ"/>
    <x v="8"/>
    <s v="Косметика"/>
    <s v="Дезодорант"/>
    <x v="0"/>
    <x v="5"/>
    <x v="5"/>
    <n v="3374.6400000000003"/>
    <n v="3924"/>
  </r>
  <r>
    <x v="4"/>
    <s v="Харків"/>
    <x v="5"/>
    <s v="Косметика"/>
    <s v="Мило"/>
    <x v="0"/>
    <x v="5"/>
    <x v="5"/>
    <n v="2638.0899999999997"/>
    <n v="2899"/>
  </r>
  <r>
    <x v="0"/>
    <s v="Бердичів"/>
    <x v="1"/>
    <s v="Побутова хімія"/>
    <s v="Засіб для миття посуду"/>
    <x v="0"/>
    <x v="5"/>
    <x v="5"/>
    <n v="4021.3199999999997"/>
    <n v="4324"/>
  </r>
  <r>
    <x v="0"/>
    <s v="Бердичів"/>
    <x v="1"/>
    <s v="Побутова хімія"/>
    <s v="Засіб для посудомийних машин"/>
    <x v="0"/>
    <x v="5"/>
    <x v="5"/>
    <n v="2556.5699999999997"/>
    <n v="2749"/>
  </r>
  <r>
    <x v="1"/>
    <s v="Бердянськ"/>
    <x v="6"/>
    <s v="Побутова хімія"/>
    <s v="Засоби для догляду за меблями"/>
    <x v="0"/>
    <x v="5"/>
    <x v="5"/>
    <n v="2637.64"/>
    <n v="2867"/>
  </r>
  <r>
    <x v="1"/>
    <s v="Бердянськ"/>
    <x v="6"/>
    <s v="Товари для дому"/>
    <s v="Серветки"/>
    <x v="0"/>
    <x v="5"/>
    <x v="5"/>
    <n v="1734.4799999999998"/>
    <n v="1971"/>
  </r>
  <r>
    <x v="2"/>
    <s v="Біла Церква"/>
    <x v="7"/>
    <s v="Товари для дому"/>
    <s v="Зубочистки"/>
    <x v="0"/>
    <x v="5"/>
    <x v="5"/>
    <n v="1403.3500000000001"/>
    <n v="1651"/>
  </r>
  <r>
    <x v="2"/>
    <s v="Біла Церква"/>
    <x v="7"/>
    <s v="Товари для дому"/>
    <s v="Одноразовий посуд"/>
    <x v="0"/>
    <x v="5"/>
    <x v="5"/>
    <n v="2255.9100000000003"/>
    <n v="2593"/>
  </r>
  <r>
    <x v="2"/>
    <s v="Бориспіль"/>
    <x v="3"/>
    <s v="Косметика"/>
    <s v="Дезодорант"/>
    <x v="0"/>
    <x v="5"/>
    <x v="5"/>
    <n v="2553"/>
    <n v="2775"/>
  </r>
  <r>
    <x v="0"/>
    <s v="Житомир"/>
    <x v="0"/>
    <s v="Косметика"/>
    <s v="Мило"/>
    <x v="0"/>
    <x v="5"/>
    <x v="5"/>
    <n v="1855.9199999999998"/>
    <n v="2109"/>
  </r>
  <r>
    <x v="2"/>
    <s v="Ірпінь"/>
    <x v="10"/>
    <s v="Товари для дому"/>
    <s v="Серветки"/>
    <x v="0"/>
    <x v="5"/>
    <x v="5"/>
    <n v="1898.8"/>
    <n v="2020"/>
  </r>
  <r>
    <x v="2"/>
    <s v="Ірпінь"/>
    <x v="10"/>
    <s v="Товари для дому"/>
    <s v="Зубочистки"/>
    <x v="0"/>
    <x v="5"/>
    <x v="5"/>
    <n v="1880.9699999999998"/>
    <n v="2067"/>
  </r>
  <r>
    <x v="2"/>
    <s v="Київ"/>
    <x v="11"/>
    <s v="Товари для дому"/>
    <s v="Одноразовий посуд"/>
    <x v="0"/>
    <x v="5"/>
    <x v="5"/>
    <n v="2101.4399999999996"/>
    <n v="2388"/>
  </r>
  <r>
    <x v="2"/>
    <s v="Київ"/>
    <x v="11"/>
    <s v="Косметика"/>
    <s v="Шампунь"/>
    <x v="0"/>
    <x v="5"/>
    <x v="5"/>
    <n v="5168.2299999999996"/>
    <n v="5807"/>
  </r>
  <r>
    <x v="3"/>
    <s v="Одеса"/>
    <x v="4"/>
    <s v="Косметика"/>
    <s v="Дезодорант"/>
    <x v="0"/>
    <x v="5"/>
    <x v="5"/>
    <n v="3742.14"/>
    <n v="3981"/>
  </r>
  <r>
    <x v="3"/>
    <s v="Одеса"/>
    <x v="4"/>
    <s v="Косметика"/>
    <s v="Мило"/>
    <x v="0"/>
    <x v="5"/>
    <x v="5"/>
    <n v="2810.62"/>
    <n v="3158"/>
  </r>
  <r>
    <x v="4"/>
    <s v="Харків"/>
    <x v="5"/>
    <s v="Побутова хімія"/>
    <s v="Засіб для миття посуду"/>
    <x v="0"/>
    <x v="5"/>
    <x v="5"/>
    <n v="3625.2900000000004"/>
    <n v="4167"/>
  </r>
  <r>
    <x v="4"/>
    <s v="Харків"/>
    <x v="5"/>
    <s v="Побутова хімія"/>
    <s v="Засіб для посудомийних машин"/>
    <x v="0"/>
    <x v="5"/>
    <x v="5"/>
    <n v="3231.3599999999997"/>
    <n v="3672"/>
  </r>
  <r>
    <x v="3"/>
    <s v="Чорноморськ"/>
    <x v="8"/>
    <s v="Товари для дому"/>
    <s v="Серветки"/>
    <x v="0"/>
    <x v="5"/>
    <x v="5"/>
    <n v="2365.04"/>
    <n v="2516"/>
  </r>
  <r>
    <x v="4"/>
    <s v="Чугуїв"/>
    <x v="9"/>
    <s v="Товари для дому"/>
    <s v="Зубочистки"/>
    <x v="0"/>
    <x v="5"/>
    <x v="5"/>
    <n v="1936.6"/>
    <n v="2105"/>
  </r>
  <r>
    <x v="4"/>
    <s v="Чугуїв"/>
    <x v="9"/>
    <s v="Товари для дому"/>
    <s v="Одноразовий посуд"/>
    <x v="0"/>
    <x v="5"/>
    <x v="5"/>
    <n v="2052.5099999999998"/>
    <n v="2207"/>
  </r>
  <r>
    <x v="2"/>
    <s v="Біла Церква"/>
    <x v="7"/>
    <s v="Косметика"/>
    <s v="Шампунь"/>
    <x v="0"/>
    <x v="5"/>
    <x v="5"/>
    <n v="5803.2"/>
    <n v="6240"/>
  </r>
  <r>
    <x v="1"/>
    <s v="Бердянськ"/>
    <x v="6"/>
    <s v="Побутова хімія"/>
    <s v="Засіб для посудомийних машин"/>
    <x v="0"/>
    <x v="5"/>
    <x v="5"/>
    <n v="3166.2500000000005"/>
    <n v="3725"/>
  </r>
  <r>
    <x v="0"/>
    <s v="Житомир"/>
    <x v="0"/>
    <s v="Товари для дому"/>
    <s v="Одноразовий посуд"/>
    <x v="0"/>
    <x v="5"/>
    <x v="5"/>
    <n v="1860.0600000000002"/>
    <n v="2138"/>
  </r>
  <r>
    <x v="0"/>
    <s v="Житомир"/>
    <x v="0"/>
    <s v="Косметика"/>
    <s v="Шампунь"/>
    <x v="0"/>
    <x v="5"/>
    <x v="5"/>
    <n v="4250.3999999999996"/>
    <n v="4620"/>
  </r>
  <r>
    <x v="1"/>
    <s v="Запоріжжя"/>
    <x v="2"/>
    <s v="Косметика"/>
    <s v="Дезодорант"/>
    <x v="0"/>
    <x v="5"/>
    <x v="5"/>
    <n v="4744.7000000000007"/>
    <n v="5582"/>
  </r>
  <r>
    <x v="2"/>
    <s v="Ірпінь"/>
    <x v="10"/>
    <s v="Побутова хімія"/>
    <s v="Засіб для миття посуду"/>
    <x v="0"/>
    <x v="5"/>
    <x v="5"/>
    <n v="3724.2"/>
    <n v="4138"/>
  </r>
  <r>
    <x v="2"/>
    <s v="Ірпінь"/>
    <x v="10"/>
    <s v="Побутова хімія"/>
    <s v="Засіб для посудомийних машин"/>
    <x v="0"/>
    <x v="5"/>
    <x v="5"/>
    <n v="4117.68"/>
    <n v="4788"/>
  </r>
  <r>
    <x v="2"/>
    <s v="Київ"/>
    <x v="11"/>
    <s v="Побутова хімія"/>
    <s v="Засоби для догляду за меблями"/>
    <x v="0"/>
    <x v="5"/>
    <x v="5"/>
    <n v="2790.7000000000003"/>
    <n v="3245"/>
  </r>
  <r>
    <x v="2"/>
    <s v="Київ"/>
    <x v="11"/>
    <s v="Товари для дому"/>
    <s v="Серветки"/>
    <x v="0"/>
    <x v="5"/>
    <x v="5"/>
    <n v="1892.1399999999999"/>
    <n v="2126"/>
  </r>
  <r>
    <x v="2"/>
    <s v="Біла Церква"/>
    <x v="7"/>
    <s v="Товари для дому"/>
    <s v="Серветки"/>
    <x v="0"/>
    <x v="5"/>
    <x v="5"/>
    <n v="1929.2399999999998"/>
    <n v="2097"/>
  </r>
  <r>
    <x v="1"/>
    <s v="Бердянськ"/>
    <x v="6"/>
    <s v="Косметика"/>
    <s v="Мило"/>
    <x v="0"/>
    <x v="5"/>
    <x v="5"/>
    <n v="3987.2"/>
    <n v="4480"/>
  </r>
  <r>
    <x v="2"/>
    <s v="Бориспіль"/>
    <x v="3"/>
    <s v="Побутова хімія"/>
    <s v="Засіб для миття посуду"/>
    <x v="0"/>
    <x v="5"/>
    <x v="5"/>
    <n v="3094.59"/>
    <n v="3557"/>
  </r>
  <r>
    <x v="2"/>
    <s v="Бориспіль"/>
    <x v="3"/>
    <s v="Побутова хімія"/>
    <s v="Засіб для посудомийних машин"/>
    <x v="0"/>
    <x v="5"/>
    <x v="5"/>
    <n v="4833.4799999999996"/>
    <n v="5142"/>
  </r>
  <r>
    <x v="1"/>
    <s v="Запоріжжя"/>
    <x v="2"/>
    <s v="Товари для дому"/>
    <s v="Зубочистки"/>
    <x v="0"/>
    <x v="5"/>
    <x v="5"/>
    <n v="2586.5500000000002"/>
    <n v="3043"/>
  </r>
  <r>
    <x v="2"/>
    <s v="Ірпінь"/>
    <x v="10"/>
    <s v="Косметика"/>
    <s v="Шампунь"/>
    <x v="0"/>
    <x v="5"/>
    <x v="5"/>
    <n v="4070.6099999999997"/>
    <n v="4377"/>
  </r>
  <r>
    <x v="2"/>
    <s v="Ірпінь"/>
    <x v="10"/>
    <s v="Косметика"/>
    <s v="Дезодорант"/>
    <x v="0"/>
    <x v="5"/>
    <x v="5"/>
    <n v="4229.0700000000006"/>
    <n v="4861"/>
  </r>
  <r>
    <x v="2"/>
    <s v="Київ"/>
    <x v="11"/>
    <s v="Косметика"/>
    <s v="Мило"/>
    <x v="0"/>
    <x v="5"/>
    <x v="5"/>
    <n v="3118.0800000000004"/>
    <n v="3584"/>
  </r>
  <r>
    <x v="2"/>
    <s v="Київ"/>
    <x v="11"/>
    <s v="Побутова хімія"/>
    <s v="Засіб для миття посуду"/>
    <x v="0"/>
    <x v="5"/>
    <x v="5"/>
    <n v="4765.7999999999993"/>
    <n v="5070"/>
  </r>
  <r>
    <x v="3"/>
    <s v="Одеса"/>
    <x v="4"/>
    <s v="Побутова хімія"/>
    <s v="Засіб для посудомийних машин"/>
    <x v="0"/>
    <x v="5"/>
    <x v="5"/>
    <n v="2781.3900000000003"/>
    <n v="3197"/>
  </r>
  <r>
    <x v="3"/>
    <s v="Одеса"/>
    <x v="4"/>
    <s v="Побутова хімія"/>
    <s v="Засоби для догляду за меблями"/>
    <x v="0"/>
    <x v="5"/>
    <x v="5"/>
    <n v="2645.9199999999996"/>
    <n v="2876"/>
  </r>
  <r>
    <x v="4"/>
    <s v="Харків"/>
    <x v="5"/>
    <s v="Товари для дому"/>
    <s v="Серветки"/>
    <x v="0"/>
    <x v="5"/>
    <x v="5"/>
    <n v="2670.54"/>
    <n v="2841"/>
  </r>
  <r>
    <x v="3"/>
    <s v="Чорноморськ"/>
    <x v="8"/>
    <s v="Товари для дому"/>
    <s v="Одноразовий посуд"/>
    <x v="0"/>
    <x v="5"/>
    <x v="5"/>
    <n v="1785.5199999999998"/>
    <n v="2029"/>
  </r>
  <r>
    <x v="3"/>
    <s v="Чорноморськ"/>
    <x v="8"/>
    <s v="Косметика"/>
    <s v="Шампунь"/>
    <x v="0"/>
    <x v="5"/>
    <x v="5"/>
    <n v="4684.41"/>
    <n v="5037"/>
  </r>
  <r>
    <x v="4"/>
    <s v="Чугуїв"/>
    <x v="9"/>
    <s v="Косметика"/>
    <s v="Дезодорант"/>
    <x v="0"/>
    <x v="5"/>
    <x v="5"/>
    <n v="2551.12"/>
    <n v="2899"/>
  </r>
  <r>
    <x v="4"/>
    <s v="Чугуїв"/>
    <x v="9"/>
    <s v="Косметика"/>
    <s v="Мило"/>
    <x v="0"/>
    <x v="5"/>
    <x v="5"/>
    <n v="3992.1699999999996"/>
    <n v="4387"/>
  </r>
  <r>
    <x v="0"/>
    <s v="Бердичів"/>
    <x v="1"/>
    <s v="Побутова хімія"/>
    <s v="Засоби для догляду за меблями"/>
    <x v="0"/>
    <x v="5"/>
    <x v="5"/>
    <n v="3476.5200000000004"/>
    <n v="3996"/>
  </r>
  <r>
    <x v="0"/>
    <s v="Бердичів"/>
    <x v="1"/>
    <s v="Товари для дому"/>
    <s v="Серветки"/>
    <x v="0"/>
    <x v="5"/>
    <x v="5"/>
    <n v="2496.0300000000002"/>
    <n v="2869"/>
  </r>
  <r>
    <x v="1"/>
    <s v="Бердянськ"/>
    <x v="6"/>
    <s v="Товари для дому"/>
    <s v="Одноразовий посуд"/>
    <x v="0"/>
    <x v="5"/>
    <x v="5"/>
    <n v="1916.36"/>
    <n v="2083"/>
  </r>
  <r>
    <x v="2"/>
    <s v="Ірпінь"/>
    <x v="10"/>
    <s v="Косметика"/>
    <s v="Мило"/>
    <x v="0"/>
    <x v="5"/>
    <x v="5"/>
    <n v="3155.3999999999996"/>
    <n v="3506"/>
  </r>
  <r>
    <x v="2"/>
    <s v="Київ"/>
    <x v="11"/>
    <s v="Побутова хімія"/>
    <s v="Засіб для посудомийних машин"/>
    <x v="0"/>
    <x v="5"/>
    <x v="5"/>
    <n v="4524.8700000000008"/>
    <n v="5201"/>
  </r>
  <r>
    <x v="2"/>
    <s v="Біла Церква"/>
    <x v="7"/>
    <s v="Побутова хімія"/>
    <s v="Засоби для догляду за меблями"/>
    <x v="0"/>
    <x v="5"/>
    <x v="5"/>
    <n v="3477.06"/>
    <n v="3699"/>
  </r>
  <r>
    <x v="2"/>
    <s v="Бориспіль"/>
    <x v="3"/>
    <s v="Косметика"/>
    <s v="Мило"/>
    <x v="0"/>
    <x v="5"/>
    <x v="5"/>
    <n v="4232.0600000000004"/>
    <n v="4921"/>
  </r>
  <r>
    <x v="2"/>
    <s v="Ірпінь"/>
    <x v="10"/>
    <s v="Товари для дому"/>
    <s v="Одноразовий посуд"/>
    <x v="0"/>
    <x v="5"/>
    <x v="5"/>
    <n v="1827.4499999999998"/>
    <n v="1965"/>
  </r>
  <r>
    <x v="2"/>
    <s v="Київ"/>
    <x v="11"/>
    <s v="Косметика"/>
    <s v="Дезодорант"/>
    <x v="0"/>
    <x v="5"/>
    <x v="5"/>
    <n v="2315.2799999999997"/>
    <n v="2631"/>
  </r>
  <r>
    <x v="3"/>
    <s v="Одеса"/>
    <x v="4"/>
    <s v="Побутова хімія"/>
    <s v="Засіб для миття посуду"/>
    <x v="0"/>
    <x v="5"/>
    <x v="5"/>
    <n v="3271.6500000000005"/>
    <n v="3849"/>
  </r>
  <r>
    <x v="4"/>
    <s v="Харків"/>
    <x v="5"/>
    <s v="Побутова хімія"/>
    <s v="Засоби для догляду за меблями"/>
    <x v="0"/>
    <x v="5"/>
    <x v="5"/>
    <n v="2876.4799999999996"/>
    <n v="3232"/>
  </r>
  <r>
    <x v="3"/>
    <s v="Чорноморськ"/>
    <x v="8"/>
    <s v="Товари для дому"/>
    <s v="Зубочистки"/>
    <x v="0"/>
    <x v="5"/>
    <x v="5"/>
    <n v="3004.24"/>
    <n v="3196"/>
  </r>
  <r>
    <x v="4"/>
    <s v="Чугуїв"/>
    <x v="9"/>
    <s v="Косметика"/>
    <s v="Шампунь"/>
    <x v="0"/>
    <x v="5"/>
    <x v="5"/>
    <n v="4386.04"/>
    <n v="4666"/>
  </r>
  <r>
    <x v="2"/>
    <s v="Ірпінь"/>
    <x v="10"/>
    <s v="Побутова хімія"/>
    <s v="Засоби для догляду за меблями"/>
    <x v="0"/>
    <x v="5"/>
    <x v="5"/>
    <n v="2753.1"/>
    <n v="3059"/>
  </r>
  <r>
    <x v="2"/>
    <s v="Київ"/>
    <x v="11"/>
    <s v="Товари для дому"/>
    <s v="Зубочистки"/>
    <x v="0"/>
    <x v="5"/>
    <x v="5"/>
    <n v="2040.7399999999998"/>
    <n v="2171"/>
  </r>
  <r>
    <x v="0"/>
    <s v="Житомир"/>
    <x v="0"/>
    <s v="Товари для дому"/>
    <s v="Зубочистки"/>
    <x v="0"/>
    <x v="6"/>
    <x v="6"/>
    <n v="2764.6"/>
    <n v="3005"/>
  </r>
  <r>
    <x v="0"/>
    <s v="Бердичів"/>
    <x v="1"/>
    <s v="Товари для дому"/>
    <s v="Зубочистки"/>
    <x v="0"/>
    <x v="6"/>
    <x v="6"/>
    <n v="1549.4700000000003"/>
    <n v="1781"/>
  </r>
  <r>
    <x v="0"/>
    <s v="Бердичів"/>
    <x v="1"/>
    <s v="Косметика"/>
    <s v="Дезодорант"/>
    <x v="0"/>
    <x v="6"/>
    <x v="6"/>
    <n v="3154.3500000000004"/>
    <n v="3711"/>
  </r>
  <r>
    <x v="0"/>
    <s v="Житомир"/>
    <x v="0"/>
    <s v="Косметика"/>
    <s v="Дезодорант"/>
    <x v="0"/>
    <x v="6"/>
    <x v="6"/>
    <n v="3692.4000000000005"/>
    <n v="4344"/>
  </r>
  <r>
    <x v="0"/>
    <s v="Житомир"/>
    <x v="0"/>
    <s v="Побутова хімія"/>
    <s v="Засіб для миття посуду"/>
    <x v="0"/>
    <x v="6"/>
    <x v="6"/>
    <n v="3044.7999999999997"/>
    <n v="3460"/>
  </r>
  <r>
    <x v="1"/>
    <s v="Запоріжжя"/>
    <x v="2"/>
    <s v="Побутова хімія"/>
    <s v="Засіб для посудомийних машин"/>
    <x v="0"/>
    <x v="6"/>
    <x v="6"/>
    <n v="4248.6399999999994"/>
    <n v="4828"/>
  </r>
  <r>
    <x v="2"/>
    <s v="Бориспіль"/>
    <x v="3"/>
    <s v="Побутова хімія"/>
    <s v="Засоби для догляду за меблями"/>
    <x v="0"/>
    <x v="6"/>
    <x v="6"/>
    <n v="3328.5999999999995"/>
    <n v="3740"/>
  </r>
  <r>
    <x v="3"/>
    <s v="Одеса"/>
    <x v="4"/>
    <s v="Товари для дому"/>
    <s v="Серветки"/>
    <x v="0"/>
    <x v="6"/>
    <x v="6"/>
    <n v="2154.2399999999998"/>
    <n v="2448"/>
  </r>
  <r>
    <x v="4"/>
    <s v="Харків"/>
    <x v="5"/>
    <s v="Товари для дому"/>
    <s v="Зубочистки"/>
    <x v="0"/>
    <x v="6"/>
    <x v="6"/>
    <n v="2512.3999999999996"/>
    <n v="2855"/>
  </r>
  <r>
    <x v="0"/>
    <s v="Бердичів"/>
    <x v="1"/>
    <s v="Товари для дому"/>
    <s v="Одноразовий посуд"/>
    <x v="0"/>
    <x v="6"/>
    <x v="6"/>
    <n v="2437.7400000000002"/>
    <n v="2802"/>
  </r>
  <r>
    <x v="1"/>
    <s v="Бердянськ"/>
    <x v="6"/>
    <s v="Косметика"/>
    <s v="Шампунь"/>
    <x v="0"/>
    <x v="6"/>
    <x v="6"/>
    <n v="3853.9000000000005"/>
    <n v="4534"/>
  </r>
  <r>
    <x v="2"/>
    <s v="Біла Церква"/>
    <x v="7"/>
    <s v="Косметика"/>
    <s v="Дезодорант"/>
    <x v="0"/>
    <x v="6"/>
    <x v="6"/>
    <n v="4856.34"/>
    <n v="5582"/>
  </r>
  <r>
    <x v="3"/>
    <s v="Чорноморськ"/>
    <x v="8"/>
    <s v="Косметика"/>
    <s v="Мило"/>
    <x v="0"/>
    <x v="6"/>
    <x v="6"/>
    <n v="1936.6200000000003"/>
    <n v="2226"/>
  </r>
  <r>
    <x v="4"/>
    <s v="Чугуїв"/>
    <x v="9"/>
    <s v="Побутова хімія"/>
    <s v="Засіб для миття посуду"/>
    <x v="0"/>
    <x v="6"/>
    <x v="6"/>
    <n v="4099.5199999999995"/>
    <n v="4456"/>
  </r>
  <r>
    <x v="0"/>
    <s v="Житомир"/>
    <x v="0"/>
    <s v="Побутова хімія"/>
    <s v="Засіб для посудомийних машин"/>
    <x v="0"/>
    <x v="6"/>
    <x v="6"/>
    <n v="3314.0799999999995"/>
    <n v="3766"/>
  </r>
  <r>
    <x v="1"/>
    <s v="Запоріжжя"/>
    <x v="2"/>
    <s v="Побутова хімія"/>
    <s v="Засоби для догляду за меблями"/>
    <x v="0"/>
    <x v="6"/>
    <x v="6"/>
    <n v="3369.51"/>
    <n v="3873"/>
  </r>
  <r>
    <x v="2"/>
    <s v="Бориспіль"/>
    <x v="3"/>
    <s v="Товари для дому"/>
    <s v="Серветки"/>
    <x v="0"/>
    <x v="6"/>
    <x v="6"/>
    <n v="1707.1599999999999"/>
    <n v="1876"/>
  </r>
  <r>
    <x v="3"/>
    <s v="Одеса"/>
    <x v="4"/>
    <s v="Товари для дому"/>
    <s v="Зубочистки"/>
    <x v="0"/>
    <x v="6"/>
    <x v="6"/>
    <n v="1836.1000000000001"/>
    <n v="2135"/>
  </r>
  <r>
    <x v="4"/>
    <s v="Харків"/>
    <x v="5"/>
    <s v="Товари для дому"/>
    <s v="Одноразовий посуд"/>
    <x v="0"/>
    <x v="6"/>
    <x v="6"/>
    <n v="1514.6999999999998"/>
    <n v="1683"/>
  </r>
  <r>
    <x v="0"/>
    <s v="Бердичів"/>
    <x v="1"/>
    <s v="Косметика"/>
    <s v="Шампунь"/>
    <x v="0"/>
    <x v="6"/>
    <x v="6"/>
    <n v="5635.7999999999993"/>
    <n v="6262"/>
  </r>
  <r>
    <x v="1"/>
    <s v="Бердянськ"/>
    <x v="6"/>
    <s v="Косметика"/>
    <s v="Дезодорант"/>
    <x v="0"/>
    <x v="6"/>
    <x v="6"/>
    <n v="5010.4599999999991"/>
    <n v="5506"/>
  </r>
  <r>
    <x v="2"/>
    <s v="Біла Церква"/>
    <x v="7"/>
    <s v="Косметика"/>
    <s v="Мило"/>
    <x v="0"/>
    <x v="6"/>
    <x v="6"/>
    <n v="2738.76"/>
    <n v="3148"/>
  </r>
  <r>
    <x v="3"/>
    <s v="Чорноморськ"/>
    <x v="8"/>
    <s v="Побутова хімія"/>
    <s v="Засіб для миття посуду"/>
    <x v="0"/>
    <x v="6"/>
    <x v="6"/>
    <n v="3913.22"/>
    <n v="4163"/>
  </r>
  <r>
    <x v="4"/>
    <s v="Чугуїв"/>
    <x v="9"/>
    <s v="Побутова хімія"/>
    <s v="Засіб для посудомийних машин"/>
    <x v="0"/>
    <x v="6"/>
    <x v="6"/>
    <n v="3533.4500000000003"/>
    <n v="4157"/>
  </r>
  <r>
    <x v="0"/>
    <s v="Житомир"/>
    <x v="0"/>
    <s v="Побутова хімія"/>
    <s v="Засоби для догляду за меблями"/>
    <x v="0"/>
    <x v="6"/>
    <x v="6"/>
    <n v="2672.6400000000003"/>
    <n v="3072"/>
  </r>
  <r>
    <x v="1"/>
    <s v="Запоріжжя"/>
    <x v="2"/>
    <s v="Товари для дому"/>
    <s v="Серветки"/>
    <x v="0"/>
    <x v="6"/>
    <x v="6"/>
    <n v="1685.6599999999999"/>
    <n v="1894"/>
  </r>
  <r>
    <x v="2"/>
    <s v="Бориспіль"/>
    <x v="3"/>
    <s v="Товари для дому"/>
    <s v="Зубочистки"/>
    <x v="0"/>
    <x v="6"/>
    <x v="6"/>
    <n v="2610.8999999999996"/>
    <n v="2901"/>
  </r>
  <r>
    <x v="3"/>
    <s v="Одеса"/>
    <x v="4"/>
    <s v="Товари для дому"/>
    <s v="Одноразовий посуд"/>
    <x v="0"/>
    <x v="6"/>
    <x v="6"/>
    <n v="1665.15"/>
    <n v="1959"/>
  </r>
  <r>
    <x v="4"/>
    <s v="Харків"/>
    <x v="5"/>
    <s v="Косметика"/>
    <s v="Шампунь"/>
    <x v="0"/>
    <x v="6"/>
    <x v="6"/>
    <n v="5532.2999999999993"/>
    <n v="6147"/>
  </r>
  <r>
    <x v="1"/>
    <s v="Запоріжжя"/>
    <x v="2"/>
    <s v="Косметика"/>
    <s v="Мило"/>
    <x v="0"/>
    <x v="6"/>
    <x v="6"/>
    <n v="2858.54"/>
    <n v="3041"/>
  </r>
  <r>
    <x v="2"/>
    <s v="Біла Церква"/>
    <x v="7"/>
    <s v="Побутова хімія"/>
    <s v="Засіб для миття посуду"/>
    <x v="0"/>
    <x v="6"/>
    <x v="6"/>
    <n v="3112.8600000000006"/>
    <n v="3578"/>
  </r>
  <r>
    <x v="3"/>
    <s v="Чорноморськ"/>
    <x v="8"/>
    <s v="Побутова хімія"/>
    <s v="Засіб для посудомийних машин"/>
    <x v="0"/>
    <x v="6"/>
    <x v="6"/>
    <n v="4181.3999999999996"/>
    <n v="4646"/>
  </r>
  <r>
    <x v="4"/>
    <s v="Чугуїв"/>
    <x v="9"/>
    <s v="Побутова хімія"/>
    <s v="Засоби для догляду за меблями"/>
    <x v="0"/>
    <x v="6"/>
    <x v="6"/>
    <n v="3542.8799999999997"/>
    <n v="4026"/>
  </r>
  <r>
    <x v="0"/>
    <s v="Житомир"/>
    <x v="0"/>
    <s v="Товари для дому"/>
    <s v="Серветки"/>
    <x v="0"/>
    <x v="6"/>
    <x v="6"/>
    <n v="1543.4999999999998"/>
    <n v="1715"/>
  </r>
  <r>
    <x v="1"/>
    <s v="Бердянськ"/>
    <x v="6"/>
    <s v="Товари для дому"/>
    <s v="Зубочистки"/>
    <x v="0"/>
    <x v="6"/>
    <x v="6"/>
    <n v="2326.6799999999998"/>
    <n v="2529"/>
  </r>
  <r>
    <x v="2"/>
    <s v="Бориспіль"/>
    <x v="3"/>
    <s v="Товари для дому"/>
    <s v="Одноразовий посуд"/>
    <x v="0"/>
    <x v="6"/>
    <x v="6"/>
    <n v="2112.1099999999997"/>
    <n v="2321"/>
  </r>
  <r>
    <x v="3"/>
    <s v="Одеса"/>
    <x v="4"/>
    <s v="Косметика"/>
    <s v="Шампунь"/>
    <x v="0"/>
    <x v="6"/>
    <x v="6"/>
    <n v="5701.9800000000005"/>
    <n v="6554"/>
  </r>
  <r>
    <x v="4"/>
    <s v="Харків"/>
    <x v="5"/>
    <s v="Косметика"/>
    <s v="Дезодорант"/>
    <x v="0"/>
    <x v="6"/>
    <x v="6"/>
    <n v="2984.2000000000003"/>
    <n v="3470"/>
  </r>
  <r>
    <x v="0"/>
    <s v="Бердичів"/>
    <x v="1"/>
    <s v="Косметика"/>
    <s v="Мило"/>
    <x v="0"/>
    <x v="6"/>
    <x v="6"/>
    <n v="1905.4899999999998"/>
    <n v="2141"/>
  </r>
  <r>
    <x v="1"/>
    <s v="Запоріжжя"/>
    <x v="2"/>
    <s v="Побутова хімія"/>
    <s v="Засіб для миття посуду"/>
    <x v="0"/>
    <x v="6"/>
    <x v="6"/>
    <n v="2818.6399999999994"/>
    <n v="3203"/>
  </r>
  <r>
    <x v="2"/>
    <s v="Біла Церква"/>
    <x v="7"/>
    <s v="Побутова хімія"/>
    <s v="Засіб для посудомийних машин"/>
    <x v="0"/>
    <x v="6"/>
    <x v="6"/>
    <n v="2964.5999999999995"/>
    <n v="3294"/>
  </r>
  <r>
    <x v="3"/>
    <s v="Чорноморськ"/>
    <x v="8"/>
    <s v="Побутова хімія"/>
    <s v="Засоби для догляду за меблями"/>
    <x v="0"/>
    <x v="6"/>
    <x v="6"/>
    <n v="3347.0699999999997"/>
    <n v="3599"/>
  </r>
  <r>
    <x v="4"/>
    <s v="Чугуїв"/>
    <x v="9"/>
    <s v="Товари для дому"/>
    <s v="Серветки"/>
    <x v="0"/>
    <x v="6"/>
    <x v="6"/>
    <n v="2761.72"/>
    <n v="2938"/>
  </r>
  <r>
    <x v="1"/>
    <s v="Запоріжжя"/>
    <x v="2"/>
    <s v="Товари для дому"/>
    <s v="Одноразовий посуд"/>
    <x v="0"/>
    <x v="6"/>
    <x v="6"/>
    <n v="2575.7999999999997"/>
    <n v="2862"/>
  </r>
  <r>
    <x v="2"/>
    <s v="Бориспіль"/>
    <x v="3"/>
    <s v="Косметика"/>
    <s v="Шампунь"/>
    <x v="0"/>
    <x v="6"/>
    <x v="6"/>
    <n v="3499.34"/>
    <n v="4069"/>
  </r>
  <r>
    <x v="3"/>
    <s v="Чорноморськ"/>
    <x v="8"/>
    <s v="Косметика"/>
    <s v="Дезодорант"/>
    <x v="0"/>
    <x v="6"/>
    <x v="6"/>
    <n v="3129.2999999999997"/>
    <n v="3477"/>
  </r>
  <r>
    <x v="4"/>
    <s v="Харків"/>
    <x v="5"/>
    <s v="Косметика"/>
    <s v="Мило"/>
    <x v="0"/>
    <x v="6"/>
    <x v="6"/>
    <n v="3776.0799999999995"/>
    <n v="4291"/>
  </r>
  <r>
    <x v="0"/>
    <s v="Бердичів"/>
    <x v="1"/>
    <s v="Побутова хімія"/>
    <s v="Засіб для миття посуду"/>
    <x v="0"/>
    <x v="6"/>
    <x v="6"/>
    <n v="3345.4000000000005"/>
    <n v="3890"/>
  </r>
  <r>
    <x v="0"/>
    <s v="Бердичів"/>
    <x v="1"/>
    <s v="Побутова хімія"/>
    <s v="Засіб для посудомийних машин"/>
    <x v="0"/>
    <x v="6"/>
    <x v="6"/>
    <n v="5055.9599999999991"/>
    <n v="5556"/>
  </r>
  <r>
    <x v="1"/>
    <s v="Бердянськ"/>
    <x v="6"/>
    <s v="Побутова хімія"/>
    <s v="Засоби для догляду за меблями"/>
    <x v="0"/>
    <x v="6"/>
    <x v="6"/>
    <n v="2721.81"/>
    <n v="2991"/>
  </r>
  <r>
    <x v="1"/>
    <s v="Бердянськ"/>
    <x v="6"/>
    <s v="Товари для дому"/>
    <s v="Серветки"/>
    <x v="0"/>
    <x v="6"/>
    <x v="6"/>
    <n v="2336.2499999999995"/>
    <n v="2625"/>
  </r>
  <r>
    <x v="2"/>
    <s v="Біла Церква"/>
    <x v="7"/>
    <s v="Товари для дому"/>
    <s v="Зубочистки"/>
    <x v="0"/>
    <x v="6"/>
    <x v="6"/>
    <n v="2485.4"/>
    <n v="2924"/>
  </r>
  <r>
    <x v="2"/>
    <s v="Біла Церква"/>
    <x v="7"/>
    <s v="Товари для дому"/>
    <s v="Одноразовий посуд"/>
    <x v="0"/>
    <x v="6"/>
    <x v="6"/>
    <n v="1221.3"/>
    <n v="1357"/>
  </r>
  <r>
    <x v="2"/>
    <s v="Бориспіль"/>
    <x v="3"/>
    <s v="Косметика"/>
    <s v="Дезодорант"/>
    <x v="0"/>
    <x v="6"/>
    <x v="6"/>
    <n v="4851.8999999999996"/>
    <n v="5391"/>
  </r>
  <r>
    <x v="0"/>
    <s v="Житомир"/>
    <x v="0"/>
    <s v="Косметика"/>
    <s v="Мило"/>
    <x v="0"/>
    <x v="6"/>
    <x v="6"/>
    <n v="3432.5999999999995"/>
    <n v="3814"/>
  </r>
  <r>
    <x v="2"/>
    <s v="Ірпінь"/>
    <x v="10"/>
    <s v="Товари для дому"/>
    <s v="Серветки"/>
    <x v="0"/>
    <x v="6"/>
    <x v="6"/>
    <n v="1798.1999999999998"/>
    <n v="1998"/>
  </r>
  <r>
    <x v="2"/>
    <s v="Ірпінь"/>
    <x v="10"/>
    <s v="Товари для дому"/>
    <s v="Зубочистки"/>
    <x v="0"/>
    <x v="6"/>
    <x v="6"/>
    <n v="2151.1299999999997"/>
    <n v="2417"/>
  </r>
  <r>
    <x v="2"/>
    <s v="Київ"/>
    <x v="11"/>
    <s v="Товари для дому"/>
    <s v="Одноразовий посуд"/>
    <x v="0"/>
    <x v="6"/>
    <x v="6"/>
    <n v="1476.6399999999999"/>
    <n v="1678"/>
  </r>
  <r>
    <x v="2"/>
    <s v="Київ"/>
    <x v="11"/>
    <s v="Косметика"/>
    <s v="Шампунь"/>
    <x v="0"/>
    <x v="6"/>
    <x v="6"/>
    <n v="4016.7900000000004"/>
    <n v="4617"/>
  </r>
  <r>
    <x v="3"/>
    <s v="Одеса"/>
    <x v="4"/>
    <s v="Косметика"/>
    <s v="Дезодорант"/>
    <x v="0"/>
    <x v="6"/>
    <x v="6"/>
    <n v="4014.7899999999995"/>
    <n v="4511"/>
  </r>
  <r>
    <x v="3"/>
    <s v="Одеса"/>
    <x v="4"/>
    <s v="Косметика"/>
    <s v="Мило"/>
    <x v="0"/>
    <x v="6"/>
    <x v="6"/>
    <n v="2106.54"/>
    <n v="2241"/>
  </r>
  <r>
    <x v="4"/>
    <s v="Харків"/>
    <x v="5"/>
    <s v="Побутова хімія"/>
    <s v="Засіб для миття посуду"/>
    <x v="0"/>
    <x v="6"/>
    <x v="6"/>
    <n v="2795.86"/>
    <n v="3251"/>
  </r>
  <r>
    <x v="4"/>
    <s v="Харків"/>
    <x v="5"/>
    <s v="Побутова хімія"/>
    <s v="Засіб для посудомийних машин"/>
    <x v="0"/>
    <x v="6"/>
    <x v="6"/>
    <n v="3466.0800000000004"/>
    <n v="3984"/>
  </r>
  <r>
    <x v="3"/>
    <s v="Чорноморськ"/>
    <x v="8"/>
    <s v="Товари для дому"/>
    <s v="Серветки"/>
    <x v="0"/>
    <x v="6"/>
    <x v="6"/>
    <n v="2320.5599999999995"/>
    <n v="2637"/>
  </r>
  <r>
    <x v="4"/>
    <s v="Чугуїв"/>
    <x v="9"/>
    <s v="Товари для дому"/>
    <s v="Зубочистки"/>
    <x v="0"/>
    <x v="6"/>
    <x v="6"/>
    <n v="2881.14"/>
    <n v="3098"/>
  </r>
  <r>
    <x v="4"/>
    <s v="Чугуїв"/>
    <x v="9"/>
    <s v="Товари для дому"/>
    <s v="Одноразовий посуд"/>
    <x v="0"/>
    <x v="6"/>
    <x v="6"/>
    <n v="2116.46"/>
    <n v="2461"/>
  </r>
  <r>
    <x v="2"/>
    <s v="Біла Церква"/>
    <x v="7"/>
    <s v="Косметика"/>
    <s v="Шампунь"/>
    <x v="0"/>
    <x v="6"/>
    <x v="6"/>
    <n v="5920.2500000000009"/>
    <n v="6965"/>
  </r>
  <r>
    <x v="1"/>
    <s v="Бердянськ"/>
    <x v="6"/>
    <s v="Побутова хімія"/>
    <s v="Засіб для посудомийних машин"/>
    <x v="0"/>
    <x v="6"/>
    <x v="6"/>
    <n v="4659.1499999999996"/>
    <n v="5235"/>
  </r>
  <r>
    <x v="0"/>
    <s v="Житомир"/>
    <x v="0"/>
    <s v="Товари для дому"/>
    <s v="Одноразовий посуд"/>
    <x v="0"/>
    <x v="6"/>
    <x v="6"/>
    <n v="1676.2199999999998"/>
    <n v="1842"/>
  </r>
  <r>
    <x v="0"/>
    <s v="Житомир"/>
    <x v="0"/>
    <s v="Косметика"/>
    <s v="Шампунь"/>
    <x v="0"/>
    <x v="6"/>
    <x v="6"/>
    <n v="3958.08"/>
    <n v="4256"/>
  </r>
  <r>
    <x v="1"/>
    <s v="Запоріжжя"/>
    <x v="2"/>
    <s v="Косметика"/>
    <s v="Дезодорант"/>
    <x v="0"/>
    <x v="6"/>
    <x v="6"/>
    <n v="3604.26"/>
    <n v="4191"/>
  </r>
  <r>
    <x v="2"/>
    <s v="Ірпінь"/>
    <x v="10"/>
    <s v="Побутова хімія"/>
    <s v="Засіб для миття посуду"/>
    <x v="0"/>
    <x v="6"/>
    <x v="6"/>
    <n v="3542.6400000000003"/>
    <n v="4072"/>
  </r>
  <r>
    <x v="2"/>
    <s v="Ірпінь"/>
    <x v="10"/>
    <s v="Побутова хімія"/>
    <s v="Засіб для посудомийних машин"/>
    <x v="0"/>
    <x v="6"/>
    <x v="6"/>
    <n v="3743.74"/>
    <n v="4114"/>
  </r>
  <r>
    <x v="2"/>
    <s v="Київ"/>
    <x v="11"/>
    <s v="Побутова хімія"/>
    <s v="Засоби для догляду за меблями"/>
    <x v="0"/>
    <x v="6"/>
    <x v="6"/>
    <n v="2588.2500000000005"/>
    <n v="3045"/>
  </r>
  <r>
    <x v="2"/>
    <s v="Київ"/>
    <x v="11"/>
    <s v="Товари для дому"/>
    <s v="Серветки"/>
    <x v="0"/>
    <x v="6"/>
    <x v="6"/>
    <n v="1578.85"/>
    <n v="1735"/>
  </r>
  <r>
    <x v="2"/>
    <s v="Біла Церква"/>
    <x v="7"/>
    <s v="Товари для дому"/>
    <s v="Серветки"/>
    <x v="0"/>
    <x v="6"/>
    <x v="6"/>
    <n v="1514.4600000000003"/>
    <n v="1761"/>
  </r>
  <r>
    <x v="1"/>
    <s v="Бердянськ"/>
    <x v="6"/>
    <s v="Косметика"/>
    <s v="Мило"/>
    <x v="0"/>
    <x v="6"/>
    <x v="6"/>
    <n v="3747.9199999999996"/>
    <n v="4259"/>
  </r>
  <r>
    <x v="2"/>
    <s v="Бориспіль"/>
    <x v="3"/>
    <s v="Побутова хімія"/>
    <s v="Засіб для миття посуду"/>
    <x v="0"/>
    <x v="6"/>
    <x v="6"/>
    <n v="3132.7999999999997"/>
    <n v="3520"/>
  </r>
  <r>
    <x v="2"/>
    <s v="Бориспіль"/>
    <x v="3"/>
    <s v="Побутова хімія"/>
    <s v="Засіб для посудомийних машин"/>
    <x v="0"/>
    <x v="6"/>
    <x v="6"/>
    <n v="2725.83"/>
    <n v="2931"/>
  </r>
  <r>
    <x v="1"/>
    <s v="Запоріжжя"/>
    <x v="2"/>
    <s v="Товари для дому"/>
    <s v="Зубочистки"/>
    <x v="0"/>
    <x v="6"/>
    <x v="6"/>
    <n v="1694.0500000000002"/>
    <n v="1993"/>
  </r>
  <r>
    <x v="2"/>
    <s v="Ірпінь"/>
    <x v="10"/>
    <s v="Косметика"/>
    <s v="Шампунь"/>
    <x v="0"/>
    <x v="6"/>
    <x v="6"/>
    <n v="4884.18"/>
    <n v="5614"/>
  </r>
  <r>
    <x v="2"/>
    <s v="Ірпінь"/>
    <x v="10"/>
    <s v="Косметика"/>
    <s v="Дезодорант"/>
    <x v="0"/>
    <x v="6"/>
    <x v="6"/>
    <n v="4806.5599999999995"/>
    <n v="5462"/>
  </r>
  <r>
    <x v="2"/>
    <s v="Київ"/>
    <x v="11"/>
    <s v="Косметика"/>
    <s v="Мило"/>
    <x v="0"/>
    <x v="6"/>
    <x v="6"/>
    <n v="2645.2799999999997"/>
    <n v="3006"/>
  </r>
  <r>
    <x v="2"/>
    <s v="Київ"/>
    <x v="11"/>
    <s v="Побутова хімія"/>
    <s v="Засіб для миття посуду"/>
    <x v="0"/>
    <x v="6"/>
    <x v="6"/>
    <n v="4545.84"/>
    <n v="4888"/>
  </r>
  <r>
    <x v="3"/>
    <s v="Одеса"/>
    <x v="4"/>
    <s v="Побутова хімія"/>
    <s v="Засіб для посудомийних машин"/>
    <x v="0"/>
    <x v="6"/>
    <x v="6"/>
    <n v="3744.3999999999996"/>
    <n v="4070"/>
  </r>
  <r>
    <x v="3"/>
    <s v="Одеса"/>
    <x v="4"/>
    <s v="Побутова хімія"/>
    <s v="Засоби для догляду за меблями"/>
    <x v="0"/>
    <x v="6"/>
    <x v="6"/>
    <n v="2631.2"/>
    <n v="2990"/>
  </r>
  <r>
    <x v="4"/>
    <s v="Харків"/>
    <x v="5"/>
    <s v="Товари для дому"/>
    <s v="Серветки"/>
    <x v="0"/>
    <x v="6"/>
    <x v="6"/>
    <n v="1865.2800000000002"/>
    <n v="2144"/>
  </r>
  <r>
    <x v="3"/>
    <s v="Чорноморськ"/>
    <x v="8"/>
    <s v="Товари для дому"/>
    <s v="Одноразовий посуд"/>
    <x v="0"/>
    <x v="6"/>
    <x v="6"/>
    <n v="1797.6799999999998"/>
    <n v="1954"/>
  </r>
  <r>
    <x v="3"/>
    <s v="Чорноморськ"/>
    <x v="8"/>
    <s v="Косметика"/>
    <s v="Шампунь"/>
    <x v="0"/>
    <x v="6"/>
    <x v="6"/>
    <n v="6097.3899999999994"/>
    <n v="6851"/>
  </r>
  <r>
    <x v="4"/>
    <s v="Чугуїв"/>
    <x v="9"/>
    <s v="Косметика"/>
    <s v="Дезодорант"/>
    <x v="0"/>
    <x v="6"/>
    <x v="6"/>
    <n v="2686.6400000000003"/>
    <n v="3124"/>
  </r>
  <r>
    <x v="4"/>
    <s v="Чугуїв"/>
    <x v="9"/>
    <s v="Косметика"/>
    <s v="Мило"/>
    <x v="0"/>
    <x v="6"/>
    <x v="6"/>
    <n v="1766.9700000000003"/>
    <n v="2031"/>
  </r>
  <r>
    <x v="0"/>
    <s v="Бердичів"/>
    <x v="1"/>
    <s v="Побутова хімія"/>
    <s v="Засоби для догляду за меблями"/>
    <x v="0"/>
    <x v="6"/>
    <x v="6"/>
    <n v="2941.2"/>
    <n v="3268"/>
  </r>
  <r>
    <x v="0"/>
    <s v="Бердичів"/>
    <x v="1"/>
    <s v="Товари для дому"/>
    <s v="Серветки"/>
    <x v="0"/>
    <x v="6"/>
    <x v="6"/>
    <n v="1885.9099999999999"/>
    <n v="2119"/>
  </r>
  <r>
    <x v="1"/>
    <s v="Бердянськ"/>
    <x v="6"/>
    <s v="Товари для дому"/>
    <s v="Одноразовий посуд"/>
    <x v="0"/>
    <x v="6"/>
    <x v="6"/>
    <n v="1523.52"/>
    <n v="1656"/>
  </r>
  <r>
    <x v="2"/>
    <s v="Ірпінь"/>
    <x v="10"/>
    <s v="Косметика"/>
    <s v="Мило"/>
    <x v="0"/>
    <x v="6"/>
    <x v="6"/>
    <n v="2186.44"/>
    <n v="2326"/>
  </r>
  <r>
    <x v="2"/>
    <s v="Київ"/>
    <x v="11"/>
    <s v="Побутова хімія"/>
    <s v="Засіб для посудомийних машин"/>
    <x v="0"/>
    <x v="6"/>
    <x v="6"/>
    <n v="4709.7599999999993"/>
    <n v="5352"/>
  </r>
  <r>
    <x v="2"/>
    <s v="Біла Церква"/>
    <x v="7"/>
    <s v="Побутова хімія"/>
    <s v="Засоби для догляду за меблями"/>
    <x v="0"/>
    <x v="6"/>
    <x v="6"/>
    <n v="2742.0899999999997"/>
    <n v="3081"/>
  </r>
  <r>
    <x v="2"/>
    <s v="Бориспіль"/>
    <x v="3"/>
    <s v="Косметика"/>
    <s v="Мило"/>
    <x v="0"/>
    <x v="6"/>
    <x v="6"/>
    <n v="2380.8500000000004"/>
    <n v="2801"/>
  </r>
  <r>
    <x v="2"/>
    <s v="Ірпінь"/>
    <x v="10"/>
    <s v="Товари для дому"/>
    <s v="Одноразовий посуд"/>
    <x v="0"/>
    <x v="6"/>
    <x v="6"/>
    <n v="1478.13"/>
    <n v="1699"/>
  </r>
  <r>
    <x v="2"/>
    <s v="Київ"/>
    <x v="11"/>
    <s v="Косметика"/>
    <s v="Дезодорант"/>
    <x v="0"/>
    <x v="6"/>
    <x v="6"/>
    <n v="4400.16"/>
    <n v="4944"/>
  </r>
  <r>
    <x v="3"/>
    <s v="Одеса"/>
    <x v="4"/>
    <s v="Побутова хімія"/>
    <s v="Засіб для миття посуду"/>
    <x v="0"/>
    <x v="6"/>
    <x v="6"/>
    <n v="3565.7500000000005"/>
    <n v="4195"/>
  </r>
  <r>
    <x v="4"/>
    <s v="Харків"/>
    <x v="5"/>
    <s v="Побутова хімія"/>
    <s v="Засоби для догляду за меблями"/>
    <x v="0"/>
    <x v="6"/>
    <x v="6"/>
    <n v="2805.8500000000004"/>
    <n v="3301"/>
  </r>
  <r>
    <x v="3"/>
    <s v="Чорноморськ"/>
    <x v="8"/>
    <s v="Товари для дому"/>
    <s v="Зубочистки"/>
    <x v="0"/>
    <x v="6"/>
    <x v="6"/>
    <n v="2238.7199999999998"/>
    <n v="2544"/>
  </r>
  <r>
    <x v="4"/>
    <s v="Чугуїв"/>
    <x v="9"/>
    <s v="Косметика"/>
    <s v="Шампунь"/>
    <x v="0"/>
    <x v="6"/>
    <x v="6"/>
    <n v="4081.7699999999995"/>
    <n v="4389"/>
  </r>
  <r>
    <x v="2"/>
    <s v="Ірпінь"/>
    <x v="10"/>
    <s v="Побутова хімія"/>
    <s v="Засоби для догляду за меблями"/>
    <x v="0"/>
    <x v="6"/>
    <x v="6"/>
    <n v="2551.64"/>
    <n v="2804"/>
  </r>
  <r>
    <x v="2"/>
    <s v="Київ"/>
    <x v="11"/>
    <s v="Товари для дому"/>
    <s v="Зубочистки"/>
    <x v="0"/>
    <x v="6"/>
    <x v="6"/>
    <n v="1655.34"/>
    <n v="1761"/>
  </r>
  <r>
    <x v="0"/>
    <s v="Житомир"/>
    <x v="0"/>
    <s v="Товари для дому"/>
    <s v="Зубочистки"/>
    <x v="0"/>
    <x v="7"/>
    <x v="7"/>
    <n v="1530.32"/>
    <n v="1628"/>
  </r>
  <r>
    <x v="0"/>
    <s v="Бердичів"/>
    <x v="1"/>
    <s v="Товари для дому"/>
    <s v="Зубочистки"/>
    <x v="0"/>
    <x v="7"/>
    <x v="7"/>
    <n v="2870.5599999999995"/>
    <n v="3262"/>
  </r>
  <r>
    <x v="0"/>
    <s v="Бердичів"/>
    <x v="1"/>
    <s v="Косметика"/>
    <s v="Дезодорант"/>
    <x v="0"/>
    <x v="7"/>
    <x v="7"/>
    <n v="2606.9500000000003"/>
    <n v="3067"/>
  </r>
  <r>
    <x v="0"/>
    <s v="Житомир"/>
    <x v="0"/>
    <s v="Косметика"/>
    <s v="Дезодорант"/>
    <x v="0"/>
    <x v="7"/>
    <x v="7"/>
    <n v="4065.5"/>
    <n v="4325"/>
  </r>
  <r>
    <x v="0"/>
    <s v="Житомир"/>
    <x v="0"/>
    <s v="Побутова хімія"/>
    <s v="Засіб для миття посуду"/>
    <x v="0"/>
    <x v="7"/>
    <x v="7"/>
    <n v="3055"/>
    <n v="3250"/>
  </r>
  <r>
    <x v="1"/>
    <s v="Запоріжжя"/>
    <x v="2"/>
    <s v="Побутова хімія"/>
    <s v="Засіб для посудомийних машин"/>
    <x v="0"/>
    <x v="7"/>
    <x v="7"/>
    <n v="3432.26"/>
    <n v="3991"/>
  </r>
  <r>
    <x v="2"/>
    <s v="Бориспіль"/>
    <x v="3"/>
    <s v="Побутова хімія"/>
    <s v="Засоби для догляду за меблями"/>
    <x v="0"/>
    <x v="7"/>
    <x v="7"/>
    <n v="3122.68"/>
    <n v="3322"/>
  </r>
  <r>
    <x v="3"/>
    <s v="Одеса"/>
    <x v="4"/>
    <s v="Товари для дому"/>
    <s v="Серветки"/>
    <x v="0"/>
    <x v="7"/>
    <x v="7"/>
    <n v="2062.7399999999998"/>
    <n v="2218"/>
  </r>
  <r>
    <x v="4"/>
    <s v="Харків"/>
    <x v="5"/>
    <s v="Товари для дому"/>
    <s v="Зубочистки"/>
    <x v="0"/>
    <x v="7"/>
    <x v="7"/>
    <n v="2634.8199999999997"/>
    <n v="2803"/>
  </r>
  <r>
    <x v="0"/>
    <s v="Бердичів"/>
    <x v="1"/>
    <s v="Товари для дому"/>
    <s v="Одноразовий посуд"/>
    <x v="0"/>
    <x v="7"/>
    <x v="7"/>
    <n v="1644.7500000000002"/>
    <n v="1935"/>
  </r>
  <r>
    <x v="1"/>
    <s v="Бердянськ"/>
    <x v="6"/>
    <s v="Косметика"/>
    <s v="Шампунь"/>
    <x v="0"/>
    <x v="7"/>
    <x v="7"/>
    <n v="3569.2799999999997"/>
    <n v="4056"/>
  </r>
  <r>
    <x v="2"/>
    <s v="Біла Церква"/>
    <x v="7"/>
    <s v="Косметика"/>
    <s v="Дезодорант"/>
    <x v="0"/>
    <x v="7"/>
    <x v="7"/>
    <n v="3019.71"/>
    <n v="3247"/>
  </r>
  <r>
    <x v="3"/>
    <s v="Чорноморськ"/>
    <x v="8"/>
    <s v="Косметика"/>
    <s v="Мило"/>
    <x v="0"/>
    <x v="7"/>
    <x v="7"/>
    <n v="2420.0400000000004"/>
    <n v="2814"/>
  </r>
  <r>
    <x v="4"/>
    <s v="Чугуїв"/>
    <x v="9"/>
    <s v="Побутова хімія"/>
    <s v="Засіб для миття посуду"/>
    <x v="0"/>
    <x v="7"/>
    <x v="7"/>
    <n v="4010.2799999999997"/>
    <n v="4359"/>
  </r>
  <r>
    <x v="0"/>
    <s v="Житомир"/>
    <x v="0"/>
    <s v="Побутова хімія"/>
    <s v="Засіб для посудомийних машин"/>
    <x v="0"/>
    <x v="7"/>
    <x v="7"/>
    <n v="3414.0299999999997"/>
    <n v="3671"/>
  </r>
  <r>
    <x v="1"/>
    <s v="Запоріжжя"/>
    <x v="2"/>
    <s v="Побутова хімія"/>
    <s v="Засоби для догляду за меблями"/>
    <x v="0"/>
    <x v="7"/>
    <x v="7"/>
    <n v="3557.8999999999996"/>
    <n v="3785"/>
  </r>
  <r>
    <x v="2"/>
    <s v="Бориспіль"/>
    <x v="3"/>
    <s v="Товари для дому"/>
    <s v="Серветки"/>
    <x v="0"/>
    <x v="7"/>
    <x v="7"/>
    <n v="1739.0599999999997"/>
    <n v="1954"/>
  </r>
  <r>
    <x v="3"/>
    <s v="Одеса"/>
    <x v="4"/>
    <s v="Товари для дому"/>
    <s v="Зубочистки"/>
    <x v="0"/>
    <x v="7"/>
    <x v="7"/>
    <n v="2369"/>
    <n v="2575"/>
  </r>
  <r>
    <x v="4"/>
    <s v="Харків"/>
    <x v="5"/>
    <s v="Товари для дому"/>
    <s v="Одноразовий посуд"/>
    <x v="0"/>
    <x v="7"/>
    <x v="7"/>
    <n v="1588.4399999999998"/>
    <n v="1708"/>
  </r>
  <r>
    <x v="0"/>
    <s v="Бердичів"/>
    <x v="1"/>
    <s v="Косметика"/>
    <s v="Шампунь"/>
    <x v="0"/>
    <x v="7"/>
    <x v="7"/>
    <n v="5563.86"/>
    <n v="5919"/>
  </r>
  <r>
    <x v="1"/>
    <s v="Бердянськ"/>
    <x v="6"/>
    <s v="Косметика"/>
    <s v="Дезодорант"/>
    <x v="0"/>
    <x v="7"/>
    <x v="7"/>
    <n v="4514.82"/>
    <n v="4803"/>
  </r>
  <r>
    <x v="2"/>
    <s v="Біла Церква"/>
    <x v="7"/>
    <s v="Косметика"/>
    <s v="Мило"/>
    <x v="0"/>
    <x v="7"/>
    <x v="7"/>
    <n v="1949.9"/>
    <n v="2294"/>
  </r>
  <r>
    <x v="3"/>
    <s v="Чорноморськ"/>
    <x v="8"/>
    <s v="Побутова хімія"/>
    <s v="Засіб для миття посуду"/>
    <x v="0"/>
    <x v="7"/>
    <x v="7"/>
    <n v="4148.28"/>
    <n v="4509"/>
  </r>
  <r>
    <x v="4"/>
    <s v="Чугуїв"/>
    <x v="9"/>
    <s v="Побутова хімія"/>
    <s v="Засіб для посудомийних машин"/>
    <x v="0"/>
    <x v="7"/>
    <x v="7"/>
    <n v="4124.2599999999993"/>
    <n v="4634"/>
  </r>
  <r>
    <x v="0"/>
    <s v="Житомир"/>
    <x v="0"/>
    <s v="Побутова хімія"/>
    <s v="Засоби для догляду за меблями"/>
    <x v="0"/>
    <x v="7"/>
    <x v="7"/>
    <n v="3400.8300000000004"/>
    <n v="3909"/>
  </r>
  <r>
    <x v="1"/>
    <s v="Запоріжжя"/>
    <x v="2"/>
    <s v="Товари для дому"/>
    <s v="Серветки"/>
    <x v="0"/>
    <x v="7"/>
    <x v="7"/>
    <n v="2346.08"/>
    <n v="2666"/>
  </r>
  <r>
    <x v="2"/>
    <s v="Бориспіль"/>
    <x v="3"/>
    <s v="Товари для дому"/>
    <s v="Зубочистки"/>
    <x v="0"/>
    <x v="7"/>
    <x v="7"/>
    <n v="1390.4999999999998"/>
    <n v="1545"/>
  </r>
  <r>
    <x v="3"/>
    <s v="Одеса"/>
    <x v="4"/>
    <s v="Товари для дому"/>
    <s v="Одноразовий посуд"/>
    <x v="0"/>
    <x v="7"/>
    <x v="7"/>
    <n v="2305.5000000000005"/>
    <n v="2650"/>
  </r>
  <r>
    <x v="4"/>
    <s v="Харків"/>
    <x v="5"/>
    <s v="Косметика"/>
    <s v="Шампунь"/>
    <x v="0"/>
    <x v="7"/>
    <x v="7"/>
    <n v="4956.3500000000004"/>
    <n v="5831"/>
  </r>
  <r>
    <x v="1"/>
    <s v="Запоріжжя"/>
    <x v="2"/>
    <s v="Косметика"/>
    <s v="Мило"/>
    <x v="0"/>
    <x v="7"/>
    <x v="7"/>
    <n v="2494.2599999999998"/>
    <n v="2682"/>
  </r>
  <r>
    <x v="2"/>
    <s v="Біла Церква"/>
    <x v="7"/>
    <s v="Побутова хімія"/>
    <s v="Засіб для миття посуду"/>
    <x v="0"/>
    <x v="7"/>
    <x v="7"/>
    <n v="3543.7999999999997"/>
    <n v="3770"/>
  </r>
  <r>
    <x v="3"/>
    <s v="Чорноморськ"/>
    <x v="8"/>
    <s v="Побутова хімія"/>
    <s v="Засіб для посудомийних машин"/>
    <x v="0"/>
    <x v="7"/>
    <x v="7"/>
    <n v="4111.3599999999997"/>
    <n v="4672"/>
  </r>
  <r>
    <x v="4"/>
    <s v="Чугуїв"/>
    <x v="9"/>
    <s v="Побутова хімія"/>
    <s v="Засоби для догляду за меблями"/>
    <x v="0"/>
    <x v="7"/>
    <x v="7"/>
    <n v="3466.7999999999997"/>
    <n v="3852"/>
  </r>
  <r>
    <x v="0"/>
    <s v="Житомир"/>
    <x v="0"/>
    <s v="Товари для дому"/>
    <s v="Серветки"/>
    <x v="0"/>
    <x v="7"/>
    <x v="7"/>
    <n v="2047.4999999999998"/>
    <n v="2250"/>
  </r>
  <r>
    <x v="1"/>
    <s v="Бердянськ"/>
    <x v="6"/>
    <s v="Товари для дому"/>
    <s v="Зубочистки"/>
    <x v="0"/>
    <x v="7"/>
    <x v="7"/>
    <n v="1403.3500000000001"/>
    <n v="1651"/>
  </r>
  <r>
    <x v="2"/>
    <s v="Бориспіль"/>
    <x v="3"/>
    <s v="Товари для дому"/>
    <s v="Одноразовий посуд"/>
    <x v="0"/>
    <x v="7"/>
    <x v="7"/>
    <n v="1942.7100000000003"/>
    <n v="2233"/>
  </r>
  <r>
    <x v="3"/>
    <s v="Одеса"/>
    <x v="4"/>
    <s v="Косметика"/>
    <s v="Шампунь"/>
    <x v="0"/>
    <x v="7"/>
    <x v="7"/>
    <n v="4354.18"/>
    <n v="5063"/>
  </r>
  <r>
    <x v="4"/>
    <s v="Харків"/>
    <x v="5"/>
    <s v="Косметика"/>
    <s v="Дезодорант"/>
    <x v="0"/>
    <x v="7"/>
    <x v="7"/>
    <n v="3321.3200000000006"/>
    <n v="3862"/>
  </r>
  <r>
    <x v="0"/>
    <s v="Бердичів"/>
    <x v="1"/>
    <s v="Косметика"/>
    <s v="Мило"/>
    <x v="0"/>
    <x v="7"/>
    <x v="7"/>
    <n v="3950.3199999999997"/>
    <n v="4489"/>
  </r>
  <r>
    <x v="1"/>
    <s v="Запоріжжя"/>
    <x v="2"/>
    <s v="Побутова хімія"/>
    <s v="Засіб для миття посуду"/>
    <x v="0"/>
    <x v="7"/>
    <x v="7"/>
    <n v="3812.64"/>
    <n v="4056"/>
  </r>
  <r>
    <x v="2"/>
    <s v="Біла Церква"/>
    <x v="7"/>
    <s v="Побутова хімія"/>
    <s v="Засіб для посудомийних машин"/>
    <x v="0"/>
    <x v="7"/>
    <x v="7"/>
    <n v="3119.5999999999995"/>
    <n v="3545"/>
  </r>
  <r>
    <x v="3"/>
    <s v="Чорноморськ"/>
    <x v="8"/>
    <s v="Побутова хімія"/>
    <s v="Засоби для догляду за меблями"/>
    <x v="0"/>
    <x v="7"/>
    <x v="7"/>
    <n v="2899.2599999999998"/>
    <n v="3186"/>
  </r>
  <r>
    <x v="4"/>
    <s v="Чугуїв"/>
    <x v="9"/>
    <s v="Товари для дому"/>
    <s v="Серветки"/>
    <x v="0"/>
    <x v="7"/>
    <x v="7"/>
    <n v="1698.58"/>
    <n v="1807"/>
  </r>
  <r>
    <x v="1"/>
    <s v="Запоріжжя"/>
    <x v="2"/>
    <s v="Товари для дому"/>
    <s v="Одноразовий посуд"/>
    <x v="0"/>
    <x v="7"/>
    <x v="7"/>
    <n v="2391.4299999999998"/>
    <n v="2687"/>
  </r>
  <r>
    <x v="2"/>
    <s v="Бориспіль"/>
    <x v="3"/>
    <s v="Косметика"/>
    <s v="Шампунь"/>
    <x v="0"/>
    <x v="7"/>
    <x v="7"/>
    <n v="3889.5999999999995"/>
    <n v="4420"/>
  </r>
  <r>
    <x v="3"/>
    <s v="Чорноморськ"/>
    <x v="8"/>
    <s v="Косметика"/>
    <s v="Дезодорант"/>
    <x v="0"/>
    <x v="7"/>
    <x v="7"/>
    <n v="3277.1199999999994"/>
    <n v="3724"/>
  </r>
  <r>
    <x v="4"/>
    <s v="Харків"/>
    <x v="5"/>
    <s v="Косметика"/>
    <s v="Мило"/>
    <x v="0"/>
    <x v="7"/>
    <x v="7"/>
    <n v="3165.2999999999997"/>
    <n v="3517"/>
  </r>
  <r>
    <x v="0"/>
    <s v="Бердичів"/>
    <x v="1"/>
    <s v="Побутова хімія"/>
    <s v="Засіб для миття посуду"/>
    <x v="0"/>
    <x v="7"/>
    <x v="7"/>
    <n v="3658.4799999999996"/>
    <n v="3892"/>
  </r>
  <r>
    <x v="0"/>
    <s v="Бердичів"/>
    <x v="1"/>
    <s v="Побутова хімія"/>
    <s v="Засіб для посудомийних машин"/>
    <x v="0"/>
    <x v="7"/>
    <x v="7"/>
    <n v="4410.0300000000007"/>
    <n v="5069"/>
  </r>
  <r>
    <x v="1"/>
    <s v="Бердянськ"/>
    <x v="6"/>
    <s v="Побутова хімія"/>
    <s v="Засоби для догляду за меблями"/>
    <x v="0"/>
    <x v="7"/>
    <x v="7"/>
    <n v="3410.8799999999997"/>
    <n v="3876"/>
  </r>
  <r>
    <x v="1"/>
    <s v="Бердянськ"/>
    <x v="6"/>
    <s v="Товари для дому"/>
    <s v="Серветки"/>
    <x v="0"/>
    <x v="7"/>
    <x v="7"/>
    <n v="2469.2799999999997"/>
    <n v="2684"/>
  </r>
  <r>
    <x v="2"/>
    <s v="Біла Церква"/>
    <x v="7"/>
    <s v="Товари для дому"/>
    <s v="Зубочистки"/>
    <x v="0"/>
    <x v="7"/>
    <x v="7"/>
    <n v="1686.0600000000002"/>
    <n v="1938"/>
  </r>
  <r>
    <x v="2"/>
    <s v="Біла Церква"/>
    <x v="7"/>
    <s v="Товари для дому"/>
    <s v="Одноразовий посуд"/>
    <x v="0"/>
    <x v="7"/>
    <x v="7"/>
    <n v="1159.96"/>
    <n v="1234"/>
  </r>
  <r>
    <x v="2"/>
    <s v="Бориспіль"/>
    <x v="3"/>
    <s v="Косметика"/>
    <s v="Дезодорант"/>
    <x v="0"/>
    <x v="7"/>
    <x v="7"/>
    <n v="4851.8999999999996"/>
    <n v="5391"/>
  </r>
  <r>
    <x v="0"/>
    <s v="Житомир"/>
    <x v="0"/>
    <s v="Косметика"/>
    <s v="Мило"/>
    <x v="0"/>
    <x v="7"/>
    <x v="7"/>
    <n v="4362.63"/>
    <n v="4691"/>
  </r>
  <r>
    <x v="2"/>
    <s v="Ірпінь"/>
    <x v="10"/>
    <s v="Товари для дому"/>
    <s v="Серветки"/>
    <x v="0"/>
    <x v="7"/>
    <x v="7"/>
    <n v="1931.3999999999999"/>
    <n v="2146"/>
  </r>
  <r>
    <x v="2"/>
    <s v="Ірпінь"/>
    <x v="10"/>
    <s v="Товари для дому"/>
    <s v="Зубочистки"/>
    <x v="0"/>
    <x v="7"/>
    <x v="7"/>
    <n v="1601.9999999999998"/>
    <n v="1800"/>
  </r>
  <r>
    <x v="2"/>
    <s v="Київ"/>
    <x v="11"/>
    <s v="Товари для дому"/>
    <s v="Одноразовий посуд"/>
    <x v="0"/>
    <x v="7"/>
    <x v="7"/>
    <n v="1474.0400000000002"/>
    <n v="1714"/>
  </r>
  <r>
    <x v="2"/>
    <s v="Київ"/>
    <x v="11"/>
    <s v="Косметика"/>
    <s v="Шампунь"/>
    <x v="0"/>
    <x v="7"/>
    <x v="7"/>
    <n v="5298.28"/>
    <n v="5759"/>
  </r>
  <r>
    <x v="3"/>
    <s v="Одеса"/>
    <x v="4"/>
    <s v="Косметика"/>
    <s v="Дезодорант"/>
    <x v="0"/>
    <x v="7"/>
    <x v="7"/>
    <n v="3067.6799999999994"/>
    <n v="3486"/>
  </r>
  <r>
    <x v="3"/>
    <s v="Одеса"/>
    <x v="4"/>
    <s v="Косметика"/>
    <s v="Мило"/>
    <x v="0"/>
    <x v="7"/>
    <x v="7"/>
    <n v="3717.3499999999995"/>
    <n v="4085"/>
  </r>
  <r>
    <x v="4"/>
    <s v="Харків"/>
    <x v="5"/>
    <s v="Побутова хімія"/>
    <s v="Засіб для миття посуду"/>
    <x v="0"/>
    <x v="7"/>
    <x v="7"/>
    <n v="3572.7999999999997"/>
    <n v="4060"/>
  </r>
  <r>
    <x v="4"/>
    <s v="Харків"/>
    <x v="5"/>
    <s v="Побутова хімія"/>
    <s v="Засіб для посудомийних машин"/>
    <x v="0"/>
    <x v="7"/>
    <x v="7"/>
    <n v="4731.96"/>
    <n v="5034"/>
  </r>
  <r>
    <x v="3"/>
    <s v="Чорноморськ"/>
    <x v="8"/>
    <s v="Товари для дому"/>
    <s v="Серветки"/>
    <x v="0"/>
    <x v="7"/>
    <x v="7"/>
    <n v="2315.64"/>
    <n v="2517"/>
  </r>
  <r>
    <x v="4"/>
    <s v="Чугуїв"/>
    <x v="9"/>
    <s v="Товари для дому"/>
    <s v="Зубочистки"/>
    <x v="0"/>
    <x v="7"/>
    <x v="7"/>
    <n v="2036.58"/>
    <n v="2238"/>
  </r>
  <r>
    <x v="4"/>
    <s v="Чугуїв"/>
    <x v="9"/>
    <s v="Товари для дому"/>
    <s v="Одноразовий посуд"/>
    <x v="0"/>
    <x v="7"/>
    <x v="7"/>
    <n v="2231.7000000000003"/>
    <n v="2595"/>
  </r>
  <r>
    <x v="2"/>
    <s v="Біла Церква"/>
    <x v="7"/>
    <s v="Косметика"/>
    <s v="Шампунь"/>
    <x v="0"/>
    <x v="7"/>
    <x v="7"/>
    <n v="5108.8999999999996"/>
    <n v="5435"/>
  </r>
  <r>
    <x v="1"/>
    <s v="Бердянськ"/>
    <x v="6"/>
    <s v="Побутова хімія"/>
    <s v="Засіб для посудомийних машин"/>
    <x v="0"/>
    <x v="7"/>
    <x v="7"/>
    <n v="3151.8199999999997"/>
    <n v="3353"/>
  </r>
  <r>
    <x v="0"/>
    <s v="Житомир"/>
    <x v="0"/>
    <s v="Товари для дому"/>
    <s v="Одноразовий посуд"/>
    <x v="0"/>
    <x v="7"/>
    <x v="7"/>
    <n v="2324.6799999999998"/>
    <n v="2612"/>
  </r>
  <r>
    <x v="0"/>
    <s v="Житомир"/>
    <x v="0"/>
    <s v="Косметика"/>
    <s v="Шампунь"/>
    <x v="0"/>
    <x v="7"/>
    <x v="7"/>
    <n v="3859.64"/>
    <n v="4106"/>
  </r>
  <r>
    <x v="1"/>
    <s v="Запоріжжя"/>
    <x v="2"/>
    <s v="Косметика"/>
    <s v="Дезодорант"/>
    <x v="0"/>
    <x v="7"/>
    <x v="7"/>
    <n v="2925.7799999999997"/>
    <n v="3146"/>
  </r>
  <r>
    <x v="2"/>
    <s v="Ірпінь"/>
    <x v="10"/>
    <s v="Побутова хімія"/>
    <s v="Засіб для миття посуду"/>
    <x v="0"/>
    <x v="7"/>
    <x v="7"/>
    <n v="4418.96"/>
    <n v="4856"/>
  </r>
  <r>
    <x v="2"/>
    <s v="Ірпінь"/>
    <x v="10"/>
    <s v="Побутова хімія"/>
    <s v="Засіб для посудомийних машин"/>
    <x v="0"/>
    <x v="7"/>
    <x v="7"/>
    <n v="3354.5099999999998"/>
    <n v="3607"/>
  </r>
  <r>
    <x v="2"/>
    <s v="Київ"/>
    <x v="11"/>
    <s v="Побутова хімія"/>
    <s v="Засоби для догляду за меблями"/>
    <x v="0"/>
    <x v="7"/>
    <x v="7"/>
    <n v="2903.3999999999996"/>
    <n v="3226"/>
  </r>
  <r>
    <x v="2"/>
    <s v="Київ"/>
    <x v="11"/>
    <s v="Товари для дому"/>
    <s v="Серветки"/>
    <x v="0"/>
    <x v="7"/>
    <x v="7"/>
    <n v="1520.12"/>
    <n v="1708"/>
  </r>
  <r>
    <x v="2"/>
    <s v="Біла Церква"/>
    <x v="7"/>
    <s v="Товари для дому"/>
    <s v="Серветки"/>
    <x v="0"/>
    <x v="7"/>
    <x v="7"/>
    <n v="2746.68"/>
    <n v="2922"/>
  </r>
  <r>
    <x v="1"/>
    <s v="Бердянськ"/>
    <x v="6"/>
    <s v="Косметика"/>
    <s v="Мило"/>
    <x v="0"/>
    <x v="7"/>
    <x v="7"/>
    <n v="3598.3200000000006"/>
    <n v="4136"/>
  </r>
  <r>
    <x v="2"/>
    <s v="Бориспіль"/>
    <x v="3"/>
    <s v="Побутова хімія"/>
    <s v="Засіб для миття посуду"/>
    <x v="0"/>
    <x v="7"/>
    <x v="7"/>
    <n v="3588.4799999999996"/>
    <n v="4032"/>
  </r>
  <r>
    <x v="2"/>
    <s v="Бориспіль"/>
    <x v="3"/>
    <s v="Побутова хімія"/>
    <s v="Засіб для посудомийних машин"/>
    <x v="0"/>
    <x v="7"/>
    <x v="7"/>
    <n v="4041.7799999999997"/>
    <n v="4346"/>
  </r>
  <r>
    <x v="1"/>
    <s v="Запоріжжя"/>
    <x v="2"/>
    <s v="Товари для дому"/>
    <s v="Зубочистки"/>
    <x v="0"/>
    <x v="7"/>
    <x v="7"/>
    <n v="2373.36"/>
    <n v="2728"/>
  </r>
  <r>
    <x v="2"/>
    <s v="Ірпінь"/>
    <x v="10"/>
    <s v="Косметика"/>
    <s v="Шампунь"/>
    <x v="0"/>
    <x v="7"/>
    <x v="7"/>
    <n v="5264.94"/>
    <n v="5601"/>
  </r>
  <r>
    <x v="2"/>
    <s v="Ірпінь"/>
    <x v="10"/>
    <s v="Косметика"/>
    <s v="Дезодорант"/>
    <x v="0"/>
    <x v="7"/>
    <x v="7"/>
    <n v="3635.4500000000003"/>
    <n v="4277"/>
  </r>
  <r>
    <x v="2"/>
    <s v="Київ"/>
    <x v="11"/>
    <s v="Косметика"/>
    <s v="Мило"/>
    <x v="0"/>
    <x v="7"/>
    <x v="7"/>
    <n v="4015.9200000000005"/>
    <n v="4616"/>
  </r>
  <r>
    <x v="2"/>
    <s v="Київ"/>
    <x v="11"/>
    <s v="Побутова хімія"/>
    <s v="Засіб для миття посуду"/>
    <x v="0"/>
    <x v="7"/>
    <x v="7"/>
    <n v="3270.0799999999995"/>
    <n v="3716"/>
  </r>
  <r>
    <x v="3"/>
    <s v="Одеса"/>
    <x v="4"/>
    <s v="Побутова хімія"/>
    <s v="Засіб для посудомийних машин"/>
    <x v="0"/>
    <x v="7"/>
    <x v="7"/>
    <n v="4283.57"/>
    <n v="4813"/>
  </r>
  <r>
    <x v="3"/>
    <s v="Одеса"/>
    <x v="4"/>
    <s v="Побутова хімія"/>
    <s v="Засоби для догляду за меблями"/>
    <x v="0"/>
    <x v="7"/>
    <x v="7"/>
    <n v="2556.08"/>
    <n v="2872"/>
  </r>
  <r>
    <x v="4"/>
    <s v="Харків"/>
    <x v="5"/>
    <s v="Товари для дому"/>
    <s v="Серветки"/>
    <x v="0"/>
    <x v="7"/>
    <x v="7"/>
    <n v="1953.0600000000002"/>
    <n v="2271"/>
  </r>
  <r>
    <x v="3"/>
    <s v="Чорноморськ"/>
    <x v="8"/>
    <s v="Товари для дому"/>
    <s v="Одноразовий посуд"/>
    <x v="0"/>
    <x v="7"/>
    <x v="7"/>
    <n v="2152.4799999999996"/>
    <n v="2446"/>
  </r>
  <r>
    <x v="3"/>
    <s v="Чорноморськ"/>
    <x v="8"/>
    <s v="Косметика"/>
    <s v="Шампунь"/>
    <x v="0"/>
    <x v="7"/>
    <x v="7"/>
    <n v="4978.29"/>
    <n v="5353"/>
  </r>
  <r>
    <x v="4"/>
    <s v="Чугуїв"/>
    <x v="9"/>
    <s v="Косметика"/>
    <s v="Дезодорант"/>
    <x v="0"/>
    <x v="7"/>
    <x v="7"/>
    <n v="4312.41"/>
    <n v="4637"/>
  </r>
  <r>
    <x v="4"/>
    <s v="Чугуїв"/>
    <x v="9"/>
    <s v="Косметика"/>
    <s v="Мило"/>
    <x v="0"/>
    <x v="7"/>
    <x v="7"/>
    <n v="3458.6500000000005"/>
    <n v="4069"/>
  </r>
  <r>
    <x v="0"/>
    <s v="Бердичів"/>
    <x v="1"/>
    <s v="Побутова хімія"/>
    <s v="Засоби для догляду за меблями"/>
    <x v="0"/>
    <x v="7"/>
    <x v="7"/>
    <n v="3395.72"/>
    <n v="3691"/>
  </r>
  <r>
    <x v="0"/>
    <s v="Бердичів"/>
    <x v="1"/>
    <s v="Товари для дому"/>
    <s v="Серветки"/>
    <x v="0"/>
    <x v="7"/>
    <x v="7"/>
    <n v="1877.0099999999998"/>
    <n v="2109"/>
  </r>
  <r>
    <x v="1"/>
    <s v="Бердянськ"/>
    <x v="6"/>
    <s v="Товари для дому"/>
    <s v="Одноразовий посуд"/>
    <x v="0"/>
    <x v="7"/>
    <x v="7"/>
    <n v="1984.4399999999998"/>
    <n v="2157"/>
  </r>
  <r>
    <x v="2"/>
    <s v="Ірпінь"/>
    <x v="10"/>
    <s v="Косметика"/>
    <s v="Мило"/>
    <x v="0"/>
    <x v="7"/>
    <x v="7"/>
    <n v="2246.3999999999996"/>
    <n v="2496"/>
  </r>
  <r>
    <x v="2"/>
    <s v="Київ"/>
    <x v="11"/>
    <s v="Побутова хімія"/>
    <s v="Засіб для посудомийних машин"/>
    <x v="0"/>
    <x v="7"/>
    <x v="7"/>
    <n v="2793.12"/>
    <n v="3174"/>
  </r>
  <r>
    <x v="2"/>
    <s v="Біла Церква"/>
    <x v="7"/>
    <s v="Побутова хімія"/>
    <s v="Засоби для догляду за меблями"/>
    <x v="0"/>
    <x v="7"/>
    <x v="7"/>
    <n v="2595.3199999999997"/>
    <n v="2821"/>
  </r>
  <r>
    <x v="2"/>
    <s v="Бориспіль"/>
    <x v="3"/>
    <s v="Косметика"/>
    <s v="Мило"/>
    <x v="0"/>
    <x v="7"/>
    <x v="7"/>
    <n v="4343.3999999999996"/>
    <n v="4826"/>
  </r>
  <r>
    <x v="2"/>
    <s v="Ірпінь"/>
    <x v="10"/>
    <s v="Товари для дому"/>
    <s v="Одноразовий посуд"/>
    <x v="0"/>
    <x v="7"/>
    <x v="7"/>
    <n v="2237.4399999999996"/>
    <n v="2432"/>
  </r>
  <r>
    <x v="2"/>
    <s v="Київ"/>
    <x v="11"/>
    <s v="Косметика"/>
    <s v="Дезодорант"/>
    <x v="0"/>
    <x v="7"/>
    <x v="7"/>
    <n v="4857.92"/>
    <n v="5168"/>
  </r>
  <r>
    <x v="3"/>
    <s v="Одеса"/>
    <x v="4"/>
    <s v="Побутова хімія"/>
    <s v="Засіб для миття посуду"/>
    <x v="0"/>
    <x v="7"/>
    <x v="7"/>
    <n v="4049.7599999999993"/>
    <n v="4602"/>
  </r>
  <r>
    <x v="4"/>
    <s v="Харків"/>
    <x v="5"/>
    <s v="Побутова хімія"/>
    <s v="Засоби для догляду за меблями"/>
    <x v="0"/>
    <x v="7"/>
    <x v="7"/>
    <n v="3254.9599999999996"/>
    <n v="3538"/>
  </r>
  <r>
    <x v="3"/>
    <s v="Чорноморськ"/>
    <x v="8"/>
    <s v="Товари для дому"/>
    <s v="Зубочистки"/>
    <x v="0"/>
    <x v="7"/>
    <x v="7"/>
    <n v="1551.4399999999998"/>
    <n v="1763"/>
  </r>
  <r>
    <x v="4"/>
    <s v="Чугуїв"/>
    <x v="9"/>
    <s v="Косметика"/>
    <s v="Шампунь"/>
    <x v="0"/>
    <x v="7"/>
    <x v="7"/>
    <n v="3698.8399999999997"/>
    <n v="4156"/>
  </r>
  <r>
    <x v="2"/>
    <s v="Ірпінь"/>
    <x v="10"/>
    <s v="Побутова хімія"/>
    <s v="Засоби для догляду за меблями"/>
    <x v="0"/>
    <x v="7"/>
    <x v="7"/>
    <n v="3822.9799999999996"/>
    <n v="4067"/>
  </r>
  <r>
    <x v="2"/>
    <s v="Київ"/>
    <x v="11"/>
    <s v="Товари для дому"/>
    <s v="Зубочистки"/>
    <x v="0"/>
    <x v="7"/>
    <x v="7"/>
    <n v="1369.8"/>
    <n v="1522"/>
  </r>
  <r>
    <x v="0"/>
    <s v="Житомир"/>
    <x v="0"/>
    <s v="Товари для дому"/>
    <s v="Зубочистки"/>
    <x v="0"/>
    <x v="8"/>
    <x v="8"/>
    <n v="2471.2599999999998"/>
    <n v="2629"/>
  </r>
  <r>
    <x v="0"/>
    <s v="Бердичів"/>
    <x v="1"/>
    <s v="Товари для дому"/>
    <s v="Зубочистки"/>
    <x v="0"/>
    <x v="8"/>
    <x v="8"/>
    <n v="2317.1"/>
    <n v="2465"/>
  </r>
  <r>
    <x v="0"/>
    <s v="Бердичів"/>
    <x v="1"/>
    <s v="Косметика"/>
    <s v="Дезодорант"/>
    <x v="0"/>
    <x v="8"/>
    <x v="8"/>
    <n v="3405.1399999999994"/>
    <n v="3826"/>
  </r>
  <r>
    <x v="0"/>
    <s v="Житомир"/>
    <x v="0"/>
    <s v="Косметика"/>
    <s v="Дезодорант"/>
    <x v="0"/>
    <x v="8"/>
    <x v="8"/>
    <n v="4337.8599999999997"/>
    <n v="4874"/>
  </r>
  <r>
    <x v="0"/>
    <s v="Житомир"/>
    <x v="0"/>
    <s v="Побутова хімія"/>
    <s v="Засіб для миття посуду"/>
    <x v="0"/>
    <x v="8"/>
    <x v="8"/>
    <n v="3189.2000000000003"/>
    <n v="3752"/>
  </r>
  <r>
    <x v="1"/>
    <s v="Запоріжжя"/>
    <x v="2"/>
    <s v="Побутова хімія"/>
    <s v="Засіб для посудомийних машин"/>
    <x v="0"/>
    <x v="8"/>
    <x v="8"/>
    <n v="3218.9500000000003"/>
    <n v="3787"/>
  </r>
  <r>
    <x v="2"/>
    <s v="Бориспіль"/>
    <x v="3"/>
    <s v="Побутова хімія"/>
    <s v="Засоби для догляду за меблями"/>
    <x v="0"/>
    <x v="8"/>
    <x v="8"/>
    <n v="2949.72"/>
    <n v="3138"/>
  </r>
  <r>
    <x v="3"/>
    <s v="Одеса"/>
    <x v="4"/>
    <s v="Товари для дому"/>
    <s v="Серветки"/>
    <x v="0"/>
    <x v="8"/>
    <x v="8"/>
    <n v="1836.3799999999999"/>
    <n v="2018"/>
  </r>
  <r>
    <x v="4"/>
    <s v="Харків"/>
    <x v="5"/>
    <s v="Товари для дому"/>
    <s v="Зубочистки"/>
    <x v="0"/>
    <x v="8"/>
    <x v="8"/>
    <n v="1937.5800000000002"/>
    <n v="2253"/>
  </r>
  <r>
    <x v="0"/>
    <s v="Бердичів"/>
    <x v="1"/>
    <s v="Товари для дому"/>
    <s v="Одноразовий посуд"/>
    <x v="0"/>
    <x v="8"/>
    <x v="8"/>
    <n v="1843.6599999999999"/>
    <n v="2026"/>
  </r>
  <r>
    <x v="1"/>
    <s v="Бердянськ"/>
    <x v="6"/>
    <s v="Косметика"/>
    <s v="Шампунь"/>
    <x v="0"/>
    <x v="8"/>
    <x v="8"/>
    <n v="4529.8599999999997"/>
    <n v="4819"/>
  </r>
  <r>
    <x v="2"/>
    <s v="Біла Церква"/>
    <x v="7"/>
    <s v="Косметика"/>
    <s v="Дезодорант"/>
    <x v="0"/>
    <x v="8"/>
    <x v="8"/>
    <n v="4856.7299999999996"/>
    <n v="5457"/>
  </r>
  <r>
    <x v="3"/>
    <s v="Чорноморськ"/>
    <x v="8"/>
    <s v="Косметика"/>
    <s v="Мило"/>
    <x v="0"/>
    <x v="8"/>
    <x v="8"/>
    <n v="2787.26"/>
    <n v="3241"/>
  </r>
  <r>
    <x v="4"/>
    <s v="Чугуїв"/>
    <x v="9"/>
    <s v="Побутова хімія"/>
    <s v="Засіб для миття посуду"/>
    <x v="0"/>
    <x v="8"/>
    <x v="8"/>
    <n v="3123.0099999999998"/>
    <n v="3509"/>
  </r>
  <r>
    <x v="0"/>
    <s v="Житомир"/>
    <x v="0"/>
    <s v="Побутова хімія"/>
    <s v="Засіб для посудомийних машин"/>
    <x v="0"/>
    <x v="8"/>
    <x v="8"/>
    <n v="2903.3999999999996"/>
    <n v="3226"/>
  </r>
  <r>
    <x v="1"/>
    <s v="Запоріжжя"/>
    <x v="2"/>
    <s v="Побутова хімія"/>
    <s v="Засоби для догляду за меблями"/>
    <x v="0"/>
    <x v="8"/>
    <x v="8"/>
    <n v="2844.87"/>
    <n v="3059"/>
  </r>
  <r>
    <x v="2"/>
    <s v="Бориспіль"/>
    <x v="3"/>
    <s v="Товари для дому"/>
    <s v="Серветки"/>
    <x v="0"/>
    <x v="8"/>
    <x v="8"/>
    <n v="2414.8500000000004"/>
    <n v="2841"/>
  </r>
  <r>
    <x v="3"/>
    <s v="Одеса"/>
    <x v="4"/>
    <s v="Товари для дому"/>
    <s v="Зубочистки"/>
    <x v="0"/>
    <x v="8"/>
    <x v="8"/>
    <n v="1765.5800000000002"/>
    <n v="2053"/>
  </r>
  <r>
    <x v="4"/>
    <s v="Харків"/>
    <x v="5"/>
    <s v="Товари для дому"/>
    <s v="Одноразовий посуд"/>
    <x v="0"/>
    <x v="8"/>
    <x v="8"/>
    <n v="2475.02"/>
    <n v="2633"/>
  </r>
  <r>
    <x v="0"/>
    <s v="Бердичів"/>
    <x v="1"/>
    <s v="Косметика"/>
    <s v="Шампунь"/>
    <x v="0"/>
    <x v="8"/>
    <x v="8"/>
    <n v="6207.7599999999993"/>
    <n v="6604"/>
  </r>
  <r>
    <x v="1"/>
    <s v="Бердянськ"/>
    <x v="6"/>
    <s v="Косметика"/>
    <s v="Дезодорант"/>
    <x v="0"/>
    <x v="8"/>
    <x v="8"/>
    <n v="3444.3199999999997"/>
    <n v="3914"/>
  </r>
  <r>
    <x v="2"/>
    <s v="Біла Церква"/>
    <x v="7"/>
    <s v="Косметика"/>
    <s v="Мило"/>
    <x v="0"/>
    <x v="8"/>
    <x v="8"/>
    <n v="1959.7599999999998"/>
    <n v="2227"/>
  </r>
  <r>
    <x v="3"/>
    <s v="Чорноморськ"/>
    <x v="8"/>
    <s v="Побутова хімія"/>
    <s v="Засіб для миття посуду"/>
    <x v="0"/>
    <x v="8"/>
    <x v="8"/>
    <n v="3262.35"/>
    <n v="3585"/>
  </r>
  <r>
    <x v="4"/>
    <s v="Чугуїв"/>
    <x v="9"/>
    <s v="Побутова хімія"/>
    <s v="Засіб для посудомийних машин"/>
    <x v="0"/>
    <x v="8"/>
    <x v="8"/>
    <n v="3192.2799999999997"/>
    <n v="3508"/>
  </r>
  <r>
    <x v="0"/>
    <s v="Житомир"/>
    <x v="0"/>
    <s v="Побутова хімія"/>
    <s v="Засоби для догляду за меблями"/>
    <x v="0"/>
    <x v="8"/>
    <x v="8"/>
    <n v="3642.2999999999997"/>
    <n v="4047"/>
  </r>
  <r>
    <x v="1"/>
    <s v="Запоріжжя"/>
    <x v="2"/>
    <s v="Товари для дому"/>
    <s v="Серветки"/>
    <x v="0"/>
    <x v="8"/>
    <x v="8"/>
    <n v="1408.52"/>
    <n v="1531"/>
  </r>
  <r>
    <x v="2"/>
    <s v="Бориспіль"/>
    <x v="3"/>
    <s v="Товари для дому"/>
    <s v="Зубочистки"/>
    <x v="0"/>
    <x v="8"/>
    <x v="8"/>
    <n v="1355.3600000000001"/>
    <n v="1576"/>
  </r>
  <r>
    <x v="3"/>
    <s v="Одеса"/>
    <x v="4"/>
    <s v="Товари для дому"/>
    <s v="Одноразовий посуд"/>
    <x v="0"/>
    <x v="8"/>
    <x v="8"/>
    <n v="1491.6399999999999"/>
    <n v="1676"/>
  </r>
  <r>
    <x v="4"/>
    <s v="Харків"/>
    <x v="5"/>
    <s v="Косметика"/>
    <s v="Шампунь"/>
    <x v="0"/>
    <x v="8"/>
    <x v="8"/>
    <n v="5533.78"/>
    <n v="5887"/>
  </r>
  <r>
    <x v="1"/>
    <s v="Запоріжжя"/>
    <x v="2"/>
    <s v="Косметика"/>
    <s v="Мило"/>
    <x v="0"/>
    <x v="8"/>
    <x v="8"/>
    <n v="4184.1799999999994"/>
    <n v="4598"/>
  </r>
  <r>
    <x v="2"/>
    <s v="Біла Церква"/>
    <x v="7"/>
    <s v="Побутова хімія"/>
    <s v="Засіб для миття посуду"/>
    <x v="0"/>
    <x v="8"/>
    <x v="8"/>
    <n v="4011.5700000000006"/>
    <n v="4611"/>
  </r>
  <r>
    <x v="3"/>
    <s v="Чорноморськ"/>
    <x v="8"/>
    <s v="Побутова хімія"/>
    <s v="Засіб для посудомийних машин"/>
    <x v="0"/>
    <x v="8"/>
    <x v="8"/>
    <n v="4604.4500000000007"/>
    <n v="5417"/>
  </r>
  <r>
    <x v="4"/>
    <s v="Чугуїв"/>
    <x v="9"/>
    <s v="Побутова хімія"/>
    <s v="Засоби для догляду за меблями"/>
    <x v="0"/>
    <x v="8"/>
    <x v="8"/>
    <n v="3013.2"/>
    <n v="3240"/>
  </r>
  <r>
    <x v="0"/>
    <s v="Житомир"/>
    <x v="0"/>
    <s v="Товари для дому"/>
    <s v="Серветки"/>
    <x v="0"/>
    <x v="8"/>
    <x v="8"/>
    <n v="1563.39"/>
    <n v="1797"/>
  </r>
  <r>
    <x v="1"/>
    <s v="Бердянськ"/>
    <x v="6"/>
    <s v="Товари для дому"/>
    <s v="Зубочистки"/>
    <x v="0"/>
    <x v="8"/>
    <x v="8"/>
    <n v="2623.2799999999997"/>
    <n v="2981"/>
  </r>
  <r>
    <x v="2"/>
    <s v="Бориспіль"/>
    <x v="3"/>
    <s v="Товари для дому"/>
    <s v="Одноразовий посуд"/>
    <x v="0"/>
    <x v="8"/>
    <x v="8"/>
    <n v="1269.4499999999998"/>
    <n v="1365"/>
  </r>
  <r>
    <x v="3"/>
    <s v="Одеса"/>
    <x v="4"/>
    <s v="Косметика"/>
    <s v="Шампунь"/>
    <x v="0"/>
    <x v="8"/>
    <x v="8"/>
    <n v="4711.32"/>
    <n v="5121"/>
  </r>
  <r>
    <x v="4"/>
    <s v="Харків"/>
    <x v="5"/>
    <s v="Косметика"/>
    <s v="Дезодорант"/>
    <x v="0"/>
    <x v="8"/>
    <x v="8"/>
    <n v="2763.6"/>
    <n v="2940"/>
  </r>
  <r>
    <x v="0"/>
    <s v="Бердичів"/>
    <x v="1"/>
    <s v="Косметика"/>
    <s v="Мило"/>
    <x v="0"/>
    <x v="8"/>
    <x v="8"/>
    <n v="3245.9700000000003"/>
    <n v="3731"/>
  </r>
  <r>
    <x v="1"/>
    <s v="Запоріжжя"/>
    <x v="2"/>
    <s v="Побутова хімія"/>
    <s v="Засіб для миття посуду"/>
    <x v="0"/>
    <x v="8"/>
    <x v="8"/>
    <n v="3550.4999999999995"/>
    <n v="3945"/>
  </r>
  <r>
    <x v="2"/>
    <s v="Біла Церква"/>
    <x v="7"/>
    <s v="Побутова хімія"/>
    <s v="Засіб для посудомийних машин"/>
    <x v="0"/>
    <x v="8"/>
    <x v="8"/>
    <n v="2664.3199999999997"/>
    <n v="2896"/>
  </r>
  <r>
    <x v="3"/>
    <s v="Чорноморськ"/>
    <x v="8"/>
    <s v="Побутова хімія"/>
    <s v="Засоби для догляду за меблями"/>
    <x v="0"/>
    <x v="8"/>
    <x v="8"/>
    <n v="3515.3999999999996"/>
    <n v="3906"/>
  </r>
  <r>
    <x v="4"/>
    <s v="Чугуїв"/>
    <x v="9"/>
    <s v="Товари для дому"/>
    <s v="Серветки"/>
    <x v="0"/>
    <x v="8"/>
    <x v="8"/>
    <n v="2043.3599999999997"/>
    <n v="2322"/>
  </r>
  <r>
    <x v="1"/>
    <s v="Запоріжжя"/>
    <x v="2"/>
    <s v="Товари для дому"/>
    <s v="Одноразовий посуд"/>
    <x v="0"/>
    <x v="8"/>
    <x v="8"/>
    <n v="1521.48"/>
    <n v="1636"/>
  </r>
  <r>
    <x v="2"/>
    <s v="Бориспіль"/>
    <x v="3"/>
    <s v="Косметика"/>
    <s v="Шампунь"/>
    <x v="0"/>
    <x v="8"/>
    <x v="8"/>
    <n v="6126.2999999999993"/>
    <n v="6807"/>
  </r>
  <r>
    <x v="3"/>
    <s v="Чорноморськ"/>
    <x v="8"/>
    <s v="Косметика"/>
    <s v="Дезодорант"/>
    <x v="0"/>
    <x v="8"/>
    <x v="8"/>
    <n v="2261.8000000000002"/>
    <n v="2630"/>
  </r>
  <r>
    <x v="4"/>
    <s v="Харків"/>
    <x v="5"/>
    <s v="Косметика"/>
    <s v="Мило"/>
    <x v="0"/>
    <x v="8"/>
    <x v="8"/>
    <n v="2397.94"/>
    <n v="2551"/>
  </r>
  <r>
    <x v="0"/>
    <s v="Бердичів"/>
    <x v="1"/>
    <s v="Побутова хімія"/>
    <s v="Засіб для миття посуду"/>
    <x v="0"/>
    <x v="8"/>
    <x v="8"/>
    <n v="4264.2"/>
    <n v="4635"/>
  </r>
  <r>
    <x v="0"/>
    <s v="Бердичів"/>
    <x v="1"/>
    <s v="Побутова хімія"/>
    <s v="Засіб для посудомийних машин"/>
    <x v="0"/>
    <x v="8"/>
    <x v="8"/>
    <n v="3304.8"/>
    <n v="3888"/>
  </r>
  <r>
    <x v="1"/>
    <s v="Бердянськ"/>
    <x v="6"/>
    <s v="Побутова хімія"/>
    <s v="Засоби для догляду за меблями"/>
    <x v="0"/>
    <x v="8"/>
    <x v="8"/>
    <n v="3452.24"/>
    <n v="3923"/>
  </r>
  <r>
    <x v="1"/>
    <s v="Бердянськ"/>
    <x v="6"/>
    <s v="Товари для дому"/>
    <s v="Серветки"/>
    <x v="0"/>
    <x v="8"/>
    <x v="8"/>
    <n v="2256.75"/>
    <n v="2655"/>
  </r>
  <r>
    <x v="2"/>
    <s v="Біла Церква"/>
    <x v="7"/>
    <s v="Товари для дому"/>
    <s v="Зубочистки"/>
    <x v="0"/>
    <x v="8"/>
    <x v="8"/>
    <n v="2180.7999999999997"/>
    <n v="2320"/>
  </r>
  <r>
    <x v="2"/>
    <s v="Біла Церква"/>
    <x v="7"/>
    <s v="Товари для дому"/>
    <s v="Одноразовий посуд"/>
    <x v="0"/>
    <x v="8"/>
    <x v="8"/>
    <n v="2266.81"/>
    <n v="2491"/>
  </r>
  <r>
    <x v="2"/>
    <s v="Бориспіль"/>
    <x v="3"/>
    <s v="Косметика"/>
    <s v="Дезодорант"/>
    <x v="0"/>
    <x v="8"/>
    <x v="8"/>
    <n v="4619.92"/>
    <n v="5372"/>
  </r>
  <r>
    <x v="0"/>
    <s v="Житомир"/>
    <x v="0"/>
    <s v="Косметика"/>
    <s v="Мило"/>
    <x v="0"/>
    <x v="8"/>
    <x v="8"/>
    <n v="2130.1000000000004"/>
    <n v="2506"/>
  </r>
  <r>
    <x v="2"/>
    <s v="Ірпінь"/>
    <x v="10"/>
    <s v="Товари для дому"/>
    <s v="Серветки"/>
    <x v="0"/>
    <x v="8"/>
    <x v="8"/>
    <n v="1851.9599999999998"/>
    <n v="2013"/>
  </r>
  <r>
    <x v="2"/>
    <s v="Ірпінь"/>
    <x v="10"/>
    <s v="Товари для дому"/>
    <s v="Зубочистки"/>
    <x v="0"/>
    <x v="8"/>
    <x v="8"/>
    <n v="2791.8599999999997"/>
    <n v="3002"/>
  </r>
  <r>
    <x v="2"/>
    <s v="Київ"/>
    <x v="11"/>
    <s v="Товари для дому"/>
    <s v="Одноразовий посуд"/>
    <x v="0"/>
    <x v="8"/>
    <x v="8"/>
    <n v="2417.2399999999998"/>
    <n v="2716"/>
  </r>
  <r>
    <x v="2"/>
    <s v="Київ"/>
    <x v="11"/>
    <s v="Косметика"/>
    <s v="Шампунь"/>
    <x v="0"/>
    <x v="8"/>
    <x v="8"/>
    <n v="3525.2400000000007"/>
    <n v="4052"/>
  </r>
  <r>
    <x v="3"/>
    <s v="Одеса"/>
    <x v="4"/>
    <s v="Косметика"/>
    <s v="Дезодорант"/>
    <x v="0"/>
    <x v="8"/>
    <x v="8"/>
    <n v="2807.8399999999997"/>
    <n v="3052"/>
  </r>
  <r>
    <x v="3"/>
    <s v="Одеса"/>
    <x v="4"/>
    <s v="Косметика"/>
    <s v="Мило"/>
    <x v="0"/>
    <x v="8"/>
    <x v="8"/>
    <n v="4019.4599999999996"/>
    <n v="4322"/>
  </r>
  <r>
    <x v="4"/>
    <s v="Харків"/>
    <x v="5"/>
    <s v="Побутова хімія"/>
    <s v="Засіб для миття посуду"/>
    <x v="0"/>
    <x v="8"/>
    <x v="8"/>
    <n v="3563.9999999999995"/>
    <n v="3960"/>
  </r>
  <r>
    <x v="4"/>
    <s v="Харків"/>
    <x v="5"/>
    <s v="Побутова хімія"/>
    <s v="Засіб для посудомийних машин"/>
    <x v="0"/>
    <x v="8"/>
    <x v="8"/>
    <n v="5084.8399999999992"/>
    <n v="5527"/>
  </r>
  <r>
    <x v="3"/>
    <s v="Чорноморськ"/>
    <x v="8"/>
    <s v="Товари для дому"/>
    <s v="Серветки"/>
    <x v="0"/>
    <x v="8"/>
    <x v="8"/>
    <n v="2314.7999999999997"/>
    <n v="2572"/>
  </r>
  <r>
    <x v="4"/>
    <s v="Чугуїв"/>
    <x v="9"/>
    <s v="Товари для дому"/>
    <s v="Зубочистки"/>
    <x v="0"/>
    <x v="8"/>
    <x v="8"/>
    <n v="1709.5500000000002"/>
    <n v="1965"/>
  </r>
  <r>
    <x v="4"/>
    <s v="Чугуїв"/>
    <x v="9"/>
    <s v="Товари для дому"/>
    <s v="Одноразовий посуд"/>
    <x v="0"/>
    <x v="8"/>
    <x v="8"/>
    <n v="1139.8500000000001"/>
    <n v="1341"/>
  </r>
  <r>
    <x v="2"/>
    <s v="Біла Церква"/>
    <x v="7"/>
    <s v="Косметика"/>
    <s v="Шампунь"/>
    <x v="0"/>
    <x v="8"/>
    <x v="8"/>
    <n v="4240.5999999999995"/>
    <n v="4660"/>
  </r>
  <r>
    <x v="1"/>
    <s v="Бердянськ"/>
    <x v="6"/>
    <s v="Побутова хімія"/>
    <s v="Засіб для посудомийних машин"/>
    <x v="0"/>
    <x v="8"/>
    <x v="8"/>
    <n v="4304.7"/>
    <n v="4783"/>
  </r>
  <r>
    <x v="0"/>
    <s v="Житомир"/>
    <x v="0"/>
    <s v="Товари для дому"/>
    <s v="Одноразовий посуд"/>
    <x v="0"/>
    <x v="8"/>
    <x v="8"/>
    <n v="1712.2600000000002"/>
    <n v="1991"/>
  </r>
  <r>
    <x v="0"/>
    <s v="Житомир"/>
    <x v="0"/>
    <s v="Косметика"/>
    <s v="Шампунь"/>
    <x v="0"/>
    <x v="8"/>
    <x v="8"/>
    <n v="3981.1200000000003"/>
    <n v="4576"/>
  </r>
  <r>
    <x v="1"/>
    <s v="Запоріжжя"/>
    <x v="2"/>
    <s v="Косметика"/>
    <s v="Дезодорант"/>
    <x v="0"/>
    <x v="8"/>
    <x v="8"/>
    <n v="3490.4799999999996"/>
    <n v="3794"/>
  </r>
  <r>
    <x v="2"/>
    <s v="Ірпінь"/>
    <x v="10"/>
    <s v="Побутова хімія"/>
    <s v="Засіб для миття посуду"/>
    <x v="0"/>
    <x v="8"/>
    <x v="8"/>
    <n v="3001.04"/>
    <n v="3262"/>
  </r>
  <r>
    <x v="2"/>
    <s v="Ірпінь"/>
    <x v="10"/>
    <s v="Побутова хімія"/>
    <s v="Засіб для посудомийних машин"/>
    <x v="0"/>
    <x v="8"/>
    <x v="8"/>
    <n v="2246.3200000000002"/>
    <n v="2612"/>
  </r>
  <r>
    <x v="2"/>
    <s v="Київ"/>
    <x v="11"/>
    <s v="Побутова хімія"/>
    <s v="Засоби для догляду за меблями"/>
    <x v="0"/>
    <x v="8"/>
    <x v="8"/>
    <n v="3167.58"/>
    <n v="3406"/>
  </r>
  <r>
    <x v="2"/>
    <s v="Київ"/>
    <x v="11"/>
    <s v="Товари для дому"/>
    <s v="Серветки"/>
    <x v="0"/>
    <x v="8"/>
    <x v="8"/>
    <n v="1558.83"/>
    <n v="1713"/>
  </r>
  <r>
    <x v="2"/>
    <s v="Біла Церква"/>
    <x v="7"/>
    <s v="Товари для дому"/>
    <s v="Серветки"/>
    <x v="0"/>
    <x v="8"/>
    <x v="8"/>
    <n v="1927.9200000000003"/>
    <n v="2216"/>
  </r>
  <r>
    <x v="1"/>
    <s v="Бердянськ"/>
    <x v="6"/>
    <s v="Косметика"/>
    <s v="Мило"/>
    <x v="0"/>
    <x v="8"/>
    <x v="8"/>
    <n v="3194.0400000000004"/>
    <n v="3714"/>
  </r>
  <r>
    <x v="2"/>
    <s v="Бориспіль"/>
    <x v="3"/>
    <s v="Побутова хімія"/>
    <s v="Засіб для миття посуду"/>
    <x v="0"/>
    <x v="8"/>
    <x v="8"/>
    <n v="4369.8999999999996"/>
    <n v="4910"/>
  </r>
  <r>
    <x v="2"/>
    <s v="Бориспіль"/>
    <x v="3"/>
    <s v="Побутова хімія"/>
    <s v="Засіб для посудомийних машин"/>
    <x v="0"/>
    <x v="8"/>
    <x v="8"/>
    <n v="2322.3199999999997"/>
    <n v="2639"/>
  </r>
  <r>
    <x v="1"/>
    <s v="Запоріжжя"/>
    <x v="2"/>
    <s v="Товари для дому"/>
    <s v="Зубочистки"/>
    <x v="0"/>
    <x v="8"/>
    <x v="8"/>
    <n v="2127.04"/>
    <n v="2312"/>
  </r>
  <r>
    <x v="2"/>
    <s v="Ірпінь"/>
    <x v="10"/>
    <s v="Косметика"/>
    <s v="Шампунь"/>
    <x v="0"/>
    <x v="8"/>
    <x v="8"/>
    <n v="5706.0500000000011"/>
    <n v="6713"/>
  </r>
  <r>
    <x v="2"/>
    <s v="Ірпінь"/>
    <x v="10"/>
    <s v="Косметика"/>
    <s v="Дезодорант"/>
    <x v="0"/>
    <x v="8"/>
    <x v="8"/>
    <n v="2310.3000000000002"/>
    <n v="2718"/>
  </r>
  <r>
    <x v="2"/>
    <s v="Київ"/>
    <x v="11"/>
    <s v="Косметика"/>
    <s v="Мило"/>
    <x v="0"/>
    <x v="8"/>
    <x v="8"/>
    <n v="4085.24"/>
    <n v="4346"/>
  </r>
  <r>
    <x v="2"/>
    <s v="Київ"/>
    <x v="11"/>
    <s v="Побутова хімія"/>
    <s v="Засіб для миття посуду"/>
    <x v="0"/>
    <x v="8"/>
    <x v="8"/>
    <n v="3282.48"/>
    <n v="3492"/>
  </r>
  <r>
    <x v="3"/>
    <s v="Одеса"/>
    <x v="4"/>
    <s v="Побутова хімія"/>
    <s v="Засіб для посудомийних машин"/>
    <x v="0"/>
    <x v="8"/>
    <x v="8"/>
    <n v="3625.2900000000004"/>
    <n v="4167"/>
  </r>
  <r>
    <x v="3"/>
    <s v="Одеса"/>
    <x v="4"/>
    <s v="Побутова хімія"/>
    <s v="Засоби для догляду за меблями"/>
    <x v="0"/>
    <x v="8"/>
    <x v="8"/>
    <n v="3072.8599999999997"/>
    <n v="3269"/>
  </r>
  <r>
    <x v="4"/>
    <s v="Харків"/>
    <x v="5"/>
    <s v="Товари для дому"/>
    <s v="Серветки"/>
    <x v="0"/>
    <x v="8"/>
    <x v="8"/>
    <n v="1560.32"/>
    <n v="1696"/>
  </r>
  <r>
    <x v="3"/>
    <s v="Чорноморськ"/>
    <x v="8"/>
    <s v="Товари для дому"/>
    <s v="Одноразовий посуд"/>
    <x v="0"/>
    <x v="8"/>
    <x v="8"/>
    <n v="1468.4999999999998"/>
    <n v="1650"/>
  </r>
  <r>
    <x v="3"/>
    <s v="Чорноморськ"/>
    <x v="8"/>
    <s v="Косметика"/>
    <s v="Шампунь"/>
    <x v="0"/>
    <x v="8"/>
    <x v="8"/>
    <n v="5409.4000000000005"/>
    <n v="6290"/>
  </r>
  <r>
    <x v="4"/>
    <s v="Чугуїв"/>
    <x v="9"/>
    <s v="Косметика"/>
    <s v="Дезодорант"/>
    <x v="0"/>
    <x v="8"/>
    <x v="8"/>
    <n v="3157.7500000000005"/>
    <n v="3715"/>
  </r>
  <r>
    <x v="4"/>
    <s v="Чугуїв"/>
    <x v="9"/>
    <s v="Косметика"/>
    <s v="Мило"/>
    <x v="0"/>
    <x v="8"/>
    <x v="8"/>
    <n v="3594.4999999999995"/>
    <n v="3950"/>
  </r>
  <r>
    <x v="0"/>
    <s v="Бердичів"/>
    <x v="1"/>
    <s v="Побутова хімія"/>
    <s v="Засоби для догляду за меблями"/>
    <x v="0"/>
    <x v="8"/>
    <x v="8"/>
    <n v="3470.3999999999996"/>
    <n v="3856"/>
  </r>
  <r>
    <x v="0"/>
    <s v="Бердичів"/>
    <x v="1"/>
    <s v="Товари для дому"/>
    <s v="Серветки"/>
    <x v="0"/>
    <x v="8"/>
    <x v="8"/>
    <n v="1833.56"/>
    <n v="1993"/>
  </r>
  <r>
    <x v="1"/>
    <s v="Бердянськ"/>
    <x v="6"/>
    <s v="Товари для дому"/>
    <s v="Одноразовий посуд"/>
    <x v="0"/>
    <x v="8"/>
    <x v="8"/>
    <n v="1629.5100000000002"/>
    <n v="1873"/>
  </r>
  <r>
    <x v="2"/>
    <s v="Ірпінь"/>
    <x v="10"/>
    <s v="Косметика"/>
    <s v="Мило"/>
    <x v="0"/>
    <x v="8"/>
    <x v="8"/>
    <n v="3337.1000000000004"/>
    <n v="3926"/>
  </r>
  <r>
    <x v="2"/>
    <s v="Київ"/>
    <x v="11"/>
    <s v="Побутова хімія"/>
    <s v="Засіб для посудомийних машин"/>
    <x v="0"/>
    <x v="8"/>
    <x v="8"/>
    <n v="2502"/>
    <n v="2780"/>
  </r>
  <r>
    <x v="2"/>
    <s v="Біла Церква"/>
    <x v="7"/>
    <s v="Побутова хімія"/>
    <s v="Засоби для догляду за меблями"/>
    <x v="0"/>
    <x v="8"/>
    <x v="8"/>
    <n v="2999.3599999999997"/>
    <n v="3296"/>
  </r>
  <r>
    <x v="2"/>
    <s v="Бориспіль"/>
    <x v="3"/>
    <s v="Косметика"/>
    <s v="Мило"/>
    <x v="0"/>
    <x v="8"/>
    <x v="8"/>
    <n v="2318.7999999999997"/>
    <n v="2635"/>
  </r>
  <r>
    <x v="2"/>
    <s v="Ірпінь"/>
    <x v="10"/>
    <s v="Товари для дому"/>
    <s v="Одноразовий посуд"/>
    <x v="0"/>
    <x v="8"/>
    <x v="8"/>
    <n v="2199.36"/>
    <n v="2528"/>
  </r>
  <r>
    <x v="2"/>
    <s v="Київ"/>
    <x v="11"/>
    <s v="Косметика"/>
    <s v="Дезодорант"/>
    <x v="0"/>
    <x v="8"/>
    <x v="8"/>
    <n v="2941.8399999999997"/>
    <n v="3343"/>
  </r>
  <r>
    <x v="3"/>
    <s v="Одеса"/>
    <x v="4"/>
    <s v="Побутова хімія"/>
    <s v="Засіб для миття посуду"/>
    <x v="0"/>
    <x v="8"/>
    <x v="8"/>
    <n v="4073.0199999999995"/>
    <n v="4333"/>
  </r>
  <r>
    <x v="4"/>
    <s v="Харків"/>
    <x v="5"/>
    <s v="Побутова хімія"/>
    <s v="Засоби для догляду за меблями"/>
    <x v="0"/>
    <x v="8"/>
    <x v="8"/>
    <n v="3250.5199999999995"/>
    <n v="3572"/>
  </r>
  <r>
    <x v="3"/>
    <s v="Чорноморськ"/>
    <x v="8"/>
    <s v="Товари для дому"/>
    <s v="Зубочистки"/>
    <x v="0"/>
    <x v="8"/>
    <x v="8"/>
    <n v="2742.9599999999996"/>
    <n v="3117"/>
  </r>
  <r>
    <x v="4"/>
    <s v="Чугуїв"/>
    <x v="9"/>
    <s v="Косметика"/>
    <s v="Шампунь"/>
    <x v="0"/>
    <x v="8"/>
    <x v="8"/>
    <n v="4366.4500000000007"/>
    <n v="5137"/>
  </r>
  <r>
    <x v="2"/>
    <s v="Ірпінь"/>
    <x v="10"/>
    <s v="Побутова хімія"/>
    <s v="Засоби для догляду за меблями"/>
    <x v="0"/>
    <x v="8"/>
    <x v="8"/>
    <n v="3449.37"/>
    <n v="3709"/>
  </r>
  <r>
    <x v="2"/>
    <s v="Київ"/>
    <x v="11"/>
    <s v="Товари для дому"/>
    <s v="Зубочистки"/>
    <x v="0"/>
    <x v="8"/>
    <x v="8"/>
    <n v="1643.4300000000003"/>
    <n v="1889"/>
  </r>
  <r>
    <x v="0"/>
    <s v="Житомир"/>
    <x v="0"/>
    <s v="Товари для дому"/>
    <s v="Зубочистки"/>
    <x v="0"/>
    <x v="9"/>
    <x v="9"/>
    <n v="1752.1800000000003"/>
    <n v="2014"/>
  </r>
  <r>
    <x v="0"/>
    <s v="Бердичів"/>
    <x v="1"/>
    <s v="Товари для дому"/>
    <s v="Зубочистки"/>
    <x v="0"/>
    <x v="9"/>
    <x v="9"/>
    <n v="2043.86"/>
    <n v="2246"/>
  </r>
  <r>
    <x v="0"/>
    <s v="Бердичів"/>
    <x v="1"/>
    <s v="Косметика"/>
    <s v="Дезодорант"/>
    <x v="0"/>
    <x v="9"/>
    <x v="9"/>
    <n v="3417.3600000000006"/>
    <n v="3928"/>
  </r>
  <r>
    <x v="0"/>
    <s v="Житомир"/>
    <x v="0"/>
    <s v="Косметика"/>
    <s v="Дезодорант"/>
    <x v="0"/>
    <x v="9"/>
    <x v="9"/>
    <n v="3526.9800000000005"/>
    <n v="4054"/>
  </r>
  <r>
    <x v="0"/>
    <s v="Житомир"/>
    <x v="0"/>
    <s v="Побутова хімія"/>
    <s v="Засіб для миття посуду"/>
    <x v="0"/>
    <x v="9"/>
    <x v="9"/>
    <n v="3601.8299999999995"/>
    <n v="4047"/>
  </r>
  <r>
    <x v="1"/>
    <s v="Запоріжжя"/>
    <x v="2"/>
    <s v="Побутова хімія"/>
    <s v="Засіб для посудомийних машин"/>
    <x v="0"/>
    <x v="9"/>
    <x v="9"/>
    <n v="4653.7199999999993"/>
    <n v="5004"/>
  </r>
  <r>
    <x v="2"/>
    <s v="Бориспіль"/>
    <x v="3"/>
    <s v="Побутова хімія"/>
    <s v="Засоби для догляду за меблями"/>
    <x v="0"/>
    <x v="9"/>
    <x v="9"/>
    <n v="3017.5000000000005"/>
    <n v="3550"/>
  </r>
  <r>
    <x v="3"/>
    <s v="Одеса"/>
    <x v="4"/>
    <s v="Товари для дому"/>
    <s v="Серветки"/>
    <x v="0"/>
    <x v="9"/>
    <x v="9"/>
    <n v="2411.4400000000005"/>
    <n v="2804"/>
  </r>
  <r>
    <x v="4"/>
    <s v="Харків"/>
    <x v="5"/>
    <s v="Товари для дому"/>
    <s v="Зубочистки"/>
    <x v="0"/>
    <x v="9"/>
    <x v="9"/>
    <n v="1582.9599999999998"/>
    <n v="1684"/>
  </r>
  <r>
    <x v="0"/>
    <s v="Бердичів"/>
    <x v="1"/>
    <s v="Товари для дому"/>
    <s v="Одноразовий посуд"/>
    <x v="0"/>
    <x v="9"/>
    <x v="9"/>
    <n v="1981.8600000000001"/>
    <n v="2278"/>
  </r>
  <r>
    <x v="1"/>
    <s v="Бердянськ"/>
    <x v="6"/>
    <s v="Косметика"/>
    <s v="Шампунь"/>
    <x v="0"/>
    <x v="9"/>
    <x v="9"/>
    <n v="5685.4600000000009"/>
    <n v="6611"/>
  </r>
  <r>
    <x v="2"/>
    <s v="Біла Церква"/>
    <x v="7"/>
    <s v="Косметика"/>
    <s v="Дезодорант"/>
    <x v="0"/>
    <x v="9"/>
    <x v="9"/>
    <n v="2906.25"/>
    <n v="3125"/>
  </r>
  <r>
    <x v="3"/>
    <s v="Чорноморськ"/>
    <x v="8"/>
    <s v="Косметика"/>
    <s v="Мило"/>
    <x v="0"/>
    <x v="9"/>
    <x v="9"/>
    <n v="3973.97"/>
    <n v="4367"/>
  </r>
  <r>
    <x v="4"/>
    <s v="Чугуїв"/>
    <x v="9"/>
    <s v="Побутова хімія"/>
    <s v="Засіб для миття посуду"/>
    <x v="0"/>
    <x v="9"/>
    <x v="9"/>
    <n v="3270.0799999999995"/>
    <n v="3716"/>
  </r>
  <r>
    <x v="0"/>
    <s v="Житомир"/>
    <x v="0"/>
    <s v="Побутова хімія"/>
    <s v="Засіб для посудомийних машин"/>
    <x v="0"/>
    <x v="9"/>
    <x v="9"/>
    <n v="4024.08"/>
    <n v="4374"/>
  </r>
  <r>
    <x v="1"/>
    <s v="Запоріжжя"/>
    <x v="2"/>
    <s v="Побутова хімія"/>
    <s v="Засоби для догляду за меблями"/>
    <x v="0"/>
    <x v="9"/>
    <x v="9"/>
    <n v="2802.4500000000003"/>
    <n v="3297"/>
  </r>
  <r>
    <x v="2"/>
    <s v="Бориспіль"/>
    <x v="3"/>
    <s v="Товари для дому"/>
    <s v="Серветки"/>
    <x v="0"/>
    <x v="9"/>
    <x v="9"/>
    <n v="1861.86"/>
    <n v="2002"/>
  </r>
  <r>
    <x v="3"/>
    <s v="Одеса"/>
    <x v="4"/>
    <s v="Товари для дому"/>
    <s v="Зубочистки"/>
    <x v="0"/>
    <x v="9"/>
    <x v="9"/>
    <n v="2650.5599999999995"/>
    <n v="3012"/>
  </r>
  <r>
    <x v="4"/>
    <s v="Харків"/>
    <x v="5"/>
    <s v="Товари для дому"/>
    <s v="Одноразовий посуд"/>
    <x v="0"/>
    <x v="9"/>
    <x v="9"/>
    <n v="2479.75"/>
    <n v="2725"/>
  </r>
  <r>
    <x v="0"/>
    <s v="Бердичів"/>
    <x v="1"/>
    <s v="Косметика"/>
    <s v="Шампунь"/>
    <x v="0"/>
    <x v="9"/>
    <x v="9"/>
    <n v="3601.6800000000003"/>
    <n v="4188"/>
  </r>
  <r>
    <x v="1"/>
    <s v="Бердянськ"/>
    <x v="6"/>
    <s v="Косметика"/>
    <s v="Дезодорант"/>
    <x v="0"/>
    <x v="9"/>
    <x v="9"/>
    <n v="4745.8399999999992"/>
    <n v="5393"/>
  </r>
  <r>
    <x v="2"/>
    <s v="Біла Церква"/>
    <x v="7"/>
    <s v="Косметика"/>
    <s v="Мило"/>
    <x v="0"/>
    <x v="9"/>
    <x v="9"/>
    <n v="3630.8999999999996"/>
    <n v="3990"/>
  </r>
  <r>
    <x v="3"/>
    <s v="Чорноморськ"/>
    <x v="8"/>
    <s v="Побутова хімія"/>
    <s v="Засіб для миття посуду"/>
    <x v="0"/>
    <x v="9"/>
    <x v="9"/>
    <n v="2824.2400000000002"/>
    <n v="3284"/>
  </r>
  <r>
    <x v="4"/>
    <s v="Чугуїв"/>
    <x v="9"/>
    <s v="Побутова хімія"/>
    <s v="Засіб для посудомийних машин"/>
    <x v="0"/>
    <x v="9"/>
    <x v="9"/>
    <n v="3451.1800000000003"/>
    <n v="4013"/>
  </r>
  <r>
    <x v="0"/>
    <s v="Житомир"/>
    <x v="0"/>
    <s v="Побутова хімія"/>
    <s v="Засоби для догляду за меблями"/>
    <x v="0"/>
    <x v="9"/>
    <x v="9"/>
    <n v="2807.9000000000005"/>
    <n v="3265"/>
  </r>
  <r>
    <x v="1"/>
    <s v="Запоріжжя"/>
    <x v="2"/>
    <s v="Товари для дому"/>
    <s v="Серветки"/>
    <x v="0"/>
    <x v="9"/>
    <x v="9"/>
    <n v="1912.6400000000003"/>
    <n v="2224"/>
  </r>
  <r>
    <x v="2"/>
    <s v="Бориспіль"/>
    <x v="3"/>
    <s v="Товари для дому"/>
    <s v="Зубочистки"/>
    <x v="0"/>
    <x v="9"/>
    <x v="9"/>
    <n v="2672.0200000000004"/>
    <n v="3107"/>
  </r>
  <r>
    <x v="3"/>
    <s v="Одеса"/>
    <x v="4"/>
    <s v="Товари для дому"/>
    <s v="Одноразовий посуд"/>
    <x v="0"/>
    <x v="9"/>
    <x v="9"/>
    <n v="1767.2199999999998"/>
    <n v="1942"/>
  </r>
  <r>
    <x v="4"/>
    <s v="Харків"/>
    <x v="5"/>
    <s v="Косметика"/>
    <s v="Шампунь"/>
    <x v="0"/>
    <x v="9"/>
    <x v="9"/>
    <n v="6133.5"/>
    <n v="6525"/>
  </r>
  <r>
    <x v="1"/>
    <s v="Запоріжжя"/>
    <x v="2"/>
    <s v="Косметика"/>
    <s v="Мило"/>
    <x v="0"/>
    <x v="9"/>
    <x v="9"/>
    <n v="2943.08"/>
    <n v="3199"/>
  </r>
  <r>
    <x v="2"/>
    <s v="Біла Церква"/>
    <x v="7"/>
    <s v="Побутова хімія"/>
    <s v="Засіб для миття посуду"/>
    <x v="0"/>
    <x v="9"/>
    <x v="9"/>
    <n v="3935.7499999999995"/>
    <n v="4325"/>
  </r>
  <r>
    <x v="3"/>
    <s v="Чорноморськ"/>
    <x v="8"/>
    <s v="Побутова хімія"/>
    <s v="Засіб для посудомийних машин"/>
    <x v="0"/>
    <x v="9"/>
    <x v="9"/>
    <n v="3749.9199999999996"/>
    <n v="4076"/>
  </r>
  <r>
    <x v="4"/>
    <s v="Чугуїв"/>
    <x v="9"/>
    <s v="Побутова хімія"/>
    <s v="Засоби для догляду за меблями"/>
    <x v="0"/>
    <x v="9"/>
    <x v="9"/>
    <n v="3749.66"/>
    <n v="3989"/>
  </r>
  <r>
    <x v="0"/>
    <s v="Житомир"/>
    <x v="0"/>
    <s v="Товари для дому"/>
    <s v="Серветки"/>
    <x v="0"/>
    <x v="9"/>
    <x v="9"/>
    <n v="2441.5299999999997"/>
    <n v="2683"/>
  </r>
  <r>
    <x v="1"/>
    <s v="Бердянськ"/>
    <x v="6"/>
    <s v="Товари для дому"/>
    <s v="Зубочистки"/>
    <x v="0"/>
    <x v="9"/>
    <x v="9"/>
    <n v="2027.2500000000002"/>
    <n v="2385"/>
  </r>
  <r>
    <x v="2"/>
    <s v="Бориспіль"/>
    <x v="3"/>
    <s v="Товари для дому"/>
    <s v="Одноразовий посуд"/>
    <x v="0"/>
    <x v="9"/>
    <x v="9"/>
    <n v="2035.8000000000002"/>
    <n v="2340"/>
  </r>
  <r>
    <x v="3"/>
    <s v="Одеса"/>
    <x v="4"/>
    <s v="Косметика"/>
    <s v="Шампунь"/>
    <x v="0"/>
    <x v="9"/>
    <x v="9"/>
    <n v="5153.8399999999992"/>
    <n v="5602"/>
  </r>
  <r>
    <x v="4"/>
    <s v="Харків"/>
    <x v="5"/>
    <s v="Косметика"/>
    <s v="Дезодорант"/>
    <x v="0"/>
    <x v="9"/>
    <x v="9"/>
    <n v="2867.1899999999996"/>
    <n v="3083"/>
  </r>
  <r>
    <x v="0"/>
    <s v="Бердичів"/>
    <x v="1"/>
    <s v="Косметика"/>
    <s v="Мило"/>
    <x v="0"/>
    <x v="9"/>
    <x v="9"/>
    <n v="2434.2600000000002"/>
    <n v="2798"/>
  </r>
  <r>
    <x v="1"/>
    <s v="Запоріжжя"/>
    <x v="2"/>
    <s v="Побутова хімія"/>
    <s v="Засіб для миття посуду"/>
    <x v="0"/>
    <x v="9"/>
    <x v="9"/>
    <n v="4590.0199999999995"/>
    <n v="4883"/>
  </r>
  <r>
    <x v="2"/>
    <s v="Біла Церква"/>
    <x v="7"/>
    <s v="Побутова хімія"/>
    <s v="Засіб для посудомийних машин"/>
    <x v="0"/>
    <x v="9"/>
    <x v="9"/>
    <n v="3414.08"/>
    <n v="3632"/>
  </r>
  <r>
    <x v="3"/>
    <s v="Чорноморськ"/>
    <x v="8"/>
    <s v="Побутова хімія"/>
    <s v="Засоби для догляду за меблями"/>
    <x v="0"/>
    <x v="9"/>
    <x v="9"/>
    <n v="3144.1600000000003"/>
    <n v="3656"/>
  </r>
  <r>
    <x v="4"/>
    <s v="Чугуїв"/>
    <x v="9"/>
    <s v="Товари для дому"/>
    <s v="Серветки"/>
    <x v="0"/>
    <x v="9"/>
    <x v="9"/>
    <n v="2164.9500000000003"/>
    <n v="2547"/>
  </r>
  <r>
    <x v="1"/>
    <s v="Запоріжжя"/>
    <x v="2"/>
    <s v="Товари для дому"/>
    <s v="Одноразовий посуд"/>
    <x v="0"/>
    <x v="9"/>
    <x v="9"/>
    <n v="1455.4399999999998"/>
    <n v="1582"/>
  </r>
  <r>
    <x v="2"/>
    <s v="Бориспіль"/>
    <x v="3"/>
    <s v="Косметика"/>
    <s v="Шампунь"/>
    <x v="0"/>
    <x v="9"/>
    <x v="9"/>
    <n v="4947.6900000000005"/>
    <n v="5687"/>
  </r>
  <r>
    <x v="3"/>
    <s v="Чорноморськ"/>
    <x v="8"/>
    <s v="Косметика"/>
    <s v="Дезодорант"/>
    <x v="0"/>
    <x v="9"/>
    <x v="9"/>
    <n v="4308.2999999999993"/>
    <n v="4787"/>
  </r>
  <r>
    <x v="4"/>
    <s v="Харків"/>
    <x v="5"/>
    <s v="Косметика"/>
    <s v="Мило"/>
    <x v="0"/>
    <x v="9"/>
    <x v="9"/>
    <n v="4598.16"/>
    <n v="4998"/>
  </r>
  <r>
    <x v="0"/>
    <s v="Бердичів"/>
    <x v="1"/>
    <s v="Побутова хімія"/>
    <s v="Засіб для миття посуду"/>
    <x v="0"/>
    <x v="9"/>
    <x v="9"/>
    <n v="4312.05"/>
    <n v="5073"/>
  </r>
  <r>
    <x v="0"/>
    <s v="Бердичів"/>
    <x v="1"/>
    <s v="Побутова хімія"/>
    <s v="Засіб для посудомийних машин"/>
    <x v="0"/>
    <x v="9"/>
    <x v="9"/>
    <n v="4956.62"/>
    <n v="5273"/>
  </r>
  <r>
    <x v="1"/>
    <s v="Бердянськ"/>
    <x v="6"/>
    <s v="Побутова хімія"/>
    <s v="Засоби для догляду за меблями"/>
    <x v="0"/>
    <x v="9"/>
    <x v="9"/>
    <n v="3063.5999999999995"/>
    <n v="3404"/>
  </r>
  <r>
    <x v="1"/>
    <s v="Бердянськ"/>
    <x v="6"/>
    <s v="Товари для дому"/>
    <s v="Серветки"/>
    <x v="0"/>
    <x v="9"/>
    <x v="9"/>
    <n v="1664.3899999999999"/>
    <n v="1829"/>
  </r>
  <r>
    <x v="2"/>
    <s v="Біла Церква"/>
    <x v="7"/>
    <s v="Товари для дому"/>
    <s v="Зубочистки"/>
    <x v="0"/>
    <x v="9"/>
    <x v="9"/>
    <n v="2532.64"/>
    <n v="2878"/>
  </r>
  <r>
    <x v="2"/>
    <s v="Біла Церква"/>
    <x v="7"/>
    <s v="Товари для дому"/>
    <s v="Одноразовий посуд"/>
    <x v="0"/>
    <x v="9"/>
    <x v="9"/>
    <n v="1132.2"/>
    <n v="1332"/>
  </r>
  <r>
    <x v="2"/>
    <s v="Бориспіль"/>
    <x v="3"/>
    <s v="Косметика"/>
    <s v="Дезодорант"/>
    <x v="0"/>
    <x v="9"/>
    <x v="9"/>
    <n v="3129.2599999999998"/>
    <n v="3329"/>
  </r>
  <r>
    <x v="0"/>
    <s v="Житомир"/>
    <x v="0"/>
    <s v="Косметика"/>
    <s v="Мило"/>
    <x v="0"/>
    <x v="9"/>
    <x v="9"/>
    <n v="2492.3999999999996"/>
    <n v="2680"/>
  </r>
  <r>
    <x v="2"/>
    <s v="Ірпінь"/>
    <x v="10"/>
    <s v="Товари для дому"/>
    <s v="Серветки"/>
    <x v="0"/>
    <x v="9"/>
    <x v="9"/>
    <n v="1589.54"/>
    <n v="1691"/>
  </r>
  <r>
    <x v="2"/>
    <s v="Ірпінь"/>
    <x v="10"/>
    <s v="Товари для дому"/>
    <s v="Зубочистки"/>
    <x v="0"/>
    <x v="9"/>
    <x v="9"/>
    <n v="2313.3300000000004"/>
    <n v="2659"/>
  </r>
  <r>
    <x v="2"/>
    <s v="Київ"/>
    <x v="11"/>
    <s v="Товари для дому"/>
    <s v="Одноразовий посуд"/>
    <x v="0"/>
    <x v="9"/>
    <x v="9"/>
    <n v="2530.9199999999996"/>
    <n v="2751"/>
  </r>
  <r>
    <x v="2"/>
    <s v="Київ"/>
    <x v="11"/>
    <s v="Косметика"/>
    <s v="Шампунь"/>
    <x v="0"/>
    <x v="9"/>
    <x v="9"/>
    <n v="5570.9999999999991"/>
    <n v="6190"/>
  </r>
  <r>
    <x v="3"/>
    <s v="Одеса"/>
    <x v="4"/>
    <s v="Косметика"/>
    <s v="Дезодорант"/>
    <x v="0"/>
    <x v="9"/>
    <x v="9"/>
    <n v="5145.5599999999995"/>
    <n v="5474"/>
  </r>
  <r>
    <x v="3"/>
    <s v="Одеса"/>
    <x v="4"/>
    <s v="Косметика"/>
    <s v="Мило"/>
    <x v="0"/>
    <x v="9"/>
    <x v="9"/>
    <n v="3400.6699999999996"/>
    <n v="3737"/>
  </r>
  <r>
    <x v="4"/>
    <s v="Харків"/>
    <x v="5"/>
    <s v="Побутова хімія"/>
    <s v="Засіб для миття посуду"/>
    <x v="0"/>
    <x v="9"/>
    <x v="9"/>
    <n v="4711.28"/>
    <n v="5012"/>
  </r>
  <r>
    <x v="4"/>
    <s v="Харків"/>
    <x v="5"/>
    <s v="Побутова хімія"/>
    <s v="Засіб для посудомийних машин"/>
    <x v="0"/>
    <x v="9"/>
    <x v="9"/>
    <n v="4064.56"/>
    <n v="4324"/>
  </r>
  <r>
    <x v="3"/>
    <s v="Чорноморськ"/>
    <x v="8"/>
    <s v="Товари для дому"/>
    <s v="Серветки"/>
    <x v="0"/>
    <x v="9"/>
    <x v="9"/>
    <n v="2348.7599999999998"/>
    <n v="2553"/>
  </r>
  <r>
    <x v="4"/>
    <s v="Чугуїв"/>
    <x v="9"/>
    <s v="Товари для дому"/>
    <s v="Зубочистки"/>
    <x v="0"/>
    <x v="9"/>
    <x v="9"/>
    <n v="1765.5800000000002"/>
    <n v="2053"/>
  </r>
  <r>
    <x v="4"/>
    <s v="Чугуїв"/>
    <x v="9"/>
    <s v="Товари для дому"/>
    <s v="Одноразовий посуд"/>
    <x v="0"/>
    <x v="9"/>
    <x v="9"/>
    <n v="1283.3999999999999"/>
    <n v="1380"/>
  </r>
  <r>
    <x v="2"/>
    <s v="Біла Церква"/>
    <x v="7"/>
    <s v="Косметика"/>
    <s v="Шампунь"/>
    <x v="0"/>
    <x v="9"/>
    <x v="9"/>
    <n v="5989.6799999999994"/>
    <n v="6372"/>
  </r>
  <r>
    <x v="1"/>
    <s v="Бердянськ"/>
    <x v="6"/>
    <s v="Побутова хімія"/>
    <s v="Засіб для посудомийних машин"/>
    <x v="0"/>
    <x v="9"/>
    <x v="9"/>
    <n v="4031.4399999999996"/>
    <n v="4382"/>
  </r>
  <r>
    <x v="0"/>
    <s v="Житомир"/>
    <x v="0"/>
    <s v="Товари для дому"/>
    <s v="Одноразовий посуд"/>
    <x v="0"/>
    <x v="9"/>
    <x v="9"/>
    <n v="1403.4199999999998"/>
    <n v="1493"/>
  </r>
  <r>
    <x v="0"/>
    <s v="Житомир"/>
    <x v="0"/>
    <s v="Косметика"/>
    <s v="Шампунь"/>
    <x v="0"/>
    <x v="9"/>
    <x v="9"/>
    <n v="4584.7999999999993"/>
    <n v="5210"/>
  </r>
  <r>
    <x v="1"/>
    <s v="Запоріжжя"/>
    <x v="2"/>
    <s v="Косметика"/>
    <s v="Дезодорант"/>
    <x v="0"/>
    <x v="9"/>
    <x v="9"/>
    <n v="2546.46"/>
    <n v="2961"/>
  </r>
  <r>
    <x v="2"/>
    <s v="Ірпінь"/>
    <x v="10"/>
    <s v="Побутова хімія"/>
    <s v="Засіб для миття посуду"/>
    <x v="0"/>
    <x v="9"/>
    <x v="9"/>
    <n v="4196.7"/>
    <n v="4663"/>
  </r>
  <r>
    <x v="2"/>
    <s v="Ірпінь"/>
    <x v="10"/>
    <s v="Побутова хімія"/>
    <s v="Засіб для посудомийних машин"/>
    <x v="0"/>
    <x v="9"/>
    <x v="9"/>
    <n v="2687.46"/>
    <n v="2859"/>
  </r>
  <r>
    <x v="2"/>
    <s v="Київ"/>
    <x v="11"/>
    <s v="Побутова хімія"/>
    <s v="Засоби для догляду за меблями"/>
    <x v="0"/>
    <x v="9"/>
    <x v="9"/>
    <n v="3417.2999999999997"/>
    <n v="3797"/>
  </r>
  <r>
    <x v="2"/>
    <s v="Київ"/>
    <x v="11"/>
    <s v="Товари для дому"/>
    <s v="Серветки"/>
    <x v="0"/>
    <x v="9"/>
    <x v="9"/>
    <n v="1822.4799999999998"/>
    <n v="2071"/>
  </r>
  <r>
    <x v="2"/>
    <s v="Біла Церква"/>
    <x v="7"/>
    <s v="Товари для дому"/>
    <s v="Серветки"/>
    <x v="0"/>
    <x v="9"/>
    <x v="9"/>
    <n v="2067.9900000000002"/>
    <n v="2377"/>
  </r>
  <r>
    <x v="1"/>
    <s v="Бердянськ"/>
    <x v="6"/>
    <s v="Косметика"/>
    <s v="Мило"/>
    <x v="0"/>
    <x v="9"/>
    <x v="9"/>
    <n v="3788.7299999999996"/>
    <n v="4257"/>
  </r>
  <r>
    <x v="2"/>
    <s v="Бориспіль"/>
    <x v="3"/>
    <s v="Побутова хімія"/>
    <s v="Засіб для миття посуду"/>
    <x v="0"/>
    <x v="9"/>
    <x v="9"/>
    <n v="3169.7599999999998"/>
    <n v="3602"/>
  </r>
  <r>
    <x v="2"/>
    <s v="Бориспіль"/>
    <x v="3"/>
    <s v="Побутова хімія"/>
    <s v="Засіб для посудомийних машин"/>
    <x v="0"/>
    <x v="9"/>
    <x v="9"/>
    <n v="2592.4799999999996"/>
    <n v="2946"/>
  </r>
  <r>
    <x v="1"/>
    <s v="Запоріжжя"/>
    <x v="2"/>
    <s v="Товари для дому"/>
    <s v="Зубочистки"/>
    <x v="0"/>
    <x v="9"/>
    <x v="9"/>
    <n v="1457.9399999999998"/>
    <n v="1551"/>
  </r>
  <r>
    <x v="2"/>
    <s v="Ірпінь"/>
    <x v="10"/>
    <s v="Косметика"/>
    <s v="Шампунь"/>
    <x v="0"/>
    <x v="9"/>
    <x v="9"/>
    <n v="3685.6000000000004"/>
    <n v="4336"/>
  </r>
  <r>
    <x v="2"/>
    <s v="Ірпінь"/>
    <x v="10"/>
    <s v="Косметика"/>
    <s v="Дезодорант"/>
    <x v="0"/>
    <x v="9"/>
    <x v="9"/>
    <n v="3547.05"/>
    <n v="4173"/>
  </r>
  <r>
    <x v="2"/>
    <s v="Київ"/>
    <x v="11"/>
    <s v="Косметика"/>
    <s v="Мило"/>
    <x v="0"/>
    <x v="9"/>
    <x v="9"/>
    <n v="3651.83"/>
    <n v="4013"/>
  </r>
  <r>
    <x v="2"/>
    <s v="Київ"/>
    <x v="11"/>
    <s v="Побутова хімія"/>
    <s v="Засіб для миття посуду"/>
    <x v="0"/>
    <x v="9"/>
    <x v="9"/>
    <n v="3038.38"/>
    <n v="3533"/>
  </r>
  <r>
    <x v="3"/>
    <s v="Одеса"/>
    <x v="4"/>
    <s v="Побутова хімія"/>
    <s v="Засіб для посудомийних машин"/>
    <x v="0"/>
    <x v="9"/>
    <x v="9"/>
    <n v="3463.2"/>
    <n v="3848"/>
  </r>
  <r>
    <x v="3"/>
    <s v="Одеса"/>
    <x v="4"/>
    <s v="Побутова хімія"/>
    <s v="Засоби для догляду за меблями"/>
    <x v="0"/>
    <x v="9"/>
    <x v="9"/>
    <n v="3440.0699999999997"/>
    <n v="3699"/>
  </r>
  <r>
    <x v="4"/>
    <s v="Харків"/>
    <x v="5"/>
    <s v="Товари для дому"/>
    <s v="Серветки"/>
    <x v="0"/>
    <x v="9"/>
    <x v="9"/>
    <n v="2210.7599999999998"/>
    <n v="2484"/>
  </r>
  <r>
    <x v="3"/>
    <s v="Чорноморськ"/>
    <x v="8"/>
    <s v="Товари для дому"/>
    <s v="Одноразовий посуд"/>
    <x v="0"/>
    <x v="9"/>
    <x v="9"/>
    <n v="1853.6699999999998"/>
    <n v="2037"/>
  </r>
  <r>
    <x v="3"/>
    <s v="Чорноморськ"/>
    <x v="8"/>
    <s v="Косметика"/>
    <s v="Шампунь"/>
    <x v="0"/>
    <x v="9"/>
    <x v="9"/>
    <n v="4019.4000000000005"/>
    <n v="4620"/>
  </r>
  <r>
    <x v="4"/>
    <s v="Чугуїв"/>
    <x v="9"/>
    <s v="Косметика"/>
    <s v="Дезодорант"/>
    <x v="0"/>
    <x v="9"/>
    <x v="9"/>
    <n v="2754.4200000000005"/>
    <n v="3166"/>
  </r>
  <r>
    <x v="4"/>
    <s v="Чугуїв"/>
    <x v="9"/>
    <s v="Косметика"/>
    <s v="Мило"/>
    <x v="0"/>
    <x v="9"/>
    <x v="9"/>
    <n v="2511.2000000000003"/>
    <n v="2920"/>
  </r>
  <r>
    <x v="0"/>
    <s v="Бердичів"/>
    <x v="1"/>
    <s v="Побутова хімія"/>
    <s v="Засоби для догляду за меблями"/>
    <x v="0"/>
    <x v="9"/>
    <x v="9"/>
    <n v="3151.49"/>
    <n v="3541"/>
  </r>
  <r>
    <x v="0"/>
    <s v="Бердичів"/>
    <x v="1"/>
    <s v="Товари для дому"/>
    <s v="Серветки"/>
    <x v="0"/>
    <x v="9"/>
    <x v="9"/>
    <n v="2488.6799999999998"/>
    <n v="2676"/>
  </r>
  <r>
    <x v="1"/>
    <s v="Бердянськ"/>
    <x v="6"/>
    <s v="Товари для дому"/>
    <s v="Одноразовий посуд"/>
    <x v="0"/>
    <x v="9"/>
    <x v="9"/>
    <n v="2174.0800000000004"/>
    <n v="2528"/>
  </r>
  <r>
    <x v="2"/>
    <s v="Ірпінь"/>
    <x v="10"/>
    <s v="Косметика"/>
    <s v="Мило"/>
    <x v="0"/>
    <x v="9"/>
    <x v="9"/>
    <n v="3435.5199999999995"/>
    <n v="3904"/>
  </r>
  <r>
    <x v="2"/>
    <s v="Київ"/>
    <x v="11"/>
    <s v="Побутова хімія"/>
    <s v="Засіб для посудомийних машин"/>
    <x v="0"/>
    <x v="9"/>
    <x v="9"/>
    <n v="4682.7999999999993"/>
    <n v="5090"/>
  </r>
  <r>
    <x v="2"/>
    <s v="Біла Церква"/>
    <x v="7"/>
    <s v="Побутова хімія"/>
    <s v="Засоби для догляду за меблями"/>
    <x v="0"/>
    <x v="9"/>
    <x v="9"/>
    <n v="3327.54"/>
    <n v="3578"/>
  </r>
  <r>
    <x v="2"/>
    <s v="Бориспіль"/>
    <x v="3"/>
    <s v="Косметика"/>
    <s v="Мило"/>
    <x v="0"/>
    <x v="9"/>
    <x v="9"/>
    <n v="3800.1600000000003"/>
    <n v="4368"/>
  </r>
  <r>
    <x v="2"/>
    <s v="Ірпінь"/>
    <x v="10"/>
    <s v="Товари для дому"/>
    <s v="Одноразовий посуд"/>
    <x v="0"/>
    <x v="9"/>
    <x v="9"/>
    <n v="2641.3199999999997"/>
    <n v="2871"/>
  </r>
  <r>
    <x v="2"/>
    <s v="Київ"/>
    <x v="11"/>
    <s v="Косметика"/>
    <s v="Дезодорант"/>
    <x v="0"/>
    <x v="9"/>
    <x v="9"/>
    <n v="3876.56"/>
    <n v="4124"/>
  </r>
  <r>
    <x v="3"/>
    <s v="Одеса"/>
    <x v="4"/>
    <s v="Побутова хімія"/>
    <s v="Засіб для миття посуду"/>
    <x v="0"/>
    <x v="9"/>
    <x v="9"/>
    <n v="4004.91"/>
    <n v="4401"/>
  </r>
  <r>
    <x v="4"/>
    <s v="Харків"/>
    <x v="5"/>
    <s v="Побутова хімія"/>
    <s v="Засоби для догляду за меблями"/>
    <x v="0"/>
    <x v="9"/>
    <x v="9"/>
    <n v="3075.7999999999997"/>
    <n v="3380"/>
  </r>
  <r>
    <x v="3"/>
    <s v="Чорноморськ"/>
    <x v="8"/>
    <s v="Товари для дому"/>
    <s v="Зубочистки"/>
    <x v="0"/>
    <x v="9"/>
    <x v="9"/>
    <n v="2401.5199999999995"/>
    <n v="2729"/>
  </r>
  <r>
    <x v="4"/>
    <s v="Чугуїв"/>
    <x v="9"/>
    <s v="Косметика"/>
    <s v="Шампунь"/>
    <x v="0"/>
    <x v="9"/>
    <x v="9"/>
    <n v="5461.82"/>
    <n v="6002"/>
  </r>
  <r>
    <x v="2"/>
    <s v="Ірпінь"/>
    <x v="10"/>
    <s v="Побутова хімія"/>
    <s v="Засоби для догляду за меблями"/>
    <x v="0"/>
    <x v="9"/>
    <x v="9"/>
    <n v="3389.8"/>
    <n v="3988"/>
  </r>
  <r>
    <x v="2"/>
    <s v="Київ"/>
    <x v="11"/>
    <s v="Товари для дому"/>
    <s v="Зубочистки"/>
    <x v="0"/>
    <x v="9"/>
    <x v="9"/>
    <n v="2114.16"/>
    <n v="2298"/>
  </r>
  <r>
    <x v="0"/>
    <s v="Житомир"/>
    <x v="0"/>
    <s v="Товари для дому"/>
    <s v="Зубочистки"/>
    <x v="0"/>
    <x v="10"/>
    <x v="10"/>
    <n v="1921.36"/>
    <n v="2044"/>
  </r>
  <r>
    <x v="0"/>
    <s v="Бердичів"/>
    <x v="1"/>
    <s v="Товари для дому"/>
    <s v="Зубочистки"/>
    <x v="0"/>
    <x v="10"/>
    <x v="10"/>
    <n v="1915.8"/>
    <n v="2060"/>
  </r>
  <r>
    <x v="0"/>
    <s v="Бердичів"/>
    <x v="1"/>
    <s v="Косметика"/>
    <s v="Дезодорант"/>
    <x v="0"/>
    <x v="10"/>
    <x v="10"/>
    <n v="4039.7099999999996"/>
    <n v="4539"/>
  </r>
  <r>
    <x v="0"/>
    <s v="Житомир"/>
    <x v="0"/>
    <s v="Косметика"/>
    <s v="Дезодорант"/>
    <x v="0"/>
    <x v="10"/>
    <x v="10"/>
    <n v="2978.0999999999995"/>
    <n v="3309"/>
  </r>
  <r>
    <x v="0"/>
    <s v="Житомир"/>
    <x v="0"/>
    <s v="Побутова хімія"/>
    <s v="Засіб для миття посуду"/>
    <x v="0"/>
    <x v="10"/>
    <x v="10"/>
    <n v="4604.5999999999995"/>
    <n v="5005"/>
  </r>
  <r>
    <x v="1"/>
    <s v="Запоріжжя"/>
    <x v="2"/>
    <s v="Побутова хімія"/>
    <s v="Засіб для посудомийних машин"/>
    <x v="0"/>
    <x v="10"/>
    <x v="10"/>
    <n v="2393.2099999999996"/>
    <n v="2689"/>
  </r>
  <r>
    <x v="2"/>
    <s v="Бориспіль"/>
    <x v="3"/>
    <s v="Побутова хімія"/>
    <s v="Засоби для догляду за меблями"/>
    <x v="0"/>
    <x v="10"/>
    <x v="10"/>
    <n v="2958.0000000000005"/>
    <n v="3480"/>
  </r>
  <r>
    <x v="3"/>
    <s v="Одеса"/>
    <x v="4"/>
    <s v="Товари для дому"/>
    <s v="Серветки"/>
    <x v="0"/>
    <x v="10"/>
    <x v="10"/>
    <n v="2355.2999999999997"/>
    <n v="2617"/>
  </r>
  <r>
    <x v="4"/>
    <s v="Харків"/>
    <x v="5"/>
    <s v="Товари для дому"/>
    <s v="Зубочистки"/>
    <x v="0"/>
    <x v="10"/>
    <x v="10"/>
    <n v="2853.4500000000003"/>
    <n v="3357"/>
  </r>
  <r>
    <x v="0"/>
    <s v="Бердичів"/>
    <x v="1"/>
    <s v="Товари для дому"/>
    <s v="Одноразовий посуд"/>
    <x v="0"/>
    <x v="10"/>
    <x v="10"/>
    <n v="1190.1600000000001"/>
    <n v="1368"/>
  </r>
  <r>
    <x v="1"/>
    <s v="Бердянськ"/>
    <x v="6"/>
    <s v="Косметика"/>
    <s v="Шампунь"/>
    <x v="0"/>
    <x v="10"/>
    <x v="10"/>
    <n v="5823.2999999999993"/>
    <n v="6195"/>
  </r>
  <r>
    <x v="2"/>
    <s v="Біла Церква"/>
    <x v="7"/>
    <s v="Косметика"/>
    <s v="Дезодорант"/>
    <x v="0"/>
    <x v="10"/>
    <x v="10"/>
    <n v="2864.3999999999996"/>
    <n v="3080"/>
  </r>
  <r>
    <x v="3"/>
    <s v="Чорноморськ"/>
    <x v="8"/>
    <s v="Косметика"/>
    <s v="Мило"/>
    <x v="0"/>
    <x v="10"/>
    <x v="10"/>
    <n v="3977.6400000000003"/>
    <n v="4572"/>
  </r>
  <r>
    <x v="4"/>
    <s v="Чугуїв"/>
    <x v="9"/>
    <s v="Побутова хімія"/>
    <s v="Засіб для миття посуду"/>
    <x v="0"/>
    <x v="10"/>
    <x v="10"/>
    <n v="3477.7599999999998"/>
    <n v="3952"/>
  </r>
  <r>
    <x v="0"/>
    <s v="Житомир"/>
    <x v="0"/>
    <s v="Побутова хімія"/>
    <s v="Засіб для посудомийних машин"/>
    <x v="0"/>
    <x v="10"/>
    <x v="10"/>
    <n v="3961.1600000000003"/>
    <n v="4606"/>
  </r>
  <r>
    <x v="1"/>
    <s v="Запоріжжя"/>
    <x v="2"/>
    <s v="Побутова хімія"/>
    <s v="Засоби для догляду за меблями"/>
    <x v="0"/>
    <x v="10"/>
    <x v="10"/>
    <n v="3111.3999999999996"/>
    <n v="3310"/>
  </r>
  <r>
    <x v="2"/>
    <s v="Бориспіль"/>
    <x v="3"/>
    <s v="Товари для дому"/>
    <s v="Серветки"/>
    <x v="0"/>
    <x v="10"/>
    <x v="10"/>
    <n v="2495.2199999999998"/>
    <n v="2742"/>
  </r>
  <r>
    <x v="3"/>
    <s v="Одеса"/>
    <x v="4"/>
    <s v="Товари для дому"/>
    <s v="Зубочистки"/>
    <x v="0"/>
    <x v="10"/>
    <x v="10"/>
    <n v="1791.2399999999998"/>
    <n v="1947"/>
  </r>
  <r>
    <x v="4"/>
    <s v="Харків"/>
    <x v="5"/>
    <s v="Товари для дому"/>
    <s v="Одноразовий посуд"/>
    <x v="0"/>
    <x v="10"/>
    <x v="10"/>
    <n v="2112.3199999999997"/>
    <n v="2296"/>
  </r>
  <r>
    <x v="0"/>
    <s v="Бердичів"/>
    <x v="1"/>
    <s v="Косметика"/>
    <s v="Шампунь"/>
    <x v="0"/>
    <x v="10"/>
    <x v="10"/>
    <n v="3822.5499999999997"/>
    <n v="4295"/>
  </r>
  <r>
    <x v="1"/>
    <s v="Бердянськ"/>
    <x v="6"/>
    <s v="Косметика"/>
    <s v="Дезодорант"/>
    <x v="0"/>
    <x v="10"/>
    <x v="10"/>
    <n v="4399.9999999999991"/>
    <n v="5000"/>
  </r>
  <r>
    <x v="2"/>
    <s v="Біла Церква"/>
    <x v="7"/>
    <s v="Косметика"/>
    <s v="Мило"/>
    <x v="0"/>
    <x v="10"/>
    <x v="10"/>
    <n v="2623.1000000000004"/>
    <n v="3086"/>
  </r>
  <r>
    <x v="3"/>
    <s v="Чорноморськ"/>
    <x v="8"/>
    <s v="Побутова хімія"/>
    <s v="Засіб для миття посуду"/>
    <x v="0"/>
    <x v="10"/>
    <x v="10"/>
    <n v="3598.05"/>
    <n v="4233"/>
  </r>
  <r>
    <x v="4"/>
    <s v="Чугуїв"/>
    <x v="9"/>
    <s v="Побутова хімія"/>
    <s v="Засіб для посудомийних машин"/>
    <x v="0"/>
    <x v="10"/>
    <x v="10"/>
    <n v="3551.6699999999996"/>
    <n v="3819"/>
  </r>
  <r>
    <x v="0"/>
    <s v="Житомир"/>
    <x v="0"/>
    <s v="Побутова хімія"/>
    <s v="Засоби для догляду за меблями"/>
    <x v="0"/>
    <x v="10"/>
    <x v="10"/>
    <n v="2825.1000000000004"/>
    <n v="3285"/>
  </r>
  <r>
    <x v="1"/>
    <s v="Запоріжжя"/>
    <x v="2"/>
    <s v="Товари для дому"/>
    <s v="Серветки"/>
    <x v="0"/>
    <x v="10"/>
    <x v="10"/>
    <n v="1588.4399999999998"/>
    <n v="1708"/>
  </r>
  <r>
    <x v="2"/>
    <s v="Бориспіль"/>
    <x v="3"/>
    <s v="Товари для дому"/>
    <s v="Зубочистки"/>
    <x v="0"/>
    <x v="10"/>
    <x v="10"/>
    <n v="1740.8799999999999"/>
    <n v="1852"/>
  </r>
  <r>
    <x v="3"/>
    <s v="Одеса"/>
    <x v="4"/>
    <s v="Товари для дому"/>
    <s v="Одноразовий посуд"/>
    <x v="0"/>
    <x v="10"/>
    <x v="10"/>
    <n v="1339.1999999999998"/>
    <n v="1440"/>
  </r>
  <r>
    <x v="4"/>
    <s v="Харків"/>
    <x v="5"/>
    <s v="Косметика"/>
    <s v="Шампунь"/>
    <x v="0"/>
    <x v="10"/>
    <x v="10"/>
    <n v="5899.0399999999991"/>
    <n v="6412"/>
  </r>
  <r>
    <x v="1"/>
    <s v="Запоріжжя"/>
    <x v="2"/>
    <s v="Косметика"/>
    <s v="Мило"/>
    <x v="0"/>
    <x v="10"/>
    <x v="10"/>
    <n v="3259.5199999999995"/>
    <n v="3704"/>
  </r>
  <r>
    <x v="2"/>
    <s v="Біла Церква"/>
    <x v="7"/>
    <s v="Побутова хімія"/>
    <s v="Засіб для миття посуду"/>
    <x v="0"/>
    <x v="10"/>
    <x v="10"/>
    <n v="3805.4500000000003"/>
    <n v="4477"/>
  </r>
  <r>
    <x v="3"/>
    <s v="Чорноморськ"/>
    <x v="8"/>
    <s v="Побутова хімія"/>
    <s v="Засіб для посудомийних машин"/>
    <x v="0"/>
    <x v="10"/>
    <x v="10"/>
    <n v="4493.55"/>
    <n v="5165"/>
  </r>
  <r>
    <x v="4"/>
    <s v="Чугуїв"/>
    <x v="9"/>
    <s v="Побутова хімія"/>
    <s v="Засоби для догляду за меблями"/>
    <x v="0"/>
    <x v="10"/>
    <x v="10"/>
    <n v="3186.8799999999997"/>
    <n v="3464"/>
  </r>
  <r>
    <x v="0"/>
    <s v="Житомир"/>
    <x v="0"/>
    <s v="Товари для дому"/>
    <s v="Серветки"/>
    <x v="0"/>
    <x v="10"/>
    <x v="10"/>
    <n v="1627.7500000000002"/>
    <n v="1915"/>
  </r>
  <r>
    <x v="1"/>
    <s v="Бердянськ"/>
    <x v="6"/>
    <s v="Товари для дому"/>
    <s v="Зубочистки"/>
    <x v="0"/>
    <x v="10"/>
    <x v="10"/>
    <n v="2741.2"/>
    <n v="3080"/>
  </r>
  <r>
    <x v="2"/>
    <s v="Бориспіль"/>
    <x v="3"/>
    <s v="Товари для дому"/>
    <s v="Одноразовий посуд"/>
    <x v="0"/>
    <x v="10"/>
    <x v="10"/>
    <n v="2627.52"/>
    <n v="2856"/>
  </r>
  <r>
    <x v="3"/>
    <s v="Одеса"/>
    <x v="4"/>
    <s v="Косметика"/>
    <s v="Шампунь"/>
    <x v="0"/>
    <x v="10"/>
    <x v="10"/>
    <n v="5205.5999999999995"/>
    <n v="5784"/>
  </r>
  <r>
    <x v="4"/>
    <s v="Харків"/>
    <x v="5"/>
    <s v="Косметика"/>
    <s v="Дезодорант"/>
    <x v="0"/>
    <x v="10"/>
    <x v="10"/>
    <n v="3457.3800000000006"/>
    <n v="3974"/>
  </r>
  <r>
    <x v="0"/>
    <s v="Бердичів"/>
    <x v="1"/>
    <s v="Косметика"/>
    <s v="Мило"/>
    <x v="0"/>
    <x v="10"/>
    <x v="10"/>
    <n v="3080.3799999999997"/>
    <n v="3277"/>
  </r>
  <r>
    <x v="1"/>
    <s v="Запоріжжя"/>
    <x v="2"/>
    <s v="Побутова хімія"/>
    <s v="Засіб для миття посуду"/>
    <x v="0"/>
    <x v="10"/>
    <x v="10"/>
    <n v="3968.5099999999998"/>
    <n v="4361"/>
  </r>
  <r>
    <x v="2"/>
    <s v="Біла Церква"/>
    <x v="7"/>
    <s v="Побутова хімія"/>
    <s v="Засіб для посудомийних машин"/>
    <x v="0"/>
    <x v="10"/>
    <x v="10"/>
    <n v="3922.8300000000004"/>
    <n v="4509"/>
  </r>
  <r>
    <x v="3"/>
    <s v="Чорноморськ"/>
    <x v="8"/>
    <s v="Побутова хімія"/>
    <s v="Засоби для догляду за меблями"/>
    <x v="0"/>
    <x v="10"/>
    <x v="10"/>
    <n v="3590.7299999999996"/>
    <n v="3861"/>
  </r>
  <r>
    <x v="4"/>
    <s v="Чугуїв"/>
    <x v="9"/>
    <s v="Товари для дому"/>
    <s v="Серветки"/>
    <x v="0"/>
    <x v="10"/>
    <x v="10"/>
    <n v="2109.2399999999998"/>
    <n v="2268"/>
  </r>
  <r>
    <x v="1"/>
    <s v="Запоріжжя"/>
    <x v="2"/>
    <s v="Товари для дому"/>
    <s v="Одноразовий посуд"/>
    <x v="0"/>
    <x v="10"/>
    <x v="10"/>
    <n v="1750.9600000000003"/>
    <n v="2036"/>
  </r>
  <r>
    <x v="2"/>
    <s v="Бориспіль"/>
    <x v="3"/>
    <s v="Косметика"/>
    <s v="Шампунь"/>
    <x v="0"/>
    <x v="10"/>
    <x v="10"/>
    <n v="3761.1399999999994"/>
    <n v="4226"/>
  </r>
  <r>
    <x v="3"/>
    <s v="Чорноморськ"/>
    <x v="8"/>
    <s v="Косметика"/>
    <s v="Дезодорант"/>
    <x v="0"/>
    <x v="10"/>
    <x v="10"/>
    <n v="4883.4299999999994"/>
    <n v="5487"/>
  </r>
  <r>
    <x v="4"/>
    <s v="Харків"/>
    <x v="5"/>
    <s v="Косметика"/>
    <s v="Мило"/>
    <x v="0"/>
    <x v="10"/>
    <x v="10"/>
    <n v="1964.1599999999999"/>
    <n v="2112"/>
  </r>
  <r>
    <x v="0"/>
    <s v="Бердичів"/>
    <x v="1"/>
    <s v="Побутова хімія"/>
    <s v="Засіб для миття посуду"/>
    <x v="0"/>
    <x v="10"/>
    <x v="10"/>
    <n v="3627.5599999999995"/>
    <n v="3943"/>
  </r>
  <r>
    <x v="0"/>
    <s v="Бердичів"/>
    <x v="1"/>
    <s v="Побутова хімія"/>
    <s v="Засіб для посудомийних машин"/>
    <x v="0"/>
    <x v="10"/>
    <x v="10"/>
    <n v="3396.6000000000004"/>
    <n v="3996"/>
  </r>
  <r>
    <x v="1"/>
    <s v="Бердянськ"/>
    <x v="6"/>
    <s v="Побутова хімія"/>
    <s v="Засоби для догляду за меблями"/>
    <x v="0"/>
    <x v="10"/>
    <x v="10"/>
    <n v="3021.51"/>
    <n v="3473"/>
  </r>
  <r>
    <x v="1"/>
    <s v="Бердянськ"/>
    <x v="6"/>
    <s v="Товари для дому"/>
    <s v="Серветки"/>
    <x v="0"/>
    <x v="10"/>
    <x v="10"/>
    <n v="1383.3000000000002"/>
    <n v="1590"/>
  </r>
  <r>
    <x v="2"/>
    <s v="Біла Церква"/>
    <x v="7"/>
    <s v="Товари для дому"/>
    <s v="Зубочистки"/>
    <x v="0"/>
    <x v="10"/>
    <x v="10"/>
    <n v="2560.4100000000003"/>
    <n v="2943"/>
  </r>
  <r>
    <x v="2"/>
    <s v="Біла Церква"/>
    <x v="7"/>
    <s v="Товари для дому"/>
    <s v="Одноразовий посуд"/>
    <x v="0"/>
    <x v="10"/>
    <x v="10"/>
    <n v="2090.6600000000003"/>
    <n v="2431"/>
  </r>
  <r>
    <x v="2"/>
    <s v="Бориспіль"/>
    <x v="3"/>
    <s v="Косметика"/>
    <s v="Дезодорант"/>
    <x v="0"/>
    <x v="10"/>
    <x v="10"/>
    <n v="3870.05"/>
    <n v="4553"/>
  </r>
  <r>
    <x v="0"/>
    <s v="Житомир"/>
    <x v="0"/>
    <s v="Косметика"/>
    <s v="Мило"/>
    <x v="0"/>
    <x v="10"/>
    <x v="10"/>
    <n v="3936.66"/>
    <n v="4326"/>
  </r>
  <r>
    <x v="2"/>
    <s v="Ірпінь"/>
    <x v="10"/>
    <s v="Товари для дому"/>
    <s v="Серветки"/>
    <x v="0"/>
    <x v="10"/>
    <x v="10"/>
    <n v="1944.6299999999999"/>
    <n v="2091"/>
  </r>
  <r>
    <x v="2"/>
    <s v="Ірпінь"/>
    <x v="10"/>
    <s v="Товари для дому"/>
    <s v="Зубочистки"/>
    <x v="0"/>
    <x v="10"/>
    <x v="10"/>
    <n v="1966.2000000000003"/>
    <n v="2260"/>
  </r>
  <r>
    <x v="2"/>
    <s v="Київ"/>
    <x v="11"/>
    <s v="Товари для дому"/>
    <s v="Одноразовий посуд"/>
    <x v="0"/>
    <x v="10"/>
    <x v="10"/>
    <n v="1828.6399999999999"/>
    <n v="2078"/>
  </r>
  <r>
    <x v="2"/>
    <s v="Київ"/>
    <x v="11"/>
    <s v="Косметика"/>
    <s v="Шампунь"/>
    <x v="0"/>
    <x v="10"/>
    <x v="10"/>
    <n v="3859.2"/>
    <n v="4288"/>
  </r>
  <r>
    <x v="3"/>
    <s v="Одеса"/>
    <x v="4"/>
    <s v="Косметика"/>
    <s v="Дезодорант"/>
    <x v="0"/>
    <x v="10"/>
    <x v="10"/>
    <n v="3188.24"/>
    <n v="3623"/>
  </r>
  <r>
    <x v="3"/>
    <s v="Одеса"/>
    <x v="4"/>
    <s v="Косметика"/>
    <s v="Мило"/>
    <x v="0"/>
    <x v="10"/>
    <x v="10"/>
    <n v="3837.47"/>
    <n v="4217"/>
  </r>
  <r>
    <x v="4"/>
    <s v="Харків"/>
    <x v="5"/>
    <s v="Побутова хімія"/>
    <s v="Засіб для миття посуду"/>
    <x v="0"/>
    <x v="10"/>
    <x v="10"/>
    <n v="3235.47"/>
    <n v="3479"/>
  </r>
  <r>
    <x v="4"/>
    <s v="Харків"/>
    <x v="5"/>
    <s v="Побутова хімія"/>
    <s v="Засіб для посудомийних машин"/>
    <x v="0"/>
    <x v="10"/>
    <x v="10"/>
    <n v="2810.1000000000004"/>
    <n v="3306"/>
  </r>
  <r>
    <x v="3"/>
    <s v="Чорноморськ"/>
    <x v="8"/>
    <s v="Товари для дому"/>
    <s v="Серветки"/>
    <x v="0"/>
    <x v="10"/>
    <x v="10"/>
    <n v="1457.31"/>
    <n v="1567"/>
  </r>
  <r>
    <x v="4"/>
    <s v="Чугуїв"/>
    <x v="9"/>
    <s v="Товари для дому"/>
    <s v="Зубочистки"/>
    <x v="0"/>
    <x v="10"/>
    <x v="10"/>
    <n v="1294.3000000000002"/>
    <n v="1505"/>
  </r>
  <r>
    <x v="4"/>
    <s v="Чугуїв"/>
    <x v="9"/>
    <s v="Товари для дому"/>
    <s v="Одноразовий посуд"/>
    <x v="0"/>
    <x v="10"/>
    <x v="10"/>
    <n v="2516.9100000000003"/>
    <n v="2893"/>
  </r>
  <r>
    <x v="2"/>
    <s v="Біла Церква"/>
    <x v="7"/>
    <s v="Косметика"/>
    <s v="Шампунь"/>
    <x v="0"/>
    <x v="10"/>
    <x v="10"/>
    <n v="5520.24"/>
    <n v="6273"/>
  </r>
  <r>
    <x v="1"/>
    <s v="Бердянськ"/>
    <x v="6"/>
    <s v="Побутова хімія"/>
    <s v="Засіб для посудомийних машин"/>
    <x v="0"/>
    <x v="10"/>
    <x v="10"/>
    <n v="4601.8600000000006"/>
    <n v="5351"/>
  </r>
  <r>
    <x v="0"/>
    <s v="Житомир"/>
    <x v="0"/>
    <s v="Товари для дому"/>
    <s v="Одноразовий посуд"/>
    <x v="0"/>
    <x v="10"/>
    <x v="10"/>
    <n v="1305.8499999999999"/>
    <n v="1435"/>
  </r>
  <r>
    <x v="0"/>
    <s v="Житомир"/>
    <x v="0"/>
    <s v="Косметика"/>
    <s v="Шампунь"/>
    <x v="0"/>
    <x v="10"/>
    <x v="10"/>
    <n v="4760.6400000000003"/>
    <n v="5472"/>
  </r>
  <r>
    <x v="1"/>
    <s v="Запоріжжя"/>
    <x v="2"/>
    <s v="Косметика"/>
    <s v="Дезодорант"/>
    <x v="0"/>
    <x v="10"/>
    <x v="10"/>
    <n v="3944.7"/>
    <n v="4383"/>
  </r>
  <r>
    <x v="2"/>
    <s v="Ірпінь"/>
    <x v="10"/>
    <s v="Побутова хімія"/>
    <s v="Засіб для миття посуду"/>
    <x v="0"/>
    <x v="10"/>
    <x v="10"/>
    <n v="4620.9799999999996"/>
    <n v="5078"/>
  </r>
  <r>
    <x v="2"/>
    <s v="Ірпінь"/>
    <x v="10"/>
    <s v="Побутова хімія"/>
    <s v="Засіб для посудомийних машин"/>
    <x v="0"/>
    <x v="10"/>
    <x v="10"/>
    <n v="4434.3999999999996"/>
    <n v="4820"/>
  </r>
  <r>
    <x v="2"/>
    <s v="Київ"/>
    <x v="11"/>
    <s v="Побутова хімія"/>
    <s v="Засоби для догляду за меблями"/>
    <x v="0"/>
    <x v="10"/>
    <x v="10"/>
    <n v="2936.9000000000005"/>
    <n v="3415"/>
  </r>
  <r>
    <x v="2"/>
    <s v="Київ"/>
    <x v="11"/>
    <s v="Товари для дому"/>
    <s v="Серветки"/>
    <x v="0"/>
    <x v="10"/>
    <x v="10"/>
    <n v="1450.8200000000002"/>
    <n v="1687"/>
  </r>
  <r>
    <x v="2"/>
    <s v="Біла Церква"/>
    <x v="7"/>
    <s v="Товари для дому"/>
    <s v="Серветки"/>
    <x v="0"/>
    <x v="10"/>
    <x v="10"/>
    <n v="2197.8799999999997"/>
    <n v="2389"/>
  </r>
  <r>
    <x v="1"/>
    <s v="Бердянськ"/>
    <x v="6"/>
    <s v="Косметика"/>
    <s v="Мило"/>
    <x v="0"/>
    <x v="10"/>
    <x v="10"/>
    <n v="3372.72"/>
    <n v="3588"/>
  </r>
  <r>
    <x v="2"/>
    <s v="Бориспіль"/>
    <x v="3"/>
    <s v="Побутова хімія"/>
    <s v="Засіб для миття посуду"/>
    <x v="0"/>
    <x v="10"/>
    <x v="10"/>
    <n v="3944.1599999999994"/>
    <n v="4482"/>
  </r>
  <r>
    <x v="2"/>
    <s v="Бориспіль"/>
    <x v="3"/>
    <s v="Побутова хімія"/>
    <s v="Засіб для посудомийних машин"/>
    <x v="0"/>
    <x v="10"/>
    <x v="10"/>
    <n v="4370.01"/>
    <n v="5023"/>
  </r>
  <r>
    <x v="1"/>
    <s v="Запоріжжя"/>
    <x v="2"/>
    <s v="Товари для дому"/>
    <s v="Зубочистки"/>
    <x v="0"/>
    <x v="10"/>
    <x v="10"/>
    <n v="1402.4399999999998"/>
    <n v="1508"/>
  </r>
  <r>
    <x v="2"/>
    <s v="Ірпінь"/>
    <x v="10"/>
    <s v="Косметика"/>
    <s v="Шампунь"/>
    <x v="0"/>
    <x v="10"/>
    <x v="10"/>
    <n v="6515.1399999999994"/>
    <n v="6931"/>
  </r>
  <r>
    <x v="2"/>
    <s v="Ірпінь"/>
    <x v="10"/>
    <s v="Косметика"/>
    <s v="Дезодорант"/>
    <x v="0"/>
    <x v="10"/>
    <x v="10"/>
    <n v="2954.7699999999995"/>
    <n v="3247"/>
  </r>
  <r>
    <x v="2"/>
    <s v="Київ"/>
    <x v="11"/>
    <s v="Косметика"/>
    <s v="Мило"/>
    <x v="0"/>
    <x v="10"/>
    <x v="10"/>
    <n v="3579.72"/>
    <n v="3891"/>
  </r>
  <r>
    <x v="2"/>
    <s v="Київ"/>
    <x v="11"/>
    <s v="Побутова хімія"/>
    <s v="Засіб для миття посуду"/>
    <x v="0"/>
    <x v="10"/>
    <x v="10"/>
    <n v="4317.2999999999993"/>
    <n v="4797"/>
  </r>
  <r>
    <x v="3"/>
    <s v="Одеса"/>
    <x v="4"/>
    <s v="Побутова хімія"/>
    <s v="Засіб для посудомийних машин"/>
    <x v="0"/>
    <x v="10"/>
    <x v="10"/>
    <n v="3673.9200000000005"/>
    <n v="4272"/>
  </r>
  <r>
    <x v="3"/>
    <s v="Одеса"/>
    <x v="4"/>
    <s v="Побутова хімія"/>
    <s v="Засоби для догляду за меблями"/>
    <x v="0"/>
    <x v="10"/>
    <x v="10"/>
    <n v="2746.4799999999996"/>
    <n v="3121"/>
  </r>
  <r>
    <x v="4"/>
    <s v="Харків"/>
    <x v="5"/>
    <s v="Товари для дому"/>
    <s v="Серветки"/>
    <x v="0"/>
    <x v="10"/>
    <x v="10"/>
    <n v="2230.08"/>
    <n v="2424"/>
  </r>
  <r>
    <x v="3"/>
    <s v="Чорноморськ"/>
    <x v="8"/>
    <s v="Товари для дому"/>
    <s v="Одноразовий посуд"/>
    <x v="0"/>
    <x v="10"/>
    <x v="10"/>
    <n v="1686.36"/>
    <n v="1833"/>
  </r>
  <r>
    <x v="3"/>
    <s v="Чорноморськ"/>
    <x v="8"/>
    <s v="Косметика"/>
    <s v="Шампунь"/>
    <x v="0"/>
    <x v="10"/>
    <x v="10"/>
    <n v="5251.8899999999994"/>
    <n v="5901"/>
  </r>
  <r>
    <x v="4"/>
    <s v="Чугуїв"/>
    <x v="9"/>
    <s v="Косметика"/>
    <s v="Дезодорант"/>
    <x v="0"/>
    <x v="10"/>
    <x v="10"/>
    <n v="2899.9200000000005"/>
    <n v="3372"/>
  </r>
  <r>
    <x v="4"/>
    <s v="Чугуїв"/>
    <x v="9"/>
    <s v="Косметика"/>
    <s v="Мило"/>
    <x v="0"/>
    <x v="10"/>
    <x v="10"/>
    <n v="4528.17"/>
    <n v="4869"/>
  </r>
  <r>
    <x v="0"/>
    <s v="Бердичів"/>
    <x v="1"/>
    <s v="Побутова хімія"/>
    <s v="Засоби для догляду за меблями"/>
    <x v="0"/>
    <x v="10"/>
    <x v="10"/>
    <n v="3249.55"/>
    <n v="3823"/>
  </r>
  <r>
    <x v="0"/>
    <s v="Бердичів"/>
    <x v="1"/>
    <s v="Товари для дому"/>
    <s v="Серветки"/>
    <x v="0"/>
    <x v="10"/>
    <x v="10"/>
    <n v="2003.4500000000003"/>
    <n v="2357"/>
  </r>
  <r>
    <x v="1"/>
    <s v="Бердянськ"/>
    <x v="6"/>
    <s v="Товари для дому"/>
    <s v="Одноразовий посуд"/>
    <x v="0"/>
    <x v="10"/>
    <x v="10"/>
    <n v="1252.08"/>
    <n v="1332"/>
  </r>
  <r>
    <x v="2"/>
    <s v="Ірпінь"/>
    <x v="10"/>
    <s v="Косметика"/>
    <s v="Мило"/>
    <x v="0"/>
    <x v="10"/>
    <x v="10"/>
    <n v="3063.0599999999995"/>
    <n v="3366"/>
  </r>
  <r>
    <x v="2"/>
    <s v="Київ"/>
    <x v="11"/>
    <s v="Побутова хімія"/>
    <s v="Засіб для посудомийних машин"/>
    <x v="0"/>
    <x v="10"/>
    <x v="10"/>
    <n v="2889.6000000000004"/>
    <n v="3360"/>
  </r>
  <r>
    <x v="2"/>
    <s v="Біла Церква"/>
    <x v="7"/>
    <s v="Побутова хімія"/>
    <s v="Засоби для догляду за меблями"/>
    <x v="0"/>
    <x v="10"/>
    <x v="10"/>
    <n v="3301.2799999999997"/>
    <n v="3512"/>
  </r>
  <r>
    <x v="2"/>
    <s v="Бориспіль"/>
    <x v="3"/>
    <s v="Косметика"/>
    <s v="Мило"/>
    <x v="0"/>
    <x v="10"/>
    <x v="10"/>
    <n v="2760.9399999999996"/>
    <n v="3034"/>
  </r>
  <r>
    <x v="2"/>
    <s v="Ірпінь"/>
    <x v="10"/>
    <s v="Товари для дому"/>
    <s v="Одноразовий посуд"/>
    <x v="0"/>
    <x v="10"/>
    <x v="10"/>
    <n v="2491.9999999999995"/>
    <n v="2800"/>
  </r>
  <r>
    <x v="2"/>
    <s v="Київ"/>
    <x v="11"/>
    <s v="Косметика"/>
    <s v="Дезодорант"/>
    <x v="0"/>
    <x v="10"/>
    <x v="10"/>
    <n v="2467.0099999999998"/>
    <n v="2711"/>
  </r>
  <r>
    <x v="3"/>
    <s v="Одеса"/>
    <x v="4"/>
    <s v="Побутова хімія"/>
    <s v="Засіб для миття посуду"/>
    <x v="0"/>
    <x v="10"/>
    <x v="10"/>
    <n v="3770.9299999999994"/>
    <n v="4237"/>
  </r>
  <r>
    <x v="4"/>
    <s v="Харків"/>
    <x v="5"/>
    <s v="Побутова хімія"/>
    <s v="Засоби для догляду за меблями"/>
    <x v="0"/>
    <x v="10"/>
    <x v="10"/>
    <n v="3023.0199999999995"/>
    <n v="3322"/>
  </r>
  <r>
    <x v="3"/>
    <s v="Чорноморськ"/>
    <x v="8"/>
    <s v="Товари для дому"/>
    <s v="Зубочистки"/>
    <x v="0"/>
    <x v="10"/>
    <x v="10"/>
    <n v="2294.1900000000005"/>
    <n v="2637"/>
  </r>
  <r>
    <x v="4"/>
    <s v="Чугуїв"/>
    <x v="9"/>
    <s v="Косметика"/>
    <s v="Шампунь"/>
    <x v="0"/>
    <x v="10"/>
    <x v="10"/>
    <n v="5849.62"/>
    <n v="6223"/>
  </r>
  <r>
    <x v="2"/>
    <s v="Ірпінь"/>
    <x v="10"/>
    <s v="Побутова хімія"/>
    <s v="Засоби для догляду за меблями"/>
    <x v="0"/>
    <x v="10"/>
    <x v="10"/>
    <n v="2893.23"/>
    <n v="3111"/>
  </r>
  <r>
    <x v="2"/>
    <s v="Київ"/>
    <x v="11"/>
    <s v="Товари для дому"/>
    <s v="Зубочистки"/>
    <x v="0"/>
    <x v="10"/>
    <x v="10"/>
    <n v="2697.2"/>
    <n v="3065"/>
  </r>
  <r>
    <x v="0"/>
    <s v="Житомир"/>
    <x v="0"/>
    <s v="Товари для дому"/>
    <s v="Зубочистки"/>
    <x v="0"/>
    <x v="11"/>
    <x v="11"/>
    <n v="1996.65"/>
    <n v="2349"/>
  </r>
  <r>
    <x v="0"/>
    <s v="Бердичів"/>
    <x v="1"/>
    <s v="Товари для дому"/>
    <s v="Зубочистки"/>
    <x v="0"/>
    <x v="11"/>
    <x v="11"/>
    <n v="1465.4"/>
    <n v="1724"/>
  </r>
  <r>
    <x v="0"/>
    <s v="Бердичів"/>
    <x v="1"/>
    <s v="Косметика"/>
    <s v="Дезодорант"/>
    <x v="0"/>
    <x v="11"/>
    <x v="11"/>
    <n v="4351.26"/>
    <n v="4629"/>
  </r>
  <r>
    <x v="0"/>
    <s v="Житомир"/>
    <x v="0"/>
    <s v="Косметика"/>
    <s v="Дезодорант"/>
    <x v="0"/>
    <x v="11"/>
    <x v="11"/>
    <n v="3167.0999999999995"/>
    <n v="3519"/>
  </r>
  <r>
    <x v="0"/>
    <s v="Житомир"/>
    <x v="0"/>
    <s v="Побутова хімія"/>
    <s v="Засіб для миття посуду"/>
    <x v="0"/>
    <x v="11"/>
    <x v="11"/>
    <n v="3098.7599999999998"/>
    <n v="3332"/>
  </r>
  <r>
    <x v="1"/>
    <s v="Запоріжжя"/>
    <x v="2"/>
    <s v="Побутова хімія"/>
    <s v="Засіб для посудомийних машин"/>
    <x v="0"/>
    <x v="11"/>
    <x v="11"/>
    <n v="4528.7999999999993"/>
    <n v="5032"/>
  </r>
  <r>
    <x v="2"/>
    <s v="Бориспіль"/>
    <x v="3"/>
    <s v="Побутова хімія"/>
    <s v="Засоби для догляду за меблями"/>
    <x v="0"/>
    <x v="11"/>
    <x v="11"/>
    <n v="2798.9999999999995"/>
    <n v="3110"/>
  </r>
  <r>
    <x v="3"/>
    <s v="Одеса"/>
    <x v="4"/>
    <s v="Товари для дому"/>
    <s v="Серветки"/>
    <x v="0"/>
    <x v="11"/>
    <x v="11"/>
    <n v="2630.81"/>
    <n v="2891"/>
  </r>
  <r>
    <x v="4"/>
    <s v="Харків"/>
    <x v="5"/>
    <s v="Товари для дому"/>
    <s v="Зубочистки"/>
    <x v="0"/>
    <x v="11"/>
    <x v="11"/>
    <n v="2701.12"/>
    <n v="2936"/>
  </r>
  <r>
    <x v="0"/>
    <s v="Бердичів"/>
    <x v="1"/>
    <s v="Товари для дому"/>
    <s v="Одноразовий посуд"/>
    <x v="0"/>
    <x v="11"/>
    <x v="11"/>
    <n v="1685.1999999999998"/>
    <n v="1915"/>
  </r>
  <r>
    <x v="1"/>
    <s v="Бердянськ"/>
    <x v="6"/>
    <s v="Косметика"/>
    <s v="Шампунь"/>
    <x v="0"/>
    <x v="11"/>
    <x v="11"/>
    <n v="5066.5999999999995"/>
    <n v="5390"/>
  </r>
  <r>
    <x v="2"/>
    <s v="Біла Церква"/>
    <x v="7"/>
    <s v="Косметика"/>
    <s v="Дезодорант"/>
    <x v="0"/>
    <x v="11"/>
    <x v="11"/>
    <n v="3129.45"/>
    <n v="3365"/>
  </r>
  <r>
    <x v="3"/>
    <s v="Чорноморськ"/>
    <x v="8"/>
    <s v="Косметика"/>
    <s v="Мило"/>
    <x v="0"/>
    <x v="11"/>
    <x v="11"/>
    <n v="4110.4699999999993"/>
    <n v="4517"/>
  </r>
  <r>
    <x v="4"/>
    <s v="Чугуїв"/>
    <x v="9"/>
    <s v="Побутова хімія"/>
    <s v="Засіб для миття посуду"/>
    <x v="0"/>
    <x v="11"/>
    <x v="11"/>
    <n v="3113.2799999999997"/>
    <n v="3312"/>
  </r>
  <r>
    <x v="0"/>
    <s v="Житомир"/>
    <x v="0"/>
    <s v="Побутова хімія"/>
    <s v="Засіб для посудомийних машин"/>
    <x v="0"/>
    <x v="11"/>
    <x v="11"/>
    <n v="4590.8500000000004"/>
    <n v="5401"/>
  </r>
  <r>
    <x v="1"/>
    <s v="Запоріжжя"/>
    <x v="2"/>
    <s v="Побутова хімія"/>
    <s v="Засоби для догляду за меблями"/>
    <x v="0"/>
    <x v="11"/>
    <x v="11"/>
    <n v="3637.4299999999994"/>
    <n v="4087"/>
  </r>
  <r>
    <x v="2"/>
    <s v="Бориспіль"/>
    <x v="3"/>
    <s v="Товари для дому"/>
    <s v="Серветки"/>
    <x v="0"/>
    <x v="11"/>
    <x v="11"/>
    <n v="2220.2400000000002"/>
    <n v="2552"/>
  </r>
  <r>
    <x v="3"/>
    <s v="Одеса"/>
    <x v="4"/>
    <s v="Товари для дому"/>
    <s v="Зубочистки"/>
    <x v="0"/>
    <x v="11"/>
    <x v="11"/>
    <n v="2057.12"/>
    <n v="2236"/>
  </r>
  <r>
    <x v="4"/>
    <s v="Харків"/>
    <x v="5"/>
    <s v="Товари для дому"/>
    <s v="Одноразовий посуд"/>
    <x v="0"/>
    <x v="11"/>
    <x v="11"/>
    <n v="2416.14"/>
    <n v="2598"/>
  </r>
  <r>
    <x v="0"/>
    <s v="Бердичів"/>
    <x v="1"/>
    <s v="Косметика"/>
    <s v="Шампунь"/>
    <x v="0"/>
    <x v="11"/>
    <x v="11"/>
    <n v="3446.0200000000004"/>
    <n v="4007"/>
  </r>
  <r>
    <x v="1"/>
    <s v="Бердянськ"/>
    <x v="6"/>
    <s v="Косметика"/>
    <s v="Дезодорант"/>
    <x v="0"/>
    <x v="11"/>
    <x v="11"/>
    <n v="3197"/>
    <n v="3475"/>
  </r>
  <r>
    <x v="2"/>
    <s v="Біла Церква"/>
    <x v="7"/>
    <s v="Косметика"/>
    <s v="Мило"/>
    <x v="0"/>
    <x v="11"/>
    <x v="11"/>
    <n v="4067.3599999999997"/>
    <n v="4622"/>
  </r>
  <r>
    <x v="3"/>
    <s v="Чорноморськ"/>
    <x v="8"/>
    <s v="Побутова хімія"/>
    <s v="Засіб для миття посуду"/>
    <x v="0"/>
    <x v="11"/>
    <x v="11"/>
    <n v="3116.04"/>
    <n v="3387"/>
  </r>
  <r>
    <x v="4"/>
    <s v="Чугуїв"/>
    <x v="9"/>
    <s v="Побутова хімія"/>
    <s v="Засіб для посудомийних машин"/>
    <x v="0"/>
    <x v="11"/>
    <x v="11"/>
    <n v="3546.6"/>
    <n v="3855"/>
  </r>
  <r>
    <x v="0"/>
    <s v="Житомир"/>
    <x v="0"/>
    <s v="Побутова хімія"/>
    <s v="Засоби для догляду за меблями"/>
    <x v="0"/>
    <x v="11"/>
    <x v="11"/>
    <n v="2948.0800000000004"/>
    <n v="3428"/>
  </r>
  <r>
    <x v="1"/>
    <s v="Запоріжжя"/>
    <x v="2"/>
    <s v="Товари для дому"/>
    <s v="Серветки"/>
    <x v="0"/>
    <x v="11"/>
    <x v="11"/>
    <n v="2755.3999999999996"/>
    <n v="2995"/>
  </r>
  <r>
    <x v="2"/>
    <s v="Бориспіль"/>
    <x v="3"/>
    <s v="Товари для дому"/>
    <s v="Зубочистки"/>
    <x v="0"/>
    <x v="11"/>
    <x v="11"/>
    <n v="3115.12"/>
    <n v="3386"/>
  </r>
  <r>
    <x v="3"/>
    <s v="Одеса"/>
    <x v="4"/>
    <s v="Товари для дому"/>
    <s v="Одноразовий посуд"/>
    <x v="0"/>
    <x v="11"/>
    <x v="11"/>
    <n v="1090.32"/>
    <n v="1239"/>
  </r>
  <r>
    <x v="4"/>
    <s v="Харків"/>
    <x v="5"/>
    <s v="Косметика"/>
    <s v="Шампунь"/>
    <x v="0"/>
    <x v="11"/>
    <x v="11"/>
    <n v="5937.19"/>
    <n v="6671"/>
  </r>
  <r>
    <x v="1"/>
    <s v="Запоріжжя"/>
    <x v="2"/>
    <s v="Косметика"/>
    <s v="Мило"/>
    <x v="0"/>
    <x v="11"/>
    <x v="11"/>
    <n v="4019.4399999999996"/>
    <n v="4276"/>
  </r>
  <r>
    <x v="2"/>
    <s v="Біла Церква"/>
    <x v="7"/>
    <s v="Побутова хімія"/>
    <s v="Засіб для миття посуду"/>
    <x v="0"/>
    <x v="11"/>
    <x v="11"/>
    <n v="4298.7999999999993"/>
    <n v="4885"/>
  </r>
  <r>
    <x v="3"/>
    <s v="Чорноморськ"/>
    <x v="8"/>
    <s v="Побутова хімія"/>
    <s v="Засіб для посудомийних машин"/>
    <x v="0"/>
    <x v="11"/>
    <x v="11"/>
    <n v="3422.8"/>
    <n v="3980"/>
  </r>
  <r>
    <x v="4"/>
    <s v="Чугуїв"/>
    <x v="9"/>
    <s v="Побутова хімія"/>
    <s v="Засоби для догляду за меблями"/>
    <x v="0"/>
    <x v="11"/>
    <x v="11"/>
    <n v="2967.5099999999998"/>
    <n v="3261"/>
  </r>
  <r>
    <x v="0"/>
    <s v="Житомир"/>
    <x v="0"/>
    <s v="Товари для дому"/>
    <s v="Серветки"/>
    <x v="0"/>
    <x v="11"/>
    <x v="11"/>
    <n v="2399.4399999999996"/>
    <n v="2696"/>
  </r>
  <r>
    <x v="1"/>
    <s v="Бердянськ"/>
    <x v="6"/>
    <s v="Товари для дому"/>
    <s v="Зубочистки"/>
    <x v="0"/>
    <x v="11"/>
    <x v="11"/>
    <n v="2756.55"/>
    <n v="3243"/>
  </r>
  <r>
    <x v="2"/>
    <s v="Бориспіль"/>
    <x v="3"/>
    <s v="Товари для дому"/>
    <s v="Одноразовий посуд"/>
    <x v="0"/>
    <x v="11"/>
    <x v="11"/>
    <n v="1937.6999999999998"/>
    <n v="2153"/>
  </r>
  <r>
    <x v="3"/>
    <s v="Одеса"/>
    <x v="4"/>
    <s v="Косметика"/>
    <s v="Шампунь"/>
    <x v="0"/>
    <x v="11"/>
    <x v="11"/>
    <n v="4545.7500000000009"/>
    <n v="5225"/>
  </r>
  <r>
    <x v="4"/>
    <s v="Харків"/>
    <x v="5"/>
    <s v="Косметика"/>
    <s v="Дезодорант"/>
    <x v="0"/>
    <x v="11"/>
    <x v="11"/>
    <n v="4538.1099999999997"/>
    <n v="5099"/>
  </r>
  <r>
    <x v="0"/>
    <s v="Бердичів"/>
    <x v="1"/>
    <s v="Косметика"/>
    <s v="Мило"/>
    <x v="0"/>
    <x v="11"/>
    <x v="11"/>
    <n v="3337.2"/>
    <n v="3708"/>
  </r>
  <r>
    <x v="1"/>
    <s v="Запоріжжя"/>
    <x v="2"/>
    <s v="Побутова хімія"/>
    <s v="Засіб для миття посуду"/>
    <x v="0"/>
    <x v="11"/>
    <x v="11"/>
    <n v="3321.96"/>
    <n v="3534"/>
  </r>
  <r>
    <x v="2"/>
    <s v="Біла Церква"/>
    <x v="7"/>
    <s v="Побутова хімія"/>
    <s v="Засіб для посудомийних машин"/>
    <x v="0"/>
    <x v="11"/>
    <x v="11"/>
    <n v="3245.7"/>
    <n v="3490"/>
  </r>
  <r>
    <x v="3"/>
    <s v="Чорноморськ"/>
    <x v="8"/>
    <s v="Побутова хімія"/>
    <s v="Засоби для догляду за меблями"/>
    <x v="0"/>
    <x v="11"/>
    <x v="11"/>
    <n v="3614.5199999999995"/>
    <n v="3972"/>
  </r>
  <r>
    <x v="4"/>
    <s v="Чугуїв"/>
    <x v="9"/>
    <s v="Товари для дому"/>
    <s v="Серветки"/>
    <x v="0"/>
    <x v="11"/>
    <x v="11"/>
    <n v="2303.9400000000005"/>
    <n v="2679"/>
  </r>
  <r>
    <x v="1"/>
    <s v="Запоріжжя"/>
    <x v="2"/>
    <s v="Товари для дому"/>
    <s v="Одноразовий посуд"/>
    <x v="0"/>
    <x v="11"/>
    <x v="11"/>
    <n v="1616.5599999999997"/>
    <n v="1837"/>
  </r>
  <r>
    <x v="2"/>
    <s v="Бориспіль"/>
    <x v="3"/>
    <s v="Косметика"/>
    <s v="Шампунь"/>
    <x v="0"/>
    <x v="11"/>
    <x v="11"/>
    <n v="5376.2500000000009"/>
    <n v="6325"/>
  </r>
  <r>
    <x v="3"/>
    <s v="Чорноморськ"/>
    <x v="8"/>
    <s v="Косметика"/>
    <s v="Дезодорант"/>
    <x v="0"/>
    <x v="11"/>
    <x v="11"/>
    <n v="2973.5999999999995"/>
    <n v="3304"/>
  </r>
  <r>
    <x v="4"/>
    <s v="Харків"/>
    <x v="5"/>
    <s v="Косметика"/>
    <s v="Мило"/>
    <x v="0"/>
    <x v="11"/>
    <x v="11"/>
    <n v="4066.3800000000006"/>
    <n v="4674"/>
  </r>
  <r>
    <x v="0"/>
    <s v="Бердичів"/>
    <x v="1"/>
    <s v="Побутова хімія"/>
    <s v="Засіб для миття посуду"/>
    <x v="0"/>
    <x v="11"/>
    <x v="11"/>
    <n v="4469.0099999999993"/>
    <n v="4911"/>
  </r>
  <r>
    <x v="0"/>
    <s v="Бердичів"/>
    <x v="1"/>
    <s v="Побутова хімія"/>
    <s v="Засіб для посудомийних машин"/>
    <x v="0"/>
    <x v="11"/>
    <x v="11"/>
    <n v="4465.37"/>
    <n v="4907"/>
  </r>
  <r>
    <x v="1"/>
    <s v="Бердянськ"/>
    <x v="6"/>
    <s v="Побутова хімія"/>
    <s v="Засоби для догляду за меблями"/>
    <x v="0"/>
    <x v="11"/>
    <x v="11"/>
    <n v="3119.22"/>
    <n v="3354"/>
  </r>
  <r>
    <x v="1"/>
    <s v="Бердянськ"/>
    <x v="6"/>
    <s v="Товари для дому"/>
    <s v="Серветки"/>
    <x v="0"/>
    <x v="11"/>
    <x v="11"/>
    <n v="1492.9600000000003"/>
    <n v="1736"/>
  </r>
  <r>
    <x v="2"/>
    <s v="Біла Церква"/>
    <x v="7"/>
    <s v="Товари для дому"/>
    <s v="Зубочистки"/>
    <x v="0"/>
    <x v="11"/>
    <x v="11"/>
    <n v="2470.64"/>
    <n v="2776"/>
  </r>
  <r>
    <x v="2"/>
    <s v="Біла Церква"/>
    <x v="7"/>
    <s v="Товари для дому"/>
    <s v="Одноразовий посуд"/>
    <x v="0"/>
    <x v="11"/>
    <x v="11"/>
    <n v="1425.9300000000003"/>
    <n v="1639"/>
  </r>
  <r>
    <x v="2"/>
    <s v="Бориспіль"/>
    <x v="3"/>
    <s v="Косметика"/>
    <s v="Дезодорант"/>
    <x v="0"/>
    <x v="11"/>
    <x v="11"/>
    <n v="4037.6700000000005"/>
    <n v="4641"/>
  </r>
  <r>
    <x v="0"/>
    <s v="Житомир"/>
    <x v="0"/>
    <s v="Косметика"/>
    <s v="Мило"/>
    <x v="0"/>
    <x v="11"/>
    <x v="11"/>
    <n v="1920.9599999999998"/>
    <n v="2088"/>
  </r>
  <r>
    <x v="2"/>
    <s v="Ірпінь"/>
    <x v="10"/>
    <s v="Товари для дому"/>
    <s v="Серветки"/>
    <x v="0"/>
    <x v="11"/>
    <x v="11"/>
    <n v="1902.6"/>
    <n v="2114"/>
  </r>
  <r>
    <x v="2"/>
    <s v="Ірпінь"/>
    <x v="10"/>
    <s v="Товари для дому"/>
    <s v="Зубочистки"/>
    <x v="0"/>
    <x v="11"/>
    <x v="11"/>
    <n v="1543.2599999999998"/>
    <n v="1734"/>
  </r>
  <r>
    <x v="2"/>
    <s v="Київ"/>
    <x v="11"/>
    <s v="Товари для дому"/>
    <s v="Одноразовий посуд"/>
    <x v="0"/>
    <x v="11"/>
    <x v="11"/>
    <n v="2400.2799999999997"/>
    <n v="2609"/>
  </r>
  <r>
    <x v="2"/>
    <s v="Київ"/>
    <x v="11"/>
    <s v="Косметика"/>
    <s v="Шампунь"/>
    <x v="0"/>
    <x v="11"/>
    <x v="11"/>
    <n v="5016.42"/>
    <n v="5394"/>
  </r>
  <r>
    <x v="3"/>
    <s v="Одеса"/>
    <x v="4"/>
    <s v="Косметика"/>
    <s v="Дезодорант"/>
    <x v="0"/>
    <x v="11"/>
    <x v="11"/>
    <n v="4083.7800000000007"/>
    <n v="4694"/>
  </r>
  <r>
    <x v="3"/>
    <s v="Одеса"/>
    <x v="4"/>
    <s v="Косметика"/>
    <s v="Мило"/>
    <x v="0"/>
    <x v="11"/>
    <x v="11"/>
    <n v="4251.53"/>
    <n v="4777"/>
  </r>
  <r>
    <x v="4"/>
    <s v="Харків"/>
    <x v="5"/>
    <s v="Побутова хімія"/>
    <s v="Засіб для миття посуду"/>
    <x v="0"/>
    <x v="11"/>
    <x v="11"/>
    <n v="4099.9199999999992"/>
    <n v="4659"/>
  </r>
  <r>
    <x v="4"/>
    <s v="Харків"/>
    <x v="5"/>
    <s v="Побутова хімія"/>
    <s v="Засіб для посудомийних машин"/>
    <x v="0"/>
    <x v="11"/>
    <x v="11"/>
    <n v="2284.8000000000002"/>
    <n v="2688"/>
  </r>
  <r>
    <x v="3"/>
    <s v="Чорноморськ"/>
    <x v="8"/>
    <s v="Товари для дому"/>
    <s v="Серветки"/>
    <x v="0"/>
    <x v="11"/>
    <x v="11"/>
    <n v="1812.57"/>
    <n v="1949"/>
  </r>
  <r>
    <x v="4"/>
    <s v="Чугуїв"/>
    <x v="9"/>
    <s v="Товари для дому"/>
    <s v="Зубочистки"/>
    <x v="0"/>
    <x v="11"/>
    <x v="11"/>
    <n v="2265.48"/>
    <n v="2436"/>
  </r>
  <r>
    <x v="4"/>
    <s v="Чугуїв"/>
    <x v="9"/>
    <s v="Товари для дому"/>
    <s v="Одноразовий посуд"/>
    <x v="0"/>
    <x v="11"/>
    <x v="11"/>
    <n v="1428.0000000000002"/>
    <n v="1680"/>
  </r>
  <r>
    <x v="2"/>
    <s v="Біла Церква"/>
    <x v="7"/>
    <s v="Косметика"/>
    <s v="Шампунь"/>
    <x v="0"/>
    <x v="11"/>
    <x v="11"/>
    <n v="5902.4000000000005"/>
    <n v="6944"/>
  </r>
  <r>
    <x v="1"/>
    <s v="Бердянськ"/>
    <x v="6"/>
    <s v="Побутова хімія"/>
    <s v="Засіб для посудомийних машин"/>
    <x v="0"/>
    <x v="11"/>
    <x v="11"/>
    <n v="4122.5"/>
    <n v="4850"/>
  </r>
  <r>
    <x v="0"/>
    <s v="Житомир"/>
    <x v="0"/>
    <s v="Товари для дому"/>
    <s v="Одноразовий посуд"/>
    <x v="0"/>
    <x v="11"/>
    <x v="11"/>
    <n v="1212.56"/>
    <n v="1318"/>
  </r>
  <r>
    <x v="0"/>
    <s v="Житомир"/>
    <x v="0"/>
    <s v="Косметика"/>
    <s v="Шампунь"/>
    <x v="0"/>
    <x v="11"/>
    <x v="11"/>
    <n v="5577.7000000000007"/>
    <n v="6562"/>
  </r>
  <r>
    <x v="1"/>
    <s v="Запоріжжя"/>
    <x v="2"/>
    <s v="Косметика"/>
    <s v="Дезодорант"/>
    <x v="0"/>
    <x v="11"/>
    <x v="11"/>
    <n v="2425.5600000000004"/>
    <n v="2788"/>
  </r>
  <r>
    <x v="2"/>
    <s v="Ірпінь"/>
    <x v="10"/>
    <s v="Побутова хімія"/>
    <s v="Засіб для миття посуду"/>
    <x v="0"/>
    <x v="11"/>
    <x v="11"/>
    <n v="4077.0399999999995"/>
    <n v="4633"/>
  </r>
  <r>
    <x v="2"/>
    <s v="Ірпінь"/>
    <x v="10"/>
    <s v="Побутова хімія"/>
    <s v="Засіб для посудомийних машин"/>
    <x v="0"/>
    <x v="11"/>
    <x v="11"/>
    <n v="5207.5999999999995"/>
    <n v="5540"/>
  </r>
  <r>
    <x v="2"/>
    <s v="Київ"/>
    <x v="11"/>
    <s v="Побутова хімія"/>
    <s v="Засоби для догляду за меблями"/>
    <x v="0"/>
    <x v="11"/>
    <x v="11"/>
    <n v="3356.5800000000004"/>
    <n v="3903"/>
  </r>
  <r>
    <x v="2"/>
    <s v="Київ"/>
    <x v="11"/>
    <s v="Товари для дому"/>
    <s v="Серветки"/>
    <x v="0"/>
    <x v="11"/>
    <x v="11"/>
    <n v="2370.0699999999997"/>
    <n v="2663"/>
  </r>
  <r>
    <x v="2"/>
    <s v="Біла Церква"/>
    <x v="7"/>
    <s v="Товари для дому"/>
    <s v="Серветки"/>
    <x v="0"/>
    <x v="11"/>
    <x v="11"/>
    <n v="2067.39"/>
    <n v="2223"/>
  </r>
  <r>
    <x v="1"/>
    <s v="Бердянськ"/>
    <x v="6"/>
    <s v="Косметика"/>
    <s v="Мило"/>
    <x v="0"/>
    <x v="11"/>
    <x v="11"/>
    <n v="3649.05"/>
    <n v="4293"/>
  </r>
  <r>
    <x v="2"/>
    <s v="Бориспіль"/>
    <x v="3"/>
    <s v="Побутова хімія"/>
    <s v="Засіб для миття посуду"/>
    <x v="0"/>
    <x v="11"/>
    <x v="11"/>
    <n v="3036.8799999999997"/>
    <n v="3451"/>
  </r>
  <r>
    <x v="2"/>
    <s v="Бориспіль"/>
    <x v="3"/>
    <s v="Побутова хімія"/>
    <s v="Засіб для посудомийних машин"/>
    <x v="0"/>
    <x v="11"/>
    <x v="11"/>
    <n v="2703.8799999999997"/>
    <n v="2939"/>
  </r>
  <r>
    <x v="1"/>
    <s v="Запоріжжя"/>
    <x v="2"/>
    <s v="Товари для дому"/>
    <s v="Зубочистки"/>
    <x v="0"/>
    <x v="11"/>
    <x v="11"/>
    <n v="1648.65"/>
    <n v="1895"/>
  </r>
  <r>
    <x v="2"/>
    <s v="Ірпінь"/>
    <x v="10"/>
    <s v="Косметика"/>
    <s v="Шампунь"/>
    <x v="0"/>
    <x v="11"/>
    <x v="11"/>
    <n v="4781.7"/>
    <n v="5313"/>
  </r>
  <r>
    <x v="2"/>
    <s v="Ірпінь"/>
    <x v="10"/>
    <s v="Косметика"/>
    <s v="Дезодорант"/>
    <x v="0"/>
    <x v="11"/>
    <x v="11"/>
    <n v="2985.2999999999997"/>
    <n v="3317"/>
  </r>
  <r>
    <x v="2"/>
    <s v="Київ"/>
    <x v="11"/>
    <s v="Косметика"/>
    <s v="Мило"/>
    <x v="0"/>
    <x v="11"/>
    <x v="11"/>
    <n v="3650.25"/>
    <n v="3925"/>
  </r>
  <r>
    <x v="2"/>
    <s v="Київ"/>
    <x v="11"/>
    <s v="Побутова хімія"/>
    <s v="Засіб для миття посуду"/>
    <x v="0"/>
    <x v="11"/>
    <x v="11"/>
    <n v="4217.28"/>
    <n v="4584"/>
  </r>
  <r>
    <x v="3"/>
    <s v="Одеса"/>
    <x v="4"/>
    <s v="Побутова хімія"/>
    <s v="Засіб для посудомийних машин"/>
    <x v="0"/>
    <x v="11"/>
    <x v="11"/>
    <n v="3427.1000000000004"/>
    <n v="3985"/>
  </r>
  <r>
    <x v="3"/>
    <s v="Одеса"/>
    <x v="4"/>
    <s v="Побутова хімія"/>
    <s v="Засоби для догляду за меблями"/>
    <x v="0"/>
    <x v="11"/>
    <x v="11"/>
    <n v="2834.64"/>
    <n v="3048"/>
  </r>
  <r>
    <x v="4"/>
    <s v="Харків"/>
    <x v="5"/>
    <s v="Товари для дому"/>
    <s v="Серветки"/>
    <x v="0"/>
    <x v="11"/>
    <x v="11"/>
    <n v="1983.6899999999998"/>
    <n v="2133"/>
  </r>
  <r>
    <x v="3"/>
    <s v="Чорноморськ"/>
    <x v="8"/>
    <s v="Товари для дому"/>
    <s v="Одноразовий посуд"/>
    <x v="0"/>
    <x v="11"/>
    <x v="11"/>
    <n v="1798.6899999999998"/>
    <n v="2021"/>
  </r>
  <r>
    <x v="3"/>
    <s v="Чорноморськ"/>
    <x v="8"/>
    <s v="Косметика"/>
    <s v="Шампунь"/>
    <x v="0"/>
    <x v="11"/>
    <x v="11"/>
    <n v="5791.4999999999991"/>
    <n v="6435"/>
  </r>
  <r>
    <x v="4"/>
    <s v="Чугуїв"/>
    <x v="9"/>
    <s v="Косметика"/>
    <s v="Дезодорант"/>
    <x v="0"/>
    <x v="11"/>
    <x v="11"/>
    <n v="5013.6299999999992"/>
    <n v="5391"/>
  </r>
  <r>
    <x v="4"/>
    <s v="Чугуїв"/>
    <x v="9"/>
    <s v="Косметика"/>
    <s v="Мило"/>
    <x v="0"/>
    <x v="11"/>
    <x v="11"/>
    <n v="4634.2"/>
    <n v="4930"/>
  </r>
  <r>
    <x v="0"/>
    <s v="Бердичів"/>
    <x v="1"/>
    <s v="Побутова хімія"/>
    <s v="Засоби для догляду за меблями"/>
    <x v="0"/>
    <x v="11"/>
    <x v="11"/>
    <n v="3550.4700000000003"/>
    <n v="4081"/>
  </r>
  <r>
    <x v="0"/>
    <s v="Бердичів"/>
    <x v="1"/>
    <s v="Товари для дому"/>
    <s v="Серветки"/>
    <x v="0"/>
    <x v="11"/>
    <x v="11"/>
    <n v="1360.0000000000002"/>
    <n v="1600"/>
  </r>
  <r>
    <x v="1"/>
    <s v="Бердянськ"/>
    <x v="6"/>
    <s v="Товари для дому"/>
    <s v="Одноразовий посуд"/>
    <x v="0"/>
    <x v="11"/>
    <x v="11"/>
    <n v="1478.3400000000001"/>
    <n v="1719"/>
  </r>
  <r>
    <x v="2"/>
    <s v="Ірпінь"/>
    <x v="10"/>
    <s v="Косметика"/>
    <s v="Мило"/>
    <x v="0"/>
    <x v="11"/>
    <x v="11"/>
    <n v="4016.7900000000004"/>
    <n v="4617"/>
  </r>
  <r>
    <x v="2"/>
    <s v="Київ"/>
    <x v="11"/>
    <s v="Побутова хімія"/>
    <s v="Засіб для посудомийних машин"/>
    <x v="0"/>
    <x v="11"/>
    <x v="11"/>
    <n v="3683.8599999999997"/>
    <n v="3919"/>
  </r>
  <r>
    <x v="2"/>
    <s v="Біла Церква"/>
    <x v="7"/>
    <s v="Побутова хімія"/>
    <s v="Засоби для догляду за меблями"/>
    <x v="0"/>
    <x v="11"/>
    <x v="11"/>
    <n v="2818.8"/>
    <n v="3240"/>
  </r>
  <r>
    <x v="2"/>
    <s v="Бориспіль"/>
    <x v="3"/>
    <s v="Косметика"/>
    <s v="Мило"/>
    <x v="0"/>
    <x v="11"/>
    <x v="11"/>
    <n v="3329.48"/>
    <n v="3542"/>
  </r>
  <r>
    <x v="2"/>
    <s v="Ірпінь"/>
    <x v="10"/>
    <s v="Товари для дому"/>
    <s v="Одноразовий посуд"/>
    <x v="0"/>
    <x v="11"/>
    <x v="11"/>
    <n v="2308.66"/>
    <n v="2594"/>
  </r>
  <r>
    <x v="2"/>
    <s v="Київ"/>
    <x v="11"/>
    <s v="Косметика"/>
    <s v="Дезодорант"/>
    <x v="0"/>
    <x v="11"/>
    <x v="11"/>
    <n v="2453.3999999999996"/>
    <n v="2610"/>
  </r>
  <r>
    <x v="3"/>
    <s v="Одеса"/>
    <x v="4"/>
    <s v="Побутова хімія"/>
    <s v="Засіб для миття посуду"/>
    <x v="0"/>
    <x v="11"/>
    <x v="11"/>
    <n v="3063.6"/>
    <n v="3330"/>
  </r>
  <r>
    <x v="4"/>
    <s v="Харків"/>
    <x v="5"/>
    <s v="Побутова хімія"/>
    <s v="Засоби для догляду за меблями"/>
    <x v="0"/>
    <x v="11"/>
    <x v="11"/>
    <n v="3383.3799999999997"/>
    <n v="3718"/>
  </r>
  <r>
    <x v="3"/>
    <s v="Чорноморськ"/>
    <x v="8"/>
    <s v="Товари для дому"/>
    <s v="Зубочистки"/>
    <x v="0"/>
    <x v="11"/>
    <x v="11"/>
    <n v="2200.2300000000005"/>
    <n v="2529"/>
  </r>
  <r>
    <x v="4"/>
    <s v="Чугуїв"/>
    <x v="9"/>
    <s v="Косметика"/>
    <s v="Шампунь"/>
    <x v="0"/>
    <x v="11"/>
    <x v="11"/>
    <n v="4445.34"/>
    <n v="5169"/>
  </r>
  <r>
    <x v="2"/>
    <s v="Ірпінь"/>
    <x v="10"/>
    <s v="Побутова хімія"/>
    <s v="Засоби для догляду за меблями"/>
    <x v="0"/>
    <x v="11"/>
    <x v="11"/>
    <n v="3591.1499999999996"/>
    <n v="4035"/>
  </r>
  <r>
    <x v="2"/>
    <s v="Київ"/>
    <x v="11"/>
    <s v="Товари для дому"/>
    <s v="Зубочистки"/>
    <x v="0"/>
    <x v="11"/>
    <x v="11"/>
    <n v="2986.8399999999997"/>
    <n v="3356"/>
  </r>
  <r>
    <x v="0"/>
    <s v="Житомир"/>
    <x v="0"/>
    <s v="Товари для дому"/>
    <s v="Зубочистки"/>
    <x v="1"/>
    <x v="0"/>
    <x v="12"/>
    <n v="2176.1"/>
    <n v="2315"/>
  </r>
  <r>
    <x v="0"/>
    <s v="Бердичів"/>
    <x v="1"/>
    <s v="Товари для дому"/>
    <s v="Зубочистки"/>
    <x v="1"/>
    <x v="0"/>
    <x v="12"/>
    <n v="1709.5500000000002"/>
    <n v="1965"/>
  </r>
  <r>
    <x v="0"/>
    <s v="Бердичів"/>
    <x v="1"/>
    <s v="Косметика"/>
    <s v="Дезодорант"/>
    <x v="1"/>
    <x v="0"/>
    <x v="12"/>
    <n v="2469.0600000000004"/>
    <n v="2838"/>
  </r>
  <r>
    <x v="0"/>
    <s v="Житомир"/>
    <x v="0"/>
    <s v="Косметика"/>
    <s v="Дезодорант"/>
    <x v="1"/>
    <x v="0"/>
    <x v="12"/>
    <n v="4323.41"/>
    <n v="4751"/>
  </r>
  <r>
    <x v="0"/>
    <s v="Житомир"/>
    <x v="0"/>
    <s v="Побутова хімія"/>
    <s v="Засіб для миття посуду"/>
    <x v="1"/>
    <x v="0"/>
    <x v="12"/>
    <n v="3504.3199999999997"/>
    <n v="3728"/>
  </r>
  <r>
    <x v="1"/>
    <s v="Запоріжжя"/>
    <x v="2"/>
    <s v="Побутова хімія"/>
    <s v="Засіб для посудомийних машин"/>
    <x v="1"/>
    <x v="0"/>
    <x v="12"/>
    <n v="3560.9100000000003"/>
    <n v="4093"/>
  </r>
  <r>
    <x v="2"/>
    <s v="Бориспіль"/>
    <x v="3"/>
    <s v="Побутова хімія"/>
    <s v="Засоби для догляду за меблями"/>
    <x v="1"/>
    <x v="0"/>
    <x v="12"/>
    <n v="2851.0299999999997"/>
    <n v="3133"/>
  </r>
  <r>
    <x v="3"/>
    <s v="Одеса"/>
    <x v="4"/>
    <s v="Товари для дому"/>
    <s v="Серветки"/>
    <x v="1"/>
    <x v="0"/>
    <x v="12"/>
    <n v="2232.42"/>
    <n v="2566"/>
  </r>
  <r>
    <x v="4"/>
    <s v="Харків"/>
    <x v="5"/>
    <s v="Товари для дому"/>
    <s v="Зубочистки"/>
    <x v="1"/>
    <x v="0"/>
    <x v="12"/>
    <n v="3073.72"/>
    <n v="3341"/>
  </r>
  <r>
    <x v="0"/>
    <s v="Бердичів"/>
    <x v="1"/>
    <s v="Товари для дому"/>
    <s v="Одноразовий посуд"/>
    <x v="1"/>
    <x v="0"/>
    <x v="12"/>
    <n v="2209.34"/>
    <n v="2569"/>
  </r>
  <r>
    <x v="1"/>
    <s v="Бердянськ"/>
    <x v="6"/>
    <s v="Косметика"/>
    <s v="Шампунь"/>
    <x v="1"/>
    <x v="0"/>
    <x v="12"/>
    <n v="5642.0999999999995"/>
    <n v="6269"/>
  </r>
  <r>
    <x v="2"/>
    <s v="Біла Церква"/>
    <x v="7"/>
    <s v="Косметика"/>
    <s v="Дезодорант"/>
    <x v="1"/>
    <x v="0"/>
    <x v="12"/>
    <n v="4590.4799999999996"/>
    <n v="4936"/>
  </r>
  <r>
    <x v="3"/>
    <s v="Чорноморськ"/>
    <x v="8"/>
    <s v="Косметика"/>
    <s v="Мило"/>
    <x v="1"/>
    <x v="0"/>
    <x v="12"/>
    <n v="1966.0500000000002"/>
    <n v="2313"/>
  </r>
  <r>
    <x v="4"/>
    <s v="Чугуїв"/>
    <x v="9"/>
    <s v="Побутова хімія"/>
    <s v="Засіб для миття посуду"/>
    <x v="1"/>
    <x v="0"/>
    <x v="12"/>
    <n v="4599.1399999999994"/>
    <n v="5054"/>
  </r>
  <r>
    <x v="0"/>
    <s v="Житомир"/>
    <x v="0"/>
    <s v="Побутова хімія"/>
    <s v="Засіб для посудомийних машин"/>
    <x v="1"/>
    <x v="0"/>
    <x v="12"/>
    <n v="3771.9600000000005"/>
    <n v="4386"/>
  </r>
  <r>
    <x v="1"/>
    <s v="Запоріжжя"/>
    <x v="2"/>
    <s v="Побутова хімія"/>
    <s v="Засоби для догляду за меблями"/>
    <x v="1"/>
    <x v="0"/>
    <x v="12"/>
    <n v="3348.1799999999994"/>
    <n v="3762"/>
  </r>
  <r>
    <x v="2"/>
    <s v="Бориспіль"/>
    <x v="3"/>
    <s v="Товари для дому"/>
    <s v="Серветки"/>
    <x v="1"/>
    <x v="0"/>
    <x v="12"/>
    <n v="1819.7600000000002"/>
    <n v="2116"/>
  </r>
  <r>
    <x v="3"/>
    <s v="Одеса"/>
    <x v="4"/>
    <s v="Товари для дому"/>
    <s v="Зубочистки"/>
    <x v="1"/>
    <x v="0"/>
    <x v="12"/>
    <n v="2574.3300000000004"/>
    <n v="2959"/>
  </r>
  <r>
    <x v="4"/>
    <s v="Харків"/>
    <x v="5"/>
    <s v="Товари для дому"/>
    <s v="Одноразовий посуд"/>
    <x v="1"/>
    <x v="0"/>
    <x v="12"/>
    <n v="2217.6"/>
    <n v="2464"/>
  </r>
  <r>
    <x v="0"/>
    <s v="Бердичів"/>
    <x v="1"/>
    <s v="Косметика"/>
    <s v="Шампунь"/>
    <x v="1"/>
    <x v="0"/>
    <x v="12"/>
    <n v="5126.24"/>
    <n v="5572"/>
  </r>
  <r>
    <x v="1"/>
    <s v="Бердянськ"/>
    <x v="6"/>
    <s v="Косметика"/>
    <s v="Дезодорант"/>
    <x v="1"/>
    <x v="0"/>
    <x v="12"/>
    <n v="4700.7"/>
    <n v="5223"/>
  </r>
  <r>
    <x v="2"/>
    <s v="Біла Церква"/>
    <x v="7"/>
    <s v="Косметика"/>
    <s v="Мило"/>
    <x v="1"/>
    <x v="0"/>
    <x v="12"/>
    <n v="3019.2000000000003"/>
    <n v="3552"/>
  </r>
  <r>
    <x v="3"/>
    <s v="Чорноморськ"/>
    <x v="8"/>
    <s v="Побутова хімія"/>
    <s v="Засіб для миття посуду"/>
    <x v="1"/>
    <x v="0"/>
    <x v="12"/>
    <n v="2948.0800000000004"/>
    <n v="3428"/>
  </r>
  <r>
    <x v="4"/>
    <s v="Чугуїв"/>
    <x v="9"/>
    <s v="Побутова хімія"/>
    <s v="Засіб для посудомийних машин"/>
    <x v="1"/>
    <x v="0"/>
    <x v="12"/>
    <n v="3043.7999999999997"/>
    <n v="3420"/>
  </r>
  <r>
    <x v="0"/>
    <s v="Житомир"/>
    <x v="0"/>
    <s v="Побутова хімія"/>
    <s v="Засоби для догляду за меблями"/>
    <x v="1"/>
    <x v="0"/>
    <x v="12"/>
    <n v="3709.16"/>
    <n v="4076"/>
  </r>
  <r>
    <x v="1"/>
    <s v="Запоріжжя"/>
    <x v="2"/>
    <s v="Товари для дому"/>
    <s v="Серветки"/>
    <x v="1"/>
    <x v="0"/>
    <x v="12"/>
    <n v="1765.3999999999999"/>
    <n v="1940"/>
  </r>
  <r>
    <x v="2"/>
    <s v="Бориспіль"/>
    <x v="3"/>
    <s v="Товари для дому"/>
    <s v="Зубочистки"/>
    <x v="1"/>
    <x v="0"/>
    <x v="12"/>
    <n v="2556.0600000000004"/>
    <n v="2938"/>
  </r>
  <r>
    <x v="3"/>
    <s v="Одеса"/>
    <x v="4"/>
    <s v="Товари для дому"/>
    <s v="Одноразовий посуд"/>
    <x v="1"/>
    <x v="0"/>
    <x v="12"/>
    <n v="2190.4500000000003"/>
    <n v="2577"/>
  </r>
  <r>
    <x v="4"/>
    <s v="Харків"/>
    <x v="5"/>
    <s v="Косметика"/>
    <s v="Шампунь"/>
    <x v="1"/>
    <x v="0"/>
    <x v="12"/>
    <n v="6010.36"/>
    <n v="6394"/>
  </r>
  <r>
    <x v="1"/>
    <s v="Запоріжжя"/>
    <x v="2"/>
    <s v="Косметика"/>
    <s v="Мило"/>
    <x v="1"/>
    <x v="0"/>
    <x v="12"/>
    <n v="4208.38"/>
    <n v="4477"/>
  </r>
  <r>
    <x v="2"/>
    <s v="Біла Церква"/>
    <x v="7"/>
    <s v="Побутова хімія"/>
    <s v="Засіб для миття посуду"/>
    <x v="1"/>
    <x v="0"/>
    <x v="12"/>
    <n v="4443.5999999999995"/>
    <n v="4830"/>
  </r>
  <r>
    <x v="3"/>
    <s v="Чорноморськ"/>
    <x v="8"/>
    <s v="Побутова хімія"/>
    <s v="Засіб для посудомийних машин"/>
    <x v="1"/>
    <x v="0"/>
    <x v="12"/>
    <n v="2702.15"/>
    <n v="3179"/>
  </r>
  <r>
    <x v="4"/>
    <s v="Чугуїв"/>
    <x v="9"/>
    <s v="Побутова хімія"/>
    <s v="Засоби для догляду за меблями"/>
    <x v="1"/>
    <x v="0"/>
    <x v="12"/>
    <n v="2784.6"/>
    <n v="3094"/>
  </r>
  <r>
    <x v="0"/>
    <s v="Житомир"/>
    <x v="0"/>
    <s v="Товари для дому"/>
    <s v="Серветки"/>
    <x v="1"/>
    <x v="0"/>
    <x v="12"/>
    <n v="1486.1399999999999"/>
    <n v="1581"/>
  </r>
  <r>
    <x v="1"/>
    <s v="Бердянськ"/>
    <x v="6"/>
    <s v="Товари для дому"/>
    <s v="Зубочистки"/>
    <x v="1"/>
    <x v="0"/>
    <x v="12"/>
    <n v="1958.3700000000003"/>
    <n v="2251"/>
  </r>
  <r>
    <x v="2"/>
    <s v="Бориспіль"/>
    <x v="3"/>
    <s v="Товари для дому"/>
    <s v="Одноразовий посуд"/>
    <x v="1"/>
    <x v="0"/>
    <x v="12"/>
    <n v="2313.7999999999997"/>
    <n v="2515"/>
  </r>
  <r>
    <x v="3"/>
    <s v="Одеса"/>
    <x v="4"/>
    <s v="Косметика"/>
    <s v="Шампунь"/>
    <x v="1"/>
    <x v="0"/>
    <x v="12"/>
    <n v="4625.0999999999995"/>
    <n v="5139"/>
  </r>
  <r>
    <x v="4"/>
    <s v="Харків"/>
    <x v="5"/>
    <s v="Косметика"/>
    <s v="Дезодорант"/>
    <x v="1"/>
    <x v="0"/>
    <x v="12"/>
    <n v="4625.82"/>
    <n v="4974"/>
  </r>
  <r>
    <x v="0"/>
    <s v="Бердичів"/>
    <x v="1"/>
    <s v="Косметика"/>
    <s v="Мило"/>
    <x v="1"/>
    <x v="0"/>
    <x v="12"/>
    <n v="3198.27"/>
    <n v="3439"/>
  </r>
  <r>
    <x v="1"/>
    <s v="Запоріжжя"/>
    <x v="2"/>
    <s v="Побутова хімія"/>
    <s v="Засіб для миття посуду"/>
    <x v="1"/>
    <x v="0"/>
    <x v="12"/>
    <n v="3027.5699999999997"/>
    <n v="3327"/>
  </r>
  <r>
    <x v="2"/>
    <s v="Біла Церква"/>
    <x v="7"/>
    <s v="Побутова хімія"/>
    <s v="Засіб для посудомийних машин"/>
    <x v="1"/>
    <x v="0"/>
    <x v="12"/>
    <n v="4551.1200000000008"/>
    <n v="5292"/>
  </r>
  <r>
    <x v="3"/>
    <s v="Чорноморськ"/>
    <x v="8"/>
    <s v="Побутова хімія"/>
    <s v="Засоби для догляду за меблями"/>
    <x v="1"/>
    <x v="0"/>
    <x v="12"/>
    <n v="2692.8399999999997"/>
    <n v="2927"/>
  </r>
  <r>
    <x v="4"/>
    <s v="Чугуїв"/>
    <x v="9"/>
    <s v="Товари для дому"/>
    <s v="Серветки"/>
    <x v="1"/>
    <x v="0"/>
    <x v="12"/>
    <n v="2568.2400000000002"/>
    <n v="2952"/>
  </r>
  <r>
    <x v="1"/>
    <s v="Запоріжжя"/>
    <x v="2"/>
    <s v="Товари для дому"/>
    <s v="Одноразовий посуд"/>
    <x v="1"/>
    <x v="0"/>
    <x v="12"/>
    <n v="1883.6999999999998"/>
    <n v="2070"/>
  </r>
  <r>
    <x v="2"/>
    <s v="Бориспіль"/>
    <x v="3"/>
    <s v="Косметика"/>
    <s v="Шампунь"/>
    <x v="1"/>
    <x v="0"/>
    <x v="12"/>
    <n v="3790.5900000000006"/>
    <n v="4357"/>
  </r>
  <r>
    <x v="3"/>
    <s v="Чорноморськ"/>
    <x v="8"/>
    <s v="Косметика"/>
    <s v="Дезодорант"/>
    <x v="1"/>
    <x v="0"/>
    <x v="12"/>
    <n v="3117.66"/>
    <n v="3426"/>
  </r>
  <r>
    <x v="4"/>
    <s v="Харків"/>
    <x v="5"/>
    <s v="Косметика"/>
    <s v="Мило"/>
    <x v="1"/>
    <x v="0"/>
    <x v="12"/>
    <n v="4099.3399999999992"/>
    <n v="4606"/>
  </r>
  <r>
    <x v="0"/>
    <s v="Бердичів"/>
    <x v="1"/>
    <s v="Побутова хімія"/>
    <s v="Засіб для миття посуду"/>
    <x v="1"/>
    <x v="0"/>
    <x v="12"/>
    <n v="3941.8099999999995"/>
    <n v="4429"/>
  </r>
  <r>
    <x v="0"/>
    <s v="Бердичів"/>
    <x v="1"/>
    <s v="Побутова хімія"/>
    <s v="Засіб для посудомийних машин"/>
    <x v="1"/>
    <x v="0"/>
    <x v="12"/>
    <n v="4407.2699999999995"/>
    <n v="4739"/>
  </r>
  <r>
    <x v="1"/>
    <s v="Бердянськ"/>
    <x v="6"/>
    <s v="Побутова хімія"/>
    <s v="Засоби для догляду за меблями"/>
    <x v="1"/>
    <x v="0"/>
    <x v="12"/>
    <n v="2619.5600000000004"/>
    <n v="3046"/>
  </r>
  <r>
    <x v="1"/>
    <s v="Бердянськ"/>
    <x v="6"/>
    <s v="Товари для дому"/>
    <s v="Серветки"/>
    <x v="1"/>
    <x v="0"/>
    <x v="12"/>
    <n v="2492.89"/>
    <n v="2801"/>
  </r>
  <r>
    <x v="2"/>
    <s v="Біла Церква"/>
    <x v="7"/>
    <s v="Товари для дому"/>
    <s v="Зубочистки"/>
    <x v="1"/>
    <x v="0"/>
    <x v="12"/>
    <n v="1477.52"/>
    <n v="1606"/>
  </r>
  <r>
    <x v="2"/>
    <s v="Біла Церква"/>
    <x v="7"/>
    <s v="Товари для дому"/>
    <s v="Одноразовий посуд"/>
    <x v="1"/>
    <x v="0"/>
    <x v="12"/>
    <n v="2110.1899999999996"/>
    <n v="2371"/>
  </r>
  <r>
    <x v="2"/>
    <s v="Бориспіль"/>
    <x v="3"/>
    <s v="Косметика"/>
    <s v="Дезодорант"/>
    <x v="1"/>
    <x v="0"/>
    <x v="12"/>
    <n v="4275.12"/>
    <n v="4548"/>
  </r>
  <r>
    <x v="0"/>
    <s v="Житомир"/>
    <x v="0"/>
    <s v="Косметика"/>
    <s v="Мило"/>
    <x v="1"/>
    <x v="0"/>
    <x v="12"/>
    <n v="2819.06"/>
    <n v="2999"/>
  </r>
  <r>
    <x v="2"/>
    <s v="Ірпінь"/>
    <x v="10"/>
    <s v="Товари для дому"/>
    <s v="Серветки"/>
    <x v="1"/>
    <x v="0"/>
    <x v="12"/>
    <n v="1694.5599999999997"/>
    <n v="1904"/>
  </r>
  <r>
    <x v="2"/>
    <s v="Ірпінь"/>
    <x v="10"/>
    <s v="Товари для дому"/>
    <s v="Зубочистки"/>
    <x v="1"/>
    <x v="0"/>
    <x v="12"/>
    <n v="2916.3199999999997"/>
    <n v="3314"/>
  </r>
  <r>
    <x v="2"/>
    <s v="Київ"/>
    <x v="11"/>
    <s v="Товари для дому"/>
    <s v="Одноразовий посуд"/>
    <x v="1"/>
    <x v="0"/>
    <x v="12"/>
    <n v="2255.3999999999996"/>
    <n v="2506"/>
  </r>
  <r>
    <x v="2"/>
    <s v="Київ"/>
    <x v="11"/>
    <s v="Косметика"/>
    <s v="Шампунь"/>
    <x v="1"/>
    <x v="0"/>
    <x v="12"/>
    <n v="3924.72"/>
    <n v="4266"/>
  </r>
  <r>
    <x v="3"/>
    <s v="Одеса"/>
    <x v="4"/>
    <s v="Косметика"/>
    <s v="Дезодорант"/>
    <x v="1"/>
    <x v="0"/>
    <x v="12"/>
    <n v="3367.08"/>
    <n v="3582"/>
  </r>
  <r>
    <x v="3"/>
    <s v="Одеса"/>
    <x v="4"/>
    <s v="Косметика"/>
    <s v="Мило"/>
    <x v="1"/>
    <x v="0"/>
    <x v="12"/>
    <n v="4320.42"/>
    <n v="4966"/>
  </r>
  <r>
    <x v="4"/>
    <s v="Харків"/>
    <x v="5"/>
    <s v="Побутова хімія"/>
    <s v="Засіб для миття посуду"/>
    <x v="1"/>
    <x v="0"/>
    <x v="12"/>
    <n v="3676.6399999999994"/>
    <n v="4178"/>
  </r>
  <r>
    <x v="4"/>
    <s v="Харків"/>
    <x v="5"/>
    <s v="Побутова хімія"/>
    <s v="Засіб для посудомийних машин"/>
    <x v="1"/>
    <x v="0"/>
    <x v="12"/>
    <n v="3123.8999999999996"/>
    <n v="3471"/>
  </r>
  <r>
    <x v="3"/>
    <s v="Чорноморськ"/>
    <x v="8"/>
    <s v="Товари для дому"/>
    <s v="Серветки"/>
    <x v="1"/>
    <x v="0"/>
    <x v="12"/>
    <n v="2006.9399999999998"/>
    <n v="2158"/>
  </r>
  <r>
    <x v="4"/>
    <s v="Чугуїв"/>
    <x v="9"/>
    <s v="Товари для дому"/>
    <s v="Зубочистки"/>
    <x v="1"/>
    <x v="0"/>
    <x v="12"/>
    <n v="2791.2799999999997"/>
    <n v="3034"/>
  </r>
  <r>
    <x v="4"/>
    <s v="Чугуїв"/>
    <x v="9"/>
    <s v="Товари для дому"/>
    <s v="Одноразовий посуд"/>
    <x v="1"/>
    <x v="0"/>
    <x v="12"/>
    <n v="2243.7400000000002"/>
    <n v="2609"/>
  </r>
  <r>
    <x v="2"/>
    <s v="Біла Церква"/>
    <x v="7"/>
    <s v="Косметика"/>
    <s v="Шампунь"/>
    <x v="1"/>
    <x v="0"/>
    <x v="12"/>
    <n v="5791.4999999999991"/>
    <n v="6435"/>
  </r>
  <r>
    <x v="1"/>
    <s v="Бердянськ"/>
    <x v="6"/>
    <s v="Побутова хімія"/>
    <s v="Засіб для посудомийних машин"/>
    <x v="1"/>
    <x v="0"/>
    <x v="12"/>
    <n v="5032.3999999999996"/>
    <n v="5470"/>
  </r>
  <r>
    <x v="0"/>
    <s v="Житомир"/>
    <x v="0"/>
    <s v="Товари для дому"/>
    <s v="Одноразовий посуд"/>
    <x v="1"/>
    <x v="0"/>
    <x v="12"/>
    <n v="2348.13"/>
    <n v="2699"/>
  </r>
  <r>
    <x v="0"/>
    <s v="Житомир"/>
    <x v="0"/>
    <s v="Косметика"/>
    <s v="Шампунь"/>
    <x v="1"/>
    <x v="0"/>
    <x v="12"/>
    <n v="3788.5599999999995"/>
    <n v="4118"/>
  </r>
  <r>
    <x v="1"/>
    <s v="Запоріжжя"/>
    <x v="2"/>
    <s v="Косметика"/>
    <s v="Дезодорант"/>
    <x v="1"/>
    <x v="0"/>
    <x v="12"/>
    <n v="4294.7999999999993"/>
    <n v="4772"/>
  </r>
  <r>
    <x v="2"/>
    <s v="Ірпінь"/>
    <x v="10"/>
    <s v="Побутова хімія"/>
    <s v="Засіб для миття посуду"/>
    <x v="1"/>
    <x v="0"/>
    <x v="12"/>
    <n v="3050.0999999999995"/>
    <n v="3389"/>
  </r>
  <r>
    <x v="2"/>
    <s v="Ірпінь"/>
    <x v="10"/>
    <s v="Побутова хімія"/>
    <s v="Засіб для посудомийних машин"/>
    <x v="1"/>
    <x v="0"/>
    <x v="12"/>
    <n v="4550.1000000000004"/>
    <n v="5230"/>
  </r>
  <r>
    <x v="2"/>
    <s v="Київ"/>
    <x v="11"/>
    <s v="Побутова хімія"/>
    <s v="Засоби для догляду за меблями"/>
    <x v="1"/>
    <x v="0"/>
    <x v="12"/>
    <n v="3363.81"/>
    <n v="3617"/>
  </r>
  <r>
    <x v="2"/>
    <s v="Київ"/>
    <x v="11"/>
    <s v="Товари для дому"/>
    <s v="Серветки"/>
    <x v="1"/>
    <x v="0"/>
    <x v="12"/>
    <n v="2562.2999999999997"/>
    <n v="2847"/>
  </r>
  <r>
    <x v="2"/>
    <s v="Біла Церква"/>
    <x v="7"/>
    <s v="Товари для дому"/>
    <s v="Серветки"/>
    <x v="1"/>
    <x v="0"/>
    <x v="12"/>
    <n v="1347.63"/>
    <n v="1549"/>
  </r>
  <r>
    <x v="1"/>
    <s v="Бердянськ"/>
    <x v="6"/>
    <s v="Косметика"/>
    <s v="Мило"/>
    <x v="1"/>
    <x v="0"/>
    <x v="12"/>
    <n v="2441.9999999999995"/>
    <n v="2775"/>
  </r>
  <r>
    <x v="2"/>
    <s v="Бориспіль"/>
    <x v="3"/>
    <s v="Побутова хімія"/>
    <s v="Засіб для миття посуду"/>
    <x v="1"/>
    <x v="0"/>
    <x v="12"/>
    <n v="3614.5800000000004"/>
    <n v="4203"/>
  </r>
  <r>
    <x v="2"/>
    <s v="Бориспіль"/>
    <x v="3"/>
    <s v="Побутова хімія"/>
    <s v="Засіб для посудомийних машин"/>
    <x v="1"/>
    <x v="0"/>
    <x v="12"/>
    <n v="4068.8999999999996"/>
    <n v="4521"/>
  </r>
  <r>
    <x v="1"/>
    <s v="Запоріжжя"/>
    <x v="2"/>
    <s v="Товари для дому"/>
    <s v="Зубочистки"/>
    <x v="1"/>
    <x v="0"/>
    <x v="12"/>
    <n v="2903.1900000000005"/>
    <n v="3337"/>
  </r>
  <r>
    <x v="2"/>
    <s v="Ірпінь"/>
    <x v="10"/>
    <s v="Косметика"/>
    <s v="Шампунь"/>
    <x v="1"/>
    <x v="0"/>
    <x v="12"/>
    <n v="4309.2"/>
    <n v="4788"/>
  </r>
  <r>
    <x v="2"/>
    <s v="Ірпінь"/>
    <x v="10"/>
    <s v="Косметика"/>
    <s v="Дезодорант"/>
    <x v="1"/>
    <x v="0"/>
    <x v="12"/>
    <n v="3828.5999999999995"/>
    <n v="4254"/>
  </r>
  <r>
    <x v="2"/>
    <s v="Київ"/>
    <x v="11"/>
    <s v="Косметика"/>
    <s v="Мило"/>
    <x v="1"/>
    <x v="0"/>
    <x v="12"/>
    <n v="2834.5600000000004"/>
    <n v="3296"/>
  </r>
  <r>
    <x v="2"/>
    <s v="Київ"/>
    <x v="11"/>
    <s v="Побутова хімія"/>
    <s v="Засіб для миття посуду"/>
    <x v="1"/>
    <x v="0"/>
    <x v="12"/>
    <n v="3481.6799999999994"/>
    <n v="3912"/>
  </r>
  <r>
    <x v="3"/>
    <s v="Одеса"/>
    <x v="4"/>
    <s v="Побутова хімія"/>
    <s v="Засіб для посудомийних машин"/>
    <x v="1"/>
    <x v="0"/>
    <x v="12"/>
    <n v="4436.9599999999991"/>
    <n v="5042"/>
  </r>
  <r>
    <x v="3"/>
    <s v="Одеса"/>
    <x v="4"/>
    <s v="Побутова хімія"/>
    <s v="Засоби для догляду за меблями"/>
    <x v="1"/>
    <x v="0"/>
    <x v="12"/>
    <n v="3621.7999999999997"/>
    <n v="3980"/>
  </r>
  <r>
    <x v="4"/>
    <s v="Харків"/>
    <x v="5"/>
    <s v="Товари для дому"/>
    <s v="Серветки"/>
    <x v="1"/>
    <x v="0"/>
    <x v="12"/>
    <n v="2552.5199999999995"/>
    <n v="2868"/>
  </r>
  <r>
    <x v="3"/>
    <s v="Чорноморськ"/>
    <x v="8"/>
    <s v="Товари для дому"/>
    <s v="Одноразовий посуд"/>
    <x v="1"/>
    <x v="0"/>
    <x v="12"/>
    <n v="1410.5"/>
    <n v="1550"/>
  </r>
  <r>
    <x v="3"/>
    <s v="Чорноморськ"/>
    <x v="8"/>
    <s v="Косметика"/>
    <s v="Шампунь"/>
    <x v="1"/>
    <x v="0"/>
    <x v="12"/>
    <n v="6356.5499999999993"/>
    <n v="6835"/>
  </r>
  <r>
    <x v="4"/>
    <s v="Чугуїв"/>
    <x v="9"/>
    <s v="Косметика"/>
    <s v="Дезодорант"/>
    <x v="1"/>
    <x v="0"/>
    <x v="12"/>
    <n v="2585.1999999999998"/>
    <n v="2810"/>
  </r>
  <r>
    <x v="4"/>
    <s v="Чугуїв"/>
    <x v="9"/>
    <s v="Косметика"/>
    <s v="Мило"/>
    <x v="1"/>
    <x v="0"/>
    <x v="12"/>
    <n v="2354.8799999999997"/>
    <n v="2676"/>
  </r>
  <r>
    <x v="0"/>
    <s v="Бердичів"/>
    <x v="1"/>
    <s v="Побутова хімія"/>
    <s v="Засоби для догляду за меблями"/>
    <x v="1"/>
    <x v="0"/>
    <x v="12"/>
    <n v="2647.7499999999995"/>
    <n v="2975"/>
  </r>
  <r>
    <x v="0"/>
    <s v="Бердичів"/>
    <x v="1"/>
    <s v="Товари для дому"/>
    <s v="Серветки"/>
    <x v="1"/>
    <x v="0"/>
    <x v="12"/>
    <n v="2062.2800000000002"/>
    <n v="2398"/>
  </r>
  <r>
    <x v="1"/>
    <s v="Бердянськ"/>
    <x v="6"/>
    <s v="Товари для дому"/>
    <s v="Одноразовий посуд"/>
    <x v="1"/>
    <x v="0"/>
    <x v="12"/>
    <n v="1392.85"/>
    <n v="1565"/>
  </r>
  <r>
    <x v="2"/>
    <s v="Ірпінь"/>
    <x v="10"/>
    <s v="Косметика"/>
    <s v="Мило"/>
    <x v="1"/>
    <x v="0"/>
    <x v="12"/>
    <n v="2168.3199999999997"/>
    <n v="2464"/>
  </r>
  <r>
    <x v="2"/>
    <s v="Київ"/>
    <x v="11"/>
    <s v="Побутова хімія"/>
    <s v="Засіб для посудомийних машин"/>
    <x v="1"/>
    <x v="0"/>
    <x v="12"/>
    <n v="3322.12"/>
    <n v="3611"/>
  </r>
  <r>
    <x v="2"/>
    <s v="Біла Церква"/>
    <x v="7"/>
    <s v="Побутова хімія"/>
    <s v="Засоби для догляду за меблями"/>
    <x v="1"/>
    <x v="0"/>
    <x v="12"/>
    <n v="2961.4000000000005"/>
    <n v="3484"/>
  </r>
  <r>
    <x v="2"/>
    <s v="Бориспіль"/>
    <x v="3"/>
    <s v="Косметика"/>
    <s v="Мило"/>
    <x v="1"/>
    <x v="0"/>
    <x v="12"/>
    <n v="3730.5600000000004"/>
    <n v="4288"/>
  </r>
  <r>
    <x v="2"/>
    <s v="Ірпінь"/>
    <x v="10"/>
    <s v="Товари для дому"/>
    <s v="Одноразовий посуд"/>
    <x v="1"/>
    <x v="0"/>
    <x v="12"/>
    <n v="2104.08"/>
    <n v="2391"/>
  </r>
  <r>
    <x v="2"/>
    <s v="Київ"/>
    <x v="11"/>
    <s v="Косметика"/>
    <s v="Дезодорант"/>
    <x v="1"/>
    <x v="0"/>
    <x v="12"/>
    <n v="4629.6799999999994"/>
    <n v="5261"/>
  </r>
  <r>
    <x v="3"/>
    <s v="Одеса"/>
    <x v="4"/>
    <s v="Побутова хімія"/>
    <s v="Засіб для миття посуду"/>
    <x v="1"/>
    <x v="0"/>
    <x v="12"/>
    <n v="4316.5"/>
    <n v="4850"/>
  </r>
  <r>
    <x v="4"/>
    <s v="Харків"/>
    <x v="5"/>
    <s v="Побутова хімія"/>
    <s v="Засоби для догляду за меблями"/>
    <x v="1"/>
    <x v="0"/>
    <x v="12"/>
    <n v="2782.26"/>
    <n v="3198"/>
  </r>
  <r>
    <x v="3"/>
    <s v="Чорноморськ"/>
    <x v="8"/>
    <s v="Товари для дому"/>
    <s v="Зубочистки"/>
    <x v="1"/>
    <x v="0"/>
    <x v="12"/>
    <n v="2499.8399999999997"/>
    <n v="2688"/>
  </r>
  <r>
    <x v="4"/>
    <s v="Чугуїв"/>
    <x v="9"/>
    <s v="Косметика"/>
    <s v="Шампунь"/>
    <x v="1"/>
    <x v="0"/>
    <x v="12"/>
    <n v="5310.24"/>
    <n v="5772"/>
  </r>
  <r>
    <x v="2"/>
    <s v="Ірпінь"/>
    <x v="10"/>
    <s v="Побутова хімія"/>
    <s v="Засоби для догляду за меблями"/>
    <x v="1"/>
    <x v="0"/>
    <x v="12"/>
    <n v="3178.6"/>
    <n v="3455"/>
  </r>
  <r>
    <x v="2"/>
    <s v="Київ"/>
    <x v="11"/>
    <s v="Товари для дому"/>
    <s v="Зубочистки"/>
    <x v="1"/>
    <x v="0"/>
    <x v="12"/>
    <n v="1671.32"/>
    <n v="1778"/>
  </r>
  <r>
    <x v="0"/>
    <s v="Житомир"/>
    <x v="0"/>
    <s v="Товари для дому"/>
    <s v="Зубочистки"/>
    <x v="1"/>
    <x v="1"/>
    <x v="13"/>
    <n v="2030.1599999999999"/>
    <n v="2307"/>
  </r>
  <r>
    <x v="0"/>
    <s v="Бердичів"/>
    <x v="1"/>
    <s v="Товари для дому"/>
    <s v="Зубочистки"/>
    <x v="1"/>
    <x v="1"/>
    <x v="13"/>
    <n v="2240.1999999999998"/>
    <n v="2435"/>
  </r>
  <r>
    <x v="0"/>
    <s v="Бердичів"/>
    <x v="1"/>
    <s v="Косметика"/>
    <s v="Дезодорант"/>
    <x v="1"/>
    <x v="1"/>
    <x v="13"/>
    <n v="2463.12"/>
    <n v="2799"/>
  </r>
  <r>
    <x v="0"/>
    <s v="Житомир"/>
    <x v="0"/>
    <s v="Косметика"/>
    <s v="Дезодорант"/>
    <x v="1"/>
    <x v="1"/>
    <x v="13"/>
    <n v="2399.3999999999996"/>
    <n v="2666"/>
  </r>
  <r>
    <x v="0"/>
    <s v="Житомир"/>
    <x v="0"/>
    <s v="Побутова хімія"/>
    <s v="Засіб для миття посуду"/>
    <x v="1"/>
    <x v="1"/>
    <x v="13"/>
    <n v="3348.3999999999996"/>
    <n v="3805"/>
  </r>
  <r>
    <x v="1"/>
    <s v="Запоріжжя"/>
    <x v="2"/>
    <s v="Побутова хімія"/>
    <s v="Засіб для посудомийних машин"/>
    <x v="1"/>
    <x v="1"/>
    <x v="13"/>
    <n v="3692.4799999999996"/>
    <n v="4196"/>
  </r>
  <r>
    <x v="2"/>
    <s v="Бориспіль"/>
    <x v="3"/>
    <s v="Побутова хімія"/>
    <s v="Засоби для догляду за меблями"/>
    <x v="1"/>
    <x v="1"/>
    <x v="13"/>
    <n v="3461.04"/>
    <n v="3762"/>
  </r>
  <r>
    <x v="3"/>
    <s v="Одеса"/>
    <x v="4"/>
    <s v="Товари для дому"/>
    <s v="Серветки"/>
    <x v="1"/>
    <x v="1"/>
    <x v="13"/>
    <n v="1651.3999999999999"/>
    <n v="1795"/>
  </r>
  <r>
    <x v="4"/>
    <s v="Харків"/>
    <x v="5"/>
    <s v="Товари для дому"/>
    <s v="Зубочистки"/>
    <x v="1"/>
    <x v="1"/>
    <x v="13"/>
    <n v="1517.4499999999998"/>
    <n v="1705"/>
  </r>
  <r>
    <x v="0"/>
    <s v="Бердичів"/>
    <x v="1"/>
    <s v="Товари для дому"/>
    <s v="Одноразовий посуд"/>
    <x v="1"/>
    <x v="1"/>
    <x v="13"/>
    <n v="1587.9499999999998"/>
    <n v="1745"/>
  </r>
  <r>
    <x v="1"/>
    <s v="Бердянськ"/>
    <x v="6"/>
    <s v="Косметика"/>
    <s v="Шампунь"/>
    <x v="1"/>
    <x v="1"/>
    <x v="13"/>
    <n v="5135.2199999999993"/>
    <n v="5463"/>
  </r>
  <r>
    <x v="2"/>
    <s v="Біла Церква"/>
    <x v="7"/>
    <s v="Косметика"/>
    <s v="Дезодорант"/>
    <x v="1"/>
    <x v="1"/>
    <x v="13"/>
    <n v="4143.8100000000004"/>
    <n v="4763"/>
  </r>
  <r>
    <x v="3"/>
    <s v="Чорноморськ"/>
    <x v="8"/>
    <s v="Косметика"/>
    <s v="Мило"/>
    <x v="1"/>
    <x v="1"/>
    <x v="13"/>
    <n v="1990.1999999999998"/>
    <n v="2140"/>
  </r>
  <r>
    <x v="4"/>
    <s v="Чугуїв"/>
    <x v="9"/>
    <s v="Побутова хімія"/>
    <s v="Засіб для миття посуду"/>
    <x v="1"/>
    <x v="1"/>
    <x v="13"/>
    <n v="3612.7"/>
    <n v="3970"/>
  </r>
  <r>
    <x v="0"/>
    <s v="Житомир"/>
    <x v="0"/>
    <s v="Побутова хімія"/>
    <s v="Засіб для посудомийних машин"/>
    <x v="1"/>
    <x v="1"/>
    <x v="13"/>
    <n v="2873.7"/>
    <n v="3193"/>
  </r>
  <r>
    <x v="1"/>
    <s v="Запоріжжя"/>
    <x v="2"/>
    <s v="Побутова хімія"/>
    <s v="Засоби для догляду за меблями"/>
    <x v="1"/>
    <x v="1"/>
    <x v="13"/>
    <n v="2714.9"/>
    <n v="3194"/>
  </r>
  <r>
    <x v="2"/>
    <s v="Бориспіль"/>
    <x v="3"/>
    <s v="Товари для дому"/>
    <s v="Серветки"/>
    <x v="1"/>
    <x v="1"/>
    <x v="13"/>
    <n v="2499.12"/>
    <n v="2808"/>
  </r>
  <r>
    <x v="3"/>
    <s v="Одеса"/>
    <x v="4"/>
    <s v="Товари для дому"/>
    <s v="Зубочистки"/>
    <x v="1"/>
    <x v="1"/>
    <x v="13"/>
    <n v="2640.6"/>
    <n v="2934"/>
  </r>
  <r>
    <x v="4"/>
    <s v="Харків"/>
    <x v="5"/>
    <s v="Товари для дому"/>
    <s v="Одноразовий посуд"/>
    <x v="1"/>
    <x v="1"/>
    <x v="13"/>
    <n v="1281.28"/>
    <n v="1408"/>
  </r>
  <r>
    <x v="0"/>
    <s v="Бердичів"/>
    <x v="1"/>
    <s v="Косметика"/>
    <s v="Шампунь"/>
    <x v="1"/>
    <x v="1"/>
    <x v="13"/>
    <n v="3827.4599999999996"/>
    <n v="4206"/>
  </r>
  <r>
    <x v="1"/>
    <s v="Бердянськ"/>
    <x v="6"/>
    <s v="Косметика"/>
    <s v="Дезодорант"/>
    <x v="1"/>
    <x v="1"/>
    <x v="13"/>
    <n v="3082.2400000000002"/>
    <n v="3584"/>
  </r>
  <r>
    <x v="2"/>
    <s v="Біла Церква"/>
    <x v="7"/>
    <s v="Косметика"/>
    <s v="Мило"/>
    <x v="1"/>
    <x v="1"/>
    <x v="13"/>
    <n v="3584.3199999999997"/>
    <n v="3896"/>
  </r>
  <r>
    <x v="3"/>
    <s v="Чорноморськ"/>
    <x v="8"/>
    <s v="Побутова хімія"/>
    <s v="Засіб для миття посуду"/>
    <x v="1"/>
    <x v="1"/>
    <x v="13"/>
    <n v="3201.9500000000003"/>
    <n v="3767"/>
  </r>
  <r>
    <x v="4"/>
    <s v="Чугуїв"/>
    <x v="9"/>
    <s v="Побутова хімія"/>
    <s v="Засіб для посудомийних машин"/>
    <x v="1"/>
    <x v="1"/>
    <x v="13"/>
    <n v="3968.0700000000006"/>
    <n v="4561"/>
  </r>
  <r>
    <x v="0"/>
    <s v="Житомир"/>
    <x v="0"/>
    <s v="Побутова хімія"/>
    <s v="Засоби для догляду за меблями"/>
    <x v="1"/>
    <x v="1"/>
    <x v="13"/>
    <n v="2556"/>
    <n v="2840"/>
  </r>
  <r>
    <x v="1"/>
    <s v="Запоріжжя"/>
    <x v="2"/>
    <s v="Товари для дому"/>
    <s v="Серветки"/>
    <x v="1"/>
    <x v="1"/>
    <x v="13"/>
    <n v="1634.9299999999998"/>
    <n v="1837"/>
  </r>
  <r>
    <x v="2"/>
    <s v="Бориспіль"/>
    <x v="3"/>
    <s v="Товари для дому"/>
    <s v="Зубочистки"/>
    <x v="1"/>
    <x v="1"/>
    <x v="13"/>
    <n v="1875.5099999999998"/>
    <n v="2061"/>
  </r>
  <r>
    <x v="3"/>
    <s v="Одеса"/>
    <x v="4"/>
    <s v="Товари для дому"/>
    <s v="Одноразовий посуд"/>
    <x v="1"/>
    <x v="1"/>
    <x v="13"/>
    <n v="2275.6799999999998"/>
    <n v="2586"/>
  </r>
  <r>
    <x v="4"/>
    <s v="Харків"/>
    <x v="5"/>
    <s v="Косметика"/>
    <s v="Шампунь"/>
    <x v="1"/>
    <x v="1"/>
    <x v="13"/>
    <n v="4485.3899999999994"/>
    <n v="4823"/>
  </r>
  <r>
    <x v="1"/>
    <s v="Запоріжжя"/>
    <x v="2"/>
    <s v="Косметика"/>
    <s v="Мило"/>
    <x v="1"/>
    <x v="1"/>
    <x v="13"/>
    <n v="3530.3"/>
    <n v="4105"/>
  </r>
  <r>
    <x v="2"/>
    <s v="Біла Церква"/>
    <x v="7"/>
    <s v="Побутова хімія"/>
    <s v="Засіб для миття посуду"/>
    <x v="1"/>
    <x v="1"/>
    <x v="13"/>
    <n v="3473.9999999999995"/>
    <n v="3860"/>
  </r>
  <r>
    <x v="3"/>
    <s v="Чорноморськ"/>
    <x v="8"/>
    <s v="Побутова хімія"/>
    <s v="Засіб для посудомийних машин"/>
    <x v="1"/>
    <x v="1"/>
    <x v="13"/>
    <n v="4035.4199999999996"/>
    <n v="4293"/>
  </r>
  <r>
    <x v="4"/>
    <s v="Чугуїв"/>
    <x v="9"/>
    <s v="Побутова хімія"/>
    <s v="Засоби для догляду за меблями"/>
    <x v="1"/>
    <x v="1"/>
    <x v="13"/>
    <n v="2962.3999999999996"/>
    <n v="3220"/>
  </r>
  <r>
    <x v="0"/>
    <s v="Житомир"/>
    <x v="0"/>
    <s v="Товари для дому"/>
    <s v="Серветки"/>
    <x v="1"/>
    <x v="1"/>
    <x v="13"/>
    <n v="1454.2599999999998"/>
    <n v="1634"/>
  </r>
  <r>
    <x v="1"/>
    <s v="Бердянськ"/>
    <x v="6"/>
    <s v="Товари для дому"/>
    <s v="Зубочистки"/>
    <x v="1"/>
    <x v="1"/>
    <x v="13"/>
    <n v="1432.1999999999998"/>
    <n v="1540"/>
  </r>
  <r>
    <x v="2"/>
    <s v="Бориспіль"/>
    <x v="3"/>
    <s v="Товари для дому"/>
    <s v="Одноразовий посуд"/>
    <x v="1"/>
    <x v="1"/>
    <x v="13"/>
    <n v="1729.6"/>
    <n v="1880"/>
  </r>
  <r>
    <x v="3"/>
    <s v="Одеса"/>
    <x v="4"/>
    <s v="Косметика"/>
    <s v="Шампунь"/>
    <x v="1"/>
    <x v="1"/>
    <x v="13"/>
    <n v="5042.5200000000004"/>
    <n v="5796"/>
  </r>
  <r>
    <x v="4"/>
    <s v="Харків"/>
    <x v="5"/>
    <s v="Косметика"/>
    <s v="Дезодорант"/>
    <x v="1"/>
    <x v="1"/>
    <x v="13"/>
    <n v="2508.87"/>
    <n v="2757"/>
  </r>
  <r>
    <x v="0"/>
    <s v="Бердичів"/>
    <x v="1"/>
    <s v="Косметика"/>
    <s v="Мило"/>
    <x v="1"/>
    <x v="1"/>
    <x v="13"/>
    <n v="3273.2699999999995"/>
    <n v="3597"/>
  </r>
  <r>
    <x v="1"/>
    <s v="Запоріжжя"/>
    <x v="2"/>
    <s v="Побутова хімія"/>
    <s v="Засіб для миття посуду"/>
    <x v="1"/>
    <x v="1"/>
    <x v="13"/>
    <n v="3360.0899999999997"/>
    <n v="3613"/>
  </r>
  <r>
    <x v="2"/>
    <s v="Біла Церква"/>
    <x v="7"/>
    <s v="Побутова хімія"/>
    <s v="Засіб для посудомийних машин"/>
    <x v="1"/>
    <x v="1"/>
    <x v="13"/>
    <n v="5130.8099999999995"/>
    <n v="5517"/>
  </r>
  <r>
    <x v="3"/>
    <s v="Чорноморськ"/>
    <x v="8"/>
    <s v="Побутова хімія"/>
    <s v="Засоби для догляду за меблями"/>
    <x v="1"/>
    <x v="1"/>
    <x v="13"/>
    <n v="2672.5599999999995"/>
    <n v="3037"/>
  </r>
  <r>
    <x v="4"/>
    <s v="Чугуїв"/>
    <x v="9"/>
    <s v="Товари для дому"/>
    <s v="Серветки"/>
    <x v="1"/>
    <x v="1"/>
    <x v="13"/>
    <n v="1768.4999999999998"/>
    <n v="1965"/>
  </r>
  <r>
    <x v="1"/>
    <s v="Запоріжжя"/>
    <x v="2"/>
    <s v="Товари для дому"/>
    <s v="Одноразовий посуд"/>
    <x v="1"/>
    <x v="1"/>
    <x v="13"/>
    <n v="1600.4600000000003"/>
    <n v="1861"/>
  </r>
  <r>
    <x v="2"/>
    <s v="Бориспіль"/>
    <x v="3"/>
    <s v="Косметика"/>
    <s v="Шампунь"/>
    <x v="1"/>
    <x v="1"/>
    <x v="13"/>
    <n v="5256.16"/>
    <n v="5776"/>
  </r>
  <r>
    <x v="3"/>
    <s v="Чорноморськ"/>
    <x v="8"/>
    <s v="Косметика"/>
    <s v="Дезодорант"/>
    <x v="1"/>
    <x v="1"/>
    <x v="13"/>
    <n v="3640.95"/>
    <n v="3915"/>
  </r>
  <r>
    <x v="4"/>
    <s v="Харків"/>
    <x v="5"/>
    <s v="Косметика"/>
    <s v="Мило"/>
    <x v="1"/>
    <x v="1"/>
    <x v="13"/>
    <n v="3778.0499999999997"/>
    <n v="4245"/>
  </r>
  <r>
    <x v="0"/>
    <s v="Бердичів"/>
    <x v="1"/>
    <s v="Побутова хімія"/>
    <s v="Засіб для миття посуду"/>
    <x v="1"/>
    <x v="1"/>
    <x v="13"/>
    <n v="3448.6800000000003"/>
    <n v="3964"/>
  </r>
  <r>
    <x v="0"/>
    <s v="Бердичів"/>
    <x v="1"/>
    <s v="Побутова хімія"/>
    <s v="Засіб для посудомийних машин"/>
    <x v="1"/>
    <x v="1"/>
    <x v="13"/>
    <n v="2500.8999999999996"/>
    <n v="2810"/>
  </r>
  <r>
    <x v="1"/>
    <s v="Бердянськ"/>
    <x v="6"/>
    <s v="Побутова хімія"/>
    <s v="Засоби для догляду за меблями"/>
    <x v="1"/>
    <x v="1"/>
    <x v="13"/>
    <n v="3440.7"/>
    <n v="3823"/>
  </r>
  <r>
    <x v="1"/>
    <s v="Бердянськ"/>
    <x v="6"/>
    <s v="Товари для дому"/>
    <s v="Серветки"/>
    <x v="1"/>
    <x v="1"/>
    <x v="13"/>
    <n v="2480.4299999999998"/>
    <n v="2787"/>
  </r>
  <r>
    <x v="2"/>
    <s v="Біла Церква"/>
    <x v="7"/>
    <s v="Товари для дому"/>
    <s v="Зубочистки"/>
    <x v="1"/>
    <x v="1"/>
    <x v="13"/>
    <n v="2748.56"/>
    <n v="2924"/>
  </r>
  <r>
    <x v="2"/>
    <s v="Біла Церква"/>
    <x v="7"/>
    <s v="Товари для дому"/>
    <s v="Одноразовий посуд"/>
    <x v="1"/>
    <x v="1"/>
    <x v="13"/>
    <n v="1606.89"/>
    <n v="1847"/>
  </r>
  <r>
    <x v="2"/>
    <s v="Бориспіль"/>
    <x v="3"/>
    <s v="Косметика"/>
    <s v="Дезодорант"/>
    <x v="1"/>
    <x v="1"/>
    <x v="13"/>
    <n v="4761.12"/>
    <n v="5232"/>
  </r>
  <r>
    <x v="0"/>
    <s v="Житомир"/>
    <x v="0"/>
    <s v="Косметика"/>
    <s v="Мило"/>
    <x v="1"/>
    <x v="1"/>
    <x v="13"/>
    <n v="3114.0199999999995"/>
    <n v="3422"/>
  </r>
  <r>
    <x v="2"/>
    <s v="Ірпінь"/>
    <x v="10"/>
    <s v="Товари для дому"/>
    <s v="Серветки"/>
    <x v="1"/>
    <x v="1"/>
    <x v="13"/>
    <n v="1620.8100000000002"/>
    <n v="1863"/>
  </r>
  <r>
    <x v="2"/>
    <s v="Ірпінь"/>
    <x v="10"/>
    <s v="Товари для дому"/>
    <s v="Зубочистки"/>
    <x v="1"/>
    <x v="1"/>
    <x v="13"/>
    <n v="1971.15"/>
    <n v="2319"/>
  </r>
  <r>
    <x v="2"/>
    <s v="Київ"/>
    <x v="11"/>
    <s v="Товари для дому"/>
    <s v="Одноразовий посуд"/>
    <x v="1"/>
    <x v="1"/>
    <x v="13"/>
    <n v="2614.23"/>
    <n v="2811"/>
  </r>
  <r>
    <x v="2"/>
    <s v="Київ"/>
    <x v="11"/>
    <s v="Косметика"/>
    <s v="Шампунь"/>
    <x v="1"/>
    <x v="1"/>
    <x v="13"/>
    <n v="4226.3999999999996"/>
    <n v="4696"/>
  </r>
  <r>
    <x v="3"/>
    <s v="Одеса"/>
    <x v="4"/>
    <s v="Косметика"/>
    <s v="Дезодорант"/>
    <x v="1"/>
    <x v="1"/>
    <x v="13"/>
    <n v="2304.3500000000004"/>
    <n v="2711"/>
  </r>
  <r>
    <x v="3"/>
    <s v="Одеса"/>
    <x v="4"/>
    <s v="Косметика"/>
    <s v="Мило"/>
    <x v="1"/>
    <x v="1"/>
    <x v="13"/>
    <n v="2545.27"/>
    <n v="2797"/>
  </r>
  <r>
    <x v="4"/>
    <s v="Харків"/>
    <x v="5"/>
    <s v="Побутова хімія"/>
    <s v="Засіб для миття посуду"/>
    <x v="1"/>
    <x v="1"/>
    <x v="13"/>
    <n v="3957.7200000000003"/>
    <n v="4602"/>
  </r>
  <r>
    <x v="4"/>
    <s v="Харків"/>
    <x v="5"/>
    <s v="Побутова хімія"/>
    <s v="Засіб для посудомийних машин"/>
    <x v="1"/>
    <x v="1"/>
    <x v="13"/>
    <n v="3121.2999999999997"/>
    <n v="3430"/>
  </r>
  <r>
    <x v="3"/>
    <s v="Чорноморськ"/>
    <x v="8"/>
    <s v="Товари для дому"/>
    <s v="Серветки"/>
    <x v="1"/>
    <x v="1"/>
    <x v="13"/>
    <n v="1901.62"/>
    <n v="2023"/>
  </r>
  <r>
    <x v="4"/>
    <s v="Чугуїв"/>
    <x v="9"/>
    <s v="Товари для дому"/>
    <s v="Зубочистки"/>
    <x v="1"/>
    <x v="1"/>
    <x v="13"/>
    <n v="1324.4"/>
    <n v="1540"/>
  </r>
  <r>
    <x v="4"/>
    <s v="Чугуїв"/>
    <x v="9"/>
    <s v="Товари для дому"/>
    <s v="Одноразовий посуд"/>
    <x v="1"/>
    <x v="1"/>
    <x v="13"/>
    <n v="1445.0700000000002"/>
    <n v="1661"/>
  </r>
  <r>
    <x v="2"/>
    <s v="Біла Церква"/>
    <x v="7"/>
    <s v="Косметика"/>
    <s v="Шампунь"/>
    <x v="1"/>
    <x v="1"/>
    <x v="13"/>
    <n v="5120.57"/>
    <n v="5627"/>
  </r>
  <r>
    <x v="1"/>
    <s v="Бердянськ"/>
    <x v="6"/>
    <s v="Побутова хімія"/>
    <s v="Засіб для посудомийних машин"/>
    <x v="1"/>
    <x v="1"/>
    <x v="13"/>
    <n v="3149.16"/>
    <n v="3423"/>
  </r>
  <r>
    <x v="0"/>
    <s v="Житомир"/>
    <x v="0"/>
    <s v="Товари для дому"/>
    <s v="Одноразовий посуд"/>
    <x v="1"/>
    <x v="1"/>
    <x v="13"/>
    <n v="2028.6"/>
    <n v="2254"/>
  </r>
  <r>
    <x v="0"/>
    <s v="Житомир"/>
    <x v="0"/>
    <s v="Косметика"/>
    <s v="Шампунь"/>
    <x v="1"/>
    <x v="1"/>
    <x v="13"/>
    <n v="4430.2000000000007"/>
    <n v="5212"/>
  </r>
  <r>
    <x v="1"/>
    <s v="Запоріжжя"/>
    <x v="2"/>
    <s v="Косметика"/>
    <s v="Дезодорант"/>
    <x v="1"/>
    <x v="1"/>
    <x v="13"/>
    <n v="3700.1100000000006"/>
    <n v="4253"/>
  </r>
  <r>
    <x v="2"/>
    <s v="Ірпінь"/>
    <x v="10"/>
    <s v="Побутова хімія"/>
    <s v="Засіб для миття посуду"/>
    <x v="1"/>
    <x v="1"/>
    <x v="13"/>
    <n v="4274.2000000000007"/>
    <n v="4970"/>
  </r>
  <r>
    <x v="2"/>
    <s v="Ірпінь"/>
    <x v="10"/>
    <s v="Побутова хімія"/>
    <s v="Засіб для посудомийних машин"/>
    <x v="1"/>
    <x v="1"/>
    <x v="13"/>
    <n v="4103.4399999999996"/>
    <n v="4663"/>
  </r>
  <r>
    <x v="2"/>
    <s v="Київ"/>
    <x v="11"/>
    <s v="Побутова хімія"/>
    <s v="Засоби для догляду за меблями"/>
    <x v="1"/>
    <x v="1"/>
    <x v="13"/>
    <n v="2943.45"/>
    <n v="3165"/>
  </r>
  <r>
    <x v="2"/>
    <s v="Київ"/>
    <x v="11"/>
    <s v="Товари для дому"/>
    <s v="Серветки"/>
    <x v="1"/>
    <x v="1"/>
    <x v="13"/>
    <n v="2716.35"/>
    <n v="2985"/>
  </r>
  <r>
    <x v="2"/>
    <s v="Біла Церква"/>
    <x v="7"/>
    <s v="Товари для дому"/>
    <s v="Серветки"/>
    <x v="1"/>
    <x v="1"/>
    <x v="13"/>
    <n v="2270.4499999999998"/>
    <n v="2495"/>
  </r>
  <r>
    <x v="1"/>
    <s v="Бердянськ"/>
    <x v="6"/>
    <s v="Косметика"/>
    <s v="Мило"/>
    <x v="1"/>
    <x v="1"/>
    <x v="13"/>
    <n v="2816.8499999999995"/>
    <n v="3165"/>
  </r>
  <r>
    <x v="2"/>
    <s v="Бориспіль"/>
    <x v="3"/>
    <s v="Побутова хімія"/>
    <s v="Засіб для миття посуду"/>
    <x v="1"/>
    <x v="1"/>
    <x v="13"/>
    <n v="3921.8099999999995"/>
    <n v="4217"/>
  </r>
  <r>
    <x v="2"/>
    <s v="Бориспіль"/>
    <x v="3"/>
    <s v="Побутова хімія"/>
    <s v="Засіб для посудомийних машин"/>
    <x v="1"/>
    <x v="1"/>
    <x v="13"/>
    <n v="3608.3999999999996"/>
    <n v="3880"/>
  </r>
  <r>
    <x v="1"/>
    <s v="Запоріжжя"/>
    <x v="2"/>
    <s v="Товари для дому"/>
    <s v="Зубочистки"/>
    <x v="1"/>
    <x v="1"/>
    <x v="13"/>
    <n v="1405.9499999999998"/>
    <n v="1545"/>
  </r>
  <r>
    <x v="2"/>
    <s v="Ірпінь"/>
    <x v="10"/>
    <s v="Косметика"/>
    <s v="Шампунь"/>
    <x v="1"/>
    <x v="1"/>
    <x v="13"/>
    <n v="4497.8"/>
    <n v="5230"/>
  </r>
  <r>
    <x v="2"/>
    <s v="Ірпінь"/>
    <x v="10"/>
    <s v="Косметика"/>
    <s v="Дезодорант"/>
    <x v="1"/>
    <x v="1"/>
    <x v="13"/>
    <n v="5000.45"/>
    <n v="5495"/>
  </r>
  <r>
    <x v="2"/>
    <s v="Київ"/>
    <x v="11"/>
    <s v="Косметика"/>
    <s v="Мило"/>
    <x v="1"/>
    <x v="1"/>
    <x v="13"/>
    <n v="2617.8300000000004"/>
    <n v="3009"/>
  </r>
  <r>
    <x v="2"/>
    <s v="Київ"/>
    <x v="11"/>
    <s v="Побутова хімія"/>
    <s v="Засіб для миття посуду"/>
    <x v="1"/>
    <x v="1"/>
    <x v="13"/>
    <n v="4143.75"/>
    <n v="4875"/>
  </r>
  <r>
    <x v="3"/>
    <s v="Одеса"/>
    <x v="4"/>
    <s v="Побутова хімія"/>
    <s v="Засіб для посудомийних машин"/>
    <x v="1"/>
    <x v="1"/>
    <x v="13"/>
    <n v="3221.52"/>
    <n v="3464"/>
  </r>
  <r>
    <x v="3"/>
    <s v="Одеса"/>
    <x v="4"/>
    <s v="Побутова хімія"/>
    <s v="Засоби для догляду за меблями"/>
    <x v="1"/>
    <x v="1"/>
    <x v="13"/>
    <n v="2908.5199999999995"/>
    <n v="3268"/>
  </r>
  <r>
    <x v="4"/>
    <s v="Харків"/>
    <x v="5"/>
    <s v="Товари для дому"/>
    <s v="Серветки"/>
    <x v="1"/>
    <x v="1"/>
    <x v="13"/>
    <n v="1825.1999999999998"/>
    <n v="2028"/>
  </r>
  <r>
    <x v="3"/>
    <s v="Чорноморськ"/>
    <x v="8"/>
    <s v="Товари для дому"/>
    <s v="Одноразовий посуд"/>
    <x v="1"/>
    <x v="1"/>
    <x v="13"/>
    <n v="2098.7999999999997"/>
    <n v="2385"/>
  </r>
  <r>
    <x v="3"/>
    <s v="Чорноморськ"/>
    <x v="8"/>
    <s v="Косметика"/>
    <s v="Шампунь"/>
    <x v="1"/>
    <x v="1"/>
    <x v="13"/>
    <n v="5025.9900000000007"/>
    <n v="5777"/>
  </r>
  <r>
    <x v="4"/>
    <s v="Чугуїв"/>
    <x v="9"/>
    <s v="Косметика"/>
    <s v="Дезодорант"/>
    <x v="1"/>
    <x v="1"/>
    <x v="13"/>
    <n v="4602.3999999999996"/>
    <n v="5230"/>
  </r>
  <r>
    <x v="4"/>
    <s v="Чугуїв"/>
    <x v="9"/>
    <s v="Косметика"/>
    <s v="Мило"/>
    <x v="1"/>
    <x v="1"/>
    <x v="13"/>
    <n v="3346.04"/>
    <n v="3637"/>
  </r>
  <r>
    <x v="0"/>
    <s v="Бердичів"/>
    <x v="1"/>
    <s v="Побутова хімія"/>
    <s v="Засоби для догляду за меблями"/>
    <x v="1"/>
    <x v="1"/>
    <x v="13"/>
    <n v="3117.8399999999997"/>
    <n v="3543"/>
  </r>
  <r>
    <x v="0"/>
    <s v="Бердичів"/>
    <x v="1"/>
    <s v="Товари для дому"/>
    <s v="Серветки"/>
    <x v="1"/>
    <x v="1"/>
    <x v="13"/>
    <n v="2731.41"/>
    <n v="2937"/>
  </r>
  <r>
    <x v="1"/>
    <s v="Бердянськ"/>
    <x v="6"/>
    <s v="Товари для дому"/>
    <s v="Одноразовий посуд"/>
    <x v="1"/>
    <x v="1"/>
    <x v="13"/>
    <n v="1228.0800000000002"/>
    <n v="1428"/>
  </r>
  <r>
    <x v="2"/>
    <s v="Ірпінь"/>
    <x v="10"/>
    <s v="Косметика"/>
    <s v="Мило"/>
    <x v="1"/>
    <x v="1"/>
    <x v="13"/>
    <n v="2992.74"/>
    <n v="3218"/>
  </r>
  <r>
    <x v="2"/>
    <s v="Київ"/>
    <x v="11"/>
    <s v="Побутова хімія"/>
    <s v="Засіб для посудомийних машин"/>
    <x v="1"/>
    <x v="1"/>
    <x v="13"/>
    <n v="4846.6399999999994"/>
    <n v="5156"/>
  </r>
  <r>
    <x v="2"/>
    <s v="Біла Церква"/>
    <x v="7"/>
    <s v="Побутова хімія"/>
    <s v="Засоби для догляду за меблями"/>
    <x v="1"/>
    <x v="1"/>
    <x v="13"/>
    <n v="2962.9599999999996"/>
    <n v="3367"/>
  </r>
  <r>
    <x v="2"/>
    <s v="Бориспіль"/>
    <x v="3"/>
    <s v="Косметика"/>
    <s v="Мило"/>
    <x v="1"/>
    <x v="1"/>
    <x v="13"/>
    <n v="3882.8"/>
    <n v="4568"/>
  </r>
  <r>
    <x v="2"/>
    <s v="Ірпінь"/>
    <x v="10"/>
    <s v="Товари для дому"/>
    <s v="Одноразовий посуд"/>
    <x v="1"/>
    <x v="1"/>
    <x v="13"/>
    <n v="1513.8899999999999"/>
    <n v="1701"/>
  </r>
  <r>
    <x v="2"/>
    <s v="Київ"/>
    <x v="11"/>
    <s v="Косметика"/>
    <s v="Дезодорант"/>
    <x v="1"/>
    <x v="1"/>
    <x v="13"/>
    <n v="3216.4000000000005"/>
    <n v="3740"/>
  </r>
  <r>
    <x v="3"/>
    <s v="Одеса"/>
    <x v="4"/>
    <s v="Побутова хімія"/>
    <s v="Засіб для миття посуду"/>
    <x v="1"/>
    <x v="1"/>
    <x v="13"/>
    <n v="3075.3600000000006"/>
    <n v="3576"/>
  </r>
  <r>
    <x v="4"/>
    <s v="Харків"/>
    <x v="5"/>
    <s v="Побутова хімія"/>
    <s v="Засоби для догляду за меблями"/>
    <x v="1"/>
    <x v="1"/>
    <x v="13"/>
    <n v="3282.6200000000003"/>
    <n v="3817"/>
  </r>
  <r>
    <x v="3"/>
    <s v="Чорноморськ"/>
    <x v="8"/>
    <s v="Товари для дому"/>
    <s v="Зубочистки"/>
    <x v="1"/>
    <x v="1"/>
    <x v="13"/>
    <n v="1696.6000000000001"/>
    <n v="1996"/>
  </r>
  <r>
    <x v="4"/>
    <s v="Чугуїв"/>
    <x v="9"/>
    <s v="Косметика"/>
    <s v="Шампунь"/>
    <x v="1"/>
    <x v="1"/>
    <x v="13"/>
    <n v="3870.8999999999996"/>
    <n v="4301"/>
  </r>
  <r>
    <x v="2"/>
    <s v="Ірпінь"/>
    <x v="10"/>
    <s v="Побутова хімія"/>
    <s v="Засоби для догляду за меблями"/>
    <x v="1"/>
    <x v="1"/>
    <x v="13"/>
    <n v="3740.4599999999996"/>
    <n v="4022"/>
  </r>
  <r>
    <x v="2"/>
    <s v="Київ"/>
    <x v="11"/>
    <s v="Товари для дому"/>
    <s v="Зубочистки"/>
    <x v="1"/>
    <x v="1"/>
    <x v="13"/>
    <n v="2150.2399999999998"/>
    <n v="2416"/>
  </r>
  <r>
    <x v="0"/>
    <s v="Житомир"/>
    <x v="0"/>
    <s v="Товари для дому"/>
    <s v="Зубочистки"/>
    <x v="1"/>
    <x v="2"/>
    <x v="14"/>
    <n v="1914.2999999999997"/>
    <n v="2127"/>
  </r>
  <r>
    <x v="0"/>
    <s v="Бердичів"/>
    <x v="1"/>
    <s v="Товари для дому"/>
    <s v="Зубочистки"/>
    <x v="1"/>
    <x v="2"/>
    <x v="14"/>
    <n v="2792.8199999999997"/>
    <n v="3138"/>
  </r>
  <r>
    <x v="0"/>
    <s v="Бердичів"/>
    <x v="1"/>
    <s v="Косметика"/>
    <s v="Дезодорант"/>
    <x v="1"/>
    <x v="2"/>
    <x v="14"/>
    <n v="3395.0399999999995"/>
    <n v="3858"/>
  </r>
  <r>
    <x v="0"/>
    <s v="Житомир"/>
    <x v="0"/>
    <s v="Косметика"/>
    <s v="Дезодорант"/>
    <x v="1"/>
    <x v="2"/>
    <x v="14"/>
    <n v="2969.49"/>
    <n v="3193"/>
  </r>
  <r>
    <x v="0"/>
    <s v="Житомир"/>
    <x v="0"/>
    <s v="Побутова хімія"/>
    <s v="Засіб для миття посуду"/>
    <x v="1"/>
    <x v="2"/>
    <x v="14"/>
    <n v="3541.9999999999995"/>
    <n v="4025"/>
  </r>
  <r>
    <x v="1"/>
    <s v="Запоріжжя"/>
    <x v="2"/>
    <s v="Побутова хімія"/>
    <s v="Засіб для посудомийних машин"/>
    <x v="1"/>
    <x v="2"/>
    <x v="14"/>
    <n v="4661.4000000000005"/>
    <n v="5484"/>
  </r>
  <r>
    <x v="2"/>
    <s v="Бориспіль"/>
    <x v="3"/>
    <s v="Побутова хімія"/>
    <s v="Засоби для догляду за меблями"/>
    <x v="1"/>
    <x v="2"/>
    <x v="14"/>
    <n v="3464.9400000000005"/>
    <n v="4029"/>
  </r>
  <r>
    <x v="3"/>
    <s v="Одеса"/>
    <x v="4"/>
    <s v="Товари для дому"/>
    <s v="Серветки"/>
    <x v="1"/>
    <x v="2"/>
    <x v="14"/>
    <n v="1846.7499999999998"/>
    <n v="2075"/>
  </r>
  <r>
    <x v="4"/>
    <s v="Харків"/>
    <x v="5"/>
    <s v="Товари для дому"/>
    <s v="Зубочистки"/>
    <x v="1"/>
    <x v="2"/>
    <x v="14"/>
    <n v="2790.06"/>
    <n v="3066"/>
  </r>
  <r>
    <x v="0"/>
    <s v="Бердичів"/>
    <x v="1"/>
    <s v="Товари для дому"/>
    <s v="Одноразовий посуд"/>
    <x v="1"/>
    <x v="2"/>
    <x v="14"/>
    <n v="2277.4399999999996"/>
    <n v="2588"/>
  </r>
  <r>
    <x v="1"/>
    <s v="Бердянськ"/>
    <x v="6"/>
    <s v="Косметика"/>
    <s v="Шампунь"/>
    <x v="1"/>
    <x v="2"/>
    <x v="14"/>
    <n v="4978.16"/>
    <n v="5657"/>
  </r>
  <r>
    <x v="2"/>
    <s v="Біла Церква"/>
    <x v="7"/>
    <s v="Косметика"/>
    <s v="Дезодорант"/>
    <x v="1"/>
    <x v="2"/>
    <x v="14"/>
    <n v="4660.59"/>
    <n v="5357"/>
  </r>
  <r>
    <x v="3"/>
    <s v="Чорноморськ"/>
    <x v="8"/>
    <s v="Косметика"/>
    <s v="Мило"/>
    <x v="1"/>
    <x v="2"/>
    <x v="14"/>
    <n v="3233.7999999999997"/>
    <n v="3515"/>
  </r>
  <r>
    <x v="4"/>
    <s v="Чугуїв"/>
    <x v="9"/>
    <s v="Побутова хімія"/>
    <s v="Засіб для миття посуду"/>
    <x v="1"/>
    <x v="2"/>
    <x v="14"/>
    <n v="3497.7500000000005"/>
    <n v="4115"/>
  </r>
  <r>
    <x v="0"/>
    <s v="Житомир"/>
    <x v="0"/>
    <s v="Побутова хімія"/>
    <s v="Засіб для посудомийних машин"/>
    <x v="1"/>
    <x v="2"/>
    <x v="14"/>
    <n v="3846.4799999999996"/>
    <n v="4136"/>
  </r>
  <r>
    <x v="1"/>
    <s v="Запоріжжя"/>
    <x v="2"/>
    <s v="Побутова хімія"/>
    <s v="Засоби для догляду за меблями"/>
    <x v="1"/>
    <x v="2"/>
    <x v="14"/>
    <n v="2889.8999999999996"/>
    <n v="3211"/>
  </r>
  <r>
    <x v="2"/>
    <s v="Бориспіль"/>
    <x v="3"/>
    <s v="Товари для дому"/>
    <s v="Серветки"/>
    <x v="1"/>
    <x v="2"/>
    <x v="14"/>
    <n v="1487.8000000000002"/>
    <n v="1730"/>
  </r>
  <r>
    <x v="3"/>
    <s v="Одеса"/>
    <x v="4"/>
    <s v="Товари для дому"/>
    <s v="Зубочистки"/>
    <x v="1"/>
    <x v="2"/>
    <x v="14"/>
    <n v="1882.32"/>
    <n v="2024"/>
  </r>
  <r>
    <x v="4"/>
    <s v="Харків"/>
    <x v="5"/>
    <s v="Товари для дому"/>
    <s v="Одноразовий посуд"/>
    <x v="1"/>
    <x v="2"/>
    <x v="14"/>
    <n v="1500.7500000000002"/>
    <n v="1725"/>
  </r>
  <r>
    <x v="0"/>
    <s v="Бердичів"/>
    <x v="1"/>
    <s v="Косметика"/>
    <s v="Шампунь"/>
    <x v="1"/>
    <x v="2"/>
    <x v="14"/>
    <n v="4608.7000000000007"/>
    <n v="5422"/>
  </r>
  <r>
    <x v="1"/>
    <s v="Бердянськ"/>
    <x v="6"/>
    <s v="Косметика"/>
    <s v="Дезодорант"/>
    <x v="1"/>
    <x v="2"/>
    <x v="14"/>
    <n v="3796.3199999999997"/>
    <n v="4314"/>
  </r>
  <r>
    <x v="2"/>
    <s v="Біла Церква"/>
    <x v="7"/>
    <s v="Косметика"/>
    <s v="Мило"/>
    <x v="1"/>
    <x v="2"/>
    <x v="14"/>
    <n v="3148.2"/>
    <n v="3498"/>
  </r>
  <r>
    <x v="3"/>
    <s v="Чорноморськ"/>
    <x v="8"/>
    <s v="Побутова хімія"/>
    <s v="Засіб для миття посуду"/>
    <x v="1"/>
    <x v="2"/>
    <x v="14"/>
    <n v="3053.5999999999995"/>
    <n v="3470"/>
  </r>
  <r>
    <x v="4"/>
    <s v="Чугуїв"/>
    <x v="9"/>
    <s v="Побутова хімія"/>
    <s v="Засіб для посудомийних машин"/>
    <x v="1"/>
    <x v="2"/>
    <x v="14"/>
    <n v="3290.9399999999996"/>
    <n v="3501"/>
  </r>
  <r>
    <x v="0"/>
    <s v="Житомир"/>
    <x v="0"/>
    <s v="Побутова хімія"/>
    <s v="Засоби для догляду за меблями"/>
    <x v="1"/>
    <x v="2"/>
    <x v="14"/>
    <n v="3767.52"/>
    <n v="4008"/>
  </r>
  <r>
    <x v="1"/>
    <s v="Запоріжжя"/>
    <x v="2"/>
    <s v="Товари для дому"/>
    <s v="Серветки"/>
    <x v="1"/>
    <x v="2"/>
    <x v="14"/>
    <n v="2593.7999999999997"/>
    <n v="2882"/>
  </r>
  <r>
    <x v="2"/>
    <s v="Бориспіль"/>
    <x v="3"/>
    <s v="Товари для дому"/>
    <s v="Зубочистки"/>
    <x v="1"/>
    <x v="2"/>
    <x v="14"/>
    <n v="1762.9"/>
    <n v="2074"/>
  </r>
  <r>
    <x v="3"/>
    <s v="Одеса"/>
    <x v="4"/>
    <s v="Товари для дому"/>
    <s v="Одноразовий посуд"/>
    <x v="1"/>
    <x v="2"/>
    <x v="14"/>
    <n v="2273.84"/>
    <n v="2644"/>
  </r>
  <r>
    <x v="4"/>
    <s v="Харків"/>
    <x v="5"/>
    <s v="Косметика"/>
    <s v="Шампунь"/>
    <x v="1"/>
    <x v="2"/>
    <x v="14"/>
    <n v="5878.4"/>
    <n v="6680"/>
  </r>
  <r>
    <x v="1"/>
    <s v="Запоріжжя"/>
    <x v="2"/>
    <s v="Косметика"/>
    <s v="Мило"/>
    <x v="1"/>
    <x v="2"/>
    <x v="14"/>
    <n v="2197.8799999999997"/>
    <n v="2389"/>
  </r>
  <r>
    <x v="2"/>
    <s v="Біла Церква"/>
    <x v="7"/>
    <s v="Побутова хімія"/>
    <s v="Засіб для миття посуду"/>
    <x v="1"/>
    <x v="2"/>
    <x v="14"/>
    <n v="3177.72"/>
    <n v="3492"/>
  </r>
  <r>
    <x v="3"/>
    <s v="Чорноморськ"/>
    <x v="8"/>
    <s v="Побутова хімія"/>
    <s v="Засіб для посудомийних машин"/>
    <x v="1"/>
    <x v="2"/>
    <x v="14"/>
    <n v="2494.12"/>
    <n v="2711"/>
  </r>
  <r>
    <x v="4"/>
    <s v="Чугуїв"/>
    <x v="9"/>
    <s v="Побутова хімія"/>
    <s v="Засоби для догляду за меблями"/>
    <x v="1"/>
    <x v="2"/>
    <x v="14"/>
    <n v="2703.84"/>
    <n v="3144"/>
  </r>
  <r>
    <x v="0"/>
    <s v="Житомир"/>
    <x v="0"/>
    <s v="Товари для дому"/>
    <s v="Серветки"/>
    <x v="1"/>
    <x v="2"/>
    <x v="14"/>
    <n v="1726.08"/>
    <n v="1856"/>
  </r>
  <r>
    <x v="1"/>
    <s v="Бердянськ"/>
    <x v="6"/>
    <s v="Товари для дому"/>
    <s v="Зубочистки"/>
    <x v="1"/>
    <x v="2"/>
    <x v="14"/>
    <n v="2909.41"/>
    <n v="3269"/>
  </r>
  <r>
    <x v="2"/>
    <s v="Бориспіль"/>
    <x v="3"/>
    <s v="Товари для дому"/>
    <s v="Одноразовий посуд"/>
    <x v="1"/>
    <x v="2"/>
    <x v="14"/>
    <n v="2457.91"/>
    <n v="2701"/>
  </r>
  <r>
    <x v="3"/>
    <s v="Одеса"/>
    <x v="4"/>
    <s v="Косметика"/>
    <s v="Шампунь"/>
    <x v="1"/>
    <x v="2"/>
    <x v="14"/>
    <n v="4927.6499999999996"/>
    <n v="5415"/>
  </r>
  <r>
    <x v="4"/>
    <s v="Харків"/>
    <x v="5"/>
    <s v="Косметика"/>
    <s v="Дезодорант"/>
    <x v="1"/>
    <x v="2"/>
    <x v="14"/>
    <n v="3705.0699999999997"/>
    <n v="4163"/>
  </r>
  <r>
    <x v="0"/>
    <s v="Бердичів"/>
    <x v="1"/>
    <s v="Косметика"/>
    <s v="Мило"/>
    <x v="1"/>
    <x v="2"/>
    <x v="14"/>
    <n v="4330.58"/>
    <n v="4607"/>
  </r>
  <r>
    <x v="1"/>
    <s v="Запоріжжя"/>
    <x v="2"/>
    <s v="Побутова хімія"/>
    <s v="Засіб для миття посуду"/>
    <x v="1"/>
    <x v="2"/>
    <x v="14"/>
    <n v="4577.7999999999993"/>
    <n v="4870"/>
  </r>
  <r>
    <x v="2"/>
    <s v="Біла Церква"/>
    <x v="7"/>
    <s v="Побутова хімія"/>
    <s v="Засіб для посудомийних машин"/>
    <x v="1"/>
    <x v="2"/>
    <x v="14"/>
    <n v="4635.119999999999"/>
    <n v="5208"/>
  </r>
  <r>
    <x v="3"/>
    <s v="Чорноморськ"/>
    <x v="8"/>
    <s v="Побутова хімія"/>
    <s v="Засоби для догляду за меблями"/>
    <x v="1"/>
    <x v="2"/>
    <x v="14"/>
    <n v="2529.9600000000005"/>
    <n v="2908"/>
  </r>
  <r>
    <x v="4"/>
    <s v="Чугуїв"/>
    <x v="9"/>
    <s v="Товари для дому"/>
    <s v="Серветки"/>
    <x v="1"/>
    <x v="2"/>
    <x v="14"/>
    <n v="2440.3799999999997"/>
    <n v="2742"/>
  </r>
  <r>
    <x v="1"/>
    <s v="Запоріжжя"/>
    <x v="2"/>
    <s v="Товари для дому"/>
    <s v="Одноразовий посуд"/>
    <x v="1"/>
    <x v="2"/>
    <x v="14"/>
    <n v="2546.29"/>
    <n v="2861"/>
  </r>
  <r>
    <x v="2"/>
    <s v="Бориспіль"/>
    <x v="3"/>
    <s v="Косметика"/>
    <s v="Шампунь"/>
    <x v="1"/>
    <x v="2"/>
    <x v="14"/>
    <n v="5645.2699999999995"/>
    <n v="6343"/>
  </r>
  <r>
    <x v="3"/>
    <s v="Чорноморськ"/>
    <x v="8"/>
    <s v="Косметика"/>
    <s v="Дезодорант"/>
    <x v="1"/>
    <x v="2"/>
    <x v="14"/>
    <n v="4754.9400000000005"/>
    <n v="5529"/>
  </r>
  <r>
    <x v="4"/>
    <s v="Харків"/>
    <x v="5"/>
    <s v="Косметика"/>
    <s v="Мило"/>
    <x v="1"/>
    <x v="2"/>
    <x v="14"/>
    <n v="3498.6000000000004"/>
    <n v="4116"/>
  </r>
  <r>
    <x v="0"/>
    <s v="Бердичів"/>
    <x v="1"/>
    <s v="Побутова хімія"/>
    <s v="Засіб для миття посуду"/>
    <x v="1"/>
    <x v="2"/>
    <x v="14"/>
    <n v="3785.3700000000003"/>
    <n v="4351"/>
  </r>
  <r>
    <x v="0"/>
    <s v="Бердичів"/>
    <x v="1"/>
    <s v="Побутова хімія"/>
    <s v="Засіб для посудомийних машин"/>
    <x v="1"/>
    <x v="2"/>
    <x v="14"/>
    <n v="4150.9599999999991"/>
    <n v="4664"/>
  </r>
  <r>
    <x v="1"/>
    <s v="Бердянськ"/>
    <x v="6"/>
    <s v="Побутова хімія"/>
    <s v="Засоби для догляду за меблями"/>
    <x v="1"/>
    <x v="2"/>
    <x v="14"/>
    <n v="2583.15"/>
    <n v="3039"/>
  </r>
  <r>
    <x v="1"/>
    <s v="Бердянськ"/>
    <x v="6"/>
    <s v="Товари для дому"/>
    <s v="Серветки"/>
    <x v="1"/>
    <x v="2"/>
    <x v="14"/>
    <n v="2465.6"/>
    <n v="2680"/>
  </r>
  <r>
    <x v="2"/>
    <s v="Біла Церква"/>
    <x v="7"/>
    <s v="Товари для дому"/>
    <s v="Зубочистки"/>
    <x v="1"/>
    <x v="2"/>
    <x v="14"/>
    <n v="2635.29"/>
    <n v="2961"/>
  </r>
  <r>
    <x v="2"/>
    <s v="Біла Церква"/>
    <x v="7"/>
    <s v="Товари для дому"/>
    <s v="Одноразовий посуд"/>
    <x v="1"/>
    <x v="2"/>
    <x v="14"/>
    <n v="2174.4799999999996"/>
    <n v="2471"/>
  </r>
  <r>
    <x v="2"/>
    <s v="Бориспіль"/>
    <x v="3"/>
    <s v="Косметика"/>
    <s v="Дезодорант"/>
    <x v="1"/>
    <x v="2"/>
    <x v="14"/>
    <n v="4717.7999999999993"/>
    <n v="5242"/>
  </r>
  <r>
    <x v="0"/>
    <s v="Житомир"/>
    <x v="0"/>
    <s v="Косметика"/>
    <s v="Мило"/>
    <x v="1"/>
    <x v="2"/>
    <x v="14"/>
    <n v="3292.0800000000004"/>
    <n v="3828"/>
  </r>
  <r>
    <x v="2"/>
    <s v="Ірпінь"/>
    <x v="10"/>
    <s v="Товари для дому"/>
    <s v="Серветки"/>
    <x v="1"/>
    <x v="2"/>
    <x v="14"/>
    <n v="2483.48"/>
    <n v="2642"/>
  </r>
  <r>
    <x v="2"/>
    <s v="Ірпінь"/>
    <x v="10"/>
    <s v="Товари для дому"/>
    <s v="Зубочистки"/>
    <x v="1"/>
    <x v="2"/>
    <x v="14"/>
    <n v="1591.6"/>
    <n v="1730"/>
  </r>
  <r>
    <x v="2"/>
    <s v="Київ"/>
    <x v="11"/>
    <s v="Товари для дому"/>
    <s v="Одноразовий посуд"/>
    <x v="1"/>
    <x v="2"/>
    <x v="14"/>
    <n v="2437.7400000000002"/>
    <n v="2802"/>
  </r>
  <r>
    <x v="2"/>
    <s v="Київ"/>
    <x v="11"/>
    <s v="Косметика"/>
    <s v="Шампунь"/>
    <x v="1"/>
    <x v="2"/>
    <x v="14"/>
    <n v="5035.9399999999996"/>
    <n v="5534"/>
  </r>
  <r>
    <x v="3"/>
    <s v="Одеса"/>
    <x v="4"/>
    <s v="Косметика"/>
    <s v="Дезодорант"/>
    <x v="1"/>
    <x v="2"/>
    <x v="14"/>
    <n v="3034.16"/>
    <n v="3298"/>
  </r>
  <r>
    <x v="3"/>
    <s v="Одеса"/>
    <x v="4"/>
    <s v="Косметика"/>
    <s v="Мило"/>
    <x v="1"/>
    <x v="2"/>
    <x v="14"/>
    <n v="3393.0000000000005"/>
    <n v="3900"/>
  </r>
  <r>
    <x v="4"/>
    <s v="Харків"/>
    <x v="5"/>
    <s v="Побутова хімія"/>
    <s v="Засіб для миття посуду"/>
    <x v="1"/>
    <x v="2"/>
    <x v="14"/>
    <n v="3911.3999999999996"/>
    <n v="4346"/>
  </r>
  <r>
    <x v="4"/>
    <s v="Харків"/>
    <x v="5"/>
    <s v="Побутова хімія"/>
    <s v="Засіб для посудомийних машин"/>
    <x v="1"/>
    <x v="2"/>
    <x v="14"/>
    <n v="4716.2400000000007"/>
    <n v="5484"/>
  </r>
  <r>
    <x v="3"/>
    <s v="Чорноморськ"/>
    <x v="8"/>
    <s v="Товари для дому"/>
    <s v="Серветки"/>
    <x v="1"/>
    <x v="2"/>
    <x v="14"/>
    <n v="1588.86"/>
    <n v="1746"/>
  </r>
  <r>
    <x v="4"/>
    <s v="Чугуїв"/>
    <x v="9"/>
    <s v="Товари для дому"/>
    <s v="Зубочистки"/>
    <x v="1"/>
    <x v="2"/>
    <x v="14"/>
    <n v="2000.0500000000002"/>
    <n v="2353"/>
  </r>
  <r>
    <x v="4"/>
    <s v="Чугуїв"/>
    <x v="9"/>
    <s v="Товари для дому"/>
    <s v="Одноразовий посуд"/>
    <x v="1"/>
    <x v="2"/>
    <x v="14"/>
    <n v="1195.04"/>
    <n v="1358"/>
  </r>
  <r>
    <x v="2"/>
    <s v="Біла Церква"/>
    <x v="7"/>
    <s v="Косметика"/>
    <s v="Шампунь"/>
    <x v="1"/>
    <x v="2"/>
    <x v="14"/>
    <n v="4875.4199999999992"/>
    <n v="5478"/>
  </r>
  <r>
    <x v="1"/>
    <s v="Бердянськ"/>
    <x v="6"/>
    <s v="Побутова хімія"/>
    <s v="Засіб для посудомийних машин"/>
    <x v="1"/>
    <x v="2"/>
    <x v="14"/>
    <n v="3318.2999999999997"/>
    <n v="3687"/>
  </r>
  <r>
    <x v="0"/>
    <s v="Житомир"/>
    <x v="0"/>
    <s v="Товари для дому"/>
    <s v="Одноразовий посуд"/>
    <x v="1"/>
    <x v="2"/>
    <x v="14"/>
    <n v="1330.32"/>
    <n v="1446"/>
  </r>
  <r>
    <x v="0"/>
    <s v="Житомир"/>
    <x v="0"/>
    <s v="Косметика"/>
    <s v="Шампунь"/>
    <x v="1"/>
    <x v="2"/>
    <x v="14"/>
    <n v="5517.5400000000009"/>
    <n v="6342"/>
  </r>
  <r>
    <x v="1"/>
    <s v="Запоріжжя"/>
    <x v="2"/>
    <s v="Косметика"/>
    <s v="Дезодорант"/>
    <x v="1"/>
    <x v="2"/>
    <x v="14"/>
    <n v="3959.9999999999995"/>
    <n v="4400"/>
  </r>
  <r>
    <x v="2"/>
    <s v="Ірпінь"/>
    <x v="10"/>
    <s v="Побутова хімія"/>
    <s v="Засіб для миття посуду"/>
    <x v="1"/>
    <x v="2"/>
    <x v="14"/>
    <n v="3927.5999999999995"/>
    <n v="4364"/>
  </r>
  <r>
    <x v="2"/>
    <s v="Ірпінь"/>
    <x v="10"/>
    <s v="Побутова хімія"/>
    <s v="Засіб для посудомийних машин"/>
    <x v="1"/>
    <x v="2"/>
    <x v="14"/>
    <n v="3948.64"/>
    <n v="4292"/>
  </r>
  <r>
    <x v="2"/>
    <s v="Київ"/>
    <x v="11"/>
    <s v="Побутова хімія"/>
    <s v="Засоби для догляду за меблями"/>
    <x v="1"/>
    <x v="2"/>
    <x v="14"/>
    <n v="3619.2799999999997"/>
    <n v="3934"/>
  </r>
  <r>
    <x v="2"/>
    <s v="Київ"/>
    <x v="11"/>
    <s v="Товари для дому"/>
    <s v="Серветки"/>
    <x v="1"/>
    <x v="2"/>
    <x v="14"/>
    <n v="2478.8399999999997"/>
    <n v="2724"/>
  </r>
  <r>
    <x v="2"/>
    <s v="Біла Церква"/>
    <x v="7"/>
    <s v="Товари для дому"/>
    <s v="Серветки"/>
    <x v="1"/>
    <x v="2"/>
    <x v="14"/>
    <n v="2473.5000000000005"/>
    <n v="2910"/>
  </r>
  <r>
    <x v="1"/>
    <s v="Бердянськ"/>
    <x v="6"/>
    <s v="Косметика"/>
    <s v="Мило"/>
    <x v="1"/>
    <x v="2"/>
    <x v="14"/>
    <n v="2335.9500000000003"/>
    <n v="2685"/>
  </r>
  <r>
    <x v="2"/>
    <s v="Бориспіль"/>
    <x v="3"/>
    <s v="Побутова хімія"/>
    <s v="Засіб для миття посуду"/>
    <x v="1"/>
    <x v="2"/>
    <x v="14"/>
    <n v="4137.72"/>
    <n v="4756"/>
  </r>
  <r>
    <x v="2"/>
    <s v="Бориспіль"/>
    <x v="3"/>
    <s v="Побутова хімія"/>
    <s v="Засіб для посудомийних машин"/>
    <x v="1"/>
    <x v="2"/>
    <x v="14"/>
    <n v="2708.16"/>
    <n v="2976"/>
  </r>
  <r>
    <x v="1"/>
    <s v="Запоріжжя"/>
    <x v="2"/>
    <s v="Товари для дому"/>
    <s v="Зубочистки"/>
    <x v="1"/>
    <x v="2"/>
    <x v="14"/>
    <n v="2018.6999999999998"/>
    <n v="2243"/>
  </r>
  <r>
    <x v="2"/>
    <s v="Ірпінь"/>
    <x v="10"/>
    <s v="Косметика"/>
    <s v="Шампунь"/>
    <x v="1"/>
    <x v="2"/>
    <x v="14"/>
    <n v="6484.12"/>
    <n v="6898"/>
  </r>
  <r>
    <x v="2"/>
    <s v="Ірпінь"/>
    <x v="10"/>
    <s v="Косметика"/>
    <s v="Дезодорант"/>
    <x v="1"/>
    <x v="2"/>
    <x v="14"/>
    <n v="4832.7599999999993"/>
    <n v="5253"/>
  </r>
  <r>
    <x v="2"/>
    <s v="Київ"/>
    <x v="11"/>
    <s v="Косметика"/>
    <s v="Мило"/>
    <x v="1"/>
    <x v="2"/>
    <x v="14"/>
    <n v="2515.2799999999997"/>
    <n v="2734"/>
  </r>
  <r>
    <x v="2"/>
    <s v="Київ"/>
    <x v="11"/>
    <s v="Побутова хімія"/>
    <s v="Засіб для миття посуду"/>
    <x v="1"/>
    <x v="2"/>
    <x v="14"/>
    <n v="4318.8599999999997"/>
    <n v="4746"/>
  </r>
  <r>
    <x v="3"/>
    <s v="Одеса"/>
    <x v="4"/>
    <s v="Побутова хімія"/>
    <s v="Засіб для посудомийних машин"/>
    <x v="1"/>
    <x v="2"/>
    <x v="14"/>
    <n v="3222.3099999999995"/>
    <n v="3541"/>
  </r>
  <r>
    <x v="3"/>
    <s v="Одеса"/>
    <x v="4"/>
    <s v="Побутова хімія"/>
    <s v="Засоби для догляду за меблями"/>
    <x v="1"/>
    <x v="2"/>
    <x v="14"/>
    <n v="3295.5600000000004"/>
    <n v="3788"/>
  </r>
  <r>
    <x v="4"/>
    <s v="Харків"/>
    <x v="5"/>
    <s v="Товари для дому"/>
    <s v="Серветки"/>
    <x v="1"/>
    <x v="2"/>
    <x v="14"/>
    <n v="1457.28"/>
    <n v="1584"/>
  </r>
  <r>
    <x v="3"/>
    <s v="Чорноморськ"/>
    <x v="8"/>
    <s v="Товари для дому"/>
    <s v="Одноразовий посуд"/>
    <x v="1"/>
    <x v="2"/>
    <x v="14"/>
    <n v="2152.9499999999998"/>
    <n v="2315"/>
  </r>
  <r>
    <x v="3"/>
    <s v="Чорноморськ"/>
    <x v="8"/>
    <s v="Косметика"/>
    <s v="Шампунь"/>
    <x v="1"/>
    <x v="2"/>
    <x v="14"/>
    <n v="4113.1500000000005"/>
    <n v="4839"/>
  </r>
  <r>
    <x v="4"/>
    <s v="Чугуїв"/>
    <x v="9"/>
    <s v="Косметика"/>
    <s v="Дезодорант"/>
    <x v="1"/>
    <x v="2"/>
    <x v="14"/>
    <n v="3362.45"/>
    <n v="3695"/>
  </r>
  <r>
    <x v="4"/>
    <s v="Чугуїв"/>
    <x v="9"/>
    <s v="Косметика"/>
    <s v="Мило"/>
    <x v="1"/>
    <x v="2"/>
    <x v="14"/>
    <n v="2901.4500000000003"/>
    <n v="3335"/>
  </r>
  <r>
    <x v="0"/>
    <s v="Бердичів"/>
    <x v="1"/>
    <s v="Побутова хімія"/>
    <s v="Засоби для догляду за меблями"/>
    <x v="1"/>
    <x v="2"/>
    <x v="14"/>
    <n v="3140.0999999999995"/>
    <n v="3489"/>
  </r>
  <r>
    <x v="0"/>
    <s v="Бердичів"/>
    <x v="1"/>
    <s v="Товари для дому"/>
    <s v="Серветки"/>
    <x v="1"/>
    <x v="2"/>
    <x v="14"/>
    <n v="1587.6"/>
    <n v="1764"/>
  </r>
  <r>
    <x v="1"/>
    <s v="Бердянськ"/>
    <x v="6"/>
    <s v="Товари для дому"/>
    <s v="Одноразовий посуд"/>
    <x v="1"/>
    <x v="2"/>
    <x v="14"/>
    <n v="2172.12"/>
    <n v="2361"/>
  </r>
  <r>
    <x v="2"/>
    <s v="Ірпінь"/>
    <x v="10"/>
    <s v="Косметика"/>
    <s v="Мило"/>
    <x v="1"/>
    <x v="2"/>
    <x v="14"/>
    <n v="2448"/>
    <n v="2880"/>
  </r>
  <r>
    <x v="2"/>
    <s v="Київ"/>
    <x v="11"/>
    <s v="Побутова хімія"/>
    <s v="Засіб для посудомийних машин"/>
    <x v="1"/>
    <x v="2"/>
    <x v="14"/>
    <n v="3278.7299999999996"/>
    <n v="3603"/>
  </r>
  <r>
    <x v="2"/>
    <s v="Біла Церква"/>
    <x v="7"/>
    <s v="Побутова хімія"/>
    <s v="Засоби для догляду за меблями"/>
    <x v="1"/>
    <x v="2"/>
    <x v="14"/>
    <n v="3801.8399999999997"/>
    <n v="4088"/>
  </r>
  <r>
    <x v="2"/>
    <s v="Бориспіль"/>
    <x v="3"/>
    <s v="Косметика"/>
    <s v="Мило"/>
    <x v="1"/>
    <x v="2"/>
    <x v="14"/>
    <n v="3337.3200000000006"/>
    <n v="3836"/>
  </r>
  <r>
    <x v="2"/>
    <s v="Ірпінь"/>
    <x v="10"/>
    <s v="Товари для дому"/>
    <s v="Одноразовий посуд"/>
    <x v="1"/>
    <x v="2"/>
    <x v="14"/>
    <n v="1448.08"/>
    <n v="1574"/>
  </r>
  <r>
    <x v="2"/>
    <s v="Київ"/>
    <x v="11"/>
    <s v="Косметика"/>
    <s v="Дезодорант"/>
    <x v="1"/>
    <x v="2"/>
    <x v="14"/>
    <n v="2585.1600000000003"/>
    <n v="3006"/>
  </r>
  <r>
    <x v="3"/>
    <s v="Одеса"/>
    <x v="4"/>
    <s v="Побутова хімія"/>
    <s v="Засіб для миття посуду"/>
    <x v="1"/>
    <x v="2"/>
    <x v="14"/>
    <n v="3294.6900000000005"/>
    <n v="3787"/>
  </r>
  <r>
    <x v="4"/>
    <s v="Харків"/>
    <x v="5"/>
    <s v="Побутова хімія"/>
    <s v="Засоби для догляду за меблями"/>
    <x v="1"/>
    <x v="2"/>
    <x v="14"/>
    <n v="3217.26"/>
    <n v="3698"/>
  </r>
  <r>
    <x v="3"/>
    <s v="Чорноморськ"/>
    <x v="8"/>
    <s v="Товари для дому"/>
    <s v="Зубочистки"/>
    <x v="1"/>
    <x v="2"/>
    <x v="14"/>
    <n v="1779.3599999999997"/>
    <n v="2022"/>
  </r>
  <r>
    <x v="4"/>
    <s v="Чугуїв"/>
    <x v="9"/>
    <s v="Косметика"/>
    <s v="Шампунь"/>
    <x v="1"/>
    <x v="2"/>
    <x v="14"/>
    <n v="4098.16"/>
    <n v="4657"/>
  </r>
  <r>
    <x v="2"/>
    <s v="Ірпінь"/>
    <x v="10"/>
    <s v="Побутова хімія"/>
    <s v="Засоби для догляду за меблями"/>
    <x v="1"/>
    <x v="2"/>
    <x v="14"/>
    <n v="2832.68"/>
    <n v="3079"/>
  </r>
  <r>
    <x v="2"/>
    <s v="Київ"/>
    <x v="11"/>
    <s v="Товари для дому"/>
    <s v="Зубочистки"/>
    <x v="1"/>
    <x v="2"/>
    <x v="14"/>
    <n v="2598.9599999999996"/>
    <n v="2856"/>
  </r>
  <r>
    <x v="0"/>
    <s v="Житомир"/>
    <x v="0"/>
    <s v="Товари для дому"/>
    <s v="Зубочистки"/>
    <x v="1"/>
    <x v="3"/>
    <x v="15"/>
    <n v="2569.02"/>
    <n v="2733"/>
  </r>
  <r>
    <x v="0"/>
    <s v="Бердичів"/>
    <x v="1"/>
    <s v="Товари для дому"/>
    <s v="Зубочистки"/>
    <x v="1"/>
    <x v="3"/>
    <x v="15"/>
    <n v="1728.6599999999999"/>
    <n v="1839"/>
  </r>
  <r>
    <x v="0"/>
    <s v="Бердичів"/>
    <x v="1"/>
    <s v="Косметика"/>
    <s v="Дезодорант"/>
    <x v="1"/>
    <x v="3"/>
    <x v="15"/>
    <n v="2328.4799999999996"/>
    <n v="2646"/>
  </r>
  <r>
    <x v="0"/>
    <s v="Житомир"/>
    <x v="0"/>
    <s v="Косметика"/>
    <s v="Дезодорант"/>
    <x v="1"/>
    <x v="3"/>
    <x v="15"/>
    <n v="3206.0800000000004"/>
    <n v="3728"/>
  </r>
  <r>
    <x v="0"/>
    <s v="Житомир"/>
    <x v="0"/>
    <s v="Побутова хімія"/>
    <s v="Засіб для миття посуду"/>
    <x v="1"/>
    <x v="3"/>
    <x v="15"/>
    <n v="4438.7999999999993"/>
    <n v="4932"/>
  </r>
  <r>
    <x v="1"/>
    <s v="Запоріжжя"/>
    <x v="2"/>
    <s v="Побутова хімія"/>
    <s v="Засіб для посудомийних машин"/>
    <x v="1"/>
    <x v="3"/>
    <x v="15"/>
    <n v="3246.5000000000005"/>
    <n v="3775"/>
  </r>
  <r>
    <x v="2"/>
    <s v="Бориспіль"/>
    <x v="3"/>
    <s v="Побутова хімія"/>
    <s v="Засоби для догляду за меблями"/>
    <x v="1"/>
    <x v="3"/>
    <x v="15"/>
    <n v="3176.9999999999995"/>
    <n v="3530"/>
  </r>
  <r>
    <x v="3"/>
    <s v="Одеса"/>
    <x v="4"/>
    <s v="Товари для дому"/>
    <s v="Серветки"/>
    <x v="1"/>
    <x v="3"/>
    <x v="15"/>
    <n v="2061.7199999999998"/>
    <n v="2241"/>
  </r>
  <r>
    <x v="4"/>
    <s v="Харків"/>
    <x v="5"/>
    <s v="Товари для дому"/>
    <s v="Зубочистки"/>
    <x v="1"/>
    <x v="3"/>
    <x v="15"/>
    <n v="2795.58"/>
    <n v="3006"/>
  </r>
  <r>
    <x v="0"/>
    <s v="Бердичів"/>
    <x v="1"/>
    <s v="Товари для дому"/>
    <s v="Одноразовий посуд"/>
    <x v="1"/>
    <x v="3"/>
    <x v="15"/>
    <n v="1221.45"/>
    <n v="1437"/>
  </r>
  <r>
    <x v="1"/>
    <s v="Бердянськ"/>
    <x v="6"/>
    <s v="Косметика"/>
    <s v="Шампунь"/>
    <x v="1"/>
    <x v="3"/>
    <x v="15"/>
    <n v="4870.5"/>
    <n v="5730"/>
  </r>
  <r>
    <x v="2"/>
    <s v="Біла Церква"/>
    <x v="7"/>
    <s v="Косметика"/>
    <s v="Дезодорант"/>
    <x v="1"/>
    <x v="3"/>
    <x v="15"/>
    <n v="3596.3999999999996"/>
    <n v="3996"/>
  </r>
  <r>
    <x v="3"/>
    <s v="Чорноморськ"/>
    <x v="8"/>
    <s v="Косметика"/>
    <s v="Мило"/>
    <x v="1"/>
    <x v="3"/>
    <x v="15"/>
    <n v="2676.31"/>
    <n v="2941"/>
  </r>
  <r>
    <x v="4"/>
    <s v="Чугуїв"/>
    <x v="9"/>
    <s v="Побутова хімія"/>
    <s v="Засіб для миття посуду"/>
    <x v="1"/>
    <x v="3"/>
    <x v="15"/>
    <n v="3137.28"/>
    <n v="3648"/>
  </r>
  <r>
    <x v="0"/>
    <s v="Житомир"/>
    <x v="0"/>
    <s v="Побутова хімія"/>
    <s v="Засіб для посудомийних машин"/>
    <x v="1"/>
    <x v="3"/>
    <x v="15"/>
    <n v="4365.8999999999996"/>
    <n v="4851"/>
  </r>
  <r>
    <x v="1"/>
    <s v="Запоріжжя"/>
    <x v="2"/>
    <s v="Побутова хімія"/>
    <s v="Засоби для догляду за меблями"/>
    <x v="1"/>
    <x v="3"/>
    <x v="15"/>
    <n v="3546.2699999999995"/>
    <n v="3897"/>
  </r>
  <r>
    <x v="2"/>
    <s v="Бориспіль"/>
    <x v="3"/>
    <s v="Товари для дому"/>
    <s v="Серветки"/>
    <x v="1"/>
    <x v="3"/>
    <x v="15"/>
    <n v="1378.9599999999998"/>
    <n v="1567"/>
  </r>
  <r>
    <x v="3"/>
    <s v="Одеса"/>
    <x v="4"/>
    <s v="Товари для дому"/>
    <s v="Зубочистки"/>
    <x v="1"/>
    <x v="3"/>
    <x v="15"/>
    <n v="1530.32"/>
    <n v="1628"/>
  </r>
  <r>
    <x v="4"/>
    <s v="Харків"/>
    <x v="5"/>
    <s v="Товари для дому"/>
    <s v="Одноразовий посуд"/>
    <x v="1"/>
    <x v="3"/>
    <x v="15"/>
    <n v="1591.0000000000002"/>
    <n v="1850"/>
  </r>
  <r>
    <x v="0"/>
    <s v="Бердичів"/>
    <x v="1"/>
    <s v="Косметика"/>
    <s v="Шампунь"/>
    <x v="1"/>
    <x v="3"/>
    <x v="15"/>
    <n v="5299.7199999999993"/>
    <n v="5638"/>
  </r>
  <r>
    <x v="1"/>
    <s v="Бердянськ"/>
    <x v="6"/>
    <s v="Косметика"/>
    <s v="Дезодорант"/>
    <x v="1"/>
    <x v="3"/>
    <x v="15"/>
    <n v="4160.24"/>
    <n v="4522"/>
  </r>
  <r>
    <x v="2"/>
    <s v="Біла Церква"/>
    <x v="7"/>
    <s v="Косметика"/>
    <s v="Мило"/>
    <x v="1"/>
    <x v="3"/>
    <x v="15"/>
    <n v="3857.3999999999996"/>
    <n v="4286"/>
  </r>
  <r>
    <x v="3"/>
    <s v="Чорноморськ"/>
    <x v="8"/>
    <s v="Побутова хімія"/>
    <s v="Засіб для миття посуду"/>
    <x v="1"/>
    <x v="3"/>
    <x v="15"/>
    <n v="3654.8700000000003"/>
    <n v="4201"/>
  </r>
  <r>
    <x v="4"/>
    <s v="Чугуїв"/>
    <x v="9"/>
    <s v="Побутова хімія"/>
    <s v="Засіб для посудомийних машин"/>
    <x v="1"/>
    <x v="3"/>
    <x v="15"/>
    <n v="3991.5600000000004"/>
    <n v="4588"/>
  </r>
  <r>
    <x v="0"/>
    <s v="Житомир"/>
    <x v="0"/>
    <s v="Побутова хімія"/>
    <s v="Засоби для догляду за меблями"/>
    <x v="1"/>
    <x v="3"/>
    <x v="15"/>
    <n v="3744.9599999999996"/>
    <n v="3984"/>
  </r>
  <r>
    <x v="1"/>
    <s v="Запоріжжя"/>
    <x v="2"/>
    <s v="Товари для дому"/>
    <s v="Серветки"/>
    <x v="1"/>
    <x v="3"/>
    <x v="15"/>
    <n v="2346.9199999999996"/>
    <n v="2551"/>
  </r>
  <r>
    <x v="2"/>
    <s v="Бориспіль"/>
    <x v="3"/>
    <s v="Товари для дому"/>
    <s v="Зубочистки"/>
    <x v="1"/>
    <x v="3"/>
    <x v="15"/>
    <n v="1712.1600000000003"/>
    <n v="1968"/>
  </r>
  <r>
    <x v="3"/>
    <s v="Одеса"/>
    <x v="4"/>
    <s v="Товари для дому"/>
    <s v="Одноразовий посуд"/>
    <x v="1"/>
    <x v="3"/>
    <x v="15"/>
    <n v="1807.9500000000003"/>
    <n v="2127"/>
  </r>
  <r>
    <x v="4"/>
    <s v="Харків"/>
    <x v="5"/>
    <s v="Косметика"/>
    <s v="Шампунь"/>
    <x v="1"/>
    <x v="3"/>
    <x v="15"/>
    <n v="3796.2599999999998"/>
    <n v="4082"/>
  </r>
  <r>
    <x v="1"/>
    <s v="Запоріжжя"/>
    <x v="2"/>
    <s v="Косметика"/>
    <s v="Мило"/>
    <x v="1"/>
    <x v="3"/>
    <x v="15"/>
    <n v="2242.86"/>
    <n v="2578"/>
  </r>
  <r>
    <x v="2"/>
    <s v="Біла Церква"/>
    <x v="7"/>
    <s v="Побутова хімія"/>
    <s v="Засіб для миття посуду"/>
    <x v="1"/>
    <x v="3"/>
    <x v="15"/>
    <n v="4263.0999999999995"/>
    <n v="4790"/>
  </r>
  <r>
    <x v="3"/>
    <s v="Чорноморськ"/>
    <x v="8"/>
    <s v="Побутова хімія"/>
    <s v="Засіб для посудомийних машин"/>
    <x v="1"/>
    <x v="3"/>
    <x v="15"/>
    <n v="4120.6799999999994"/>
    <n v="4479"/>
  </r>
  <r>
    <x v="4"/>
    <s v="Чугуїв"/>
    <x v="9"/>
    <s v="Побутова хімія"/>
    <s v="Засоби для догляду за меблями"/>
    <x v="1"/>
    <x v="3"/>
    <x v="15"/>
    <n v="3788.2"/>
    <n v="4030"/>
  </r>
  <r>
    <x v="0"/>
    <s v="Житомир"/>
    <x v="0"/>
    <s v="Товари для дому"/>
    <s v="Серветки"/>
    <x v="1"/>
    <x v="3"/>
    <x v="15"/>
    <n v="1929.1999999999998"/>
    <n v="2120"/>
  </r>
  <r>
    <x v="1"/>
    <s v="Бердянськ"/>
    <x v="6"/>
    <s v="Товари для дому"/>
    <s v="Зубочистки"/>
    <x v="1"/>
    <x v="3"/>
    <x v="15"/>
    <n v="2671.7700000000004"/>
    <n v="3071"/>
  </r>
  <r>
    <x v="2"/>
    <s v="Бориспіль"/>
    <x v="3"/>
    <s v="Товари для дому"/>
    <s v="Одноразовий посуд"/>
    <x v="1"/>
    <x v="3"/>
    <x v="15"/>
    <n v="1467.54"/>
    <n v="1578"/>
  </r>
  <r>
    <x v="3"/>
    <s v="Одеса"/>
    <x v="4"/>
    <s v="Косметика"/>
    <s v="Шампунь"/>
    <x v="1"/>
    <x v="3"/>
    <x v="15"/>
    <n v="5008.6400000000003"/>
    <n v="5824"/>
  </r>
  <r>
    <x v="4"/>
    <s v="Харків"/>
    <x v="5"/>
    <s v="Косметика"/>
    <s v="Дезодорант"/>
    <x v="1"/>
    <x v="3"/>
    <x v="15"/>
    <n v="3033.24"/>
    <n v="3297"/>
  </r>
  <r>
    <x v="0"/>
    <s v="Бердичів"/>
    <x v="1"/>
    <s v="Косметика"/>
    <s v="Мило"/>
    <x v="1"/>
    <x v="3"/>
    <x v="15"/>
    <n v="2017.7999999999997"/>
    <n v="2242"/>
  </r>
  <r>
    <x v="1"/>
    <s v="Запоріжжя"/>
    <x v="2"/>
    <s v="Побутова хімія"/>
    <s v="Засіб для миття посуду"/>
    <x v="1"/>
    <x v="3"/>
    <x v="15"/>
    <n v="3147.0399999999995"/>
    <n v="3536"/>
  </r>
  <r>
    <x v="2"/>
    <s v="Біла Церква"/>
    <x v="7"/>
    <s v="Побутова хімія"/>
    <s v="Засіб для посудомийних машин"/>
    <x v="1"/>
    <x v="3"/>
    <x v="15"/>
    <n v="2904.4399999999996"/>
    <n v="3157"/>
  </r>
  <r>
    <x v="3"/>
    <s v="Чорноморськ"/>
    <x v="8"/>
    <s v="Побутова хімія"/>
    <s v="Засоби для догляду за меблями"/>
    <x v="1"/>
    <x v="3"/>
    <x v="15"/>
    <n v="3133.7999999999997"/>
    <n v="3482"/>
  </r>
  <r>
    <x v="4"/>
    <s v="Чугуїв"/>
    <x v="9"/>
    <s v="Товари для дому"/>
    <s v="Серветки"/>
    <x v="1"/>
    <x v="3"/>
    <x v="15"/>
    <n v="2677.22"/>
    <n v="2942"/>
  </r>
  <r>
    <x v="1"/>
    <s v="Запоріжжя"/>
    <x v="2"/>
    <s v="Товари для дому"/>
    <s v="Одноразовий посуд"/>
    <x v="1"/>
    <x v="3"/>
    <x v="15"/>
    <n v="1997.5"/>
    <n v="2125"/>
  </r>
  <r>
    <x v="2"/>
    <s v="Бориспіль"/>
    <x v="3"/>
    <s v="Косметика"/>
    <s v="Шампунь"/>
    <x v="1"/>
    <x v="3"/>
    <x v="15"/>
    <n v="4366.3399999999992"/>
    <n v="4906"/>
  </r>
  <r>
    <x v="3"/>
    <s v="Чорноморськ"/>
    <x v="8"/>
    <s v="Косметика"/>
    <s v="Дезодорант"/>
    <x v="1"/>
    <x v="3"/>
    <x v="15"/>
    <n v="2658.1099999999997"/>
    <n v="2921"/>
  </r>
  <r>
    <x v="4"/>
    <s v="Харків"/>
    <x v="5"/>
    <s v="Косметика"/>
    <s v="Мило"/>
    <x v="1"/>
    <x v="3"/>
    <x v="15"/>
    <n v="1883.6999999999998"/>
    <n v="2093"/>
  </r>
  <r>
    <x v="0"/>
    <s v="Бердичів"/>
    <x v="1"/>
    <s v="Побутова хімія"/>
    <s v="Засіб для миття посуду"/>
    <x v="1"/>
    <x v="3"/>
    <x v="15"/>
    <n v="3545.9999999999995"/>
    <n v="3940"/>
  </r>
  <r>
    <x v="0"/>
    <s v="Бердичів"/>
    <x v="1"/>
    <s v="Побутова хімія"/>
    <s v="Засіб для посудомийних машин"/>
    <x v="1"/>
    <x v="3"/>
    <x v="15"/>
    <n v="3028.9200000000005"/>
    <n v="3522"/>
  </r>
  <r>
    <x v="1"/>
    <s v="Бердянськ"/>
    <x v="6"/>
    <s v="Побутова хімія"/>
    <s v="Засоби для догляду за меблями"/>
    <x v="1"/>
    <x v="3"/>
    <x v="15"/>
    <n v="3157.7500000000005"/>
    <n v="3715"/>
  </r>
  <r>
    <x v="1"/>
    <s v="Бердянськ"/>
    <x v="6"/>
    <s v="Товари для дому"/>
    <s v="Серветки"/>
    <x v="1"/>
    <x v="3"/>
    <x v="15"/>
    <n v="1362.2400000000002"/>
    <n v="1584"/>
  </r>
  <r>
    <x v="2"/>
    <s v="Біла Церква"/>
    <x v="7"/>
    <s v="Товари для дому"/>
    <s v="Зубочистки"/>
    <x v="1"/>
    <x v="3"/>
    <x v="15"/>
    <n v="2517.6799999999998"/>
    <n v="2861"/>
  </r>
  <r>
    <x v="2"/>
    <s v="Біла Церква"/>
    <x v="7"/>
    <s v="Товари для дому"/>
    <s v="Одноразовий посуд"/>
    <x v="1"/>
    <x v="3"/>
    <x v="15"/>
    <n v="1814.7500000000002"/>
    <n v="2135"/>
  </r>
  <r>
    <x v="2"/>
    <s v="Бориспіль"/>
    <x v="3"/>
    <s v="Косметика"/>
    <s v="Дезодорант"/>
    <x v="1"/>
    <x v="3"/>
    <x v="15"/>
    <n v="3672.5699999999997"/>
    <n v="3949"/>
  </r>
  <r>
    <x v="0"/>
    <s v="Житомир"/>
    <x v="0"/>
    <s v="Косметика"/>
    <s v="Мило"/>
    <x v="1"/>
    <x v="3"/>
    <x v="15"/>
    <n v="2624.3999999999996"/>
    <n v="2916"/>
  </r>
  <r>
    <x v="2"/>
    <s v="Ірпінь"/>
    <x v="10"/>
    <s v="Товари для дому"/>
    <s v="Серветки"/>
    <x v="1"/>
    <x v="3"/>
    <x v="15"/>
    <n v="1612.1100000000001"/>
    <n v="1853"/>
  </r>
  <r>
    <x v="2"/>
    <s v="Ірпінь"/>
    <x v="10"/>
    <s v="Товари для дому"/>
    <s v="Зубочистки"/>
    <x v="1"/>
    <x v="3"/>
    <x v="15"/>
    <n v="2057.5099999999998"/>
    <n v="2261"/>
  </r>
  <r>
    <x v="2"/>
    <s v="Київ"/>
    <x v="11"/>
    <s v="Товари для дому"/>
    <s v="Одноразовий посуд"/>
    <x v="1"/>
    <x v="3"/>
    <x v="15"/>
    <n v="2576"/>
    <n v="2800"/>
  </r>
  <r>
    <x v="2"/>
    <s v="Київ"/>
    <x v="11"/>
    <s v="Косметика"/>
    <s v="Шампунь"/>
    <x v="1"/>
    <x v="3"/>
    <x v="15"/>
    <n v="5735.8000000000011"/>
    <n v="6748"/>
  </r>
  <r>
    <x v="3"/>
    <s v="Одеса"/>
    <x v="4"/>
    <s v="Косметика"/>
    <s v="Дезодорант"/>
    <x v="1"/>
    <x v="3"/>
    <x v="15"/>
    <n v="3712.2900000000004"/>
    <n v="4267"/>
  </r>
  <r>
    <x v="3"/>
    <s v="Одеса"/>
    <x v="4"/>
    <s v="Косметика"/>
    <s v="Мило"/>
    <x v="1"/>
    <x v="3"/>
    <x v="15"/>
    <n v="3368.55"/>
    <n v="3963"/>
  </r>
  <r>
    <x v="4"/>
    <s v="Харків"/>
    <x v="5"/>
    <s v="Побутова хімія"/>
    <s v="Засіб для миття посуду"/>
    <x v="1"/>
    <x v="3"/>
    <x v="15"/>
    <n v="3959.41"/>
    <n v="4351"/>
  </r>
  <r>
    <x v="4"/>
    <s v="Харків"/>
    <x v="5"/>
    <s v="Побутова хімія"/>
    <s v="Засіб для посудомийних машин"/>
    <x v="1"/>
    <x v="3"/>
    <x v="15"/>
    <n v="3105.5199999999995"/>
    <n v="3529"/>
  </r>
  <r>
    <x v="3"/>
    <s v="Чорноморськ"/>
    <x v="8"/>
    <s v="Товари для дому"/>
    <s v="Серветки"/>
    <x v="1"/>
    <x v="3"/>
    <x v="15"/>
    <n v="1931.9999999999998"/>
    <n v="2100"/>
  </r>
  <r>
    <x v="4"/>
    <s v="Чугуїв"/>
    <x v="9"/>
    <s v="Товари для дому"/>
    <s v="Зубочистки"/>
    <x v="1"/>
    <x v="3"/>
    <x v="15"/>
    <n v="2679.33"/>
    <n v="2881"/>
  </r>
  <r>
    <x v="4"/>
    <s v="Чугуїв"/>
    <x v="9"/>
    <s v="Товари для дому"/>
    <s v="Одноразовий посуд"/>
    <x v="1"/>
    <x v="3"/>
    <x v="15"/>
    <n v="1733.5499999999997"/>
    <n v="1905"/>
  </r>
  <r>
    <x v="2"/>
    <s v="Біла Церква"/>
    <x v="7"/>
    <s v="Косметика"/>
    <s v="Шампунь"/>
    <x v="1"/>
    <x v="3"/>
    <x v="15"/>
    <n v="3419.55"/>
    <n v="4023"/>
  </r>
  <r>
    <x v="1"/>
    <s v="Бердянськ"/>
    <x v="6"/>
    <s v="Побутова хімія"/>
    <s v="Засіб для посудомийних машин"/>
    <x v="1"/>
    <x v="3"/>
    <x v="15"/>
    <n v="4348.08"/>
    <n v="4941"/>
  </r>
  <r>
    <x v="0"/>
    <s v="Житомир"/>
    <x v="0"/>
    <s v="Товари для дому"/>
    <s v="Одноразовий посуд"/>
    <x v="1"/>
    <x v="3"/>
    <x v="15"/>
    <n v="2571.4499999999998"/>
    <n v="2765"/>
  </r>
  <r>
    <x v="0"/>
    <s v="Житомир"/>
    <x v="0"/>
    <s v="Косметика"/>
    <s v="Шампунь"/>
    <x v="1"/>
    <x v="3"/>
    <x v="15"/>
    <n v="5900.3799999999992"/>
    <n v="6277"/>
  </r>
  <r>
    <x v="1"/>
    <s v="Запоріжжя"/>
    <x v="2"/>
    <s v="Косметика"/>
    <s v="Дезодорант"/>
    <x v="1"/>
    <x v="3"/>
    <x v="15"/>
    <n v="2617.1999999999998"/>
    <n v="2908"/>
  </r>
  <r>
    <x v="2"/>
    <s v="Ірпінь"/>
    <x v="10"/>
    <s v="Побутова хімія"/>
    <s v="Засіб для миття посуду"/>
    <x v="1"/>
    <x v="3"/>
    <x v="15"/>
    <n v="3052.72"/>
    <n v="3469"/>
  </r>
  <r>
    <x v="2"/>
    <s v="Ірпінь"/>
    <x v="10"/>
    <s v="Побутова хімія"/>
    <s v="Засіб для посудомийних машин"/>
    <x v="1"/>
    <x v="3"/>
    <x v="15"/>
    <n v="4870.7999999999993"/>
    <n v="5412"/>
  </r>
  <r>
    <x v="2"/>
    <s v="Київ"/>
    <x v="11"/>
    <s v="Побутова хімія"/>
    <s v="Засоби для догляду за меблями"/>
    <x v="1"/>
    <x v="3"/>
    <x v="15"/>
    <n v="3681.87"/>
    <n v="3959"/>
  </r>
  <r>
    <x v="2"/>
    <s v="Київ"/>
    <x v="11"/>
    <s v="Товари для дому"/>
    <s v="Серветки"/>
    <x v="1"/>
    <x v="3"/>
    <x v="15"/>
    <n v="1719.26"/>
    <n v="1829"/>
  </r>
  <r>
    <x v="2"/>
    <s v="Біла Церква"/>
    <x v="7"/>
    <s v="Товари для дому"/>
    <s v="Серветки"/>
    <x v="1"/>
    <x v="3"/>
    <x v="15"/>
    <n v="2132.1"/>
    <n v="2369"/>
  </r>
  <r>
    <x v="1"/>
    <s v="Бердянськ"/>
    <x v="6"/>
    <s v="Косметика"/>
    <s v="Мило"/>
    <x v="1"/>
    <x v="3"/>
    <x v="15"/>
    <n v="2801.6000000000004"/>
    <n v="3296"/>
  </r>
  <r>
    <x v="2"/>
    <s v="Бориспіль"/>
    <x v="3"/>
    <s v="Побутова хімія"/>
    <s v="Засіб для миття посуду"/>
    <x v="1"/>
    <x v="3"/>
    <x v="15"/>
    <n v="3052.56"/>
    <n v="3318"/>
  </r>
  <r>
    <x v="2"/>
    <s v="Бориспіль"/>
    <x v="3"/>
    <s v="Побутова хімія"/>
    <s v="Засіб для посудомийних машин"/>
    <x v="1"/>
    <x v="3"/>
    <x v="15"/>
    <n v="4324"/>
    <n v="4600"/>
  </r>
  <r>
    <x v="1"/>
    <s v="Запоріжжя"/>
    <x v="2"/>
    <s v="Товари для дому"/>
    <s v="Зубочистки"/>
    <x v="1"/>
    <x v="3"/>
    <x v="15"/>
    <n v="2111.3999999999996"/>
    <n v="2346"/>
  </r>
  <r>
    <x v="2"/>
    <s v="Ірпінь"/>
    <x v="10"/>
    <s v="Косметика"/>
    <s v="Шампунь"/>
    <x v="1"/>
    <x v="3"/>
    <x v="15"/>
    <n v="3809.2599999999998"/>
    <n v="4186"/>
  </r>
  <r>
    <x v="2"/>
    <s v="Ірпінь"/>
    <x v="10"/>
    <s v="Косметика"/>
    <s v="Дезодорант"/>
    <x v="1"/>
    <x v="3"/>
    <x v="15"/>
    <n v="2817.9300000000003"/>
    <n v="3239"/>
  </r>
  <r>
    <x v="2"/>
    <s v="Київ"/>
    <x v="11"/>
    <s v="Косметика"/>
    <s v="Мило"/>
    <x v="1"/>
    <x v="3"/>
    <x v="15"/>
    <n v="3576.7400000000002"/>
    <n v="4159"/>
  </r>
  <r>
    <x v="2"/>
    <s v="Київ"/>
    <x v="11"/>
    <s v="Побутова хімія"/>
    <s v="Засіб для миття посуду"/>
    <x v="1"/>
    <x v="3"/>
    <x v="15"/>
    <n v="4527.24"/>
    <n v="4868"/>
  </r>
  <r>
    <x v="3"/>
    <s v="Одеса"/>
    <x v="4"/>
    <s v="Побутова хімія"/>
    <s v="Засіб для посудомийних машин"/>
    <x v="1"/>
    <x v="3"/>
    <x v="15"/>
    <n v="3686.3999999999996"/>
    <n v="4096"/>
  </r>
  <r>
    <x v="3"/>
    <s v="Одеса"/>
    <x v="4"/>
    <s v="Побутова хімія"/>
    <s v="Засоби для догляду за меблями"/>
    <x v="1"/>
    <x v="3"/>
    <x v="15"/>
    <n v="3023.04"/>
    <n v="3216"/>
  </r>
  <r>
    <x v="4"/>
    <s v="Харків"/>
    <x v="5"/>
    <s v="Товари для дому"/>
    <s v="Серветки"/>
    <x v="1"/>
    <x v="3"/>
    <x v="15"/>
    <n v="2186.73"/>
    <n v="2403"/>
  </r>
  <r>
    <x v="3"/>
    <s v="Чорноморськ"/>
    <x v="8"/>
    <s v="Товари для дому"/>
    <s v="Одноразовий посуд"/>
    <x v="1"/>
    <x v="3"/>
    <x v="15"/>
    <n v="2536.1699999999996"/>
    <n v="2787"/>
  </r>
  <r>
    <x v="3"/>
    <s v="Чорноморськ"/>
    <x v="8"/>
    <s v="Косметика"/>
    <s v="Шампунь"/>
    <x v="1"/>
    <x v="3"/>
    <x v="15"/>
    <n v="4634.5400000000009"/>
    <n v="5389"/>
  </r>
  <r>
    <x v="4"/>
    <s v="Чугуїв"/>
    <x v="9"/>
    <s v="Косметика"/>
    <s v="Дезодорант"/>
    <x v="1"/>
    <x v="3"/>
    <x v="15"/>
    <n v="3171.5199999999995"/>
    <n v="3604"/>
  </r>
  <r>
    <x v="4"/>
    <s v="Чугуїв"/>
    <x v="9"/>
    <s v="Косметика"/>
    <s v="Мило"/>
    <x v="1"/>
    <x v="3"/>
    <x v="15"/>
    <n v="4575.92"/>
    <n v="4868"/>
  </r>
  <r>
    <x v="0"/>
    <s v="Бердичів"/>
    <x v="1"/>
    <s v="Побутова хімія"/>
    <s v="Засоби для догляду за меблями"/>
    <x v="1"/>
    <x v="3"/>
    <x v="15"/>
    <n v="2674.2999999999997"/>
    <n v="2845"/>
  </r>
  <r>
    <x v="0"/>
    <s v="Бердичів"/>
    <x v="1"/>
    <s v="Товари для дому"/>
    <s v="Серветки"/>
    <x v="1"/>
    <x v="3"/>
    <x v="15"/>
    <n v="2412.2399999999998"/>
    <n v="2622"/>
  </r>
  <r>
    <x v="1"/>
    <s v="Бердянськ"/>
    <x v="6"/>
    <s v="Товари для дому"/>
    <s v="Одноразовий посуд"/>
    <x v="1"/>
    <x v="3"/>
    <x v="15"/>
    <n v="1996.2699999999998"/>
    <n v="2243"/>
  </r>
  <r>
    <x v="2"/>
    <s v="Ірпінь"/>
    <x v="10"/>
    <s v="Косметика"/>
    <s v="Мило"/>
    <x v="1"/>
    <x v="3"/>
    <x v="15"/>
    <n v="2262.6"/>
    <n v="2514"/>
  </r>
  <r>
    <x v="2"/>
    <s v="Київ"/>
    <x v="11"/>
    <s v="Побутова хімія"/>
    <s v="Засіб для посудомийних машин"/>
    <x v="1"/>
    <x v="3"/>
    <x v="15"/>
    <n v="2704.24"/>
    <n v="3073"/>
  </r>
  <r>
    <x v="2"/>
    <s v="Біла Церква"/>
    <x v="7"/>
    <s v="Побутова хімія"/>
    <s v="Засоби для догляду за меблями"/>
    <x v="1"/>
    <x v="3"/>
    <x v="15"/>
    <n v="3390.3900000000003"/>
    <n v="3897"/>
  </r>
  <r>
    <x v="2"/>
    <s v="Бориспіль"/>
    <x v="3"/>
    <s v="Косметика"/>
    <s v="Мило"/>
    <x v="1"/>
    <x v="3"/>
    <x v="15"/>
    <n v="4026.5999999999995"/>
    <n v="4474"/>
  </r>
  <r>
    <x v="2"/>
    <s v="Ірпінь"/>
    <x v="10"/>
    <s v="Товари для дому"/>
    <s v="Одноразовий посуд"/>
    <x v="1"/>
    <x v="3"/>
    <x v="15"/>
    <n v="1212.1000000000001"/>
    <n v="1426"/>
  </r>
  <r>
    <x v="2"/>
    <s v="Київ"/>
    <x v="11"/>
    <s v="Косметика"/>
    <s v="Дезодорант"/>
    <x v="1"/>
    <x v="3"/>
    <x v="15"/>
    <n v="4121.5999999999995"/>
    <n v="4480"/>
  </r>
  <r>
    <x v="3"/>
    <s v="Одеса"/>
    <x v="4"/>
    <s v="Побутова хімія"/>
    <s v="Засіб для миття посуду"/>
    <x v="1"/>
    <x v="3"/>
    <x v="15"/>
    <n v="3364.24"/>
    <n v="3823"/>
  </r>
  <r>
    <x v="4"/>
    <s v="Харків"/>
    <x v="5"/>
    <s v="Побутова хімія"/>
    <s v="Засоби для догляду за меблями"/>
    <x v="1"/>
    <x v="3"/>
    <x v="15"/>
    <n v="3086.72"/>
    <n v="3392"/>
  </r>
  <r>
    <x v="3"/>
    <s v="Чорноморськ"/>
    <x v="8"/>
    <s v="Товари для дому"/>
    <s v="Зубочистки"/>
    <x v="1"/>
    <x v="3"/>
    <x v="15"/>
    <n v="2093"/>
    <n v="2275"/>
  </r>
  <r>
    <x v="4"/>
    <s v="Чугуїв"/>
    <x v="9"/>
    <s v="Косметика"/>
    <s v="Шампунь"/>
    <x v="1"/>
    <x v="3"/>
    <x v="15"/>
    <n v="4425.2999999999993"/>
    <n v="4917"/>
  </r>
  <r>
    <x v="2"/>
    <s v="Ірпінь"/>
    <x v="10"/>
    <s v="Побутова хімія"/>
    <s v="Засоби для догляду за меблями"/>
    <x v="1"/>
    <x v="3"/>
    <x v="15"/>
    <n v="3197.4800000000005"/>
    <n v="3718"/>
  </r>
  <r>
    <x v="2"/>
    <s v="Київ"/>
    <x v="11"/>
    <s v="Товари для дому"/>
    <s v="Зубочистки"/>
    <x v="1"/>
    <x v="3"/>
    <x v="15"/>
    <n v="1551.2100000000003"/>
    <n v="1783"/>
  </r>
  <r>
    <x v="0"/>
    <s v="Житомир"/>
    <x v="0"/>
    <s v="Товари для дому"/>
    <s v="Зубочистки"/>
    <x v="1"/>
    <x v="4"/>
    <x v="16"/>
    <n v="2066.12"/>
    <n v="2198"/>
  </r>
  <r>
    <x v="0"/>
    <s v="Бердичів"/>
    <x v="1"/>
    <s v="Товари для дому"/>
    <s v="Зубочистки"/>
    <x v="1"/>
    <x v="4"/>
    <x v="16"/>
    <n v="3095.97"/>
    <n v="3329"/>
  </r>
  <r>
    <x v="0"/>
    <s v="Бердичів"/>
    <x v="1"/>
    <s v="Косметика"/>
    <s v="Дезодорант"/>
    <x v="1"/>
    <x v="4"/>
    <x v="16"/>
    <n v="4847.6400000000003"/>
    <n v="5572"/>
  </r>
  <r>
    <x v="0"/>
    <s v="Житомир"/>
    <x v="0"/>
    <s v="Косметика"/>
    <s v="Дезодорант"/>
    <x v="1"/>
    <x v="4"/>
    <x v="16"/>
    <n v="4238.1799999999994"/>
    <n v="4762"/>
  </r>
  <r>
    <x v="0"/>
    <s v="Житомир"/>
    <x v="0"/>
    <s v="Побутова хімія"/>
    <s v="Засіб для миття посуду"/>
    <x v="1"/>
    <x v="4"/>
    <x v="16"/>
    <n v="2759.1000000000004"/>
    <n v="3246"/>
  </r>
  <r>
    <x v="1"/>
    <s v="Запоріжжя"/>
    <x v="2"/>
    <s v="Побутова хімія"/>
    <s v="Засіб для посудомийних машин"/>
    <x v="1"/>
    <x v="4"/>
    <x v="16"/>
    <n v="4701.869999999999"/>
    <n v="5283"/>
  </r>
  <r>
    <x v="2"/>
    <s v="Бориспіль"/>
    <x v="3"/>
    <s v="Побутова хімія"/>
    <s v="Засоби для догляду за меблями"/>
    <x v="1"/>
    <x v="4"/>
    <x v="16"/>
    <n v="3304.29"/>
    <n v="3553"/>
  </r>
  <r>
    <x v="3"/>
    <s v="Одеса"/>
    <x v="4"/>
    <s v="Товари для дому"/>
    <s v="Серветки"/>
    <x v="1"/>
    <x v="4"/>
    <x v="16"/>
    <n v="1791.8000000000002"/>
    <n v="2108"/>
  </r>
  <r>
    <x v="4"/>
    <s v="Харків"/>
    <x v="5"/>
    <s v="Товари для дому"/>
    <s v="Зубочистки"/>
    <x v="1"/>
    <x v="4"/>
    <x v="16"/>
    <n v="2161.08"/>
    <n v="2349"/>
  </r>
  <r>
    <x v="0"/>
    <s v="Бердичів"/>
    <x v="1"/>
    <s v="Товари для дому"/>
    <s v="Одноразовий посуд"/>
    <x v="1"/>
    <x v="4"/>
    <x v="16"/>
    <n v="2233.8999999999996"/>
    <n v="2510"/>
  </r>
  <r>
    <x v="1"/>
    <s v="Бердянськ"/>
    <x v="6"/>
    <s v="Косметика"/>
    <s v="Шампунь"/>
    <x v="1"/>
    <x v="4"/>
    <x v="16"/>
    <n v="4492.26"/>
    <n v="4779"/>
  </r>
  <r>
    <x v="2"/>
    <s v="Біла Церква"/>
    <x v="7"/>
    <s v="Косметика"/>
    <s v="Дезодорант"/>
    <x v="1"/>
    <x v="4"/>
    <x v="16"/>
    <n v="2956.7999999999997"/>
    <n v="3360"/>
  </r>
  <r>
    <x v="3"/>
    <s v="Чорноморськ"/>
    <x v="8"/>
    <s v="Косметика"/>
    <s v="Мило"/>
    <x v="1"/>
    <x v="4"/>
    <x v="16"/>
    <n v="3093.0899999999997"/>
    <n v="3399"/>
  </r>
  <r>
    <x v="4"/>
    <s v="Чугуїв"/>
    <x v="9"/>
    <s v="Побутова хімія"/>
    <s v="Засіб для миття посуду"/>
    <x v="1"/>
    <x v="4"/>
    <x v="16"/>
    <n v="3238.2"/>
    <n v="3598"/>
  </r>
  <r>
    <x v="0"/>
    <s v="Житомир"/>
    <x v="0"/>
    <s v="Побутова хімія"/>
    <s v="Засіб для посудомийних машин"/>
    <x v="1"/>
    <x v="4"/>
    <x v="16"/>
    <n v="3305.5599999999995"/>
    <n v="3593"/>
  </r>
  <r>
    <x v="1"/>
    <s v="Запоріжжя"/>
    <x v="2"/>
    <s v="Побутова хімія"/>
    <s v="Засоби для догляду за меблями"/>
    <x v="1"/>
    <x v="4"/>
    <x v="16"/>
    <n v="3185.8"/>
    <n v="3748"/>
  </r>
  <r>
    <x v="2"/>
    <s v="Бориспіль"/>
    <x v="3"/>
    <s v="Товари для дому"/>
    <s v="Серветки"/>
    <x v="1"/>
    <x v="4"/>
    <x v="16"/>
    <n v="1712.1600000000003"/>
    <n v="1968"/>
  </r>
  <r>
    <x v="3"/>
    <s v="Одеса"/>
    <x v="4"/>
    <s v="Товари для дому"/>
    <s v="Зубочистки"/>
    <x v="1"/>
    <x v="4"/>
    <x v="16"/>
    <n v="1653.2999999999997"/>
    <n v="1837"/>
  </r>
  <r>
    <x v="4"/>
    <s v="Харків"/>
    <x v="5"/>
    <s v="Товари для дому"/>
    <s v="Одноразовий посуд"/>
    <x v="1"/>
    <x v="4"/>
    <x v="16"/>
    <n v="2394.1"/>
    <n v="2690"/>
  </r>
  <r>
    <x v="0"/>
    <s v="Бердичів"/>
    <x v="1"/>
    <s v="Косметика"/>
    <s v="Шампунь"/>
    <x v="1"/>
    <x v="4"/>
    <x v="16"/>
    <n v="5943.8400000000011"/>
    <n v="6832"/>
  </r>
  <r>
    <x v="1"/>
    <s v="Бердянськ"/>
    <x v="6"/>
    <s v="Косметика"/>
    <s v="Дезодорант"/>
    <x v="1"/>
    <x v="4"/>
    <x v="16"/>
    <n v="2683.7999999999997"/>
    <n v="2982"/>
  </r>
  <r>
    <x v="2"/>
    <s v="Біла Церква"/>
    <x v="7"/>
    <s v="Косметика"/>
    <s v="Мило"/>
    <x v="1"/>
    <x v="4"/>
    <x v="16"/>
    <n v="2750.6000000000004"/>
    <n v="3236"/>
  </r>
  <r>
    <x v="3"/>
    <s v="Чорноморськ"/>
    <x v="8"/>
    <s v="Побутова хімія"/>
    <s v="Засіб для миття посуду"/>
    <x v="1"/>
    <x v="4"/>
    <x v="16"/>
    <n v="3721.8999999999996"/>
    <n v="4090"/>
  </r>
  <r>
    <x v="4"/>
    <s v="Чугуїв"/>
    <x v="9"/>
    <s v="Побутова хімія"/>
    <s v="Засіб для посудомийних машин"/>
    <x v="1"/>
    <x v="4"/>
    <x v="16"/>
    <n v="4326.2899999999991"/>
    <n v="4861"/>
  </r>
  <r>
    <x v="0"/>
    <s v="Житомир"/>
    <x v="0"/>
    <s v="Побутова хімія"/>
    <s v="Засоби для догляду за меблями"/>
    <x v="1"/>
    <x v="4"/>
    <x v="16"/>
    <n v="3212.0099999999998"/>
    <n v="3609"/>
  </r>
  <r>
    <x v="1"/>
    <s v="Запоріжжя"/>
    <x v="2"/>
    <s v="Товари для дому"/>
    <s v="Серветки"/>
    <x v="1"/>
    <x v="4"/>
    <x v="16"/>
    <n v="1951.7699999999998"/>
    <n v="2193"/>
  </r>
  <r>
    <x v="2"/>
    <s v="Бориспіль"/>
    <x v="3"/>
    <s v="Товари для дому"/>
    <s v="Зубочистки"/>
    <x v="1"/>
    <x v="4"/>
    <x v="16"/>
    <n v="2223.8999999999996"/>
    <n v="2471"/>
  </r>
  <r>
    <x v="3"/>
    <s v="Одеса"/>
    <x v="4"/>
    <s v="Товари для дому"/>
    <s v="Одноразовий посуд"/>
    <x v="1"/>
    <x v="4"/>
    <x v="16"/>
    <n v="2384.3099999999995"/>
    <n v="2679"/>
  </r>
  <r>
    <x v="4"/>
    <s v="Харків"/>
    <x v="5"/>
    <s v="Косметика"/>
    <s v="Шампунь"/>
    <x v="1"/>
    <x v="4"/>
    <x v="16"/>
    <n v="4912.0200000000004"/>
    <n v="5646"/>
  </r>
  <r>
    <x v="1"/>
    <s v="Запоріжжя"/>
    <x v="2"/>
    <s v="Косметика"/>
    <s v="Мило"/>
    <x v="1"/>
    <x v="4"/>
    <x v="16"/>
    <n v="1856.4"/>
    <n v="2184"/>
  </r>
  <r>
    <x v="2"/>
    <s v="Біла Церква"/>
    <x v="7"/>
    <s v="Побутова хімія"/>
    <s v="Засіб для миття посуду"/>
    <x v="1"/>
    <x v="4"/>
    <x v="16"/>
    <n v="3053.4799999999996"/>
    <n v="3319"/>
  </r>
  <r>
    <x v="3"/>
    <s v="Чорноморськ"/>
    <x v="8"/>
    <s v="Побутова хімія"/>
    <s v="Засіб для посудомийних машин"/>
    <x v="1"/>
    <x v="4"/>
    <x v="16"/>
    <n v="3320.5899999999997"/>
    <n v="3649"/>
  </r>
  <r>
    <x v="4"/>
    <s v="Чугуїв"/>
    <x v="9"/>
    <s v="Побутова хімія"/>
    <s v="Засоби для догляду за меблями"/>
    <x v="1"/>
    <x v="4"/>
    <x v="16"/>
    <n v="3634.5399999999995"/>
    <n v="3994"/>
  </r>
  <r>
    <x v="0"/>
    <s v="Житомир"/>
    <x v="0"/>
    <s v="Товари для дому"/>
    <s v="Серветки"/>
    <x v="1"/>
    <x v="4"/>
    <x v="16"/>
    <n v="2099.02"/>
    <n v="2233"/>
  </r>
  <r>
    <x v="1"/>
    <s v="Бердянськ"/>
    <x v="6"/>
    <s v="Товари для дому"/>
    <s v="Зубочистки"/>
    <x v="1"/>
    <x v="4"/>
    <x v="16"/>
    <n v="2744.65"/>
    <n v="3229"/>
  </r>
  <r>
    <x v="2"/>
    <s v="Бориспіль"/>
    <x v="3"/>
    <s v="Товари для дому"/>
    <s v="Одноразовий посуд"/>
    <x v="1"/>
    <x v="4"/>
    <x v="16"/>
    <n v="1510.6399999999999"/>
    <n v="1642"/>
  </r>
  <r>
    <x v="3"/>
    <s v="Одеса"/>
    <x v="4"/>
    <s v="Косметика"/>
    <s v="Шампунь"/>
    <x v="1"/>
    <x v="4"/>
    <x v="16"/>
    <n v="5247.84"/>
    <n v="6032"/>
  </r>
  <r>
    <x v="4"/>
    <s v="Харків"/>
    <x v="5"/>
    <s v="Косметика"/>
    <s v="Дезодорант"/>
    <x v="1"/>
    <x v="4"/>
    <x v="16"/>
    <n v="3695.5099999999998"/>
    <n v="4061"/>
  </r>
  <r>
    <x v="0"/>
    <s v="Бердичів"/>
    <x v="1"/>
    <s v="Косметика"/>
    <s v="Мило"/>
    <x v="1"/>
    <x v="4"/>
    <x v="16"/>
    <n v="1980.8999999999999"/>
    <n v="2130"/>
  </r>
  <r>
    <x v="1"/>
    <s v="Запоріжжя"/>
    <x v="2"/>
    <s v="Побутова хімія"/>
    <s v="Засіб для миття посуду"/>
    <x v="1"/>
    <x v="4"/>
    <x v="16"/>
    <n v="4362.18"/>
    <n v="5014"/>
  </r>
  <r>
    <x v="2"/>
    <s v="Біла Церква"/>
    <x v="7"/>
    <s v="Побутова хімія"/>
    <s v="Засіб для посудомийних машин"/>
    <x v="1"/>
    <x v="4"/>
    <x v="16"/>
    <n v="3168.2400000000002"/>
    <n v="3684"/>
  </r>
  <r>
    <x v="3"/>
    <s v="Чорноморськ"/>
    <x v="8"/>
    <s v="Побутова хімія"/>
    <s v="Засоби для догляду за меблями"/>
    <x v="1"/>
    <x v="4"/>
    <x v="16"/>
    <n v="3729.18"/>
    <n v="4098"/>
  </r>
  <r>
    <x v="4"/>
    <s v="Чугуїв"/>
    <x v="9"/>
    <s v="Товари для дому"/>
    <s v="Серветки"/>
    <x v="1"/>
    <x v="4"/>
    <x v="16"/>
    <n v="2034.5399999999997"/>
    <n v="2286"/>
  </r>
  <r>
    <x v="1"/>
    <s v="Запоріжжя"/>
    <x v="2"/>
    <s v="Товари для дому"/>
    <s v="Одноразовий посуд"/>
    <x v="1"/>
    <x v="4"/>
    <x v="16"/>
    <n v="2390.3999999999996"/>
    <n v="2656"/>
  </r>
  <r>
    <x v="2"/>
    <s v="Бориспіль"/>
    <x v="3"/>
    <s v="Косметика"/>
    <s v="Шампунь"/>
    <x v="1"/>
    <x v="4"/>
    <x v="16"/>
    <n v="4099.9199999999992"/>
    <n v="4659"/>
  </r>
  <r>
    <x v="3"/>
    <s v="Чорноморськ"/>
    <x v="8"/>
    <s v="Косметика"/>
    <s v="Дезодорант"/>
    <x v="1"/>
    <x v="4"/>
    <x v="16"/>
    <n v="3368.6399999999994"/>
    <n v="3828"/>
  </r>
  <r>
    <x v="4"/>
    <s v="Харків"/>
    <x v="5"/>
    <s v="Косметика"/>
    <s v="Мило"/>
    <x v="1"/>
    <x v="4"/>
    <x v="16"/>
    <n v="2425.5600000000004"/>
    <n v="2788"/>
  </r>
  <r>
    <x v="0"/>
    <s v="Бердичів"/>
    <x v="1"/>
    <s v="Побутова хімія"/>
    <s v="Засіб для миття посуду"/>
    <x v="1"/>
    <x v="4"/>
    <x v="16"/>
    <n v="3009.5999999999995"/>
    <n v="3344"/>
  </r>
  <r>
    <x v="0"/>
    <s v="Бердичів"/>
    <x v="1"/>
    <s v="Побутова хімія"/>
    <s v="Засіб для посудомийних машин"/>
    <x v="1"/>
    <x v="4"/>
    <x v="16"/>
    <n v="4075.5999999999995"/>
    <n v="4430"/>
  </r>
  <r>
    <x v="1"/>
    <s v="Бердянськ"/>
    <x v="6"/>
    <s v="Побутова хімія"/>
    <s v="Засоби для догляду за меблями"/>
    <x v="1"/>
    <x v="4"/>
    <x v="16"/>
    <n v="3089.7"/>
    <n v="3433"/>
  </r>
  <r>
    <x v="1"/>
    <s v="Бердянськ"/>
    <x v="6"/>
    <s v="Товари для дому"/>
    <s v="Серветки"/>
    <x v="1"/>
    <x v="4"/>
    <x v="16"/>
    <n v="1877.7199999999998"/>
    <n v="2041"/>
  </r>
  <r>
    <x v="2"/>
    <s v="Біла Церква"/>
    <x v="7"/>
    <s v="Товари для дому"/>
    <s v="Зубочистки"/>
    <x v="1"/>
    <x v="4"/>
    <x v="16"/>
    <n v="1786.9399999999998"/>
    <n v="1901"/>
  </r>
  <r>
    <x v="2"/>
    <s v="Біла Церква"/>
    <x v="7"/>
    <s v="Товари для дому"/>
    <s v="Одноразовий посуд"/>
    <x v="1"/>
    <x v="4"/>
    <x v="16"/>
    <n v="1385.46"/>
    <n v="1611"/>
  </r>
  <r>
    <x v="2"/>
    <s v="Бориспіль"/>
    <x v="3"/>
    <s v="Косметика"/>
    <s v="Дезодорант"/>
    <x v="1"/>
    <x v="4"/>
    <x v="16"/>
    <n v="5014"/>
    <n v="5450"/>
  </r>
  <r>
    <x v="0"/>
    <s v="Житомир"/>
    <x v="0"/>
    <s v="Косметика"/>
    <s v="Мило"/>
    <x v="1"/>
    <x v="4"/>
    <x v="16"/>
    <n v="3854.5200000000004"/>
    <n v="4482"/>
  </r>
  <r>
    <x v="2"/>
    <s v="Ірпінь"/>
    <x v="10"/>
    <s v="Товари для дому"/>
    <s v="Серветки"/>
    <x v="1"/>
    <x v="4"/>
    <x v="16"/>
    <n v="2626.3199999999997"/>
    <n v="2824"/>
  </r>
  <r>
    <x v="2"/>
    <s v="Ірпінь"/>
    <x v="10"/>
    <s v="Товари для дому"/>
    <s v="Зубочистки"/>
    <x v="1"/>
    <x v="4"/>
    <x v="16"/>
    <n v="1982.2000000000003"/>
    <n v="2332"/>
  </r>
  <r>
    <x v="2"/>
    <s v="Київ"/>
    <x v="11"/>
    <s v="Товари для дому"/>
    <s v="Одноразовий посуд"/>
    <x v="1"/>
    <x v="4"/>
    <x v="16"/>
    <n v="1486.0299999999997"/>
    <n v="1633"/>
  </r>
  <r>
    <x v="2"/>
    <s v="Київ"/>
    <x v="11"/>
    <s v="Косметика"/>
    <s v="Шампунь"/>
    <x v="1"/>
    <x v="4"/>
    <x v="16"/>
    <n v="4004.0999999999995"/>
    <n v="4449"/>
  </r>
  <r>
    <x v="3"/>
    <s v="Одеса"/>
    <x v="4"/>
    <s v="Косметика"/>
    <s v="Дезодорант"/>
    <x v="1"/>
    <x v="4"/>
    <x v="16"/>
    <n v="4393.8399999999992"/>
    <n v="4993"/>
  </r>
  <r>
    <x v="3"/>
    <s v="Одеса"/>
    <x v="4"/>
    <s v="Косметика"/>
    <s v="Мило"/>
    <x v="1"/>
    <x v="4"/>
    <x v="16"/>
    <n v="2104.66"/>
    <n v="2239"/>
  </r>
  <r>
    <x v="4"/>
    <s v="Харків"/>
    <x v="5"/>
    <s v="Побутова хімія"/>
    <s v="Засіб для миття посуду"/>
    <x v="1"/>
    <x v="4"/>
    <x v="16"/>
    <n v="4703.0099999999993"/>
    <n v="5057"/>
  </r>
  <r>
    <x v="4"/>
    <s v="Харків"/>
    <x v="5"/>
    <s v="Побутова хімія"/>
    <s v="Засіб для посудомийних машин"/>
    <x v="1"/>
    <x v="4"/>
    <x v="16"/>
    <n v="4490.9699999999993"/>
    <n v="4829"/>
  </r>
  <r>
    <x v="3"/>
    <s v="Чорноморськ"/>
    <x v="8"/>
    <s v="Товари для дому"/>
    <s v="Серветки"/>
    <x v="1"/>
    <x v="4"/>
    <x v="16"/>
    <n v="2385.6799999999998"/>
    <n v="2711"/>
  </r>
  <r>
    <x v="4"/>
    <s v="Чугуїв"/>
    <x v="9"/>
    <s v="Товари для дому"/>
    <s v="Зубочистки"/>
    <x v="1"/>
    <x v="4"/>
    <x v="16"/>
    <n v="2921"/>
    <n v="3175"/>
  </r>
  <r>
    <x v="4"/>
    <s v="Чугуїв"/>
    <x v="9"/>
    <s v="Товари для дому"/>
    <s v="Одноразовий посуд"/>
    <x v="1"/>
    <x v="4"/>
    <x v="16"/>
    <n v="1437.0399999999997"/>
    <n v="1633"/>
  </r>
  <r>
    <x v="2"/>
    <s v="Біла Церква"/>
    <x v="7"/>
    <s v="Косметика"/>
    <s v="Шампунь"/>
    <x v="1"/>
    <x v="4"/>
    <x v="16"/>
    <n v="3791.8500000000004"/>
    <n v="4461"/>
  </r>
  <r>
    <x v="1"/>
    <s v="Бердянськ"/>
    <x v="6"/>
    <s v="Побутова хімія"/>
    <s v="Засіб для посудомийних машин"/>
    <x v="1"/>
    <x v="4"/>
    <x v="16"/>
    <n v="2692.7999999999997"/>
    <n v="3060"/>
  </r>
  <r>
    <x v="0"/>
    <s v="Житомир"/>
    <x v="0"/>
    <s v="Товари для дому"/>
    <s v="Одноразовий посуд"/>
    <x v="1"/>
    <x v="4"/>
    <x v="16"/>
    <n v="2003.3899999999999"/>
    <n v="2251"/>
  </r>
  <r>
    <x v="0"/>
    <s v="Житомир"/>
    <x v="0"/>
    <s v="Косметика"/>
    <s v="Шампунь"/>
    <x v="1"/>
    <x v="4"/>
    <x v="16"/>
    <n v="5490.41"/>
    <n v="6169"/>
  </r>
  <r>
    <x v="1"/>
    <s v="Запоріжжя"/>
    <x v="2"/>
    <s v="Косметика"/>
    <s v="Дезодорант"/>
    <x v="1"/>
    <x v="4"/>
    <x v="16"/>
    <n v="4760.6099999999997"/>
    <n v="5349"/>
  </r>
  <r>
    <x v="2"/>
    <s v="Ірпінь"/>
    <x v="10"/>
    <s v="Побутова хімія"/>
    <s v="Засіб для миття посуду"/>
    <x v="1"/>
    <x v="4"/>
    <x v="16"/>
    <n v="4288.28"/>
    <n v="4562"/>
  </r>
  <r>
    <x v="2"/>
    <s v="Ірпінь"/>
    <x v="10"/>
    <s v="Побутова хімія"/>
    <s v="Засіб для посудомийних машин"/>
    <x v="1"/>
    <x v="4"/>
    <x v="16"/>
    <n v="4828.16"/>
    <n v="5248"/>
  </r>
  <r>
    <x v="2"/>
    <s v="Київ"/>
    <x v="11"/>
    <s v="Побутова хімія"/>
    <s v="Засоби для догляду за меблями"/>
    <x v="1"/>
    <x v="4"/>
    <x v="16"/>
    <n v="3632.9799999999996"/>
    <n v="4082"/>
  </r>
  <r>
    <x v="2"/>
    <s v="Київ"/>
    <x v="11"/>
    <s v="Товари для дому"/>
    <s v="Серветки"/>
    <x v="1"/>
    <x v="4"/>
    <x v="16"/>
    <n v="2228.3999999999996"/>
    <n v="2476"/>
  </r>
  <r>
    <x v="2"/>
    <s v="Біла Церква"/>
    <x v="7"/>
    <s v="Товари для дому"/>
    <s v="Серветки"/>
    <x v="1"/>
    <x v="4"/>
    <x v="16"/>
    <n v="2152.7999999999997"/>
    <n v="2392"/>
  </r>
  <r>
    <x v="1"/>
    <s v="Бердянськ"/>
    <x v="6"/>
    <s v="Косметика"/>
    <s v="Мило"/>
    <x v="1"/>
    <x v="4"/>
    <x v="16"/>
    <n v="2699.6000000000004"/>
    <n v="3176"/>
  </r>
  <r>
    <x v="2"/>
    <s v="Бориспіль"/>
    <x v="3"/>
    <s v="Побутова хімія"/>
    <s v="Засіб для миття посуду"/>
    <x v="1"/>
    <x v="4"/>
    <x v="16"/>
    <n v="3852.9399999999996"/>
    <n v="4234"/>
  </r>
  <r>
    <x v="2"/>
    <s v="Бориспіль"/>
    <x v="3"/>
    <s v="Побутова хімія"/>
    <s v="Засіб для посудомийних машин"/>
    <x v="1"/>
    <x v="4"/>
    <x v="16"/>
    <n v="5002.96"/>
    <n v="5438"/>
  </r>
  <r>
    <x v="1"/>
    <s v="Запоріжжя"/>
    <x v="2"/>
    <s v="Товари для дому"/>
    <s v="Зубочистки"/>
    <x v="1"/>
    <x v="4"/>
    <x v="16"/>
    <n v="2774.6399999999994"/>
    <n v="3153"/>
  </r>
  <r>
    <x v="2"/>
    <s v="Ірпінь"/>
    <x v="10"/>
    <s v="Косметика"/>
    <s v="Шампунь"/>
    <x v="1"/>
    <x v="4"/>
    <x v="16"/>
    <n v="4569.8399999999992"/>
    <n v="5193"/>
  </r>
  <r>
    <x v="2"/>
    <s v="Ірпінь"/>
    <x v="10"/>
    <s v="Косметика"/>
    <s v="Дезодорант"/>
    <x v="1"/>
    <x v="4"/>
    <x v="16"/>
    <n v="4439.82"/>
    <n v="4774"/>
  </r>
  <r>
    <x v="2"/>
    <s v="Київ"/>
    <x v="11"/>
    <s v="Косметика"/>
    <s v="Мило"/>
    <x v="1"/>
    <x v="4"/>
    <x v="16"/>
    <n v="3167.6700000000005"/>
    <n v="3641"/>
  </r>
  <r>
    <x v="2"/>
    <s v="Київ"/>
    <x v="11"/>
    <s v="Побутова хімія"/>
    <s v="Засіб для миття посуду"/>
    <x v="1"/>
    <x v="4"/>
    <x v="16"/>
    <n v="3438.04"/>
    <n v="3737"/>
  </r>
  <r>
    <x v="3"/>
    <s v="Одеса"/>
    <x v="4"/>
    <s v="Побутова хімія"/>
    <s v="Засіб для посудомийних машин"/>
    <x v="1"/>
    <x v="4"/>
    <x v="16"/>
    <n v="3106.2"/>
    <n v="3340"/>
  </r>
  <r>
    <x v="3"/>
    <s v="Одеса"/>
    <x v="4"/>
    <s v="Побутова хімія"/>
    <s v="Засоби для догляду за меблями"/>
    <x v="1"/>
    <x v="4"/>
    <x v="16"/>
    <n v="3225.14"/>
    <n v="3431"/>
  </r>
  <r>
    <x v="4"/>
    <s v="Харків"/>
    <x v="5"/>
    <s v="Товари для дому"/>
    <s v="Серветки"/>
    <x v="1"/>
    <x v="4"/>
    <x v="16"/>
    <n v="2496.64"/>
    <n v="2656"/>
  </r>
  <r>
    <x v="3"/>
    <s v="Чорноморськ"/>
    <x v="8"/>
    <s v="Товари для дому"/>
    <s v="Одноразовий посуд"/>
    <x v="1"/>
    <x v="4"/>
    <x v="16"/>
    <n v="1477.3000000000002"/>
    <n v="1738"/>
  </r>
  <r>
    <x v="3"/>
    <s v="Чорноморськ"/>
    <x v="8"/>
    <s v="Косметика"/>
    <s v="Шампунь"/>
    <x v="1"/>
    <x v="4"/>
    <x v="16"/>
    <n v="6207.2999999999993"/>
    <n v="6897"/>
  </r>
  <r>
    <x v="4"/>
    <s v="Чугуїв"/>
    <x v="9"/>
    <s v="Косметика"/>
    <s v="Дезодорант"/>
    <x v="1"/>
    <x v="4"/>
    <x v="16"/>
    <n v="2537.7900000000004"/>
    <n v="2917"/>
  </r>
  <r>
    <x v="4"/>
    <s v="Чугуїв"/>
    <x v="9"/>
    <s v="Косметика"/>
    <s v="Мило"/>
    <x v="1"/>
    <x v="4"/>
    <x v="16"/>
    <n v="2975.2799999999997"/>
    <n v="3234"/>
  </r>
  <r>
    <x v="0"/>
    <s v="Бердичів"/>
    <x v="1"/>
    <s v="Побутова хімія"/>
    <s v="Засоби для догляду за меблями"/>
    <x v="1"/>
    <x v="4"/>
    <x v="16"/>
    <n v="2868.9600000000005"/>
    <n v="3336"/>
  </r>
  <r>
    <x v="0"/>
    <s v="Бердичів"/>
    <x v="1"/>
    <s v="Товари для дому"/>
    <s v="Серветки"/>
    <x v="1"/>
    <x v="4"/>
    <x v="16"/>
    <n v="1607.3500000000001"/>
    <n v="1891"/>
  </r>
  <r>
    <x v="1"/>
    <s v="Бердянськ"/>
    <x v="6"/>
    <s v="Товари для дому"/>
    <s v="Одноразовий посуд"/>
    <x v="1"/>
    <x v="4"/>
    <x v="16"/>
    <n v="2260.4399999999996"/>
    <n v="2484"/>
  </r>
  <r>
    <x v="2"/>
    <s v="Ірпінь"/>
    <x v="10"/>
    <s v="Косметика"/>
    <s v="Мило"/>
    <x v="1"/>
    <x v="4"/>
    <x v="16"/>
    <n v="3330.7800000000007"/>
    <n v="3873"/>
  </r>
  <r>
    <x v="2"/>
    <s v="Київ"/>
    <x v="11"/>
    <s v="Побутова хімія"/>
    <s v="Засіб для посудомийних машин"/>
    <x v="1"/>
    <x v="4"/>
    <x v="16"/>
    <n v="4109.67"/>
    <n v="4419"/>
  </r>
  <r>
    <x v="2"/>
    <s v="Біла Церква"/>
    <x v="7"/>
    <s v="Побутова хімія"/>
    <s v="Засоби для догляду за меблями"/>
    <x v="1"/>
    <x v="4"/>
    <x v="16"/>
    <n v="3463.8999999999996"/>
    <n v="3685"/>
  </r>
  <r>
    <x v="2"/>
    <s v="Бориспіль"/>
    <x v="3"/>
    <s v="Косметика"/>
    <s v="Мило"/>
    <x v="1"/>
    <x v="4"/>
    <x v="16"/>
    <n v="2231.0699999999997"/>
    <n v="2399"/>
  </r>
  <r>
    <x v="2"/>
    <s v="Ірпінь"/>
    <x v="10"/>
    <s v="Товари для дому"/>
    <s v="Одноразовий посуд"/>
    <x v="1"/>
    <x v="4"/>
    <x v="16"/>
    <n v="2522.6999999999998"/>
    <n v="2803"/>
  </r>
  <r>
    <x v="2"/>
    <s v="Київ"/>
    <x v="11"/>
    <s v="Косметика"/>
    <s v="Дезодорант"/>
    <x v="1"/>
    <x v="4"/>
    <x v="16"/>
    <n v="2328.1200000000003"/>
    <n v="2676"/>
  </r>
  <r>
    <x v="3"/>
    <s v="Одеса"/>
    <x v="4"/>
    <s v="Побутова хімія"/>
    <s v="Засіб для миття посуду"/>
    <x v="1"/>
    <x v="4"/>
    <x v="16"/>
    <n v="3108.7699999999995"/>
    <n v="3493"/>
  </r>
  <r>
    <x v="4"/>
    <s v="Харків"/>
    <x v="5"/>
    <s v="Побутова хімія"/>
    <s v="Засоби для догляду за меблями"/>
    <x v="1"/>
    <x v="4"/>
    <x v="16"/>
    <n v="2608.3199999999997"/>
    <n v="2964"/>
  </r>
  <r>
    <x v="3"/>
    <s v="Чорноморськ"/>
    <x v="8"/>
    <s v="Товари для дому"/>
    <s v="Зубочистки"/>
    <x v="1"/>
    <x v="4"/>
    <x v="16"/>
    <n v="2294.15"/>
    <n v="2699"/>
  </r>
  <r>
    <x v="4"/>
    <s v="Чугуїв"/>
    <x v="9"/>
    <s v="Косметика"/>
    <s v="Шампунь"/>
    <x v="1"/>
    <x v="4"/>
    <x v="16"/>
    <n v="3751.9000000000005"/>
    <n v="4414"/>
  </r>
  <r>
    <x v="2"/>
    <s v="Ірпінь"/>
    <x v="10"/>
    <s v="Побутова хімія"/>
    <s v="Засоби для догляду за меблями"/>
    <x v="1"/>
    <x v="4"/>
    <x v="16"/>
    <n v="2560.7399999999998"/>
    <n v="2814"/>
  </r>
  <r>
    <x v="2"/>
    <s v="Київ"/>
    <x v="11"/>
    <s v="Товари для дому"/>
    <s v="Зубочистки"/>
    <x v="1"/>
    <x v="4"/>
    <x v="16"/>
    <n v="2370.9599999999996"/>
    <n v="2664"/>
  </r>
  <r>
    <x v="0"/>
    <s v="Житомир"/>
    <x v="0"/>
    <s v="Товари для дому"/>
    <s v="Зубочистки"/>
    <x v="1"/>
    <x v="5"/>
    <x v="17"/>
    <n v="1522.7899999999997"/>
    <n v="1711"/>
  </r>
  <r>
    <x v="0"/>
    <s v="Бердичів"/>
    <x v="1"/>
    <s v="Товари для дому"/>
    <s v="Зубочистки"/>
    <x v="1"/>
    <x v="5"/>
    <x v="17"/>
    <n v="1608.2000000000003"/>
    <n v="1892"/>
  </r>
  <r>
    <x v="0"/>
    <s v="Бердичів"/>
    <x v="1"/>
    <s v="Косметика"/>
    <s v="Дезодорант"/>
    <x v="1"/>
    <x v="5"/>
    <x v="17"/>
    <n v="4269.7199999999993"/>
    <n v="4641"/>
  </r>
  <r>
    <x v="0"/>
    <s v="Житомир"/>
    <x v="0"/>
    <s v="Косметика"/>
    <s v="Дезодорант"/>
    <x v="1"/>
    <x v="5"/>
    <x v="17"/>
    <n v="2709.16"/>
    <n v="3044"/>
  </r>
  <r>
    <x v="0"/>
    <s v="Житомир"/>
    <x v="0"/>
    <s v="Побутова хімія"/>
    <s v="Засіб для миття посуду"/>
    <x v="1"/>
    <x v="5"/>
    <x v="17"/>
    <n v="3206.2"/>
    <n v="3485"/>
  </r>
  <r>
    <x v="1"/>
    <s v="Запоріжжя"/>
    <x v="2"/>
    <s v="Побутова хімія"/>
    <s v="Засіб для посудомийних машин"/>
    <x v="1"/>
    <x v="5"/>
    <x v="17"/>
    <n v="4885.2"/>
    <n v="5428"/>
  </r>
  <r>
    <x v="2"/>
    <s v="Бориспіль"/>
    <x v="3"/>
    <s v="Побутова хімія"/>
    <s v="Засоби для догляду за меблями"/>
    <x v="1"/>
    <x v="5"/>
    <x v="17"/>
    <n v="3169.9600000000005"/>
    <n v="3686"/>
  </r>
  <r>
    <x v="3"/>
    <s v="Одеса"/>
    <x v="4"/>
    <s v="Товари для дому"/>
    <s v="Серветки"/>
    <x v="1"/>
    <x v="5"/>
    <x v="17"/>
    <n v="1977.1400000000003"/>
    <n v="2299"/>
  </r>
  <r>
    <x v="4"/>
    <s v="Харків"/>
    <x v="5"/>
    <s v="Товари для дому"/>
    <s v="Зубочистки"/>
    <x v="1"/>
    <x v="5"/>
    <x v="17"/>
    <n v="2681.1899999999996"/>
    <n v="2883"/>
  </r>
  <r>
    <x v="0"/>
    <s v="Бердичів"/>
    <x v="1"/>
    <s v="Товари для дому"/>
    <s v="Одноразовий посуд"/>
    <x v="1"/>
    <x v="5"/>
    <x v="17"/>
    <n v="1433.5"/>
    <n v="1525"/>
  </r>
  <r>
    <x v="1"/>
    <s v="Бердянськ"/>
    <x v="6"/>
    <s v="Косметика"/>
    <s v="Шампунь"/>
    <x v="1"/>
    <x v="5"/>
    <x v="17"/>
    <n v="4104.6600000000008"/>
    <n v="4718"/>
  </r>
  <r>
    <x v="2"/>
    <s v="Біла Церква"/>
    <x v="7"/>
    <s v="Косметика"/>
    <s v="Дезодорант"/>
    <x v="1"/>
    <x v="5"/>
    <x v="17"/>
    <n v="4112.46"/>
    <n v="4422"/>
  </r>
  <r>
    <x v="3"/>
    <s v="Чорноморськ"/>
    <x v="8"/>
    <s v="Косметика"/>
    <s v="Мило"/>
    <x v="1"/>
    <x v="5"/>
    <x v="17"/>
    <n v="1856.5800000000002"/>
    <n v="2134"/>
  </r>
  <r>
    <x v="4"/>
    <s v="Чугуїв"/>
    <x v="9"/>
    <s v="Побутова хімія"/>
    <s v="Засіб для миття посуду"/>
    <x v="1"/>
    <x v="5"/>
    <x v="17"/>
    <n v="3711.8399999999997"/>
    <n v="4218"/>
  </r>
  <r>
    <x v="0"/>
    <s v="Житомир"/>
    <x v="0"/>
    <s v="Побутова хімія"/>
    <s v="Засіб для посудомийних машин"/>
    <x v="1"/>
    <x v="5"/>
    <x v="17"/>
    <n v="4304.08"/>
    <n v="4891"/>
  </r>
  <r>
    <x v="1"/>
    <s v="Запоріжжя"/>
    <x v="2"/>
    <s v="Побутова хімія"/>
    <s v="Засоби для догляду за меблями"/>
    <x v="1"/>
    <x v="5"/>
    <x v="17"/>
    <n v="2939.3"/>
    <n v="3458"/>
  </r>
  <r>
    <x v="2"/>
    <s v="Бориспіль"/>
    <x v="3"/>
    <s v="Товари для дому"/>
    <s v="Серветки"/>
    <x v="1"/>
    <x v="5"/>
    <x v="17"/>
    <n v="2367.16"/>
    <n v="2573"/>
  </r>
  <r>
    <x v="3"/>
    <s v="Одеса"/>
    <x v="4"/>
    <s v="Товари для дому"/>
    <s v="Зубочистки"/>
    <x v="1"/>
    <x v="5"/>
    <x v="17"/>
    <n v="1747.4599999999998"/>
    <n v="1859"/>
  </r>
  <r>
    <x v="4"/>
    <s v="Харків"/>
    <x v="5"/>
    <s v="Товари для дому"/>
    <s v="Одноразовий посуд"/>
    <x v="1"/>
    <x v="5"/>
    <x v="17"/>
    <n v="1435.3400000000001"/>
    <n v="1669"/>
  </r>
  <r>
    <x v="0"/>
    <s v="Бердичів"/>
    <x v="1"/>
    <s v="Косметика"/>
    <s v="Шампунь"/>
    <x v="1"/>
    <x v="5"/>
    <x v="17"/>
    <n v="4853"/>
    <n v="5275"/>
  </r>
  <r>
    <x v="1"/>
    <s v="Бердянськ"/>
    <x v="6"/>
    <s v="Косметика"/>
    <s v="Дезодорант"/>
    <x v="1"/>
    <x v="5"/>
    <x v="17"/>
    <n v="3936.5999999999995"/>
    <n v="4374"/>
  </r>
  <r>
    <x v="2"/>
    <s v="Біла Церква"/>
    <x v="7"/>
    <s v="Косметика"/>
    <s v="Мило"/>
    <x v="1"/>
    <x v="5"/>
    <x v="17"/>
    <n v="3782.12"/>
    <n v="4111"/>
  </r>
  <r>
    <x v="3"/>
    <s v="Чорноморськ"/>
    <x v="8"/>
    <s v="Побутова хімія"/>
    <s v="Засіб для миття посуду"/>
    <x v="1"/>
    <x v="5"/>
    <x v="17"/>
    <n v="3552.64"/>
    <n v="3904"/>
  </r>
  <r>
    <x v="4"/>
    <s v="Чугуїв"/>
    <x v="9"/>
    <s v="Побутова хімія"/>
    <s v="Засіб для посудомийних машин"/>
    <x v="1"/>
    <x v="5"/>
    <x v="17"/>
    <n v="4792.7800000000007"/>
    <n v="5573"/>
  </r>
  <r>
    <x v="0"/>
    <s v="Житомир"/>
    <x v="0"/>
    <s v="Побутова хімія"/>
    <s v="Засоби для догляду за меблями"/>
    <x v="1"/>
    <x v="5"/>
    <x v="17"/>
    <n v="3021.7500000000005"/>
    <n v="3555"/>
  </r>
  <r>
    <x v="1"/>
    <s v="Запоріжжя"/>
    <x v="2"/>
    <s v="Товари для дому"/>
    <s v="Серветки"/>
    <x v="1"/>
    <x v="5"/>
    <x v="17"/>
    <n v="2374.52"/>
    <n v="2581"/>
  </r>
  <r>
    <x v="2"/>
    <s v="Бориспіль"/>
    <x v="3"/>
    <s v="Товари для дому"/>
    <s v="Зубочистки"/>
    <x v="1"/>
    <x v="5"/>
    <x v="17"/>
    <n v="1691.6699999999998"/>
    <n v="1819"/>
  </r>
  <r>
    <x v="3"/>
    <s v="Одеса"/>
    <x v="4"/>
    <s v="Товари для дому"/>
    <s v="Одноразовий посуд"/>
    <x v="1"/>
    <x v="5"/>
    <x v="17"/>
    <n v="2038.9899999999998"/>
    <n v="2291"/>
  </r>
  <r>
    <x v="4"/>
    <s v="Харків"/>
    <x v="5"/>
    <s v="Косметика"/>
    <s v="Шампунь"/>
    <x v="1"/>
    <x v="5"/>
    <x v="17"/>
    <n v="4839.2"/>
    <n v="5260"/>
  </r>
  <r>
    <x v="1"/>
    <s v="Запоріжжя"/>
    <x v="2"/>
    <s v="Косметика"/>
    <s v="Мило"/>
    <x v="1"/>
    <x v="5"/>
    <x v="17"/>
    <n v="3143.3"/>
    <n v="3655"/>
  </r>
  <r>
    <x v="2"/>
    <s v="Біла Церква"/>
    <x v="7"/>
    <s v="Побутова хімія"/>
    <s v="Засіб для миття посуду"/>
    <x v="1"/>
    <x v="5"/>
    <x v="17"/>
    <n v="3391.2"/>
    <n v="3768"/>
  </r>
  <r>
    <x v="3"/>
    <s v="Чорноморськ"/>
    <x v="8"/>
    <s v="Побутова хімія"/>
    <s v="Засіб для посудомийних машин"/>
    <x v="1"/>
    <x v="5"/>
    <x v="17"/>
    <n v="4754.7"/>
    <n v="5283"/>
  </r>
  <r>
    <x v="4"/>
    <s v="Чугуїв"/>
    <x v="9"/>
    <s v="Побутова хімія"/>
    <s v="Засоби для догляду за меблями"/>
    <x v="1"/>
    <x v="5"/>
    <x v="17"/>
    <n v="3403.3599999999997"/>
    <n v="3824"/>
  </r>
  <r>
    <x v="0"/>
    <s v="Житомир"/>
    <x v="0"/>
    <s v="Товари для дому"/>
    <s v="Серветки"/>
    <x v="1"/>
    <x v="5"/>
    <x v="17"/>
    <n v="1653.2399999999998"/>
    <n v="1797"/>
  </r>
  <r>
    <x v="1"/>
    <s v="Бердянськ"/>
    <x v="6"/>
    <s v="Товари для дому"/>
    <s v="Зубочистки"/>
    <x v="1"/>
    <x v="5"/>
    <x v="17"/>
    <n v="2355.1999999999998"/>
    <n v="2560"/>
  </r>
  <r>
    <x v="2"/>
    <s v="Бориспіль"/>
    <x v="3"/>
    <s v="Товари для дому"/>
    <s v="Одноразовий посуд"/>
    <x v="1"/>
    <x v="5"/>
    <x v="17"/>
    <n v="1376.32"/>
    <n v="1496"/>
  </r>
  <r>
    <x v="3"/>
    <s v="Одеса"/>
    <x v="4"/>
    <s v="Косметика"/>
    <s v="Шампунь"/>
    <x v="1"/>
    <x v="5"/>
    <x v="17"/>
    <n v="5268.3600000000006"/>
    <n v="6126"/>
  </r>
  <r>
    <x v="4"/>
    <s v="Харків"/>
    <x v="5"/>
    <s v="Косметика"/>
    <s v="Дезодорант"/>
    <x v="1"/>
    <x v="5"/>
    <x v="17"/>
    <n v="3997.14"/>
    <n v="4298"/>
  </r>
  <r>
    <x v="0"/>
    <s v="Бердичів"/>
    <x v="1"/>
    <s v="Косметика"/>
    <s v="Мило"/>
    <x v="1"/>
    <x v="5"/>
    <x v="17"/>
    <n v="3829.6699999999996"/>
    <n v="4303"/>
  </r>
  <r>
    <x v="1"/>
    <s v="Запоріжжя"/>
    <x v="2"/>
    <s v="Побутова хімія"/>
    <s v="Засіб для миття посуду"/>
    <x v="1"/>
    <x v="5"/>
    <x v="17"/>
    <n v="3182.0799999999995"/>
    <n v="3616"/>
  </r>
  <r>
    <x v="2"/>
    <s v="Біла Церква"/>
    <x v="7"/>
    <s v="Побутова хімія"/>
    <s v="Засіб для посудомийних машин"/>
    <x v="1"/>
    <x v="5"/>
    <x v="17"/>
    <n v="3643.2"/>
    <n v="4048"/>
  </r>
  <r>
    <x v="3"/>
    <s v="Чорноморськ"/>
    <x v="8"/>
    <s v="Побутова хімія"/>
    <s v="Засоби для догляду за меблями"/>
    <x v="1"/>
    <x v="5"/>
    <x v="17"/>
    <n v="3162"/>
    <n v="3400"/>
  </r>
  <r>
    <x v="4"/>
    <s v="Чугуїв"/>
    <x v="9"/>
    <s v="Товари для дому"/>
    <s v="Серветки"/>
    <x v="1"/>
    <x v="5"/>
    <x v="17"/>
    <n v="2217.12"/>
    <n v="2384"/>
  </r>
  <r>
    <x v="1"/>
    <s v="Запоріжжя"/>
    <x v="2"/>
    <s v="Товари для дому"/>
    <s v="Одноразовий посуд"/>
    <x v="1"/>
    <x v="5"/>
    <x v="17"/>
    <n v="1557.6"/>
    <n v="1770"/>
  </r>
  <r>
    <x v="2"/>
    <s v="Бориспіль"/>
    <x v="3"/>
    <s v="Косметика"/>
    <s v="Шампунь"/>
    <x v="1"/>
    <x v="5"/>
    <x v="17"/>
    <n v="5063.2099999999991"/>
    <n v="5689"/>
  </r>
  <r>
    <x v="3"/>
    <s v="Чорноморськ"/>
    <x v="8"/>
    <s v="Косметика"/>
    <s v="Дезодорант"/>
    <x v="1"/>
    <x v="5"/>
    <x v="17"/>
    <n v="4496.96"/>
    <n v="4784"/>
  </r>
  <r>
    <x v="4"/>
    <s v="Харків"/>
    <x v="5"/>
    <s v="Косметика"/>
    <s v="Мило"/>
    <x v="1"/>
    <x v="5"/>
    <x v="17"/>
    <n v="2093.5199999999995"/>
    <n v="2379"/>
  </r>
  <r>
    <x v="0"/>
    <s v="Бердичів"/>
    <x v="1"/>
    <s v="Побутова хімія"/>
    <s v="Засіб для миття посуду"/>
    <x v="1"/>
    <x v="5"/>
    <x v="17"/>
    <n v="4410.99"/>
    <n v="4743"/>
  </r>
  <r>
    <x v="0"/>
    <s v="Бердичів"/>
    <x v="1"/>
    <s v="Побутова хімія"/>
    <s v="Засіб для посудомийних машин"/>
    <x v="1"/>
    <x v="5"/>
    <x v="17"/>
    <n v="4214.32"/>
    <n v="4789"/>
  </r>
  <r>
    <x v="1"/>
    <s v="Бердянськ"/>
    <x v="6"/>
    <s v="Побутова хімія"/>
    <s v="Засоби для догляду за меблями"/>
    <x v="1"/>
    <x v="5"/>
    <x v="17"/>
    <n v="3603.96"/>
    <n v="3834"/>
  </r>
  <r>
    <x v="1"/>
    <s v="Бердянськ"/>
    <x v="6"/>
    <s v="Товари для дому"/>
    <s v="Серветки"/>
    <x v="1"/>
    <x v="5"/>
    <x v="17"/>
    <n v="1721.4299999999998"/>
    <n v="1851"/>
  </r>
  <r>
    <x v="2"/>
    <s v="Біла Церква"/>
    <x v="7"/>
    <s v="Товари для дому"/>
    <s v="Зубочистки"/>
    <x v="1"/>
    <x v="5"/>
    <x v="17"/>
    <n v="1791.38"/>
    <n v="2083"/>
  </r>
  <r>
    <x v="2"/>
    <s v="Біла Церква"/>
    <x v="7"/>
    <s v="Товари для дому"/>
    <s v="Одноразовий посуд"/>
    <x v="1"/>
    <x v="5"/>
    <x v="17"/>
    <n v="1901.8200000000002"/>
    <n v="2186"/>
  </r>
  <r>
    <x v="2"/>
    <s v="Бориспіль"/>
    <x v="3"/>
    <s v="Косметика"/>
    <s v="Дезодорант"/>
    <x v="1"/>
    <x v="5"/>
    <x v="17"/>
    <n v="3958.4999999999995"/>
    <n v="4350"/>
  </r>
  <r>
    <x v="0"/>
    <s v="Житомир"/>
    <x v="0"/>
    <s v="Косметика"/>
    <s v="Мило"/>
    <x v="1"/>
    <x v="5"/>
    <x v="17"/>
    <n v="4043.76"/>
    <n v="4648"/>
  </r>
  <r>
    <x v="2"/>
    <s v="Ірпінь"/>
    <x v="10"/>
    <s v="Товари для дому"/>
    <s v="Серветки"/>
    <x v="1"/>
    <x v="5"/>
    <x v="17"/>
    <n v="1475.9999999999998"/>
    <n v="1640"/>
  </r>
  <r>
    <x v="2"/>
    <s v="Ірпінь"/>
    <x v="10"/>
    <s v="Товари для дому"/>
    <s v="Зубочистки"/>
    <x v="1"/>
    <x v="5"/>
    <x v="17"/>
    <n v="2592.9000000000005"/>
    <n v="3015"/>
  </r>
  <r>
    <x v="2"/>
    <s v="Київ"/>
    <x v="11"/>
    <s v="Товари для дому"/>
    <s v="Одноразовий посуд"/>
    <x v="1"/>
    <x v="5"/>
    <x v="17"/>
    <n v="2163.04"/>
    <n v="2458"/>
  </r>
  <r>
    <x v="2"/>
    <s v="Київ"/>
    <x v="11"/>
    <s v="Косметика"/>
    <s v="Шампунь"/>
    <x v="1"/>
    <x v="5"/>
    <x v="17"/>
    <n v="5628.7199999999993"/>
    <n v="5988"/>
  </r>
  <r>
    <x v="3"/>
    <s v="Одеса"/>
    <x v="4"/>
    <s v="Косметика"/>
    <s v="Дезодорант"/>
    <x v="1"/>
    <x v="5"/>
    <x v="17"/>
    <n v="3568.8999999999996"/>
    <n v="4010"/>
  </r>
  <r>
    <x v="3"/>
    <s v="Одеса"/>
    <x v="4"/>
    <s v="Косметика"/>
    <s v="Мило"/>
    <x v="1"/>
    <x v="5"/>
    <x v="17"/>
    <n v="4386.8099999999995"/>
    <n v="4929"/>
  </r>
  <r>
    <x v="4"/>
    <s v="Харків"/>
    <x v="5"/>
    <s v="Побутова хімія"/>
    <s v="Засіб для миття посуду"/>
    <x v="1"/>
    <x v="5"/>
    <x v="17"/>
    <n v="4193.05"/>
    <n v="4933"/>
  </r>
  <r>
    <x v="4"/>
    <s v="Харків"/>
    <x v="5"/>
    <s v="Побутова хімія"/>
    <s v="Засіб для посудомийних машин"/>
    <x v="1"/>
    <x v="5"/>
    <x v="17"/>
    <n v="2282.25"/>
    <n v="2685"/>
  </r>
  <r>
    <x v="3"/>
    <s v="Чорноморськ"/>
    <x v="8"/>
    <s v="Товари для дому"/>
    <s v="Серветки"/>
    <x v="1"/>
    <x v="5"/>
    <x v="17"/>
    <n v="2417.3599999999997"/>
    <n v="2747"/>
  </r>
  <r>
    <x v="4"/>
    <s v="Чугуїв"/>
    <x v="9"/>
    <s v="Товари для дому"/>
    <s v="Зубочистки"/>
    <x v="1"/>
    <x v="5"/>
    <x v="17"/>
    <n v="2591.64"/>
    <n v="2817"/>
  </r>
  <r>
    <x v="4"/>
    <s v="Чугуїв"/>
    <x v="9"/>
    <s v="Товари для дому"/>
    <s v="Одноразовий посуд"/>
    <x v="1"/>
    <x v="5"/>
    <x v="17"/>
    <n v="2393.5999999999995"/>
    <n v="2720"/>
  </r>
  <r>
    <x v="2"/>
    <s v="Біла Церква"/>
    <x v="7"/>
    <s v="Косметика"/>
    <s v="Шампунь"/>
    <x v="1"/>
    <x v="5"/>
    <x v="17"/>
    <n v="6145.9199999999992"/>
    <n v="6984"/>
  </r>
  <r>
    <x v="1"/>
    <s v="Бердянськ"/>
    <x v="6"/>
    <s v="Побутова хімія"/>
    <s v="Засіб для посудомийних машин"/>
    <x v="1"/>
    <x v="5"/>
    <x v="17"/>
    <n v="3572.1299999999997"/>
    <n v="3841"/>
  </r>
  <r>
    <x v="0"/>
    <s v="Житомир"/>
    <x v="0"/>
    <s v="Товари для дому"/>
    <s v="Одноразовий посуд"/>
    <x v="1"/>
    <x v="5"/>
    <x v="17"/>
    <n v="2110.29"/>
    <n v="2319"/>
  </r>
  <r>
    <x v="0"/>
    <s v="Житомир"/>
    <x v="0"/>
    <s v="Косметика"/>
    <s v="Шампунь"/>
    <x v="1"/>
    <x v="5"/>
    <x v="17"/>
    <n v="6386.6399999999994"/>
    <n v="6942"/>
  </r>
  <r>
    <x v="1"/>
    <s v="Запоріжжя"/>
    <x v="2"/>
    <s v="Косметика"/>
    <s v="Дезодорант"/>
    <x v="1"/>
    <x v="5"/>
    <x v="17"/>
    <n v="2801.89"/>
    <n v="3079"/>
  </r>
  <r>
    <x v="2"/>
    <s v="Ірпінь"/>
    <x v="10"/>
    <s v="Побутова хімія"/>
    <s v="Засіб для миття посуду"/>
    <x v="1"/>
    <x v="5"/>
    <x v="17"/>
    <n v="3132.9800000000005"/>
    <n v="3643"/>
  </r>
  <r>
    <x v="2"/>
    <s v="Ірпінь"/>
    <x v="10"/>
    <s v="Побутова хімія"/>
    <s v="Засіб для посудомийних машин"/>
    <x v="1"/>
    <x v="5"/>
    <x v="17"/>
    <n v="5010.2"/>
    <n v="5330"/>
  </r>
  <r>
    <x v="2"/>
    <s v="Київ"/>
    <x v="11"/>
    <s v="Побутова хімія"/>
    <s v="Засоби для догляду за меблями"/>
    <x v="1"/>
    <x v="5"/>
    <x v="17"/>
    <n v="2598.9599999999996"/>
    <n v="2856"/>
  </r>
  <r>
    <x v="2"/>
    <s v="Київ"/>
    <x v="11"/>
    <s v="Товари для дому"/>
    <s v="Серветки"/>
    <x v="1"/>
    <x v="5"/>
    <x v="17"/>
    <n v="1859.3200000000002"/>
    <n v="2162"/>
  </r>
  <r>
    <x v="2"/>
    <s v="Біла Церква"/>
    <x v="7"/>
    <s v="Товари для дому"/>
    <s v="Серветки"/>
    <x v="1"/>
    <x v="5"/>
    <x v="17"/>
    <n v="1848.1400000000003"/>
    <n v="2149"/>
  </r>
  <r>
    <x v="1"/>
    <s v="Бердянськ"/>
    <x v="6"/>
    <s v="Косметика"/>
    <s v="Мило"/>
    <x v="1"/>
    <x v="5"/>
    <x v="17"/>
    <n v="2474.1999999999998"/>
    <n v="2780"/>
  </r>
  <r>
    <x v="2"/>
    <s v="Бориспіль"/>
    <x v="3"/>
    <s v="Побутова хімія"/>
    <s v="Засіб для миття посуду"/>
    <x v="1"/>
    <x v="5"/>
    <x v="17"/>
    <n v="3055"/>
    <n v="3250"/>
  </r>
  <r>
    <x v="2"/>
    <s v="Бориспіль"/>
    <x v="3"/>
    <s v="Побутова хімія"/>
    <s v="Засіб для посудомийних машин"/>
    <x v="1"/>
    <x v="5"/>
    <x v="17"/>
    <n v="2913.6899999999996"/>
    <n v="3133"/>
  </r>
  <r>
    <x v="1"/>
    <s v="Запоріжжя"/>
    <x v="2"/>
    <s v="Товари для дому"/>
    <s v="Зубочистки"/>
    <x v="1"/>
    <x v="5"/>
    <x v="17"/>
    <n v="1818.15"/>
    <n v="2139"/>
  </r>
  <r>
    <x v="2"/>
    <s v="Ірпінь"/>
    <x v="10"/>
    <s v="Косметика"/>
    <s v="Шампунь"/>
    <x v="1"/>
    <x v="5"/>
    <x v="17"/>
    <n v="5285.3"/>
    <n v="6218"/>
  </r>
  <r>
    <x v="2"/>
    <s v="Ірпінь"/>
    <x v="10"/>
    <s v="Косметика"/>
    <s v="Дезодорант"/>
    <x v="1"/>
    <x v="5"/>
    <x v="17"/>
    <n v="3513.05"/>
    <n v="4133"/>
  </r>
  <r>
    <x v="2"/>
    <s v="Київ"/>
    <x v="11"/>
    <s v="Косметика"/>
    <s v="Мило"/>
    <x v="1"/>
    <x v="5"/>
    <x v="17"/>
    <n v="3734.8799999999997"/>
    <n v="4016"/>
  </r>
  <r>
    <x v="2"/>
    <s v="Київ"/>
    <x v="11"/>
    <s v="Побутова хімія"/>
    <s v="Засіб для миття посуду"/>
    <x v="1"/>
    <x v="5"/>
    <x v="17"/>
    <n v="3844.62"/>
    <n v="4134"/>
  </r>
  <r>
    <x v="3"/>
    <s v="Одеса"/>
    <x v="4"/>
    <s v="Побутова хімія"/>
    <s v="Засіб для посудомийних машин"/>
    <x v="1"/>
    <x v="5"/>
    <x v="17"/>
    <n v="3035.52"/>
    <n v="3264"/>
  </r>
  <r>
    <x v="3"/>
    <s v="Одеса"/>
    <x v="4"/>
    <s v="Побутова хімія"/>
    <s v="Засоби для догляду за меблями"/>
    <x v="1"/>
    <x v="5"/>
    <x v="17"/>
    <n v="3678.2999999999997"/>
    <n v="4087"/>
  </r>
  <r>
    <x v="4"/>
    <s v="Харків"/>
    <x v="5"/>
    <s v="Товари для дому"/>
    <s v="Серветки"/>
    <x v="1"/>
    <x v="5"/>
    <x v="17"/>
    <n v="1660.7399999999998"/>
    <n v="1866"/>
  </r>
  <r>
    <x v="3"/>
    <s v="Чорноморськ"/>
    <x v="8"/>
    <s v="Товари для дому"/>
    <s v="Одноразовий посуд"/>
    <x v="1"/>
    <x v="5"/>
    <x v="17"/>
    <n v="2495.6999999999998"/>
    <n v="2773"/>
  </r>
  <r>
    <x v="3"/>
    <s v="Чорноморськ"/>
    <x v="8"/>
    <s v="Косметика"/>
    <s v="Шампунь"/>
    <x v="1"/>
    <x v="5"/>
    <x v="17"/>
    <n v="5111.2699999999995"/>
    <n v="5743"/>
  </r>
  <r>
    <x v="4"/>
    <s v="Чугуїв"/>
    <x v="9"/>
    <s v="Косметика"/>
    <s v="Дезодорант"/>
    <x v="1"/>
    <x v="5"/>
    <x v="17"/>
    <n v="4105.0099999999993"/>
    <n v="4511"/>
  </r>
  <r>
    <x v="4"/>
    <s v="Чугуїв"/>
    <x v="9"/>
    <s v="Косметика"/>
    <s v="Мило"/>
    <x v="1"/>
    <x v="5"/>
    <x v="17"/>
    <n v="2813.3999999999996"/>
    <n v="3126"/>
  </r>
  <r>
    <x v="0"/>
    <s v="Бердичів"/>
    <x v="1"/>
    <s v="Побутова хімія"/>
    <s v="Засоби для догляду за меблями"/>
    <x v="1"/>
    <x v="5"/>
    <x v="17"/>
    <n v="2710.95"/>
    <n v="2915"/>
  </r>
  <r>
    <x v="0"/>
    <s v="Бердичів"/>
    <x v="1"/>
    <s v="Товари для дому"/>
    <s v="Серветки"/>
    <x v="1"/>
    <x v="5"/>
    <x v="17"/>
    <n v="2164.1099999999997"/>
    <n v="2327"/>
  </r>
  <r>
    <x v="1"/>
    <s v="Бердянськ"/>
    <x v="6"/>
    <s v="Товари для дому"/>
    <s v="Одноразовий посуд"/>
    <x v="1"/>
    <x v="5"/>
    <x v="17"/>
    <n v="1641.2799999999997"/>
    <n v="1784"/>
  </r>
  <r>
    <x v="2"/>
    <s v="Ірпінь"/>
    <x v="10"/>
    <s v="Косметика"/>
    <s v="Мило"/>
    <x v="1"/>
    <x v="5"/>
    <x v="17"/>
    <n v="2274.7999999999997"/>
    <n v="2420"/>
  </r>
  <r>
    <x v="2"/>
    <s v="Київ"/>
    <x v="11"/>
    <s v="Побутова хімія"/>
    <s v="Засіб для посудомийних машин"/>
    <x v="1"/>
    <x v="5"/>
    <x v="17"/>
    <n v="3246.5000000000005"/>
    <n v="3775"/>
  </r>
  <r>
    <x v="2"/>
    <s v="Біла Церква"/>
    <x v="7"/>
    <s v="Побутова хімія"/>
    <s v="Засоби для догляду за меблями"/>
    <x v="1"/>
    <x v="5"/>
    <x v="17"/>
    <n v="2587.4"/>
    <n v="3044"/>
  </r>
  <r>
    <x v="2"/>
    <s v="Бориспіль"/>
    <x v="3"/>
    <s v="Косметика"/>
    <s v="Мило"/>
    <x v="1"/>
    <x v="5"/>
    <x v="17"/>
    <n v="2283.1000000000004"/>
    <n v="2686"/>
  </r>
  <r>
    <x v="2"/>
    <s v="Ірпінь"/>
    <x v="10"/>
    <s v="Товари для дому"/>
    <s v="Одноразовий посуд"/>
    <x v="1"/>
    <x v="5"/>
    <x v="17"/>
    <n v="1745.3799999999999"/>
    <n v="1918"/>
  </r>
  <r>
    <x v="2"/>
    <s v="Київ"/>
    <x v="11"/>
    <s v="Косметика"/>
    <s v="Дезодорант"/>
    <x v="1"/>
    <x v="5"/>
    <x v="17"/>
    <n v="4801.5199999999995"/>
    <n v="5108"/>
  </r>
  <r>
    <x v="3"/>
    <s v="Одеса"/>
    <x v="4"/>
    <s v="Побутова хімія"/>
    <s v="Засіб для миття посуду"/>
    <x v="1"/>
    <x v="5"/>
    <x v="17"/>
    <n v="3455.8799999999997"/>
    <n v="3716"/>
  </r>
  <r>
    <x v="4"/>
    <s v="Харків"/>
    <x v="5"/>
    <s v="Побутова хімія"/>
    <s v="Засоби для догляду за меблями"/>
    <x v="1"/>
    <x v="5"/>
    <x v="17"/>
    <n v="2601.4699999999998"/>
    <n v="2923"/>
  </r>
  <r>
    <x v="3"/>
    <s v="Чорноморськ"/>
    <x v="8"/>
    <s v="Товари для дому"/>
    <s v="Зубочистки"/>
    <x v="1"/>
    <x v="5"/>
    <x v="17"/>
    <n v="1497.7599999999998"/>
    <n v="1702"/>
  </r>
  <r>
    <x v="4"/>
    <s v="Чугуїв"/>
    <x v="9"/>
    <s v="Косметика"/>
    <s v="Шампунь"/>
    <x v="1"/>
    <x v="5"/>
    <x v="17"/>
    <n v="4109.1299999999992"/>
    <n v="4617"/>
  </r>
  <r>
    <x v="2"/>
    <s v="Ірпінь"/>
    <x v="10"/>
    <s v="Побутова хімія"/>
    <s v="Засоби для догляду за меблями"/>
    <x v="1"/>
    <x v="5"/>
    <x v="17"/>
    <n v="3512.0799999999995"/>
    <n v="3991"/>
  </r>
  <r>
    <x v="2"/>
    <s v="Київ"/>
    <x v="11"/>
    <s v="Товари для дому"/>
    <s v="Зубочистки"/>
    <x v="1"/>
    <x v="5"/>
    <x v="17"/>
    <n v="2050.3999999999996"/>
    <n v="2330"/>
  </r>
  <r>
    <x v="0"/>
    <s v="Житомир"/>
    <x v="0"/>
    <s v="Товари для дому"/>
    <s v="Зубочистки"/>
    <x v="1"/>
    <x v="6"/>
    <x v="18"/>
    <n v="1580.56"/>
    <n v="1718"/>
  </r>
  <r>
    <x v="0"/>
    <s v="Бердичів"/>
    <x v="1"/>
    <s v="Товари для дому"/>
    <s v="Зубочистки"/>
    <x v="1"/>
    <x v="6"/>
    <x v="18"/>
    <n v="1999.4999999999998"/>
    <n v="2150"/>
  </r>
  <r>
    <x v="0"/>
    <s v="Бердичів"/>
    <x v="1"/>
    <s v="Косметика"/>
    <s v="Дезодорант"/>
    <x v="1"/>
    <x v="6"/>
    <x v="18"/>
    <n v="3057.1499999999996"/>
    <n v="3435"/>
  </r>
  <r>
    <x v="0"/>
    <s v="Житомир"/>
    <x v="0"/>
    <s v="Косметика"/>
    <s v="Дезодорант"/>
    <x v="1"/>
    <x v="6"/>
    <x v="18"/>
    <n v="4331.3599999999997"/>
    <n v="4922"/>
  </r>
  <r>
    <x v="0"/>
    <s v="Житомир"/>
    <x v="0"/>
    <s v="Побутова хімія"/>
    <s v="Засіб для миття посуду"/>
    <x v="1"/>
    <x v="6"/>
    <x v="18"/>
    <n v="4317.2000000000007"/>
    <n v="5020"/>
  </r>
  <r>
    <x v="1"/>
    <s v="Запоріжжя"/>
    <x v="2"/>
    <s v="Побутова хімія"/>
    <s v="Засіб для посудомийних машин"/>
    <x v="1"/>
    <x v="6"/>
    <x v="18"/>
    <n v="3746.24"/>
    <n v="4072"/>
  </r>
  <r>
    <x v="2"/>
    <s v="Бориспіль"/>
    <x v="3"/>
    <s v="Побутова хімія"/>
    <s v="Засоби для догляду за меблями"/>
    <x v="1"/>
    <x v="6"/>
    <x v="18"/>
    <n v="2946.7899999999995"/>
    <n v="3311"/>
  </r>
  <r>
    <x v="3"/>
    <s v="Одеса"/>
    <x v="4"/>
    <s v="Товари для дому"/>
    <s v="Серветки"/>
    <x v="1"/>
    <x v="6"/>
    <x v="18"/>
    <n v="1634.01"/>
    <n v="1757"/>
  </r>
  <r>
    <x v="4"/>
    <s v="Харків"/>
    <x v="5"/>
    <s v="Товари для дому"/>
    <s v="Зубочистки"/>
    <x v="1"/>
    <x v="6"/>
    <x v="18"/>
    <n v="3120.64"/>
    <n v="3392"/>
  </r>
  <r>
    <x v="0"/>
    <s v="Бердичів"/>
    <x v="1"/>
    <s v="Товари для дому"/>
    <s v="Одноразовий посуд"/>
    <x v="1"/>
    <x v="6"/>
    <x v="18"/>
    <n v="1833.9599999999998"/>
    <n v="1972"/>
  </r>
  <r>
    <x v="1"/>
    <s v="Бердянськ"/>
    <x v="6"/>
    <s v="Косметика"/>
    <s v="Шампунь"/>
    <x v="1"/>
    <x v="6"/>
    <x v="18"/>
    <n v="4659.7000000000007"/>
    <n v="5482"/>
  </r>
  <r>
    <x v="2"/>
    <s v="Біла Церква"/>
    <x v="7"/>
    <s v="Косметика"/>
    <s v="Дезодорант"/>
    <x v="1"/>
    <x v="6"/>
    <x v="18"/>
    <n v="4249.4799999999996"/>
    <n v="4619"/>
  </r>
  <r>
    <x v="3"/>
    <s v="Чорноморськ"/>
    <x v="8"/>
    <s v="Косметика"/>
    <s v="Мило"/>
    <x v="1"/>
    <x v="6"/>
    <x v="18"/>
    <n v="4337.8599999999997"/>
    <n v="4874"/>
  </r>
  <r>
    <x v="4"/>
    <s v="Чугуїв"/>
    <x v="9"/>
    <s v="Побутова хімія"/>
    <s v="Засіб для миття посуду"/>
    <x v="1"/>
    <x v="6"/>
    <x v="18"/>
    <n v="4555.24"/>
    <n v="4846"/>
  </r>
  <r>
    <x v="0"/>
    <s v="Житомир"/>
    <x v="0"/>
    <s v="Побутова хімія"/>
    <s v="Засіб для посудомийних машин"/>
    <x v="1"/>
    <x v="6"/>
    <x v="18"/>
    <n v="3300.6800000000003"/>
    <n v="3838"/>
  </r>
  <r>
    <x v="1"/>
    <s v="Запоріжжя"/>
    <x v="2"/>
    <s v="Побутова хімія"/>
    <s v="Засоби для догляду за меблями"/>
    <x v="1"/>
    <x v="6"/>
    <x v="18"/>
    <n v="2831.2799999999997"/>
    <n v="3012"/>
  </r>
  <r>
    <x v="2"/>
    <s v="Бориспіль"/>
    <x v="3"/>
    <s v="Товари для дому"/>
    <s v="Серветки"/>
    <x v="1"/>
    <x v="6"/>
    <x v="18"/>
    <n v="2393.2999999999997"/>
    <n v="2630"/>
  </r>
  <r>
    <x v="3"/>
    <s v="Одеса"/>
    <x v="4"/>
    <s v="Товари для дому"/>
    <s v="Зубочистки"/>
    <x v="1"/>
    <x v="6"/>
    <x v="18"/>
    <n v="1384.84"/>
    <n v="1556"/>
  </r>
  <r>
    <x v="4"/>
    <s v="Харків"/>
    <x v="5"/>
    <s v="Товари для дому"/>
    <s v="Одноразовий посуд"/>
    <x v="1"/>
    <x v="6"/>
    <x v="18"/>
    <n v="1556.1"/>
    <n v="1729"/>
  </r>
  <r>
    <x v="0"/>
    <s v="Бердичів"/>
    <x v="1"/>
    <s v="Косметика"/>
    <s v="Шампунь"/>
    <x v="1"/>
    <x v="6"/>
    <x v="18"/>
    <n v="5288.3799999999992"/>
    <n v="5942"/>
  </r>
  <r>
    <x v="1"/>
    <s v="Бердянськ"/>
    <x v="6"/>
    <s v="Косметика"/>
    <s v="Дезодорант"/>
    <x v="1"/>
    <x v="6"/>
    <x v="18"/>
    <n v="3056.4400000000005"/>
    <n v="3554"/>
  </r>
  <r>
    <x v="2"/>
    <s v="Біла Церква"/>
    <x v="7"/>
    <s v="Косметика"/>
    <s v="Мило"/>
    <x v="1"/>
    <x v="6"/>
    <x v="18"/>
    <n v="4494.6899999999996"/>
    <n v="4833"/>
  </r>
  <r>
    <x v="3"/>
    <s v="Чорноморськ"/>
    <x v="8"/>
    <s v="Побутова хімія"/>
    <s v="Засіб для миття посуду"/>
    <x v="1"/>
    <x v="6"/>
    <x v="18"/>
    <n v="4146.87"/>
    <n v="4557"/>
  </r>
  <r>
    <x v="4"/>
    <s v="Чугуїв"/>
    <x v="9"/>
    <s v="Побутова хімія"/>
    <s v="Засіб для посудомийних машин"/>
    <x v="1"/>
    <x v="6"/>
    <x v="18"/>
    <n v="3109.3800000000006"/>
    <n v="3574"/>
  </r>
  <r>
    <x v="0"/>
    <s v="Житомир"/>
    <x v="0"/>
    <s v="Побутова хімія"/>
    <s v="Засоби для догляду за меблями"/>
    <x v="1"/>
    <x v="6"/>
    <x v="18"/>
    <n v="2672.88"/>
    <n v="3108"/>
  </r>
  <r>
    <x v="1"/>
    <s v="Запоріжжя"/>
    <x v="2"/>
    <s v="Товари для дому"/>
    <s v="Серветки"/>
    <x v="1"/>
    <x v="6"/>
    <x v="18"/>
    <n v="1756.2799999999997"/>
    <n v="1909"/>
  </r>
  <r>
    <x v="2"/>
    <s v="Бориспіль"/>
    <x v="3"/>
    <s v="Товари для дому"/>
    <s v="Зубочистки"/>
    <x v="1"/>
    <x v="6"/>
    <x v="18"/>
    <n v="2209.94"/>
    <n v="2351"/>
  </r>
  <r>
    <x v="3"/>
    <s v="Одеса"/>
    <x v="4"/>
    <s v="Товари для дому"/>
    <s v="Одноразовий посуд"/>
    <x v="1"/>
    <x v="6"/>
    <x v="18"/>
    <n v="1516.83"/>
    <n v="1631"/>
  </r>
  <r>
    <x v="4"/>
    <s v="Харків"/>
    <x v="5"/>
    <s v="Косметика"/>
    <s v="Шампунь"/>
    <x v="1"/>
    <x v="6"/>
    <x v="18"/>
    <n v="4612.7400000000007"/>
    <n v="5302"/>
  </r>
  <r>
    <x v="1"/>
    <s v="Запоріжжя"/>
    <x v="2"/>
    <s v="Косметика"/>
    <s v="Мило"/>
    <x v="1"/>
    <x v="6"/>
    <x v="18"/>
    <n v="3580.47"/>
    <n v="4023"/>
  </r>
  <r>
    <x v="2"/>
    <s v="Біла Церква"/>
    <x v="7"/>
    <s v="Побутова хімія"/>
    <s v="Засіб для миття посуду"/>
    <x v="1"/>
    <x v="6"/>
    <x v="18"/>
    <n v="4005.0200000000004"/>
    <n v="4657"/>
  </r>
  <r>
    <x v="3"/>
    <s v="Чорноморськ"/>
    <x v="8"/>
    <s v="Побутова хімія"/>
    <s v="Засіб для посудомийних машин"/>
    <x v="1"/>
    <x v="6"/>
    <x v="18"/>
    <n v="4110.6000000000004"/>
    <n v="4836"/>
  </r>
  <r>
    <x v="4"/>
    <s v="Чугуїв"/>
    <x v="9"/>
    <s v="Побутова хімія"/>
    <s v="Засоби для догляду за меблями"/>
    <x v="1"/>
    <x v="6"/>
    <x v="18"/>
    <n v="3632.72"/>
    <n v="3992"/>
  </r>
  <r>
    <x v="0"/>
    <s v="Житомир"/>
    <x v="0"/>
    <s v="Товари для дому"/>
    <s v="Серветки"/>
    <x v="1"/>
    <x v="6"/>
    <x v="18"/>
    <n v="2628.1699999999996"/>
    <n v="2953"/>
  </r>
  <r>
    <x v="1"/>
    <s v="Бердянськ"/>
    <x v="6"/>
    <s v="Товари для дому"/>
    <s v="Зубочистки"/>
    <x v="1"/>
    <x v="6"/>
    <x v="18"/>
    <n v="1898.1299999999999"/>
    <n v="2041"/>
  </r>
  <r>
    <x v="2"/>
    <s v="Бориспіль"/>
    <x v="3"/>
    <s v="Товари для дому"/>
    <s v="Одноразовий посуд"/>
    <x v="1"/>
    <x v="6"/>
    <x v="18"/>
    <n v="2198.2999999999997"/>
    <n v="2470"/>
  </r>
  <r>
    <x v="3"/>
    <s v="Одеса"/>
    <x v="4"/>
    <s v="Косметика"/>
    <s v="Шампунь"/>
    <x v="1"/>
    <x v="6"/>
    <x v="18"/>
    <n v="4585.28"/>
    <n v="5152"/>
  </r>
  <r>
    <x v="4"/>
    <s v="Харків"/>
    <x v="5"/>
    <s v="Косметика"/>
    <s v="Дезодорант"/>
    <x v="1"/>
    <x v="6"/>
    <x v="18"/>
    <n v="3497.74"/>
    <n v="3721"/>
  </r>
  <r>
    <x v="0"/>
    <s v="Бердичів"/>
    <x v="1"/>
    <s v="Косметика"/>
    <s v="Мило"/>
    <x v="1"/>
    <x v="6"/>
    <x v="18"/>
    <n v="1960.5199999999998"/>
    <n v="2131"/>
  </r>
  <r>
    <x v="1"/>
    <s v="Запоріжжя"/>
    <x v="2"/>
    <s v="Побутова хімія"/>
    <s v="Засіб для миття посуду"/>
    <x v="1"/>
    <x v="6"/>
    <x v="18"/>
    <n v="4355.119999999999"/>
    <n v="4949"/>
  </r>
  <r>
    <x v="2"/>
    <s v="Біла Церква"/>
    <x v="7"/>
    <s v="Побутова хімія"/>
    <s v="Засіб для посудомийних машин"/>
    <x v="1"/>
    <x v="6"/>
    <x v="18"/>
    <n v="4521.79"/>
    <n v="4969"/>
  </r>
  <r>
    <x v="3"/>
    <s v="Чорноморськ"/>
    <x v="8"/>
    <s v="Побутова хімія"/>
    <s v="Засоби для догляду за меблями"/>
    <x v="1"/>
    <x v="6"/>
    <x v="18"/>
    <n v="2711.7900000000004"/>
    <n v="3117"/>
  </r>
  <r>
    <x v="4"/>
    <s v="Чугуїв"/>
    <x v="9"/>
    <s v="Товари для дому"/>
    <s v="Серветки"/>
    <x v="1"/>
    <x v="6"/>
    <x v="18"/>
    <n v="1414.4"/>
    <n v="1664"/>
  </r>
  <r>
    <x v="1"/>
    <s v="Запоріжжя"/>
    <x v="2"/>
    <s v="Товари для дому"/>
    <s v="Одноразовий посуд"/>
    <x v="1"/>
    <x v="6"/>
    <x v="18"/>
    <n v="2355.96"/>
    <n v="2708"/>
  </r>
  <r>
    <x v="2"/>
    <s v="Бориспіль"/>
    <x v="3"/>
    <s v="Косметика"/>
    <s v="Шампунь"/>
    <x v="1"/>
    <x v="6"/>
    <x v="18"/>
    <n v="4970.3100000000004"/>
    <n v="5713"/>
  </r>
  <r>
    <x v="3"/>
    <s v="Чорноморськ"/>
    <x v="8"/>
    <s v="Косметика"/>
    <s v="Дезодорант"/>
    <x v="1"/>
    <x v="6"/>
    <x v="18"/>
    <n v="3949.9800000000005"/>
    <n v="4593"/>
  </r>
  <r>
    <x v="4"/>
    <s v="Харків"/>
    <x v="5"/>
    <s v="Косметика"/>
    <s v="Мило"/>
    <x v="1"/>
    <x v="6"/>
    <x v="18"/>
    <n v="2591.5999999999995"/>
    <n v="2945"/>
  </r>
  <r>
    <x v="0"/>
    <s v="Бердичів"/>
    <x v="1"/>
    <s v="Побутова хімія"/>
    <s v="Засіб для миття посуду"/>
    <x v="1"/>
    <x v="6"/>
    <x v="18"/>
    <n v="3587.01"/>
    <n v="4123"/>
  </r>
  <r>
    <x v="0"/>
    <s v="Бердичів"/>
    <x v="1"/>
    <s v="Побутова хімія"/>
    <s v="Засіб для посудомийних машин"/>
    <x v="1"/>
    <x v="6"/>
    <x v="18"/>
    <n v="4183.7000000000007"/>
    <n v="4922"/>
  </r>
  <r>
    <x v="1"/>
    <s v="Бердянськ"/>
    <x v="6"/>
    <s v="Побутова хімія"/>
    <s v="Засоби для догляду за меблями"/>
    <x v="1"/>
    <x v="6"/>
    <x v="18"/>
    <n v="3390.6399999999994"/>
    <n v="3853"/>
  </r>
  <r>
    <x v="1"/>
    <s v="Бердянськ"/>
    <x v="6"/>
    <s v="Товари для дому"/>
    <s v="Серветки"/>
    <x v="1"/>
    <x v="6"/>
    <x v="18"/>
    <n v="2298.7800000000002"/>
    <n v="2673"/>
  </r>
  <r>
    <x v="2"/>
    <s v="Біла Церква"/>
    <x v="7"/>
    <s v="Товари для дому"/>
    <s v="Зубочистки"/>
    <x v="1"/>
    <x v="6"/>
    <x v="18"/>
    <n v="1525.0399999999997"/>
    <n v="1733"/>
  </r>
  <r>
    <x v="2"/>
    <s v="Біла Церква"/>
    <x v="7"/>
    <s v="Товари для дому"/>
    <s v="Одноразовий посуд"/>
    <x v="1"/>
    <x v="6"/>
    <x v="18"/>
    <n v="1335.6"/>
    <n v="1484"/>
  </r>
  <r>
    <x v="2"/>
    <s v="Бориспіль"/>
    <x v="3"/>
    <s v="Косметика"/>
    <s v="Дезодорант"/>
    <x v="1"/>
    <x v="6"/>
    <x v="18"/>
    <n v="3988.0800000000004"/>
    <n v="4584"/>
  </r>
  <r>
    <x v="0"/>
    <s v="Житомир"/>
    <x v="0"/>
    <s v="Косметика"/>
    <s v="Мило"/>
    <x v="1"/>
    <x v="6"/>
    <x v="18"/>
    <n v="3960.3"/>
    <n v="4605"/>
  </r>
  <r>
    <x v="2"/>
    <s v="Ірпінь"/>
    <x v="10"/>
    <s v="Товари для дому"/>
    <s v="Серветки"/>
    <x v="1"/>
    <x v="6"/>
    <x v="18"/>
    <n v="2319.6799999999998"/>
    <n v="2636"/>
  </r>
  <r>
    <x v="2"/>
    <s v="Ірпінь"/>
    <x v="10"/>
    <s v="Товари для дому"/>
    <s v="Зубочистки"/>
    <x v="1"/>
    <x v="6"/>
    <x v="18"/>
    <n v="1865.3400000000001"/>
    <n v="2169"/>
  </r>
  <r>
    <x v="2"/>
    <s v="Київ"/>
    <x v="11"/>
    <s v="Товари для дому"/>
    <s v="Одноразовий посуд"/>
    <x v="1"/>
    <x v="6"/>
    <x v="18"/>
    <n v="2393.1"/>
    <n v="2659"/>
  </r>
  <r>
    <x v="2"/>
    <s v="Київ"/>
    <x v="11"/>
    <s v="Косметика"/>
    <s v="Шампунь"/>
    <x v="1"/>
    <x v="6"/>
    <x v="18"/>
    <n v="4668.5999999999995"/>
    <n v="5020"/>
  </r>
  <r>
    <x v="3"/>
    <s v="Одеса"/>
    <x v="4"/>
    <s v="Косметика"/>
    <s v="Дезодорант"/>
    <x v="1"/>
    <x v="6"/>
    <x v="18"/>
    <n v="4560.5400000000009"/>
    <n v="5242"/>
  </r>
  <r>
    <x v="3"/>
    <s v="Одеса"/>
    <x v="4"/>
    <s v="Косметика"/>
    <s v="Мило"/>
    <x v="1"/>
    <x v="6"/>
    <x v="18"/>
    <n v="1998.57"/>
    <n v="2149"/>
  </r>
  <r>
    <x v="4"/>
    <s v="Харків"/>
    <x v="5"/>
    <s v="Побутова хімія"/>
    <s v="Засіб для миття посуду"/>
    <x v="1"/>
    <x v="6"/>
    <x v="18"/>
    <n v="3157.0600000000004"/>
    <n v="3671"/>
  </r>
  <r>
    <x v="4"/>
    <s v="Харків"/>
    <x v="5"/>
    <s v="Побутова хімія"/>
    <s v="Засіб для посудомийних машин"/>
    <x v="1"/>
    <x v="6"/>
    <x v="18"/>
    <n v="2540.8199999999997"/>
    <n v="2703"/>
  </r>
  <r>
    <x v="3"/>
    <s v="Чорноморськ"/>
    <x v="8"/>
    <s v="Товари для дому"/>
    <s v="Серветки"/>
    <x v="1"/>
    <x v="6"/>
    <x v="18"/>
    <n v="1848.8799999999997"/>
    <n v="2101"/>
  </r>
  <r>
    <x v="4"/>
    <s v="Чугуїв"/>
    <x v="9"/>
    <s v="Товари для дому"/>
    <s v="Зубочистки"/>
    <x v="1"/>
    <x v="6"/>
    <x v="18"/>
    <n v="2986.62"/>
    <n v="3282"/>
  </r>
  <r>
    <x v="4"/>
    <s v="Чугуїв"/>
    <x v="9"/>
    <s v="Товари для дому"/>
    <s v="Одноразовий посуд"/>
    <x v="1"/>
    <x v="6"/>
    <x v="18"/>
    <n v="1693.9999999999998"/>
    <n v="1925"/>
  </r>
  <r>
    <x v="2"/>
    <s v="Біла Церква"/>
    <x v="7"/>
    <s v="Косметика"/>
    <s v="Шампунь"/>
    <x v="1"/>
    <x v="6"/>
    <x v="18"/>
    <n v="5677.3099999999995"/>
    <n v="6379"/>
  </r>
  <r>
    <x v="1"/>
    <s v="Бердянськ"/>
    <x v="6"/>
    <s v="Побутова хімія"/>
    <s v="Засіб для посудомийних машин"/>
    <x v="1"/>
    <x v="6"/>
    <x v="18"/>
    <n v="5037.2999999999993"/>
    <n v="5597"/>
  </r>
  <r>
    <x v="0"/>
    <s v="Житомир"/>
    <x v="0"/>
    <s v="Товари для дому"/>
    <s v="Одноразовий посуд"/>
    <x v="1"/>
    <x v="6"/>
    <x v="18"/>
    <n v="2213.52"/>
    <n v="2406"/>
  </r>
  <r>
    <x v="0"/>
    <s v="Житомир"/>
    <x v="0"/>
    <s v="Косметика"/>
    <s v="Шампунь"/>
    <x v="1"/>
    <x v="6"/>
    <x v="18"/>
    <n v="6080.3399999999992"/>
    <n v="6538"/>
  </r>
  <r>
    <x v="1"/>
    <s v="Запоріжжя"/>
    <x v="2"/>
    <s v="Косметика"/>
    <s v="Дезодорант"/>
    <x v="1"/>
    <x v="6"/>
    <x v="18"/>
    <n v="3814.7999999999993"/>
    <n v="4335"/>
  </r>
  <r>
    <x v="2"/>
    <s v="Ірпінь"/>
    <x v="10"/>
    <s v="Побутова хімія"/>
    <s v="Засіб для миття посуду"/>
    <x v="1"/>
    <x v="6"/>
    <x v="18"/>
    <n v="4195.6000000000004"/>
    <n v="4936"/>
  </r>
  <r>
    <x v="2"/>
    <s v="Ірпінь"/>
    <x v="10"/>
    <s v="Побутова хімія"/>
    <s v="Засіб для посудомийних машин"/>
    <x v="1"/>
    <x v="6"/>
    <x v="18"/>
    <n v="3411.3599999999997"/>
    <n v="3708"/>
  </r>
  <r>
    <x v="2"/>
    <s v="Київ"/>
    <x v="11"/>
    <s v="Побутова хімія"/>
    <s v="Засоби для догляду за меблями"/>
    <x v="1"/>
    <x v="6"/>
    <x v="18"/>
    <n v="2783.9199999999996"/>
    <n v="3128"/>
  </r>
  <r>
    <x v="2"/>
    <s v="Київ"/>
    <x v="11"/>
    <s v="Товари для дому"/>
    <s v="Серветки"/>
    <x v="1"/>
    <x v="6"/>
    <x v="18"/>
    <n v="1986.4799999999998"/>
    <n v="2232"/>
  </r>
  <r>
    <x v="2"/>
    <s v="Біла Церква"/>
    <x v="7"/>
    <s v="Товари для дому"/>
    <s v="Серветки"/>
    <x v="1"/>
    <x v="6"/>
    <x v="18"/>
    <n v="1720.37"/>
    <n v="1933"/>
  </r>
  <r>
    <x v="1"/>
    <s v="Бердянськ"/>
    <x v="6"/>
    <s v="Косметика"/>
    <s v="Мило"/>
    <x v="1"/>
    <x v="6"/>
    <x v="18"/>
    <n v="3458.2500000000005"/>
    <n v="3975"/>
  </r>
  <r>
    <x v="2"/>
    <s v="Бориспіль"/>
    <x v="3"/>
    <s v="Побутова хімія"/>
    <s v="Засіб для миття посуду"/>
    <x v="1"/>
    <x v="6"/>
    <x v="18"/>
    <n v="3265.1100000000006"/>
    <n v="3753"/>
  </r>
  <r>
    <x v="2"/>
    <s v="Бориспіль"/>
    <x v="3"/>
    <s v="Побутова хімія"/>
    <s v="Засіб для посудомийних машин"/>
    <x v="1"/>
    <x v="6"/>
    <x v="18"/>
    <n v="3959.9999999999995"/>
    <n v="4400"/>
  </r>
  <r>
    <x v="1"/>
    <s v="Запоріжжя"/>
    <x v="2"/>
    <s v="Товари для дому"/>
    <s v="Зубочистки"/>
    <x v="1"/>
    <x v="6"/>
    <x v="18"/>
    <n v="1883.6000000000001"/>
    <n v="2216"/>
  </r>
  <r>
    <x v="2"/>
    <s v="Ірпінь"/>
    <x v="10"/>
    <s v="Косметика"/>
    <s v="Шампунь"/>
    <x v="1"/>
    <x v="6"/>
    <x v="18"/>
    <n v="3759.12"/>
    <n v="4086"/>
  </r>
  <r>
    <x v="2"/>
    <s v="Ірпінь"/>
    <x v="10"/>
    <s v="Косметика"/>
    <s v="Дезодорант"/>
    <x v="1"/>
    <x v="6"/>
    <x v="18"/>
    <n v="3000.48"/>
    <n v="3192"/>
  </r>
  <r>
    <x v="2"/>
    <s v="Київ"/>
    <x v="11"/>
    <s v="Косметика"/>
    <s v="Мило"/>
    <x v="1"/>
    <x v="6"/>
    <x v="18"/>
    <n v="4231.95"/>
    <n v="4755"/>
  </r>
  <r>
    <x v="2"/>
    <s v="Київ"/>
    <x v="11"/>
    <s v="Побутова хімія"/>
    <s v="Засіб для миття посуду"/>
    <x v="1"/>
    <x v="6"/>
    <x v="18"/>
    <n v="3489.3599999999997"/>
    <n v="3752"/>
  </r>
  <r>
    <x v="3"/>
    <s v="Одеса"/>
    <x v="4"/>
    <s v="Побутова хімія"/>
    <s v="Засіб для посудомийних машин"/>
    <x v="1"/>
    <x v="6"/>
    <x v="18"/>
    <n v="3384"/>
    <n v="3600"/>
  </r>
  <r>
    <x v="3"/>
    <s v="Одеса"/>
    <x v="4"/>
    <s v="Побутова хімія"/>
    <s v="Засоби для догляду за меблями"/>
    <x v="1"/>
    <x v="6"/>
    <x v="18"/>
    <n v="2657.5999999999995"/>
    <n v="3020"/>
  </r>
  <r>
    <x v="4"/>
    <s v="Харків"/>
    <x v="5"/>
    <s v="Товари для дому"/>
    <s v="Серветки"/>
    <x v="1"/>
    <x v="6"/>
    <x v="18"/>
    <n v="2573.7199999999998"/>
    <n v="2738"/>
  </r>
  <r>
    <x v="3"/>
    <s v="Чорноморськ"/>
    <x v="8"/>
    <s v="Товари для дому"/>
    <s v="Одноразовий посуд"/>
    <x v="1"/>
    <x v="6"/>
    <x v="18"/>
    <n v="1830.2399999999998"/>
    <n v="1968"/>
  </r>
  <r>
    <x v="3"/>
    <s v="Чорноморськ"/>
    <x v="8"/>
    <s v="Косметика"/>
    <s v="Шампунь"/>
    <x v="1"/>
    <x v="6"/>
    <x v="18"/>
    <n v="5058"/>
    <n v="5620"/>
  </r>
  <r>
    <x v="4"/>
    <s v="Чугуїв"/>
    <x v="9"/>
    <s v="Косметика"/>
    <s v="Дезодорант"/>
    <x v="1"/>
    <x v="6"/>
    <x v="18"/>
    <n v="2687.7999999999997"/>
    <n v="3020"/>
  </r>
  <r>
    <x v="4"/>
    <s v="Чугуїв"/>
    <x v="9"/>
    <s v="Косметика"/>
    <s v="Мило"/>
    <x v="1"/>
    <x v="6"/>
    <x v="18"/>
    <n v="3774.5999999999995"/>
    <n v="4194"/>
  </r>
  <r>
    <x v="0"/>
    <s v="Бердичів"/>
    <x v="1"/>
    <s v="Побутова хімія"/>
    <s v="Засоби для догляду за меблями"/>
    <x v="1"/>
    <x v="6"/>
    <x v="18"/>
    <n v="3321.0299999999997"/>
    <n v="3571"/>
  </r>
  <r>
    <x v="0"/>
    <s v="Бердичів"/>
    <x v="1"/>
    <s v="Товари для дому"/>
    <s v="Серветки"/>
    <x v="1"/>
    <x v="6"/>
    <x v="18"/>
    <n v="1848.04"/>
    <n v="1966"/>
  </r>
  <r>
    <x v="1"/>
    <s v="Бердянськ"/>
    <x v="6"/>
    <s v="Товари для дому"/>
    <s v="Одноразовий посуд"/>
    <x v="1"/>
    <x v="6"/>
    <x v="18"/>
    <n v="1935.7499999999998"/>
    <n v="2175"/>
  </r>
  <r>
    <x v="2"/>
    <s v="Ірпінь"/>
    <x v="10"/>
    <s v="Косметика"/>
    <s v="Мило"/>
    <x v="1"/>
    <x v="6"/>
    <x v="18"/>
    <n v="2978.79"/>
    <n v="3203"/>
  </r>
  <r>
    <x v="2"/>
    <s v="Київ"/>
    <x v="11"/>
    <s v="Побутова хімія"/>
    <s v="Засіб для посудомийних машин"/>
    <x v="1"/>
    <x v="6"/>
    <x v="18"/>
    <n v="3107.2799999999997"/>
    <n v="3531"/>
  </r>
  <r>
    <x v="2"/>
    <s v="Біла Церква"/>
    <x v="7"/>
    <s v="Побутова хімія"/>
    <s v="Засоби для догляду за меблями"/>
    <x v="1"/>
    <x v="6"/>
    <x v="18"/>
    <n v="2824.7999999999997"/>
    <n v="3210"/>
  </r>
  <r>
    <x v="2"/>
    <s v="Бориспіль"/>
    <x v="3"/>
    <s v="Косметика"/>
    <s v="Мило"/>
    <x v="1"/>
    <x v="6"/>
    <x v="18"/>
    <n v="3263.68"/>
    <n v="3472"/>
  </r>
  <r>
    <x v="2"/>
    <s v="Ірпінь"/>
    <x v="10"/>
    <s v="Товари для дому"/>
    <s v="Одноразовий посуд"/>
    <x v="1"/>
    <x v="6"/>
    <x v="18"/>
    <n v="1091.1399999999999"/>
    <n v="1226"/>
  </r>
  <r>
    <x v="2"/>
    <s v="Київ"/>
    <x v="11"/>
    <s v="Косметика"/>
    <s v="Дезодорант"/>
    <x v="1"/>
    <x v="6"/>
    <x v="18"/>
    <n v="5195.38"/>
    <n v="5527"/>
  </r>
  <r>
    <x v="3"/>
    <s v="Одеса"/>
    <x v="4"/>
    <s v="Побутова хімія"/>
    <s v="Засіб для миття посуду"/>
    <x v="1"/>
    <x v="6"/>
    <x v="18"/>
    <n v="3222.4800000000005"/>
    <n v="3704"/>
  </r>
  <r>
    <x v="4"/>
    <s v="Харків"/>
    <x v="5"/>
    <s v="Побутова хімія"/>
    <s v="Засоби для догляду за меблями"/>
    <x v="1"/>
    <x v="6"/>
    <x v="18"/>
    <n v="3712.56"/>
    <n v="3992"/>
  </r>
  <r>
    <x v="3"/>
    <s v="Чорноморськ"/>
    <x v="8"/>
    <s v="Товари для дому"/>
    <s v="Зубочистки"/>
    <x v="1"/>
    <x v="6"/>
    <x v="18"/>
    <n v="2508.91"/>
    <n v="2819"/>
  </r>
  <r>
    <x v="4"/>
    <s v="Чугуїв"/>
    <x v="9"/>
    <s v="Косметика"/>
    <s v="Шампунь"/>
    <x v="1"/>
    <x v="6"/>
    <x v="18"/>
    <n v="4012.0199999999995"/>
    <n v="4314"/>
  </r>
  <r>
    <x v="2"/>
    <s v="Ірпінь"/>
    <x v="10"/>
    <s v="Побутова хімія"/>
    <s v="Засоби для догляду за меблями"/>
    <x v="1"/>
    <x v="6"/>
    <x v="18"/>
    <n v="3281.54"/>
    <n v="3491"/>
  </r>
  <r>
    <x v="2"/>
    <s v="Київ"/>
    <x v="11"/>
    <s v="Товари для дому"/>
    <s v="Зубочистки"/>
    <x v="1"/>
    <x v="6"/>
    <x v="18"/>
    <n v="1625.6399999999999"/>
    <n v="1748"/>
  </r>
  <r>
    <x v="0"/>
    <s v="Житомир"/>
    <x v="0"/>
    <s v="Товари для дому"/>
    <s v="Зубочистки"/>
    <x v="1"/>
    <x v="7"/>
    <x v="19"/>
    <n v="2757.24"/>
    <n v="2997"/>
  </r>
  <r>
    <x v="0"/>
    <s v="Бердичів"/>
    <x v="1"/>
    <s v="Товари для дому"/>
    <s v="Зубочистки"/>
    <x v="1"/>
    <x v="7"/>
    <x v="19"/>
    <n v="2823.7000000000003"/>
    <n v="3322"/>
  </r>
  <r>
    <x v="0"/>
    <s v="Бердичів"/>
    <x v="1"/>
    <s v="Косметика"/>
    <s v="Дезодорант"/>
    <x v="1"/>
    <x v="7"/>
    <x v="19"/>
    <n v="2332.3200000000002"/>
    <n v="2712"/>
  </r>
  <r>
    <x v="0"/>
    <s v="Житомир"/>
    <x v="0"/>
    <s v="Косметика"/>
    <s v="Дезодорант"/>
    <x v="1"/>
    <x v="7"/>
    <x v="19"/>
    <n v="4021.1400000000003"/>
    <n v="4622"/>
  </r>
  <r>
    <x v="0"/>
    <s v="Житомир"/>
    <x v="0"/>
    <s v="Побутова хімія"/>
    <s v="Засіб для миття посуду"/>
    <x v="1"/>
    <x v="7"/>
    <x v="19"/>
    <n v="3481.6799999999994"/>
    <n v="3912"/>
  </r>
  <r>
    <x v="1"/>
    <s v="Запоріжжя"/>
    <x v="2"/>
    <s v="Побутова хімія"/>
    <s v="Засіб для посудомийних машин"/>
    <x v="1"/>
    <x v="7"/>
    <x v="19"/>
    <n v="2492.3999999999996"/>
    <n v="2680"/>
  </r>
  <r>
    <x v="2"/>
    <s v="Бориспіль"/>
    <x v="3"/>
    <s v="Побутова хімія"/>
    <s v="Засоби для догляду за меблями"/>
    <x v="1"/>
    <x v="7"/>
    <x v="19"/>
    <n v="2913.6899999999996"/>
    <n v="3133"/>
  </r>
  <r>
    <x v="3"/>
    <s v="Одеса"/>
    <x v="4"/>
    <s v="Товари для дому"/>
    <s v="Серветки"/>
    <x v="1"/>
    <x v="7"/>
    <x v="19"/>
    <n v="2441.5400000000004"/>
    <n v="2839"/>
  </r>
  <r>
    <x v="4"/>
    <s v="Харків"/>
    <x v="5"/>
    <s v="Товари для дому"/>
    <s v="Зубочистки"/>
    <x v="1"/>
    <x v="7"/>
    <x v="19"/>
    <n v="2795.56"/>
    <n v="2974"/>
  </r>
  <r>
    <x v="0"/>
    <s v="Бердичів"/>
    <x v="1"/>
    <s v="Товари для дому"/>
    <s v="Одноразовий посуд"/>
    <x v="1"/>
    <x v="7"/>
    <x v="19"/>
    <n v="1681.2099999999998"/>
    <n v="1889"/>
  </r>
  <r>
    <x v="1"/>
    <s v="Бердянськ"/>
    <x v="6"/>
    <s v="Косметика"/>
    <s v="Шампунь"/>
    <x v="1"/>
    <x v="7"/>
    <x v="19"/>
    <n v="4975.2"/>
    <n v="5528"/>
  </r>
  <r>
    <x v="2"/>
    <s v="Біла Церква"/>
    <x v="7"/>
    <s v="Косметика"/>
    <s v="Дезодорант"/>
    <x v="1"/>
    <x v="7"/>
    <x v="19"/>
    <n v="3847.3599999999997"/>
    <n v="4372"/>
  </r>
  <r>
    <x v="3"/>
    <s v="Чорноморськ"/>
    <x v="8"/>
    <s v="Косметика"/>
    <s v="Мило"/>
    <x v="1"/>
    <x v="7"/>
    <x v="19"/>
    <n v="2675.6099999999997"/>
    <n v="2877"/>
  </r>
  <r>
    <x v="4"/>
    <s v="Чугуїв"/>
    <x v="9"/>
    <s v="Побутова хімія"/>
    <s v="Засіб для миття посуду"/>
    <x v="1"/>
    <x v="7"/>
    <x v="19"/>
    <n v="3506.2"/>
    <n v="3730"/>
  </r>
  <r>
    <x v="0"/>
    <s v="Житомир"/>
    <x v="0"/>
    <s v="Побутова хімія"/>
    <s v="Засіб для посудомийних машин"/>
    <x v="1"/>
    <x v="7"/>
    <x v="19"/>
    <n v="2470.7800000000002"/>
    <n v="2873"/>
  </r>
  <r>
    <x v="1"/>
    <s v="Запоріжжя"/>
    <x v="2"/>
    <s v="Побутова хімія"/>
    <s v="Засоби для догляду за меблями"/>
    <x v="1"/>
    <x v="7"/>
    <x v="19"/>
    <n v="3120.7999999999997"/>
    <n v="3320"/>
  </r>
  <r>
    <x v="2"/>
    <s v="Бориспіль"/>
    <x v="3"/>
    <s v="Товари для дому"/>
    <s v="Серветки"/>
    <x v="1"/>
    <x v="7"/>
    <x v="19"/>
    <n v="2211.2999999999997"/>
    <n v="2457"/>
  </r>
  <r>
    <x v="3"/>
    <s v="Одеса"/>
    <x v="4"/>
    <s v="Товари для дому"/>
    <s v="Зубочистки"/>
    <x v="1"/>
    <x v="7"/>
    <x v="19"/>
    <n v="2511.2000000000003"/>
    <n v="2920"/>
  </r>
  <r>
    <x v="4"/>
    <s v="Харків"/>
    <x v="5"/>
    <s v="Товари для дому"/>
    <s v="Одноразовий посуд"/>
    <x v="1"/>
    <x v="7"/>
    <x v="19"/>
    <n v="1331.1000000000001"/>
    <n v="1530"/>
  </r>
  <r>
    <x v="0"/>
    <s v="Бердичів"/>
    <x v="1"/>
    <s v="Косметика"/>
    <s v="Шампунь"/>
    <x v="1"/>
    <x v="7"/>
    <x v="19"/>
    <n v="4731.2999999999993"/>
    <n v="5257"/>
  </r>
  <r>
    <x v="1"/>
    <s v="Бердянськ"/>
    <x v="6"/>
    <s v="Косметика"/>
    <s v="Дезодорант"/>
    <x v="1"/>
    <x v="7"/>
    <x v="19"/>
    <n v="4596.2999999999993"/>
    <n v="5107"/>
  </r>
  <r>
    <x v="2"/>
    <s v="Біла Церква"/>
    <x v="7"/>
    <s v="Косметика"/>
    <s v="Мило"/>
    <x v="1"/>
    <x v="7"/>
    <x v="19"/>
    <n v="3509.2699999999995"/>
    <n v="3943"/>
  </r>
  <r>
    <x v="3"/>
    <s v="Чорноморськ"/>
    <x v="8"/>
    <s v="Побутова хімія"/>
    <s v="Засіб для миття посуду"/>
    <x v="1"/>
    <x v="7"/>
    <x v="19"/>
    <n v="3276.0899999999997"/>
    <n v="3681"/>
  </r>
  <r>
    <x v="4"/>
    <s v="Чугуїв"/>
    <x v="9"/>
    <s v="Побутова хімія"/>
    <s v="Засіб для посудомийних машин"/>
    <x v="1"/>
    <x v="7"/>
    <x v="19"/>
    <n v="4595.07"/>
    <n v="5163"/>
  </r>
  <r>
    <x v="0"/>
    <s v="Житомир"/>
    <x v="0"/>
    <s v="Побутова хімія"/>
    <s v="Засоби для догляду за меблями"/>
    <x v="1"/>
    <x v="7"/>
    <x v="19"/>
    <n v="2904.6"/>
    <n v="3090"/>
  </r>
  <r>
    <x v="1"/>
    <s v="Запоріжжя"/>
    <x v="2"/>
    <s v="Товари для дому"/>
    <s v="Серветки"/>
    <x v="1"/>
    <x v="7"/>
    <x v="19"/>
    <n v="2687.7"/>
    <n v="2890"/>
  </r>
  <r>
    <x v="2"/>
    <s v="Бориспіль"/>
    <x v="3"/>
    <s v="Товари для дому"/>
    <s v="Зубочистки"/>
    <x v="1"/>
    <x v="7"/>
    <x v="19"/>
    <n v="2463.12"/>
    <n v="2799"/>
  </r>
  <r>
    <x v="3"/>
    <s v="Одеса"/>
    <x v="4"/>
    <s v="Товари для дому"/>
    <s v="Одноразовий посуд"/>
    <x v="1"/>
    <x v="7"/>
    <x v="19"/>
    <n v="2429.6999999999998"/>
    <n v="2670"/>
  </r>
  <r>
    <x v="4"/>
    <s v="Харків"/>
    <x v="5"/>
    <s v="Косметика"/>
    <s v="Шампунь"/>
    <x v="1"/>
    <x v="7"/>
    <x v="19"/>
    <n v="4611.8700000000008"/>
    <n v="5301"/>
  </r>
  <r>
    <x v="1"/>
    <s v="Запоріжжя"/>
    <x v="2"/>
    <s v="Косметика"/>
    <s v="Мило"/>
    <x v="1"/>
    <x v="7"/>
    <x v="19"/>
    <n v="3762.8499999999995"/>
    <n v="4135"/>
  </r>
  <r>
    <x v="2"/>
    <s v="Біла Церква"/>
    <x v="7"/>
    <s v="Побутова хімія"/>
    <s v="Засіб для миття посуду"/>
    <x v="1"/>
    <x v="7"/>
    <x v="19"/>
    <n v="4330.4799999999996"/>
    <n v="4921"/>
  </r>
  <r>
    <x v="3"/>
    <s v="Чорноморськ"/>
    <x v="8"/>
    <s v="Побутова хімія"/>
    <s v="Засіб для посудомийних машин"/>
    <x v="1"/>
    <x v="7"/>
    <x v="19"/>
    <n v="2457.0200000000004"/>
    <n v="2857"/>
  </r>
  <r>
    <x v="4"/>
    <s v="Чугуїв"/>
    <x v="9"/>
    <s v="Побутова хімія"/>
    <s v="Засоби для догляду за меблями"/>
    <x v="1"/>
    <x v="7"/>
    <x v="19"/>
    <n v="2938.7999999999997"/>
    <n v="3160"/>
  </r>
  <r>
    <x v="0"/>
    <s v="Житомир"/>
    <x v="0"/>
    <s v="Товари для дому"/>
    <s v="Серветки"/>
    <x v="1"/>
    <x v="7"/>
    <x v="19"/>
    <n v="2456.0100000000002"/>
    <n v="2823"/>
  </r>
  <r>
    <x v="1"/>
    <s v="Бердянськ"/>
    <x v="6"/>
    <s v="Товари для дому"/>
    <s v="Зубочистки"/>
    <x v="1"/>
    <x v="7"/>
    <x v="19"/>
    <n v="2315.04"/>
    <n v="2544"/>
  </r>
  <r>
    <x v="2"/>
    <s v="Бориспіль"/>
    <x v="3"/>
    <s v="Товари для дому"/>
    <s v="Одноразовий посуд"/>
    <x v="1"/>
    <x v="7"/>
    <x v="19"/>
    <n v="1996.6500000000003"/>
    <n v="2295"/>
  </r>
  <r>
    <x v="3"/>
    <s v="Одеса"/>
    <x v="4"/>
    <s v="Косметика"/>
    <s v="Шампунь"/>
    <x v="1"/>
    <x v="7"/>
    <x v="19"/>
    <n v="4941.58"/>
    <n v="5257"/>
  </r>
  <r>
    <x v="4"/>
    <s v="Харків"/>
    <x v="5"/>
    <s v="Косметика"/>
    <s v="Дезодорант"/>
    <x v="1"/>
    <x v="7"/>
    <x v="19"/>
    <n v="3867.2999999999997"/>
    <n v="4297"/>
  </r>
  <r>
    <x v="0"/>
    <s v="Бердичів"/>
    <x v="1"/>
    <s v="Косметика"/>
    <s v="Мило"/>
    <x v="1"/>
    <x v="7"/>
    <x v="19"/>
    <n v="3902.8200000000006"/>
    <n v="4486"/>
  </r>
  <r>
    <x v="1"/>
    <s v="Запоріжжя"/>
    <x v="2"/>
    <s v="Побутова хімія"/>
    <s v="Засіб для миття посуду"/>
    <x v="1"/>
    <x v="7"/>
    <x v="19"/>
    <n v="4378.4399999999996"/>
    <n v="4708"/>
  </r>
  <r>
    <x v="2"/>
    <s v="Біла Церква"/>
    <x v="7"/>
    <s v="Побутова хімія"/>
    <s v="Засіб для посудомийних машин"/>
    <x v="1"/>
    <x v="7"/>
    <x v="19"/>
    <n v="3464.72"/>
    <n v="3766"/>
  </r>
  <r>
    <x v="3"/>
    <s v="Чорноморськ"/>
    <x v="8"/>
    <s v="Побутова хімія"/>
    <s v="Засоби для догляду за меблями"/>
    <x v="1"/>
    <x v="7"/>
    <x v="19"/>
    <n v="2762.9999999999995"/>
    <n v="3070"/>
  </r>
  <r>
    <x v="4"/>
    <s v="Чугуїв"/>
    <x v="9"/>
    <s v="Товари для дому"/>
    <s v="Серветки"/>
    <x v="1"/>
    <x v="7"/>
    <x v="19"/>
    <n v="1413.6"/>
    <n v="1520"/>
  </r>
  <r>
    <x v="1"/>
    <s v="Запоріжжя"/>
    <x v="2"/>
    <s v="Товари для дому"/>
    <s v="Одноразовий посуд"/>
    <x v="1"/>
    <x v="7"/>
    <x v="19"/>
    <n v="2031.34"/>
    <n v="2161"/>
  </r>
  <r>
    <x v="2"/>
    <s v="Бориспіль"/>
    <x v="3"/>
    <s v="Косметика"/>
    <s v="Шампунь"/>
    <x v="1"/>
    <x v="7"/>
    <x v="19"/>
    <n v="3892.0499999999997"/>
    <n v="4185"/>
  </r>
  <r>
    <x v="3"/>
    <s v="Чорноморськ"/>
    <x v="8"/>
    <s v="Косметика"/>
    <s v="Дезодорант"/>
    <x v="1"/>
    <x v="7"/>
    <x v="19"/>
    <n v="3352.1100000000006"/>
    <n v="3853"/>
  </r>
  <r>
    <x v="4"/>
    <s v="Харків"/>
    <x v="5"/>
    <s v="Косметика"/>
    <s v="Мило"/>
    <x v="1"/>
    <x v="7"/>
    <x v="19"/>
    <n v="3439.1400000000003"/>
    <n v="3999"/>
  </r>
  <r>
    <x v="0"/>
    <s v="Бердичів"/>
    <x v="1"/>
    <s v="Побутова хімія"/>
    <s v="Засіб для миття посуду"/>
    <x v="1"/>
    <x v="7"/>
    <x v="19"/>
    <n v="3165.0600000000004"/>
    <n v="3638"/>
  </r>
  <r>
    <x v="0"/>
    <s v="Бердичів"/>
    <x v="1"/>
    <s v="Побутова хімія"/>
    <s v="Засіб для посудомийних машин"/>
    <x v="1"/>
    <x v="7"/>
    <x v="19"/>
    <n v="2364.7299999999996"/>
    <n v="2657"/>
  </r>
  <r>
    <x v="1"/>
    <s v="Бердянськ"/>
    <x v="6"/>
    <s v="Побутова хімія"/>
    <s v="Засоби для догляду за меблями"/>
    <x v="1"/>
    <x v="7"/>
    <x v="19"/>
    <n v="2713.0399999999995"/>
    <n v="3083"/>
  </r>
  <r>
    <x v="1"/>
    <s v="Бердянськ"/>
    <x v="6"/>
    <s v="Товари для дому"/>
    <s v="Серветки"/>
    <x v="1"/>
    <x v="7"/>
    <x v="19"/>
    <n v="1428.8"/>
    <n v="1520"/>
  </r>
  <r>
    <x v="2"/>
    <s v="Біла Церква"/>
    <x v="7"/>
    <s v="Товари для дому"/>
    <s v="Зубочистки"/>
    <x v="1"/>
    <x v="7"/>
    <x v="19"/>
    <n v="2556.9699999999998"/>
    <n v="2873"/>
  </r>
  <r>
    <x v="2"/>
    <s v="Біла Церква"/>
    <x v="7"/>
    <s v="Товари для дому"/>
    <s v="Одноразовий посуд"/>
    <x v="1"/>
    <x v="7"/>
    <x v="19"/>
    <n v="1700.2200000000003"/>
    <n v="1977"/>
  </r>
  <r>
    <x v="2"/>
    <s v="Бориспіль"/>
    <x v="3"/>
    <s v="Косметика"/>
    <s v="Дезодорант"/>
    <x v="1"/>
    <x v="7"/>
    <x v="19"/>
    <n v="2959.7000000000003"/>
    <n v="3482"/>
  </r>
  <r>
    <x v="0"/>
    <s v="Житомир"/>
    <x v="0"/>
    <s v="Косметика"/>
    <s v="Мило"/>
    <x v="1"/>
    <x v="7"/>
    <x v="19"/>
    <n v="4361.28"/>
    <n v="4956"/>
  </r>
  <r>
    <x v="2"/>
    <s v="Ірпінь"/>
    <x v="10"/>
    <s v="Товари для дому"/>
    <s v="Серветки"/>
    <x v="1"/>
    <x v="7"/>
    <x v="19"/>
    <n v="1714.4399999999998"/>
    <n v="1884"/>
  </r>
  <r>
    <x v="2"/>
    <s v="Ірпінь"/>
    <x v="10"/>
    <s v="Товари для дому"/>
    <s v="Зубочистки"/>
    <x v="1"/>
    <x v="7"/>
    <x v="19"/>
    <n v="1414.1399999999999"/>
    <n v="1554"/>
  </r>
  <r>
    <x v="2"/>
    <s v="Київ"/>
    <x v="11"/>
    <s v="Товари для дому"/>
    <s v="Одноразовий посуд"/>
    <x v="1"/>
    <x v="7"/>
    <x v="19"/>
    <n v="1727.1"/>
    <n v="1919"/>
  </r>
  <r>
    <x v="2"/>
    <s v="Київ"/>
    <x v="11"/>
    <s v="Косметика"/>
    <s v="Шампунь"/>
    <x v="1"/>
    <x v="7"/>
    <x v="19"/>
    <n v="4861.5800000000008"/>
    <n v="5653"/>
  </r>
  <r>
    <x v="3"/>
    <s v="Одеса"/>
    <x v="4"/>
    <s v="Косметика"/>
    <s v="Дезодорант"/>
    <x v="1"/>
    <x v="7"/>
    <x v="19"/>
    <n v="3795.33"/>
    <n v="4081"/>
  </r>
  <r>
    <x v="3"/>
    <s v="Одеса"/>
    <x v="4"/>
    <s v="Косметика"/>
    <s v="Мило"/>
    <x v="1"/>
    <x v="7"/>
    <x v="19"/>
    <n v="3057.2999999999997"/>
    <n v="3397"/>
  </r>
  <r>
    <x v="4"/>
    <s v="Харків"/>
    <x v="5"/>
    <s v="Побутова хімія"/>
    <s v="Засіб для миття посуду"/>
    <x v="1"/>
    <x v="7"/>
    <x v="19"/>
    <n v="3403.4400000000005"/>
    <n v="3912"/>
  </r>
  <r>
    <x v="4"/>
    <s v="Харків"/>
    <x v="5"/>
    <s v="Побутова хімія"/>
    <s v="Засіб для посудомийних машин"/>
    <x v="1"/>
    <x v="7"/>
    <x v="19"/>
    <n v="3244.2300000000005"/>
    <n v="3729"/>
  </r>
  <r>
    <x v="3"/>
    <s v="Чорноморськ"/>
    <x v="8"/>
    <s v="Товари для дому"/>
    <s v="Серветки"/>
    <x v="1"/>
    <x v="7"/>
    <x v="19"/>
    <n v="2485.7999999999997"/>
    <n v="2762"/>
  </r>
  <r>
    <x v="4"/>
    <s v="Чугуїв"/>
    <x v="9"/>
    <s v="Товари для дому"/>
    <s v="Зубочистки"/>
    <x v="1"/>
    <x v="7"/>
    <x v="19"/>
    <n v="2067.2399999999998"/>
    <n v="2247"/>
  </r>
  <r>
    <x v="4"/>
    <s v="Чугуїв"/>
    <x v="9"/>
    <s v="Товари для дому"/>
    <s v="Одноразовий посуд"/>
    <x v="1"/>
    <x v="7"/>
    <x v="19"/>
    <n v="1860.04"/>
    <n v="2044"/>
  </r>
  <r>
    <x v="2"/>
    <s v="Біла Церква"/>
    <x v="7"/>
    <s v="Косметика"/>
    <s v="Шампунь"/>
    <x v="1"/>
    <x v="7"/>
    <x v="19"/>
    <n v="3571.5800000000004"/>
    <n v="4153"/>
  </r>
  <r>
    <x v="1"/>
    <s v="Бердянськ"/>
    <x v="6"/>
    <s v="Побутова хімія"/>
    <s v="Засіб для посудомийних машин"/>
    <x v="1"/>
    <x v="7"/>
    <x v="19"/>
    <n v="4493.58"/>
    <n v="4938"/>
  </r>
  <r>
    <x v="0"/>
    <s v="Житомир"/>
    <x v="0"/>
    <s v="Товари для дому"/>
    <s v="Одноразовий посуд"/>
    <x v="1"/>
    <x v="7"/>
    <x v="19"/>
    <n v="2042.3999999999999"/>
    <n v="2220"/>
  </r>
  <r>
    <x v="0"/>
    <s v="Житомир"/>
    <x v="0"/>
    <s v="Косметика"/>
    <s v="Шампунь"/>
    <x v="1"/>
    <x v="7"/>
    <x v="19"/>
    <n v="4290.09"/>
    <n v="4613"/>
  </r>
  <r>
    <x v="1"/>
    <s v="Запоріжжя"/>
    <x v="2"/>
    <s v="Косметика"/>
    <s v="Дезодорант"/>
    <x v="1"/>
    <x v="7"/>
    <x v="19"/>
    <n v="3976.3"/>
    <n v="4678"/>
  </r>
  <r>
    <x v="2"/>
    <s v="Ірпінь"/>
    <x v="10"/>
    <s v="Побутова хімія"/>
    <s v="Засіб для миття посуду"/>
    <x v="1"/>
    <x v="7"/>
    <x v="19"/>
    <n v="3928.47"/>
    <n v="4317"/>
  </r>
  <r>
    <x v="2"/>
    <s v="Ірпінь"/>
    <x v="10"/>
    <s v="Побутова хімія"/>
    <s v="Засіб для посудомийних машин"/>
    <x v="1"/>
    <x v="7"/>
    <x v="19"/>
    <n v="3697.5000000000005"/>
    <n v="4250"/>
  </r>
  <r>
    <x v="2"/>
    <s v="Київ"/>
    <x v="11"/>
    <s v="Побутова хімія"/>
    <s v="Засоби для догляду за меблями"/>
    <x v="1"/>
    <x v="7"/>
    <x v="19"/>
    <n v="3533.5299999999997"/>
    <n v="3883"/>
  </r>
  <r>
    <x v="2"/>
    <s v="Київ"/>
    <x v="11"/>
    <s v="Товари для дому"/>
    <s v="Серветки"/>
    <x v="1"/>
    <x v="7"/>
    <x v="19"/>
    <n v="1969.1999999999998"/>
    <n v="2188"/>
  </r>
  <r>
    <x v="2"/>
    <s v="Біла Церква"/>
    <x v="7"/>
    <s v="Товари для дому"/>
    <s v="Серветки"/>
    <x v="1"/>
    <x v="7"/>
    <x v="19"/>
    <n v="1507.4399999999998"/>
    <n v="1713"/>
  </r>
  <r>
    <x v="1"/>
    <s v="Бердянськ"/>
    <x v="6"/>
    <s v="Косметика"/>
    <s v="Мило"/>
    <x v="1"/>
    <x v="7"/>
    <x v="19"/>
    <n v="2643.5499999999997"/>
    <n v="2905"/>
  </r>
  <r>
    <x v="2"/>
    <s v="Бориспіль"/>
    <x v="3"/>
    <s v="Побутова хімія"/>
    <s v="Засіб для миття посуду"/>
    <x v="1"/>
    <x v="7"/>
    <x v="19"/>
    <n v="4568.3999999999996"/>
    <n v="4860"/>
  </r>
  <r>
    <x v="2"/>
    <s v="Бориспіль"/>
    <x v="3"/>
    <s v="Побутова хімія"/>
    <s v="Засіб для посудомийних машин"/>
    <x v="1"/>
    <x v="7"/>
    <x v="19"/>
    <n v="3944.5800000000004"/>
    <n v="4534"/>
  </r>
  <r>
    <x v="1"/>
    <s v="Запоріжжя"/>
    <x v="2"/>
    <s v="Товари для дому"/>
    <s v="Зубочистки"/>
    <x v="1"/>
    <x v="7"/>
    <x v="19"/>
    <n v="2227.8500000000004"/>
    <n v="2621"/>
  </r>
  <r>
    <x v="2"/>
    <s v="Ірпінь"/>
    <x v="10"/>
    <s v="Косметика"/>
    <s v="Шампунь"/>
    <x v="1"/>
    <x v="7"/>
    <x v="19"/>
    <n v="4590.4799999999996"/>
    <n v="4936"/>
  </r>
  <r>
    <x v="2"/>
    <s v="Ірпінь"/>
    <x v="10"/>
    <s v="Косметика"/>
    <s v="Дезодорант"/>
    <x v="1"/>
    <x v="7"/>
    <x v="19"/>
    <n v="2855.68"/>
    <n v="3104"/>
  </r>
  <r>
    <x v="2"/>
    <s v="Київ"/>
    <x v="11"/>
    <s v="Косметика"/>
    <s v="Мило"/>
    <x v="1"/>
    <x v="7"/>
    <x v="19"/>
    <n v="3741.5599999999995"/>
    <n v="4204"/>
  </r>
  <r>
    <x v="2"/>
    <s v="Київ"/>
    <x v="11"/>
    <s v="Побутова хімія"/>
    <s v="Засіб для миття посуду"/>
    <x v="1"/>
    <x v="7"/>
    <x v="19"/>
    <n v="3059.0200000000004"/>
    <n v="3557"/>
  </r>
  <r>
    <x v="3"/>
    <s v="Одеса"/>
    <x v="4"/>
    <s v="Побутова хімія"/>
    <s v="Засіб для посудомийних машин"/>
    <x v="1"/>
    <x v="7"/>
    <x v="19"/>
    <n v="2561.2800000000002"/>
    <n v="2944"/>
  </r>
  <r>
    <x v="3"/>
    <s v="Одеса"/>
    <x v="4"/>
    <s v="Побутова хімія"/>
    <s v="Засоби для догляду за меблями"/>
    <x v="1"/>
    <x v="7"/>
    <x v="19"/>
    <n v="3539.3599999999997"/>
    <n v="4022"/>
  </r>
  <r>
    <x v="4"/>
    <s v="Харків"/>
    <x v="5"/>
    <s v="Товари для дому"/>
    <s v="Серветки"/>
    <x v="1"/>
    <x v="7"/>
    <x v="19"/>
    <n v="2294.4199999999996"/>
    <n v="2578"/>
  </r>
  <r>
    <x v="3"/>
    <s v="Чорноморськ"/>
    <x v="8"/>
    <s v="Товари для дому"/>
    <s v="Одноразовий посуд"/>
    <x v="1"/>
    <x v="7"/>
    <x v="19"/>
    <n v="2351.04"/>
    <n v="2528"/>
  </r>
  <r>
    <x v="3"/>
    <s v="Чорноморськ"/>
    <x v="8"/>
    <s v="Косметика"/>
    <s v="Шампунь"/>
    <x v="1"/>
    <x v="7"/>
    <x v="19"/>
    <n v="4507.2999999999993"/>
    <n v="4795"/>
  </r>
  <r>
    <x v="4"/>
    <s v="Чугуїв"/>
    <x v="9"/>
    <s v="Косметика"/>
    <s v="Дезодорант"/>
    <x v="1"/>
    <x v="7"/>
    <x v="19"/>
    <n v="3931.1299999999997"/>
    <n v="4417"/>
  </r>
  <r>
    <x v="4"/>
    <s v="Чугуїв"/>
    <x v="9"/>
    <s v="Косметика"/>
    <s v="Мило"/>
    <x v="1"/>
    <x v="7"/>
    <x v="19"/>
    <n v="1932.9199999999998"/>
    <n v="2101"/>
  </r>
  <r>
    <x v="0"/>
    <s v="Бердичів"/>
    <x v="1"/>
    <s v="Побутова хімія"/>
    <s v="Засоби для догляду за меблями"/>
    <x v="1"/>
    <x v="7"/>
    <x v="19"/>
    <n v="3417.5999999999995"/>
    <n v="3840"/>
  </r>
  <r>
    <x v="0"/>
    <s v="Бердичів"/>
    <x v="1"/>
    <s v="Товари для дому"/>
    <s v="Серветки"/>
    <x v="1"/>
    <x v="7"/>
    <x v="19"/>
    <n v="2304.88"/>
    <n v="2452"/>
  </r>
  <r>
    <x v="1"/>
    <s v="Бердянськ"/>
    <x v="6"/>
    <s v="Товари для дому"/>
    <s v="Одноразовий посуд"/>
    <x v="1"/>
    <x v="7"/>
    <x v="19"/>
    <n v="1895.3999999999999"/>
    <n v="2106"/>
  </r>
  <r>
    <x v="2"/>
    <s v="Ірпінь"/>
    <x v="10"/>
    <s v="Косметика"/>
    <s v="Мило"/>
    <x v="1"/>
    <x v="7"/>
    <x v="19"/>
    <n v="2919.7500000000005"/>
    <n v="3435"/>
  </r>
  <r>
    <x v="2"/>
    <s v="Київ"/>
    <x v="11"/>
    <s v="Побутова хімія"/>
    <s v="Засіб для посудомийних машин"/>
    <x v="1"/>
    <x v="7"/>
    <x v="19"/>
    <n v="3963.5999999999995"/>
    <n v="4404"/>
  </r>
  <r>
    <x v="2"/>
    <s v="Біла Церква"/>
    <x v="7"/>
    <s v="Побутова хімія"/>
    <s v="Засоби для догляду за меблями"/>
    <x v="1"/>
    <x v="7"/>
    <x v="19"/>
    <n v="2593.4599999999996"/>
    <n v="2914"/>
  </r>
  <r>
    <x v="2"/>
    <s v="Бориспіль"/>
    <x v="3"/>
    <s v="Косметика"/>
    <s v="Мило"/>
    <x v="1"/>
    <x v="7"/>
    <x v="19"/>
    <n v="3710.55"/>
    <n v="4265"/>
  </r>
  <r>
    <x v="2"/>
    <s v="Ірпінь"/>
    <x v="10"/>
    <s v="Товари для дому"/>
    <s v="Одноразовий посуд"/>
    <x v="1"/>
    <x v="7"/>
    <x v="19"/>
    <n v="1239.7500000000002"/>
    <n v="1425"/>
  </r>
  <r>
    <x v="2"/>
    <s v="Київ"/>
    <x v="11"/>
    <s v="Косметика"/>
    <s v="Дезодорант"/>
    <x v="1"/>
    <x v="7"/>
    <x v="19"/>
    <n v="4485.92"/>
    <n v="4876"/>
  </r>
  <r>
    <x v="3"/>
    <s v="Одеса"/>
    <x v="4"/>
    <s v="Побутова хімія"/>
    <s v="Засіб для миття посуду"/>
    <x v="1"/>
    <x v="7"/>
    <x v="19"/>
    <n v="3409.3799999999997"/>
    <n v="3666"/>
  </r>
  <r>
    <x v="4"/>
    <s v="Харків"/>
    <x v="5"/>
    <s v="Побутова хімія"/>
    <s v="Засоби для догляду за меблями"/>
    <x v="1"/>
    <x v="7"/>
    <x v="19"/>
    <n v="2909.41"/>
    <n v="3269"/>
  </r>
  <r>
    <x v="3"/>
    <s v="Чорноморськ"/>
    <x v="8"/>
    <s v="Товари для дому"/>
    <s v="Зубочистки"/>
    <x v="1"/>
    <x v="7"/>
    <x v="19"/>
    <n v="2844.9000000000005"/>
    <n v="3270"/>
  </r>
  <r>
    <x v="4"/>
    <s v="Чугуїв"/>
    <x v="9"/>
    <s v="Косметика"/>
    <s v="Шампунь"/>
    <x v="1"/>
    <x v="7"/>
    <x v="19"/>
    <n v="6217.119999999999"/>
    <n v="6832"/>
  </r>
  <r>
    <x v="2"/>
    <s v="Ірпінь"/>
    <x v="10"/>
    <s v="Побутова хімія"/>
    <s v="Засоби для догляду за меблями"/>
    <x v="1"/>
    <x v="7"/>
    <x v="19"/>
    <n v="3283.4799999999996"/>
    <n v="3569"/>
  </r>
  <r>
    <x v="2"/>
    <s v="Київ"/>
    <x v="11"/>
    <s v="Товари для дому"/>
    <s v="Зубочистки"/>
    <x v="1"/>
    <x v="7"/>
    <x v="19"/>
    <n v="1777.33"/>
    <n v="1997"/>
  </r>
  <r>
    <x v="0"/>
    <s v="Житомир"/>
    <x v="0"/>
    <s v="Товари для дому"/>
    <s v="Зубочистки"/>
    <x v="1"/>
    <x v="8"/>
    <x v="20"/>
    <n v="2247.5199999999995"/>
    <n v="2554"/>
  </r>
  <r>
    <x v="0"/>
    <s v="Бердичів"/>
    <x v="1"/>
    <s v="Товари для дому"/>
    <s v="Зубочистки"/>
    <x v="1"/>
    <x v="8"/>
    <x v="20"/>
    <n v="2035.4399999999998"/>
    <n v="2313"/>
  </r>
  <r>
    <x v="0"/>
    <s v="Бердичів"/>
    <x v="1"/>
    <s v="Косметика"/>
    <s v="Дезодорант"/>
    <x v="1"/>
    <x v="8"/>
    <x v="20"/>
    <n v="4653.8999999999996"/>
    <n v="5171"/>
  </r>
  <r>
    <x v="0"/>
    <s v="Житомир"/>
    <x v="0"/>
    <s v="Косметика"/>
    <s v="Дезодорант"/>
    <x v="1"/>
    <x v="8"/>
    <x v="20"/>
    <n v="4391.0999999999995"/>
    <n v="4879"/>
  </r>
  <r>
    <x v="0"/>
    <s v="Житомир"/>
    <x v="0"/>
    <s v="Побутова хімія"/>
    <s v="Засіб для миття посуду"/>
    <x v="1"/>
    <x v="8"/>
    <x v="20"/>
    <n v="3385.2"/>
    <n v="3640"/>
  </r>
  <r>
    <x v="1"/>
    <s v="Запоріжжя"/>
    <x v="2"/>
    <s v="Побутова хімія"/>
    <s v="Засіб для посудомийних машин"/>
    <x v="1"/>
    <x v="8"/>
    <x v="20"/>
    <n v="3770.9999999999995"/>
    <n v="4190"/>
  </r>
  <r>
    <x v="2"/>
    <s v="Бориспіль"/>
    <x v="3"/>
    <s v="Побутова хімія"/>
    <s v="Засоби для догляду за меблями"/>
    <x v="1"/>
    <x v="8"/>
    <x v="20"/>
    <n v="2563.0200000000004"/>
    <n v="2946"/>
  </r>
  <r>
    <x v="3"/>
    <s v="Одеса"/>
    <x v="4"/>
    <s v="Товари для дому"/>
    <s v="Серветки"/>
    <x v="1"/>
    <x v="8"/>
    <x v="20"/>
    <n v="1876.5900000000001"/>
    <n v="2157"/>
  </r>
  <r>
    <x v="4"/>
    <s v="Харків"/>
    <x v="5"/>
    <s v="Товари для дому"/>
    <s v="Зубочистки"/>
    <x v="1"/>
    <x v="8"/>
    <x v="20"/>
    <n v="2190.6"/>
    <n v="2434"/>
  </r>
  <r>
    <x v="0"/>
    <s v="Бердичів"/>
    <x v="1"/>
    <s v="Товари для дому"/>
    <s v="Одноразовий посуд"/>
    <x v="1"/>
    <x v="8"/>
    <x v="20"/>
    <n v="1280.3699999999999"/>
    <n v="1407"/>
  </r>
  <r>
    <x v="1"/>
    <s v="Бердянськ"/>
    <x v="6"/>
    <s v="Косметика"/>
    <s v="Шампунь"/>
    <x v="1"/>
    <x v="8"/>
    <x v="20"/>
    <n v="6243.12"/>
    <n v="6786"/>
  </r>
  <r>
    <x v="2"/>
    <s v="Біла Церква"/>
    <x v="7"/>
    <s v="Косметика"/>
    <s v="Дезодорант"/>
    <x v="1"/>
    <x v="8"/>
    <x v="20"/>
    <n v="4916.91"/>
    <n v="5287"/>
  </r>
  <r>
    <x v="3"/>
    <s v="Чорноморськ"/>
    <x v="8"/>
    <s v="Косметика"/>
    <s v="Мило"/>
    <x v="1"/>
    <x v="8"/>
    <x v="20"/>
    <n v="2752.86"/>
    <n v="3201"/>
  </r>
  <r>
    <x v="4"/>
    <s v="Чугуїв"/>
    <x v="9"/>
    <s v="Побутова хімія"/>
    <s v="Засіб для миття посуду"/>
    <x v="1"/>
    <x v="8"/>
    <x v="20"/>
    <n v="3402.49"/>
    <n v="3739"/>
  </r>
  <r>
    <x v="0"/>
    <s v="Житомир"/>
    <x v="0"/>
    <s v="Побутова хімія"/>
    <s v="Засіб для посудомийних машин"/>
    <x v="1"/>
    <x v="8"/>
    <x v="20"/>
    <n v="2757.0399999999995"/>
    <n v="3133"/>
  </r>
  <r>
    <x v="1"/>
    <s v="Запоріжжя"/>
    <x v="2"/>
    <s v="Побутова хімія"/>
    <s v="Засоби для догляду за меблями"/>
    <x v="1"/>
    <x v="8"/>
    <x v="20"/>
    <n v="3140.0999999999995"/>
    <n v="3489"/>
  </r>
  <r>
    <x v="2"/>
    <s v="Бориспіль"/>
    <x v="3"/>
    <s v="Товари для дому"/>
    <s v="Серветки"/>
    <x v="1"/>
    <x v="8"/>
    <x v="20"/>
    <n v="2177.1"/>
    <n v="2419"/>
  </r>
  <r>
    <x v="3"/>
    <s v="Одеса"/>
    <x v="4"/>
    <s v="Товари для дому"/>
    <s v="Зубочистки"/>
    <x v="1"/>
    <x v="8"/>
    <x v="20"/>
    <n v="2760.7799999999997"/>
    <n v="3102"/>
  </r>
  <r>
    <x v="4"/>
    <s v="Харків"/>
    <x v="5"/>
    <s v="Товари для дому"/>
    <s v="Одноразовий посуд"/>
    <x v="1"/>
    <x v="8"/>
    <x v="20"/>
    <n v="2484.96"/>
    <n v="2672"/>
  </r>
  <r>
    <x v="0"/>
    <s v="Бердичів"/>
    <x v="1"/>
    <s v="Косметика"/>
    <s v="Шампунь"/>
    <x v="1"/>
    <x v="8"/>
    <x v="20"/>
    <n v="4448.08"/>
    <n v="4888"/>
  </r>
  <r>
    <x v="1"/>
    <s v="Бердянськ"/>
    <x v="6"/>
    <s v="Косметика"/>
    <s v="Дезодорант"/>
    <x v="1"/>
    <x v="8"/>
    <x v="20"/>
    <n v="4347"/>
    <n v="4725"/>
  </r>
  <r>
    <x v="2"/>
    <s v="Біла Церква"/>
    <x v="7"/>
    <s v="Косметика"/>
    <s v="Мило"/>
    <x v="1"/>
    <x v="8"/>
    <x v="20"/>
    <n v="3350.79"/>
    <n v="3603"/>
  </r>
  <r>
    <x v="3"/>
    <s v="Чорноморськ"/>
    <x v="8"/>
    <s v="Побутова хімія"/>
    <s v="Засіб для миття посуду"/>
    <x v="1"/>
    <x v="8"/>
    <x v="20"/>
    <n v="4204.62"/>
    <n v="4473"/>
  </r>
  <r>
    <x v="4"/>
    <s v="Чугуїв"/>
    <x v="9"/>
    <s v="Побутова хімія"/>
    <s v="Засіб для посудомийних машин"/>
    <x v="1"/>
    <x v="8"/>
    <x v="20"/>
    <n v="5262.12"/>
    <n v="5598"/>
  </r>
  <r>
    <x v="0"/>
    <s v="Житомир"/>
    <x v="0"/>
    <s v="Побутова хімія"/>
    <s v="Засоби для догляду за меблями"/>
    <x v="1"/>
    <x v="8"/>
    <x v="20"/>
    <n v="3422.54"/>
    <n v="3641"/>
  </r>
  <r>
    <x v="1"/>
    <s v="Запоріжжя"/>
    <x v="2"/>
    <s v="Товари для дому"/>
    <s v="Серветки"/>
    <x v="1"/>
    <x v="8"/>
    <x v="20"/>
    <n v="1858.3999999999999"/>
    <n v="2020"/>
  </r>
  <r>
    <x v="2"/>
    <s v="Бориспіль"/>
    <x v="3"/>
    <s v="Товари для дому"/>
    <s v="Зубочистки"/>
    <x v="1"/>
    <x v="8"/>
    <x v="20"/>
    <n v="1806.1200000000003"/>
    <n v="2076"/>
  </r>
  <r>
    <x v="3"/>
    <s v="Одеса"/>
    <x v="4"/>
    <s v="Товари для дому"/>
    <s v="Одноразовий посуд"/>
    <x v="1"/>
    <x v="8"/>
    <x v="20"/>
    <n v="1555.6999999999998"/>
    <n v="1655"/>
  </r>
  <r>
    <x v="4"/>
    <s v="Харків"/>
    <x v="5"/>
    <s v="Косметика"/>
    <s v="Шампунь"/>
    <x v="1"/>
    <x v="8"/>
    <x v="20"/>
    <n v="4869.6500000000005"/>
    <n v="5729"/>
  </r>
  <r>
    <x v="1"/>
    <s v="Запоріжжя"/>
    <x v="2"/>
    <s v="Косметика"/>
    <s v="Мило"/>
    <x v="1"/>
    <x v="8"/>
    <x v="20"/>
    <n v="2953.2799999999997"/>
    <n v="3356"/>
  </r>
  <r>
    <x v="2"/>
    <s v="Біла Церква"/>
    <x v="7"/>
    <s v="Побутова хімія"/>
    <s v="Засіб для миття посуду"/>
    <x v="1"/>
    <x v="8"/>
    <x v="20"/>
    <n v="3830.3999999999996"/>
    <n v="4256"/>
  </r>
  <r>
    <x v="3"/>
    <s v="Чорноморськ"/>
    <x v="8"/>
    <s v="Побутова хімія"/>
    <s v="Засіб для посудомийних машин"/>
    <x v="1"/>
    <x v="8"/>
    <x v="20"/>
    <n v="3892.9799999999996"/>
    <n v="4278"/>
  </r>
  <r>
    <x v="4"/>
    <s v="Чугуїв"/>
    <x v="9"/>
    <s v="Побутова хімія"/>
    <s v="Засоби для догляду за меблями"/>
    <x v="1"/>
    <x v="8"/>
    <x v="20"/>
    <n v="3246.84"/>
    <n v="3732"/>
  </r>
  <r>
    <x v="0"/>
    <s v="Житомир"/>
    <x v="0"/>
    <s v="Товари для дому"/>
    <s v="Серветки"/>
    <x v="1"/>
    <x v="8"/>
    <x v="20"/>
    <n v="1407.9999999999998"/>
    <n v="1600"/>
  </r>
  <r>
    <x v="1"/>
    <s v="Бердянськ"/>
    <x v="6"/>
    <s v="Товари для дому"/>
    <s v="Зубочистки"/>
    <x v="1"/>
    <x v="8"/>
    <x v="20"/>
    <n v="1550.6399999999999"/>
    <n v="1704"/>
  </r>
  <r>
    <x v="2"/>
    <s v="Бориспіль"/>
    <x v="3"/>
    <s v="Товари для дому"/>
    <s v="Одноразовий посуд"/>
    <x v="1"/>
    <x v="8"/>
    <x v="20"/>
    <n v="1229.9799999999998"/>
    <n v="1382"/>
  </r>
  <r>
    <x v="3"/>
    <s v="Одеса"/>
    <x v="4"/>
    <s v="Косметика"/>
    <s v="Шампунь"/>
    <x v="1"/>
    <x v="8"/>
    <x v="20"/>
    <n v="4786.32"/>
    <n v="5439"/>
  </r>
  <r>
    <x v="4"/>
    <s v="Харків"/>
    <x v="5"/>
    <s v="Косметика"/>
    <s v="Дезодорант"/>
    <x v="1"/>
    <x v="8"/>
    <x v="20"/>
    <n v="2453.1000000000004"/>
    <n v="2886"/>
  </r>
  <r>
    <x v="0"/>
    <s v="Бердичів"/>
    <x v="1"/>
    <s v="Косметика"/>
    <s v="Мило"/>
    <x v="1"/>
    <x v="8"/>
    <x v="20"/>
    <n v="3554.8200000000006"/>
    <n v="4086"/>
  </r>
  <r>
    <x v="1"/>
    <s v="Запоріжжя"/>
    <x v="2"/>
    <s v="Побутова хімія"/>
    <s v="Засіб для миття посуду"/>
    <x v="1"/>
    <x v="8"/>
    <x v="20"/>
    <n v="4159.7999999999993"/>
    <n v="4622"/>
  </r>
  <r>
    <x v="2"/>
    <s v="Біла Церква"/>
    <x v="7"/>
    <s v="Побутова хімія"/>
    <s v="Засіб для посудомийних машин"/>
    <x v="1"/>
    <x v="8"/>
    <x v="20"/>
    <n v="4324.92"/>
    <n v="4701"/>
  </r>
  <r>
    <x v="3"/>
    <s v="Чорноморськ"/>
    <x v="8"/>
    <s v="Побутова хімія"/>
    <s v="Засоби для догляду за меблями"/>
    <x v="1"/>
    <x v="8"/>
    <x v="20"/>
    <n v="3181.8999999999996"/>
    <n v="3385"/>
  </r>
  <r>
    <x v="4"/>
    <s v="Чугуїв"/>
    <x v="9"/>
    <s v="Товари для дому"/>
    <s v="Серветки"/>
    <x v="1"/>
    <x v="8"/>
    <x v="20"/>
    <n v="2572.59"/>
    <n v="2957"/>
  </r>
  <r>
    <x v="1"/>
    <s v="Запоріжжя"/>
    <x v="2"/>
    <s v="Товари для дому"/>
    <s v="Одноразовий посуд"/>
    <x v="1"/>
    <x v="8"/>
    <x v="20"/>
    <n v="1254.5999999999999"/>
    <n v="1394"/>
  </r>
  <r>
    <x v="2"/>
    <s v="Бориспіль"/>
    <x v="3"/>
    <s v="Косметика"/>
    <s v="Шампунь"/>
    <x v="1"/>
    <x v="8"/>
    <x v="20"/>
    <n v="5183.22"/>
    <n v="6027"/>
  </r>
  <r>
    <x v="3"/>
    <s v="Чорноморськ"/>
    <x v="8"/>
    <s v="Косметика"/>
    <s v="Дезодорант"/>
    <x v="1"/>
    <x v="8"/>
    <x v="20"/>
    <n v="3405.1000000000004"/>
    <n v="4006"/>
  </r>
  <r>
    <x v="4"/>
    <s v="Харків"/>
    <x v="5"/>
    <s v="Косметика"/>
    <s v="Мило"/>
    <x v="1"/>
    <x v="8"/>
    <x v="20"/>
    <n v="4034.9500000000003"/>
    <n v="4747"/>
  </r>
  <r>
    <x v="0"/>
    <s v="Бердичів"/>
    <x v="1"/>
    <s v="Побутова хімія"/>
    <s v="Засіб для миття посуду"/>
    <x v="1"/>
    <x v="8"/>
    <x v="20"/>
    <n v="3359.8399999999997"/>
    <n v="3652"/>
  </r>
  <r>
    <x v="0"/>
    <s v="Бердичів"/>
    <x v="1"/>
    <s v="Побутова хімія"/>
    <s v="Засіб для посудомийних машин"/>
    <x v="1"/>
    <x v="8"/>
    <x v="20"/>
    <n v="2547.8999999999996"/>
    <n v="2831"/>
  </r>
  <r>
    <x v="1"/>
    <s v="Бердянськ"/>
    <x v="6"/>
    <s v="Побутова хімія"/>
    <s v="Засоби для догляду за меблями"/>
    <x v="1"/>
    <x v="8"/>
    <x v="20"/>
    <n v="3677.3099999999995"/>
    <n v="4041"/>
  </r>
  <r>
    <x v="1"/>
    <s v="Бердянськ"/>
    <x v="6"/>
    <s v="Товари для дому"/>
    <s v="Серветки"/>
    <x v="1"/>
    <x v="8"/>
    <x v="20"/>
    <n v="2302.8900000000003"/>
    <n v="2647"/>
  </r>
  <r>
    <x v="2"/>
    <s v="Біла Церква"/>
    <x v="7"/>
    <s v="Товари для дому"/>
    <s v="Зубочистки"/>
    <x v="1"/>
    <x v="8"/>
    <x v="20"/>
    <n v="2217.12"/>
    <n v="2384"/>
  </r>
  <r>
    <x v="2"/>
    <s v="Біла Церква"/>
    <x v="7"/>
    <s v="Товари для дому"/>
    <s v="Одноразовий посуд"/>
    <x v="1"/>
    <x v="8"/>
    <x v="20"/>
    <n v="2101.4399999999996"/>
    <n v="2388"/>
  </r>
  <r>
    <x v="2"/>
    <s v="Бориспіль"/>
    <x v="3"/>
    <s v="Косметика"/>
    <s v="Дезодорант"/>
    <x v="1"/>
    <x v="8"/>
    <x v="20"/>
    <n v="3134.04"/>
    <n v="3444"/>
  </r>
  <r>
    <x v="0"/>
    <s v="Житомир"/>
    <x v="0"/>
    <s v="Косметика"/>
    <s v="Мило"/>
    <x v="1"/>
    <x v="8"/>
    <x v="20"/>
    <n v="3402.0799999999995"/>
    <n v="3866"/>
  </r>
  <r>
    <x v="2"/>
    <s v="Ірпінь"/>
    <x v="10"/>
    <s v="Товари для дому"/>
    <s v="Серветки"/>
    <x v="1"/>
    <x v="8"/>
    <x v="20"/>
    <n v="2086.6299999999997"/>
    <n v="2293"/>
  </r>
  <r>
    <x v="2"/>
    <s v="Ірпінь"/>
    <x v="10"/>
    <s v="Товари для дому"/>
    <s v="Зубочистки"/>
    <x v="1"/>
    <x v="8"/>
    <x v="20"/>
    <n v="1931.2999999999997"/>
    <n v="2170"/>
  </r>
  <r>
    <x v="2"/>
    <s v="Київ"/>
    <x v="11"/>
    <s v="Товари для дому"/>
    <s v="Одноразовий посуд"/>
    <x v="1"/>
    <x v="8"/>
    <x v="20"/>
    <n v="2680.2599999999998"/>
    <n v="2882"/>
  </r>
  <r>
    <x v="2"/>
    <s v="Київ"/>
    <x v="11"/>
    <s v="Косметика"/>
    <s v="Шампунь"/>
    <x v="1"/>
    <x v="8"/>
    <x v="20"/>
    <n v="4982.2199999999993"/>
    <n v="5598"/>
  </r>
  <r>
    <x v="3"/>
    <s v="Одеса"/>
    <x v="4"/>
    <s v="Косметика"/>
    <s v="Дезодорант"/>
    <x v="1"/>
    <x v="8"/>
    <x v="20"/>
    <n v="4984.07"/>
    <n v="5477"/>
  </r>
  <r>
    <x v="3"/>
    <s v="Одеса"/>
    <x v="4"/>
    <s v="Косметика"/>
    <s v="Мило"/>
    <x v="1"/>
    <x v="8"/>
    <x v="20"/>
    <n v="2668.16"/>
    <n v="3032"/>
  </r>
  <r>
    <x v="4"/>
    <s v="Харків"/>
    <x v="5"/>
    <s v="Побутова хімія"/>
    <s v="Засіб для миття посуду"/>
    <x v="1"/>
    <x v="8"/>
    <x v="20"/>
    <n v="3163.5999999999995"/>
    <n v="3595"/>
  </r>
  <r>
    <x v="4"/>
    <s v="Харків"/>
    <x v="5"/>
    <s v="Побутова хімія"/>
    <s v="Засіб для посудомийних машин"/>
    <x v="1"/>
    <x v="8"/>
    <x v="20"/>
    <n v="3036"/>
    <n v="3300"/>
  </r>
  <r>
    <x v="3"/>
    <s v="Чорноморськ"/>
    <x v="8"/>
    <s v="Товари для дому"/>
    <s v="Серветки"/>
    <x v="1"/>
    <x v="8"/>
    <x v="20"/>
    <n v="2375.1000000000004"/>
    <n v="2730"/>
  </r>
  <r>
    <x v="4"/>
    <s v="Чугуїв"/>
    <x v="9"/>
    <s v="Товари для дому"/>
    <s v="Зубочистки"/>
    <x v="1"/>
    <x v="8"/>
    <x v="20"/>
    <n v="2313.7000000000003"/>
    <n v="2722"/>
  </r>
  <r>
    <x v="4"/>
    <s v="Чугуїв"/>
    <x v="9"/>
    <s v="Товари для дому"/>
    <s v="Одноразовий посуд"/>
    <x v="1"/>
    <x v="8"/>
    <x v="20"/>
    <n v="1381.98"/>
    <n v="1486"/>
  </r>
  <r>
    <x v="2"/>
    <s v="Біла Церква"/>
    <x v="7"/>
    <s v="Косметика"/>
    <s v="Шампунь"/>
    <x v="1"/>
    <x v="8"/>
    <x v="20"/>
    <n v="5020.2"/>
    <n v="5578"/>
  </r>
  <r>
    <x v="1"/>
    <s v="Бердянськ"/>
    <x v="6"/>
    <s v="Побутова хімія"/>
    <s v="Засіб для посудомийних машин"/>
    <x v="1"/>
    <x v="8"/>
    <x v="20"/>
    <n v="4636.2300000000005"/>
    <n v="5329"/>
  </r>
  <r>
    <x v="0"/>
    <s v="Житомир"/>
    <x v="0"/>
    <s v="Товари для дому"/>
    <s v="Одноразовий посуд"/>
    <x v="1"/>
    <x v="8"/>
    <x v="20"/>
    <n v="1965.9600000000003"/>
    <n v="2286"/>
  </r>
  <r>
    <x v="0"/>
    <s v="Житомир"/>
    <x v="0"/>
    <s v="Косметика"/>
    <s v="Шампунь"/>
    <x v="1"/>
    <x v="8"/>
    <x v="20"/>
    <n v="6097.91"/>
    <n v="6701"/>
  </r>
  <r>
    <x v="1"/>
    <s v="Запоріжжя"/>
    <x v="2"/>
    <s v="Косметика"/>
    <s v="Дезодорант"/>
    <x v="1"/>
    <x v="8"/>
    <x v="20"/>
    <n v="4404.0600000000004"/>
    <n v="5121"/>
  </r>
  <r>
    <x v="2"/>
    <s v="Ірпінь"/>
    <x v="10"/>
    <s v="Побутова хімія"/>
    <s v="Засіб для миття посуду"/>
    <x v="1"/>
    <x v="8"/>
    <x v="20"/>
    <n v="2801.4000000000005"/>
    <n v="3220"/>
  </r>
  <r>
    <x v="2"/>
    <s v="Ірпінь"/>
    <x v="10"/>
    <s v="Побутова хімія"/>
    <s v="Засіб для посудомийних машин"/>
    <x v="1"/>
    <x v="8"/>
    <x v="20"/>
    <n v="4349.8399999999992"/>
    <n v="4943"/>
  </r>
  <r>
    <x v="2"/>
    <s v="Київ"/>
    <x v="11"/>
    <s v="Побутова хімія"/>
    <s v="Засоби для догляду за меблями"/>
    <x v="1"/>
    <x v="8"/>
    <x v="20"/>
    <n v="2717.1699999999996"/>
    <n v="3053"/>
  </r>
  <r>
    <x v="2"/>
    <s v="Київ"/>
    <x v="11"/>
    <s v="Товари для дому"/>
    <s v="Серветки"/>
    <x v="1"/>
    <x v="8"/>
    <x v="20"/>
    <n v="2403.89"/>
    <n v="2701"/>
  </r>
  <r>
    <x v="2"/>
    <s v="Біла Церква"/>
    <x v="7"/>
    <s v="Товари для дому"/>
    <s v="Серветки"/>
    <x v="1"/>
    <x v="8"/>
    <x v="20"/>
    <n v="1731.1800000000003"/>
    <n v="2013"/>
  </r>
  <r>
    <x v="1"/>
    <s v="Бердянськ"/>
    <x v="6"/>
    <s v="Косметика"/>
    <s v="Мило"/>
    <x v="1"/>
    <x v="8"/>
    <x v="20"/>
    <n v="2435.04"/>
    <n v="2736"/>
  </r>
  <r>
    <x v="2"/>
    <s v="Бориспіль"/>
    <x v="3"/>
    <s v="Побутова хімія"/>
    <s v="Засіб для миття посуду"/>
    <x v="1"/>
    <x v="8"/>
    <x v="20"/>
    <n v="4475.7999999999993"/>
    <n v="4865"/>
  </r>
  <r>
    <x v="2"/>
    <s v="Бориспіль"/>
    <x v="3"/>
    <s v="Побутова хімія"/>
    <s v="Засіб для посудомийних машин"/>
    <x v="1"/>
    <x v="8"/>
    <x v="20"/>
    <n v="3296.5599999999995"/>
    <n v="3704"/>
  </r>
  <r>
    <x v="1"/>
    <s v="Запоріжжя"/>
    <x v="2"/>
    <s v="Товари для дому"/>
    <s v="Зубочистки"/>
    <x v="1"/>
    <x v="8"/>
    <x v="20"/>
    <n v="1347.2500000000002"/>
    <n v="1585"/>
  </r>
  <r>
    <x v="2"/>
    <s v="Ірпінь"/>
    <x v="10"/>
    <s v="Косметика"/>
    <s v="Шампунь"/>
    <x v="1"/>
    <x v="8"/>
    <x v="20"/>
    <n v="5242.0999999999995"/>
    <n v="5890"/>
  </r>
  <r>
    <x v="2"/>
    <s v="Ірпінь"/>
    <x v="10"/>
    <s v="Косметика"/>
    <s v="Дезодорант"/>
    <x v="1"/>
    <x v="8"/>
    <x v="20"/>
    <n v="2672.88"/>
    <n v="3108"/>
  </r>
  <r>
    <x v="2"/>
    <s v="Київ"/>
    <x v="11"/>
    <s v="Косметика"/>
    <s v="Мило"/>
    <x v="1"/>
    <x v="8"/>
    <x v="20"/>
    <n v="3236.6399999999994"/>
    <n v="3678"/>
  </r>
  <r>
    <x v="2"/>
    <s v="Київ"/>
    <x v="11"/>
    <s v="Побутова хімія"/>
    <s v="Засіб для миття посуду"/>
    <x v="1"/>
    <x v="8"/>
    <x v="20"/>
    <n v="3987.62"/>
    <n v="4382"/>
  </r>
  <r>
    <x v="3"/>
    <s v="Одеса"/>
    <x v="4"/>
    <s v="Побутова хімія"/>
    <s v="Засіб для посудомийних машин"/>
    <x v="1"/>
    <x v="8"/>
    <x v="20"/>
    <n v="3788.3"/>
    <n v="4405"/>
  </r>
  <r>
    <x v="3"/>
    <s v="Одеса"/>
    <x v="4"/>
    <s v="Побутова хімія"/>
    <s v="Засоби для догляду за меблями"/>
    <x v="1"/>
    <x v="8"/>
    <x v="20"/>
    <n v="3222.8999999999996"/>
    <n v="3581"/>
  </r>
  <r>
    <x v="4"/>
    <s v="Харків"/>
    <x v="5"/>
    <s v="Товари для дому"/>
    <s v="Серветки"/>
    <x v="1"/>
    <x v="8"/>
    <x v="20"/>
    <n v="1306.3400000000001"/>
    <n v="1519"/>
  </r>
  <r>
    <x v="3"/>
    <s v="Чорноморськ"/>
    <x v="8"/>
    <s v="Товари для дому"/>
    <s v="Одноразовий посуд"/>
    <x v="1"/>
    <x v="8"/>
    <x v="20"/>
    <n v="1466.0099999999998"/>
    <n v="1611"/>
  </r>
  <r>
    <x v="3"/>
    <s v="Чорноморськ"/>
    <x v="8"/>
    <s v="Косметика"/>
    <s v="Шампунь"/>
    <x v="1"/>
    <x v="8"/>
    <x v="20"/>
    <n v="3703.2899999999995"/>
    <n v="4161"/>
  </r>
  <r>
    <x v="4"/>
    <s v="Чугуїв"/>
    <x v="9"/>
    <s v="Косметика"/>
    <s v="Дезодорант"/>
    <x v="1"/>
    <x v="8"/>
    <x v="20"/>
    <n v="4649.3599999999997"/>
    <n v="5224"/>
  </r>
  <r>
    <x v="4"/>
    <s v="Чугуїв"/>
    <x v="9"/>
    <s v="Косметика"/>
    <s v="Мило"/>
    <x v="1"/>
    <x v="8"/>
    <x v="20"/>
    <n v="2921.1"/>
    <n v="3210"/>
  </r>
  <r>
    <x v="0"/>
    <s v="Бердичів"/>
    <x v="1"/>
    <s v="Побутова хімія"/>
    <s v="Засоби для догляду за меблями"/>
    <x v="1"/>
    <x v="8"/>
    <x v="20"/>
    <n v="2924.5399999999995"/>
    <n v="3286"/>
  </r>
  <r>
    <x v="0"/>
    <s v="Бердичів"/>
    <x v="1"/>
    <s v="Товари для дому"/>
    <s v="Серветки"/>
    <x v="1"/>
    <x v="8"/>
    <x v="20"/>
    <n v="2334.21"/>
    <n v="2683"/>
  </r>
  <r>
    <x v="1"/>
    <s v="Бердянськ"/>
    <x v="6"/>
    <s v="Товари для дому"/>
    <s v="Одноразовий посуд"/>
    <x v="1"/>
    <x v="8"/>
    <x v="20"/>
    <n v="1303.2600000000002"/>
    <n v="1498"/>
  </r>
  <r>
    <x v="2"/>
    <s v="Ірпінь"/>
    <x v="10"/>
    <s v="Косметика"/>
    <s v="Мило"/>
    <x v="1"/>
    <x v="8"/>
    <x v="20"/>
    <n v="3845.66"/>
    <n v="4226"/>
  </r>
  <r>
    <x v="2"/>
    <s v="Київ"/>
    <x v="11"/>
    <s v="Побутова хімія"/>
    <s v="Засіб для посудомийних машин"/>
    <x v="1"/>
    <x v="8"/>
    <x v="20"/>
    <n v="3287.83"/>
    <n v="3613"/>
  </r>
  <r>
    <x v="2"/>
    <s v="Біла Церква"/>
    <x v="7"/>
    <s v="Побутова хімія"/>
    <s v="Засоби для догляду за меблями"/>
    <x v="1"/>
    <x v="8"/>
    <x v="20"/>
    <n v="3098.9400000000005"/>
    <n v="3562"/>
  </r>
  <r>
    <x v="2"/>
    <s v="Бориспіль"/>
    <x v="3"/>
    <s v="Косметика"/>
    <s v="Мило"/>
    <x v="1"/>
    <x v="8"/>
    <x v="20"/>
    <n v="4079.5299999999997"/>
    <n v="4483"/>
  </r>
  <r>
    <x v="2"/>
    <s v="Ірпінь"/>
    <x v="10"/>
    <s v="Товари для дому"/>
    <s v="Одноразовий посуд"/>
    <x v="1"/>
    <x v="8"/>
    <x v="20"/>
    <n v="1299.3999999999999"/>
    <n v="1460"/>
  </r>
  <r>
    <x v="2"/>
    <s v="Київ"/>
    <x v="11"/>
    <s v="Косметика"/>
    <s v="Дезодорант"/>
    <x v="1"/>
    <x v="8"/>
    <x v="20"/>
    <n v="4368.16"/>
    <n v="4748"/>
  </r>
  <r>
    <x v="3"/>
    <s v="Одеса"/>
    <x v="4"/>
    <s v="Побутова хімія"/>
    <s v="Засіб для миття посуду"/>
    <x v="1"/>
    <x v="8"/>
    <x v="20"/>
    <n v="4119.57"/>
    <n v="4527"/>
  </r>
  <r>
    <x v="4"/>
    <s v="Харків"/>
    <x v="5"/>
    <s v="Побутова хімія"/>
    <s v="Засоби для догляду за меблями"/>
    <x v="1"/>
    <x v="8"/>
    <x v="20"/>
    <n v="3301.2"/>
    <n v="3668"/>
  </r>
  <r>
    <x v="3"/>
    <s v="Чорноморськ"/>
    <x v="8"/>
    <s v="Товари для дому"/>
    <s v="Зубочистки"/>
    <x v="1"/>
    <x v="8"/>
    <x v="20"/>
    <n v="1866.84"/>
    <n v="1986"/>
  </r>
  <r>
    <x v="4"/>
    <s v="Чугуїв"/>
    <x v="9"/>
    <s v="Косметика"/>
    <s v="Шампунь"/>
    <x v="1"/>
    <x v="8"/>
    <x v="20"/>
    <n v="5186.9599999999991"/>
    <n v="5638"/>
  </r>
  <r>
    <x v="2"/>
    <s v="Ірпінь"/>
    <x v="10"/>
    <s v="Побутова хімія"/>
    <s v="Засоби для догляду за меблями"/>
    <x v="1"/>
    <x v="8"/>
    <x v="20"/>
    <n v="2866.2000000000003"/>
    <n v="3372"/>
  </r>
  <r>
    <x v="2"/>
    <s v="Київ"/>
    <x v="11"/>
    <s v="Товари для дому"/>
    <s v="Зубочистки"/>
    <x v="1"/>
    <x v="8"/>
    <x v="20"/>
    <n v="2506.35"/>
    <n v="2695"/>
  </r>
  <r>
    <x v="0"/>
    <s v="Житомир"/>
    <x v="0"/>
    <s v="Товари для дому"/>
    <s v="Зубочистки"/>
    <x v="1"/>
    <x v="9"/>
    <x v="21"/>
    <n v="2692.35"/>
    <n v="2895"/>
  </r>
  <r>
    <x v="0"/>
    <s v="Бердичів"/>
    <x v="1"/>
    <s v="Товари для дому"/>
    <s v="Зубочистки"/>
    <x v="1"/>
    <x v="9"/>
    <x v="21"/>
    <n v="2403"/>
    <n v="2670"/>
  </r>
  <r>
    <x v="0"/>
    <s v="Бердичів"/>
    <x v="1"/>
    <s v="Косметика"/>
    <s v="Дезодорант"/>
    <x v="1"/>
    <x v="9"/>
    <x v="21"/>
    <n v="3820.18"/>
    <n v="4198"/>
  </r>
  <r>
    <x v="0"/>
    <s v="Житомир"/>
    <x v="0"/>
    <s v="Косметика"/>
    <s v="Дезодорант"/>
    <x v="1"/>
    <x v="9"/>
    <x v="21"/>
    <n v="2997.66"/>
    <n v="3189"/>
  </r>
  <r>
    <x v="0"/>
    <s v="Житомир"/>
    <x v="0"/>
    <s v="Побутова хімія"/>
    <s v="Засіб для миття посуду"/>
    <x v="1"/>
    <x v="9"/>
    <x v="21"/>
    <n v="3654.72"/>
    <n v="3888"/>
  </r>
  <r>
    <x v="1"/>
    <s v="Запоріжжя"/>
    <x v="2"/>
    <s v="Побутова хімія"/>
    <s v="Засіб для посудомийних машин"/>
    <x v="1"/>
    <x v="9"/>
    <x v="21"/>
    <n v="3932.9099999999994"/>
    <n v="4419"/>
  </r>
  <r>
    <x v="2"/>
    <s v="Бориспіль"/>
    <x v="3"/>
    <s v="Побутова хімія"/>
    <s v="Засоби для догляду за меблями"/>
    <x v="1"/>
    <x v="9"/>
    <x v="21"/>
    <n v="3475.26"/>
    <n v="4041"/>
  </r>
  <r>
    <x v="3"/>
    <s v="Одеса"/>
    <x v="4"/>
    <s v="Товари для дому"/>
    <s v="Серветки"/>
    <x v="1"/>
    <x v="9"/>
    <x v="21"/>
    <n v="1339.6000000000001"/>
    <n v="1576"/>
  </r>
  <r>
    <x v="4"/>
    <s v="Харків"/>
    <x v="5"/>
    <s v="Товари для дому"/>
    <s v="Зубочистки"/>
    <x v="1"/>
    <x v="9"/>
    <x v="21"/>
    <n v="1423.84"/>
    <n v="1618"/>
  </r>
  <r>
    <x v="0"/>
    <s v="Бердичів"/>
    <x v="1"/>
    <s v="Товари для дому"/>
    <s v="Одноразовий посуд"/>
    <x v="1"/>
    <x v="9"/>
    <x v="21"/>
    <n v="1957.3600000000001"/>
    <n v="2276"/>
  </r>
  <r>
    <x v="1"/>
    <s v="Бердянськ"/>
    <x v="6"/>
    <s v="Косметика"/>
    <s v="Шампунь"/>
    <x v="1"/>
    <x v="9"/>
    <x v="21"/>
    <n v="4735.6899999999996"/>
    <n v="5321"/>
  </r>
  <r>
    <x v="2"/>
    <s v="Біла Церква"/>
    <x v="7"/>
    <s v="Косметика"/>
    <s v="Дезодорант"/>
    <x v="1"/>
    <x v="9"/>
    <x v="21"/>
    <n v="3923.6000000000004"/>
    <n v="4616"/>
  </r>
  <r>
    <x v="3"/>
    <s v="Чорноморськ"/>
    <x v="8"/>
    <s v="Косметика"/>
    <s v="Мило"/>
    <x v="1"/>
    <x v="9"/>
    <x v="21"/>
    <n v="3982.6600000000003"/>
    <n v="4631"/>
  </r>
  <r>
    <x v="4"/>
    <s v="Чугуїв"/>
    <x v="9"/>
    <s v="Побутова хімія"/>
    <s v="Засіб для миття посуду"/>
    <x v="1"/>
    <x v="9"/>
    <x v="21"/>
    <n v="3567.5199999999995"/>
    <n v="4054"/>
  </r>
  <r>
    <x v="0"/>
    <s v="Житомир"/>
    <x v="0"/>
    <s v="Побутова хімія"/>
    <s v="Засіб для посудомийних машин"/>
    <x v="1"/>
    <x v="9"/>
    <x v="21"/>
    <n v="4108.9000000000005"/>
    <n v="4834"/>
  </r>
  <r>
    <x v="1"/>
    <s v="Запоріжжя"/>
    <x v="2"/>
    <s v="Побутова хімія"/>
    <s v="Засоби для догляду за меблями"/>
    <x v="1"/>
    <x v="9"/>
    <x v="21"/>
    <n v="2420.8000000000002"/>
    <n v="2848"/>
  </r>
  <r>
    <x v="2"/>
    <s v="Бориспіль"/>
    <x v="3"/>
    <s v="Товари для дому"/>
    <s v="Серветки"/>
    <x v="1"/>
    <x v="9"/>
    <x v="21"/>
    <n v="2160.0299999999997"/>
    <n v="2427"/>
  </r>
  <r>
    <x v="3"/>
    <s v="Одеса"/>
    <x v="4"/>
    <s v="Товари для дому"/>
    <s v="Зубочистки"/>
    <x v="1"/>
    <x v="9"/>
    <x v="21"/>
    <n v="1396.5500000000002"/>
    <n v="1643"/>
  </r>
  <r>
    <x v="4"/>
    <s v="Харків"/>
    <x v="5"/>
    <s v="Товари для дому"/>
    <s v="Одноразовий посуд"/>
    <x v="1"/>
    <x v="9"/>
    <x v="21"/>
    <n v="1823.6"/>
    <n v="1940"/>
  </r>
  <r>
    <x v="0"/>
    <s v="Бердичів"/>
    <x v="1"/>
    <s v="Косметика"/>
    <s v="Шампунь"/>
    <x v="1"/>
    <x v="9"/>
    <x v="21"/>
    <n v="3726.9199999999996"/>
    <n v="4051"/>
  </r>
  <r>
    <x v="1"/>
    <s v="Бердянськ"/>
    <x v="6"/>
    <s v="Косметика"/>
    <s v="Дезодорант"/>
    <x v="1"/>
    <x v="9"/>
    <x v="21"/>
    <n v="3447.8100000000004"/>
    <n v="3963"/>
  </r>
  <r>
    <x v="2"/>
    <s v="Біла Церква"/>
    <x v="7"/>
    <s v="Косметика"/>
    <s v="Мило"/>
    <x v="1"/>
    <x v="9"/>
    <x v="21"/>
    <n v="3842.0000000000005"/>
    <n v="4520"/>
  </r>
  <r>
    <x v="3"/>
    <s v="Чорноморськ"/>
    <x v="8"/>
    <s v="Побутова хімія"/>
    <s v="Засіб для миття посуду"/>
    <x v="1"/>
    <x v="9"/>
    <x v="21"/>
    <n v="4430.7199999999993"/>
    <n v="4816"/>
  </r>
  <r>
    <x v="4"/>
    <s v="Чугуїв"/>
    <x v="9"/>
    <s v="Побутова хімія"/>
    <s v="Засіб для посудомийних машин"/>
    <x v="1"/>
    <x v="9"/>
    <x v="21"/>
    <n v="3052.14"/>
    <n v="3354"/>
  </r>
  <r>
    <x v="0"/>
    <s v="Житомир"/>
    <x v="0"/>
    <s v="Побутова хімія"/>
    <s v="Засоби для догляду за меблями"/>
    <x v="1"/>
    <x v="9"/>
    <x v="21"/>
    <n v="2985.2999999999997"/>
    <n v="3317"/>
  </r>
  <r>
    <x v="1"/>
    <s v="Запоріжжя"/>
    <x v="2"/>
    <s v="Товари для дому"/>
    <s v="Серветки"/>
    <x v="1"/>
    <x v="9"/>
    <x v="21"/>
    <n v="2478.4499999999998"/>
    <n v="2665"/>
  </r>
  <r>
    <x v="2"/>
    <s v="Бориспіль"/>
    <x v="3"/>
    <s v="Товари для дому"/>
    <s v="Зубочистки"/>
    <x v="1"/>
    <x v="9"/>
    <x v="21"/>
    <n v="2303.9400000000005"/>
    <n v="2679"/>
  </r>
  <r>
    <x v="3"/>
    <s v="Одеса"/>
    <x v="4"/>
    <s v="Товари для дому"/>
    <s v="Одноразовий посуд"/>
    <x v="1"/>
    <x v="9"/>
    <x v="21"/>
    <n v="1307.2000000000003"/>
    <n v="1520"/>
  </r>
  <r>
    <x v="4"/>
    <s v="Харків"/>
    <x v="5"/>
    <s v="Косметика"/>
    <s v="Шампунь"/>
    <x v="1"/>
    <x v="9"/>
    <x v="21"/>
    <n v="4948.5600000000004"/>
    <n v="5688"/>
  </r>
  <r>
    <x v="1"/>
    <s v="Запоріжжя"/>
    <x v="2"/>
    <s v="Косметика"/>
    <s v="Мило"/>
    <x v="1"/>
    <x v="9"/>
    <x v="21"/>
    <n v="4194.28"/>
    <n v="4462"/>
  </r>
  <r>
    <x v="2"/>
    <s v="Біла Церква"/>
    <x v="7"/>
    <s v="Побутова хімія"/>
    <s v="Засіб для миття посуду"/>
    <x v="1"/>
    <x v="9"/>
    <x v="21"/>
    <n v="3043.7999999999997"/>
    <n v="3420"/>
  </r>
  <r>
    <x v="3"/>
    <s v="Чорноморськ"/>
    <x v="8"/>
    <s v="Побутова хімія"/>
    <s v="Засіб для посудомийних машин"/>
    <x v="1"/>
    <x v="9"/>
    <x v="21"/>
    <n v="3508.8"/>
    <n v="4080"/>
  </r>
  <r>
    <x v="4"/>
    <s v="Чугуїв"/>
    <x v="9"/>
    <s v="Побутова хімія"/>
    <s v="Засоби для догляду за меблями"/>
    <x v="1"/>
    <x v="9"/>
    <x v="21"/>
    <n v="2670.0299999999997"/>
    <n v="2871"/>
  </r>
  <r>
    <x v="0"/>
    <s v="Житомир"/>
    <x v="0"/>
    <s v="Товари для дому"/>
    <s v="Серветки"/>
    <x v="1"/>
    <x v="9"/>
    <x v="21"/>
    <n v="2487.0299999999997"/>
    <n v="2733"/>
  </r>
  <r>
    <x v="1"/>
    <s v="Бердянськ"/>
    <x v="6"/>
    <s v="Товари для дому"/>
    <s v="Зубочистки"/>
    <x v="1"/>
    <x v="9"/>
    <x v="21"/>
    <n v="1646.1899999999998"/>
    <n v="1809"/>
  </r>
  <r>
    <x v="2"/>
    <s v="Бориспіль"/>
    <x v="3"/>
    <s v="Товари для дому"/>
    <s v="Одноразовий посуд"/>
    <x v="1"/>
    <x v="9"/>
    <x v="21"/>
    <n v="1410.2700000000002"/>
    <n v="1621"/>
  </r>
  <r>
    <x v="3"/>
    <s v="Одеса"/>
    <x v="4"/>
    <s v="Косметика"/>
    <s v="Шампунь"/>
    <x v="1"/>
    <x v="9"/>
    <x v="21"/>
    <n v="4530.24"/>
    <n v="5148"/>
  </r>
  <r>
    <x v="4"/>
    <s v="Харків"/>
    <x v="5"/>
    <s v="Косметика"/>
    <s v="Дезодорант"/>
    <x v="1"/>
    <x v="9"/>
    <x v="21"/>
    <n v="4260.3900000000003"/>
    <n v="4897"/>
  </r>
  <r>
    <x v="0"/>
    <s v="Бердичів"/>
    <x v="1"/>
    <s v="Косметика"/>
    <s v="Мило"/>
    <x v="1"/>
    <x v="9"/>
    <x v="21"/>
    <n v="2099.2600000000002"/>
    <n v="2441"/>
  </r>
  <r>
    <x v="1"/>
    <s v="Запоріжжя"/>
    <x v="2"/>
    <s v="Побутова хімія"/>
    <s v="Засіб для миття посуду"/>
    <x v="1"/>
    <x v="9"/>
    <x v="21"/>
    <n v="3063.2799999999997"/>
    <n v="3481"/>
  </r>
  <r>
    <x v="2"/>
    <s v="Біла Церква"/>
    <x v="7"/>
    <s v="Побутова хімія"/>
    <s v="Засіб для посудомийних машин"/>
    <x v="1"/>
    <x v="9"/>
    <x v="21"/>
    <n v="4799.3399999999992"/>
    <n v="5274"/>
  </r>
  <r>
    <x v="3"/>
    <s v="Чорноморськ"/>
    <x v="8"/>
    <s v="Побутова хімія"/>
    <s v="Засоби для догляду за меблями"/>
    <x v="1"/>
    <x v="9"/>
    <x v="21"/>
    <n v="3317.3999999999996"/>
    <n v="3686"/>
  </r>
  <r>
    <x v="4"/>
    <s v="Чугуїв"/>
    <x v="9"/>
    <s v="Товари для дому"/>
    <s v="Серветки"/>
    <x v="1"/>
    <x v="9"/>
    <x v="21"/>
    <n v="1802.0000000000002"/>
    <n v="2120"/>
  </r>
  <r>
    <x v="1"/>
    <s v="Запоріжжя"/>
    <x v="2"/>
    <s v="Товари для дому"/>
    <s v="Одноразовий посуд"/>
    <x v="1"/>
    <x v="9"/>
    <x v="21"/>
    <n v="1786"/>
    <n v="1900"/>
  </r>
  <r>
    <x v="2"/>
    <s v="Бориспіль"/>
    <x v="3"/>
    <s v="Косметика"/>
    <s v="Шампунь"/>
    <x v="1"/>
    <x v="9"/>
    <x v="21"/>
    <n v="6244.9599999999991"/>
    <n v="6788"/>
  </r>
  <r>
    <x v="3"/>
    <s v="Чорноморськ"/>
    <x v="8"/>
    <s v="Косметика"/>
    <s v="Дезодорант"/>
    <x v="1"/>
    <x v="9"/>
    <x v="21"/>
    <n v="2967.2599999999998"/>
    <n v="3334"/>
  </r>
  <r>
    <x v="4"/>
    <s v="Харків"/>
    <x v="5"/>
    <s v="Косметика"/>
    <s v="Мило"/>
    <x v="1"/>
    <x v="9"/>
    <x v="21"/>
    <n v="2605.2500000000005"/>
    <n v="3065"/>
  </r>
  <r>
    <x v="0"/>
    <s v="Бердичів"/>
    <x v="1"/>
    <s v="Побутова хімія"/>
    <s v="Засіб для миття посуду"/>
    <x v="1"/>
    <x v="9"/>
    <x v="21"/>
    <n v="3955.52"/>
    <n v="4208"/>
  </r>
  <r>
    <x v="0"/>
    <s v="Бердичів"/>
    <x v="1"/>
    <s v="Побутова хімія"/>
    <s v="Засіб для посудомийних машин"/>
    <x v="1"/>
    <x v="9"/>
    <x v="21"/>
    <n v="3216.3900000000003"/>
    <n v="3697"/>
  </r>
  <r>
    <x v="1"/>
    <s v="Бердянськ"/>
    <x v="6"/>
    <s v="Побутова хімія"/>
    <s v="Засоби для догляду за меблями"/>
    <x v="1"/>
    <x v="9"/>
    <x v="21"/>
    <n v="3257.1"/>
    <n v="3465"/>
  </r>
  <r>
    <x v="1"/>
    <s v="Бердянськ"/>
    <x v="6"/>
    <s v="Товари для дому"/>
    <s v="Серветки"/>
    <x v="1"/>
    <x v="9"/>
    <x v="21"/>
    <n v="2493.0399999999995"/>
    <n v="2833"/>
  </r>
  <r>
    <x v="2"/>
    <s v="Біла Церква"/>
    <x v="7"/>
    <s v="Товари для дому"/>
    <s v="Зубочистки"/>
    <x v="1"/>
    <x v="9"/>
    <x v="21"/>
    <n v="1815.36"/>
    <n v="1952"/>
  </r>
  <r>
    <x v="2"/>
    <s v="Біла Церква"/>
    <x v="7"/>
    <s v="Товари для дому"/>
    <s v="Одноразовий посуд"/>
    <x v="1"/>
    <x v="9"/>
    <x v="21"/>
    <n v="1536.08"/>
    <n v="1688"/>
  </r>
  <r>
    <x v="2"/>
    <s v="Бориспіль"/>
    <x v="3"/>
    <s v="Косметика"/>
    <s v="Дезодорант"/>
    <x v="1"/>
    <x v="9"/>
    <x v="21"/>
    <n v="3789.2799999999997"/>
    <n v="4306"/>
  </r>
  <r>
    <x v="0"/>
    <s v="Житомир"/>
    <x v="0"/>
    <s v="Косметика"/>
    <s v="Мило"/>
    <x v="1"/>
    <x v="9"/>
    <x v="21"/>
    <n v="4276.45"/>
    <n v="4805"/>
  </r>
  <r>
    <x v="2"/>
    <s v="Ірпінь"/>
    <x v="10"/>
    <s v="Товари для дому"/>
    <s v="Серветки"/>
    <x v="1"/>
    <x v="9"/>
    <x v="21"/>
    <n v="2118.4500000000003"/>
    <n v="2435"/>
  </r>
  <r>
    <x v="2"/>
    <s v="Ірпінь"/>
    <x v="10"/>
    <s v="Товари для дому"/>
    <s v="Зубочистки"/>
    <x v="1"/>
    <x v="9"/>
    <x v="21"/>
    <n v="1723.8000000000002"/>
    <n v="2028"/>
  </r>
  <r>
    <x v="2"/>
    <s v="Київ"/>
    <x v="11"/>
    <s v="Товари для дому"/>
    <s v="Одноразовий посуд"/>
    <x v="1"/>
    <x v="9"/>
    <x v="21"/>
    <n v="2541.96"/>
    <n v="2763"/>
  </r>
  <r>
    <x v="2"/>
    <s v="Київ"/>
    <x v="11"/>
    <s v="Косметика"/>
    <s v="Шампунь"/>
    <x v="1"/>
    <x v="9"/>
    <x v="21"/>
    <n v="4996.8099999999995"/>
    <n v="5491"/>
  </r>
  <r>
    <x v="3"/>
    <s v="Одеса"/>
    <x v="4"/>
    <s v="Косметика"/>
    <s v="Дезодорант"/>
    <x v="1"/>
    <x v="9"/>
    <x v="21"/>
    <n v="4505.8500000000004"/>
    <n v="5301"/>
  </r>
  <r>
    <x v="3"/>
    <s v="Одеса"/>
    <x v="4"/>
    <s v="Косметика"/>
    <s v="Мило"/>
    <x v="1"/>
    <x v="9"/>
    <x v="21"/>
    <n v="2503.2199999999998"/>
    <n v="2663"/>
  </r>
  <r>
    <x v="4"/>
    <s v="Харків"/>
    <x v="5"/>
    <s v="Побутова хімія"/>
    <s v="Засіб для миття посуду"/>
    <x v="1"/>
    <x v="9"/>
    <x v="21"/>
    <n v="3775.9799999999996"/>
    <n v="4017"/>
  </r>
  <r>
    <x v="4"/>
    <s v="Харків"/>
    <x v="5"/>
    <s v="Побутова хімія"/>
    <s v="Засіб для посудомийних машин"/>
    <x v="1"/>
    <x v="9"/>
    <x v="21"/>
    <n v="2967.9199999999996"/>
    <n v="3226"/>
  </r>
  <r>
    <x v="3"/>
    <s v="Чорноморськ"/>
    <x v="8"/>
    <s v="Товари для дому"/>
    <s v="Серветки"/>
    <x v="1"/>
    <x v="9"/>
    <x v="21"/>
    <n v="1854.7599999999998"/>
    <n v="2084"/>
  </r>
  <r>
    <x v="4"/>
    <s v="Чугуїв"/>
    <x v="9"/>
    <s v="Товари для дому"/>
    <s v="Зубочистки"/>
    <x v="1"/>
    <x v="9"/>
    <x v="21"/>
    <n v="2676.31"/>
    <n v="2941"/>
  </r>
  <r>
    <x v="4"/>
    <s v="Чугуїв"/>
    <x v="9"/>
    <s v="Товари для дому"/>
    <s v="Одноразовий посуд"/>
    <x v="1"/>
    <x v="9"/>
    <x v="21"/>
    <n v="1883.76"/>
    <n v="2004"/>
  </r>
  <r>
    <x v="2"/>
    <s v="Біла Церква"/>
    <x v="7"/>
    <s v="Косметика"/>
    <s v="Шампунь"/>
    <x v="1"/>
    <x v="9"/>
    <x v="21"/>
    <n v="6157.9099999999989"/>
    <n v="6919"/>
  </r>
  <r>
    <x v="1"/>
    <s v="Бердянськ"/>
    <x v="6"/>
    <s v="Побутова хімія"/>
    <s v="Засіб для посудомийних машин"/>
    <x v="1"/>
    <x v="9"/>
    <x v="21"/>
    <n v="4420.47"/>
    <n v="5081"/>
  </r>
  <r>
    <x v="0"/>
    <s v="Житомир"/>
    <x v="0"/>
    <s v="Товари для дому"/>
    <s v="Одноразовий посуд"/>
    <x v="1"/>
    <x v="9"/>
    <x v="21"/>
    <n v="2095.9499999999998"/>
    <n v="2355"/>
  </r>
  <r>
    <x v="0"/>
    <s v="Житомир"/>
    <x v="0"/>
    <s v="Косметика"/>
    <s v="Шампунь"/>
    <x v="1"/>
    <x v="9"/>
    <x v="21"/>
    <n v="3864.3799999999997"/>
    <n v="4342"/>
  </r>
  <r>
    <x v="1"/>
    <s v="Запоріжжя"/>
    <x v="2"/>
    <s v="Косметика"/>
    <s v="Дезодорант"/>
    <x v="1"/>
    <x v="9"/>
    <x v="21"/>
    <n v="3053.7"/>
    <n v="3393"/>
  </r>
  <r>
    <x v="2"/>
    <s v="Ірпінь"/>
    <x v="10"/>
    <s v="Побутова хімія"/>
    <s v="Засіб для миття посуду"/>
    <x v="1"/>
    <x v="9"/>
    <x v="21"/>
    <n v="3850.2"/>
    <n v="4185"/>
  </r>
  <r>
    <x v="2"/>
    <s v="Ірпінь"/>
    <x v="10"/>
    <s v="Побутова хімія"/>
    <s v="Засіб для посудомийних машин"/>
    <x v="1"/>
    <x v="9"/>
    <x v="21"/>
    <n v="3794.9400000000005"/>
    <n v="4362"/>
  </r>
  <r>
    <x v="2"/>
    <s v="Київ"/>
    <x v="11"/>
    <s v="Побутова хімія"/>
    <s v="Засоби для догляду за меблями"/>
    <x v="1"/>
    <x v="9"/>
    <x v="21"/>
    <n v="2569.5"/>
    <n v="2855"/>
  </r>
  <r>
    <x v="2"/>
    <s v="Київ"/>
    <x v="11"/>
    <s v="Товари для дому"/>
    <s v="Серветки"/>
    <x v="1"/>
    <x v="9"/>
    <x v="21"/>
    <n v="2153.54"/>
    <n v="2291"/>
  </r>
  <r>
    <x v="2"/>
    <s v="Біла Церква"/>
    <x v="7"/>
    <s v="Товари для дому"/>
    <s v="Серветки"/>
    <x v="1"/>
    <x v="9"/>
    <x v="21"/>
    <n v="2172.12"/>
    <n v="2361"/>
  </r>
  <r>
    <x v="1"/>
    <s v="Бердянськ"/>
    <x v="6"/>
    <s v="Косметика"/>
    <s v="Мило"/>
    <x v="1"/>
    <x v="9"/>
    <x v="21"/>
    <n v="3958.08"/>
    <n v="4256"/>
  </r>
  <r>
    <x v="2"/>
    <s v="Бориспіль"/>
    <x v="3"/>
    <s v="Побутова хімія"/>
    <s v="Засіб для миття посуду"/>
    <x v="1"/>
    <x v="9"/>
    <x v="21"/>
    <n v="3076.4399999999996"/>
    <n v="3308"/>
  </r>
  <r>
    <x v="2"/>
    <s v="Бориспіль"/>
    <x v="3"/>
    <s v="Побутова хімія"/>
    <s v="Засіб для посудомийних машин"/>
    <x v="1"/>
    <x v="9"/>
    <x v="21"/>
    <n v="4985.7299999999996"/>
    <n v="5361"/>
  </r>
  <r>
    <x v="1"/>
    <s v="Запоріжжя"/>
    <x v="2"/>
    <s v="Товари для дому"/>
    <s v="Зубочистки"/>
    <x v="1"/>
    <x v="9"/>
    <x v="21"/>
    <n v="2676.6"/>
    <n v="2974"/>
  </r>
  <r>
    <x v="2"/>
    <s v="Ірпінь"/>
    <x v="10"/>
    <s v="Косметика"/>
    <s v="Шампунь"/>
    <x v="1"/>
    <x v="9"/>
    <x v="21"/>
    <n v="5240.2500000000009"/>
    <n v="6165"/>
  </r>
  <r>
    <x v="2"/>
    <s v="Ірпінь"/>
    <x v="10"/>
    <s v="Косметика"/>
    <s v="Дезодорант"/>
    <x v="1"/>
    <x v="9"/>
    <x v="21"/>
    <n v="4478.16"/>
    <n v="4764"/>
  </r>
  <r>
    <x v="2"/>
    <s v="Київ"/>
    <x v="11"/>
    <s v="Косметика"/>
    <s v="Мило"/>
    <x v="1"/>
    <x v="9"/>
    <x v="21"/>
    <n v="2226.3999999999996"/>
    <n v="2530"/>
  </r>
  <r>
    <x v="2"/>
    <s v="Київ"/>
    <x v="11"/>
    <s v="Побутова хімія"/>
    <s v="Засіб для миття посуду"/>
    <x v="1"/>
    <x v="9"/>
    <x v="21"/>
    <n v="4400.8799999999992"/>
    <n v="5001"/>
  </r>
  <r>
    <x v="3"/>
    <s v="Одеса"/>
    <x v="4"/>
    <s v="Побутова хімія"/>
    <s v="Засіб для посудомийних машин"/>
    <x v="1"/>
    <x v="9"/>
    <x v="21"/>
    <n v="3157.72"/>
    <n v="3548"/>
  </r>
  <r>
    <x v="3"/>
    <s v="Одеса"/>
    <x v="4"/>
    <s v="Побутова хімія"/>
    <s v="Засоби для догляду за меблями"/>
    <x v="1"/>
    <x v="9"/>
    <x v="21"/>
    <n v="3330.7800000000007"/>
    <n v="3873"/>
  </r>
  <r>
    <x v="4"/>
    <s v="Харків"/>
    <x v="5"/>
    <s v="Товари для дому"/>
    <s v="Серветки"/>
    <x v="1"/>
    <x v="9"/>
    <x v="21"/>
    <n v="2293.1999999999998"/>
    <n v="2548"/>
  </r>
  <r>
    <x v="3"/>
    <s v="Чорноморськ"/>
    <x v="8"/>
    <s v="Товари для дому"/>
    <s v="Одноразовий посуд"/>
    <x v="1"/>
    <x v="9"/>
    <x v="21"/>
    <n v="1190.1600000000001"/>
    <n v="1368"/>
  </r>
  <r>
    <x v="3"/>
    <s v="Чорноморськ"/>
    <x v="8"/>
    <s v="Косметика"/>
    <s v="Шампунь"/>
    <x v="1"/>
    <x v="9"/>
    <x v="21"/>
    <n v="5513.1"/>
    <n v="6486"/>
  </r>
  <r>
    <x v="4"/>
    <s v="Чугуїв"/>
    <x v="9"/>
    <s v="Косметика"/>
    <s v="Дезодорант"/>
    <x v="1"/>
    <x v="9"/>
    <x v="21"/>
    <n v="2945.31"/>
    <n v="3167"/>
  </r>
  <r>
    <x v="4"/>
    <s v="Чугуїв"/>
    <x v="9"/>
    <s v="Косметика"/>
    <s v="Мило"/>
    <x v="1"/>
    <x v="9"/>
    <x v="21"/>
    <n v="2780.24"/>
    <n v="3022"/>
  </r>
  <r>
    <x v="0"/>
    <s v="Бердичів"/>
    <x v="1"/>
    <s v="Побутова хімія"/>
    <s v="Засоби для догляду за меблями"/>
    <x v="1"/>
    <x v="9"/>
    <x v="21"/>
    <n v="3146.1499999999996"/>
    <n v="3535"/>
  </r>
  <r>
    <x v="0"/>
    <s v="Бердичів"/>
    <x v="1"/>
    <s v="Товари для дому"/>
    <s v="Серветки"/>
    <x v="1"/>
    <x v="9"/>
    <x v="21"/>
    <n v="2710.95"/>
    <n v="2915"/>
  </r>
  <r>
    <x v="1"/>
    <s v="Бердянськ"/>
    <x v="6"/>
    <s v="Товари для дому"/>
    <s v="Одноразовий посуд"/>
    <x v="1"/>
    <x v="9"/>
    <x v="21"/>
    <n v="1729.7999999999997"/>
    <n v="1922"/>
  </r>
  <r>
    <x v="2"/>
    <s v="Ірпінь"/>
    <x v="10"/>
    <s v="Косметика"/>
    <s v="Мило"/>
    <x v="1"/>
    <x v="9"/>
    <x v="21"/>
    <n v="2697.0000000000005"/>
    <n v="3100"/>
  </r>
  <r>
    <x v="2"/>
    <s v="Київ"/>
    <x v="11"/>
    <s v="Побутова хімія"/>
    <s v="Засіб для посудомийних машин"/>
    <x v="1"/>
    <x v="9"/>
    <x v="21"/>
    <n v="4781.78"/>
    <n v="5087"/>
  </r>
  <r>
    <x v="2"/>
    <s v="Біла Церква"/>
    <x v="7"/>
    <s v="Побутова хімія"/>
    <s v="Засоби для догляду за меблями"/>
    <x v="1"/>
    <x v="9"/>
    <x v="21"/>
    <n v="3059.1500000000005"/>
    <n v="3599"/>
  </r>
  <r>
    <x v="2"/>
    <s v="Бориспіль"/>
    <x v="3"/>
    <s v="Косметика"/>
    <s v="Мило"/>
    <x v="1"/>
    <x v="9"/>
    <x v="21"/>
    <n v="2674.2999999999997"/>
    <n v="2845"/>
  </r>
  <r>
    <x v="2"/>
    <s v="Ірпінь"/>
    <x v="10"/>
    <s v="Товари для дому"/>
    <s v="Одноразовий посуд"/>
    <x v="1"/>
    <x v="9"/>
    <x v="21"/>
    <n v="2053.2299999999996"/>
    <n v="2307"/>
  </r>
  <r>
    <x v="2"/>
    <s v="Київ"/>
    <x v="11"/>
    <s v="Косметика"/>
    <s v="Дезодорант"/>
    <x v="1"/>
    <x v="9"/>
    <x v="21"/>
    <n v="4884.8799999999992"/>
    <n v="5551"/>
  </r>
  <r>
    <x v="3"/>
    <s v="Одеса"/>
    <x v="4"/>
    <s v="Побутова хімія"/>
    <s v="Засіб для миття посуду"/>
    <x v="1"/>
    <x v="9"/>
    <x v="21"/>
    <n v="3784.0000000000005"/>
    <n v="4400"/>
  </r>
  <r>
    <x v="4"/>
    <s v="Харків"/>
    <x v="5"/>
    <s v="Побутова хімія"/>
    <s v="Засоби для догляду за меблями"/>
    <x v="1"/>
    <x v="9"/>
    <x v="21"/>
    <n v="3019.4999999999995"/>
    <n v="3355"/>
  </r>
  <r>
    <x v="3"/>
    <s v="Чорноморськ"/>
    <x v="8"/>
    <s v="Товари для дому"/>
    <s v="Зубочистки"/>
    <x v="1"/>
    <x v="9"/>
    <x v="21"/>
    <n v="1674.0899999999997"/>
    <n v="1881"/>
  </r>
  <r>
    <x v="4"/>
    <s v="Чугуїв"/>
    <x v="9"/>
    <s v="Косметика"/>
    <s v="Шампунь"/>
    <x v="1"/>
    <x v="9"/>
    <x v="21"/>
    <n v="6187.0899999999992"/>
    <n v="6799"/>
  </r>
  <r>
    <x v="2"/>
    <s v="Ірпінь"/>
    <x v="10"/>
    <s v="Побутова хімія"/>
    <s v="Засоби для догляду за меблями"/>
    <x v="1"/>
    <x v="9"/>
    <x v="21"/>
    <n v="3346.6399999999994"/>
    <n v="3803"/>
  </r>
  <r>
    <x v="2"/>
    <s v="Київ"/>
    <x v="11"/>
    <s v="Товари для дому"/>
    <s v="Зубочистки"/>
    <x v="1"/>
    <x v="9"/>
    <x v="21"/>
    <n v="2219.3599999999997"/>
    <n v="2522"/>
  </r>
  <r>
    <x v="0"/>
    <s v="Житомир"/>
    <x v="0"/>
    <s v="Товари для дому"/>
    <s v="Зубочистки"/>
    <x v="1"/>
    <x v="10"/>
    <x v="22"/>
    <n v="2758.2500000000005"/>
    <n v="3245"/>
  </r>
  <r>
    <x v="0"/>
    <s v="Бердичів"/>
    <x v="1"/>
    <s v="Товари для дому"/>
    <s v="Зубочистки"/>
    <x v="1"/>
    <x v="10"/>
    <x v="22"/>
    <n v="2501.2500000000005"/>
    <n v="2875"/>
  </r>
  <r>
    <x v="0"/>
    <s v="Бердичів"/>
    <x v="1"/>
    <s v="Косметика"/>
    <s v="Дезодорант"/>
    <x v="1"/>
    <x v="10"/>
    <x v="22"/>
    <n v="4100.46"/>
    <n v="4506"/>
  </r>
  <r>
    <x v="0"/>
    <s v="Житомир"/>
    <x v="0"/>
    <s v="Косметика"/>
    <s v="Дезодорант"/>
    <x v="1"/>
    <x v="10"/>
    <x v="22"/>
    <n v="4413.2"/>
    <n v="5015"/>
  </r>
  <r>
    <x v="0"/>
    <s v="Житомир"/>
    <x v="0"/>
    <s v="Побутова хімія"/>
    <s v="Засіб для миття посуду"/>
    <x v="1"/>
    <x v="10"/>
    <x v="22"/>
    <n v="2992.0000000000005"/>
    <n v="3520"/>
  </r>
  <r>
    <x v="1"/>
    <s v="Запоріжжя"/>
    <x v="2"/>
    <s v="Побутова хімія"/>
    <s v="Засіб для посудомийних машин"/>
    <x v="1"/>
    <x v="10"/>
    <x v="22"/>
    <n v="3457.9999999999995"/>
    <n v="3800"/>
  </r>
  <r>
    <x v="2"/>
    <s v="Бориспіль"/>
    <x v="3"/>
    <s v="Побутова хімія"/>
    <s v="Засоби для догляду за меблями"/>
    <x v="1"/>
    <x v="10"/>
    <x v="22"/>
    <n v="2455.3000000000002"/>
    <n v="2855"/>
  </r>
  <r>
    <x v="3"/>
    <s v="Одеса"/>
    <x v="4"/>
    <s v="Товари для дому"/>
    <s v="Серветки"/>
    <x v="1"/>
    <x v="10"/>
    <x v="22"/>
    <n v="2292.3999999999996"/>
    <n v="2605"/>
  </r>
  <r>
    <x v="4"/>
    <s v="Харків"/>
    <x v="5"/>
    <s v="Товари для дому"/>
    <s v="Зубочистки"/>
    <x v="1"/>
    <x v="10"/>
    <x v="22"/>
    <n v="1998.6400000000003"/>
    <n v="2324"/>
  </r>
  <r>
    <x v="0"/>
    <s v="Бердичів"/>
    <x v="1"/>
    <s v="Товари для дому"/>
    <s v="Одноразовий посуд"/>
    <x v="1"/>
    <x v="10"/>
    <x v="22"/>
    <n v="2025.54"/>
    <n v="2178"/>
  </r>
  <r>
    <x v="1"/>
    <s v="Бердянськ"/>
    <x v="6"/>
    <s v="Косметика"/>
    <s v="Шампунь"/>
    <x v="1"/>
    <x v="10"/>
    <x v="22"/>
    <n v="5098.5"/>
    <n v="5665"/>
  </r>
  <r>
    <x v="2"/>
    <s v="Біла Церква"/>
    <x v="7"/>
    <s v="Косметика"/>
    <s v="Дезодорант"/>
    <x v="1"/>
    <x v="10"/>
    <x v="22"/>
    <n v="3973.4999999999995"/>
    <n v="4415"/>
  </r>
  <r>
    <x v="3"/>
    <s v="Чорноморськ"/>
    <x v="8"/>
    <s v="Косметика"/>
    <s v="Мило"/>
    <x v="1"/>
    <x v="10"/>
    <x v="22"/>
    <n v="2490.8100000000004"/>
    <n v="2863"/>
  </r>
  <r>
    <x v="4"/>
    <s v="Чугуїв"/>
    <x v="9"/>
    <s v="Побутова хімія"/>
    <s v="Засіб для миття посуду"/>
    <x v="1"/>
    <x v="10"/>
    <x v="22"/>
    <n v="3361.4999999999995"/>
    <n v="3735"/>
  </r>
  <r>
    <x v="0"/>
    <s v="Житомир"/>
    <x v="0"/>
    <s v="Побутова хімія"/>
    <s v="Засіб для посудомийних машин"/>
    <x v="1"/>
    <x v="10"/>
    <x v="22"/>
    <n v="2396.15"/>
    <n v="2819"/>
  </r>
  <r>
    <x v="1"/>
    <s v="Запоріжжя"/>
    <x v="2"/>
    <s v="Побутова хімія"/>
    <s v="Засоби для догляду за меблями"/>
    <x v="1"/>
    <x v="10"/>
    <x v="22"/>
    <n v="2701.5999999999995"/>
    <n v="3070"/>
  </r>
  <r>
    <x v="2"/>
    <s v="Бориспіль"/>
    <x v="3"/>
    <s v="Товари для дому"/>
    <s v="Серветки"/>
    <x v="1"/>
    <x v="10"/>
    <x v="22"/>
    <n v="2478.6499999999996"/>
    <n v="2785"/>
  </r>
  <r>
    <x v="3"/>
    <s v="Одеса"/>
    <x v="4"/>
    <s v="Товари для дому"/>
    <s v="Зубочистки"/>
    <x v="1"/>
    <x v="10"/>
    <x v="22"/>
    <n v="2127.2199999999998"/>
    <n v="2263"/>
  </r>
  <r>
    <x v="4"/>
    <s v="Харків"/>
    <x v="5"/>
    <s v="Товари для дому"/>
    <s v="Одноразовий посуд"/>
    <x v="1"/>
    <x v="10"/>
    <x v="22"/>
    <n v="1551.55"/>
    <n v="1705"/>
  </r>
  <r>
    <x v="0"/>
    <s v="Бердичів"/>
    <x v="1"/>
    <s v="Косметика"/>
    <s v="Шампунь"/>
    <x v="1"/>
    <x v="10"/>
    <x v="22"/>
    <n v="4631.1000000000004"/>
    <n v="5385"/>
  </r>
  <r>
    <x v="1"/>
    <s v="Бердянськ"/>
    <x v="6"/>
    <s v="Косметика"/>
    <s v="Дезодорант"/>
    <x v="1"/>
    <x v="10"/>
    <x v="22"/>
    <n v="2598.64"/>
    <n v="2953"/>
  </r>
  <r>
    <x v="2"/>
    <s v="Біла Церква"/>
    <x v="7"/>
    <s v="Косметика"/>
    <s v="Мило"/>
    <x v="1"/>
    <x v="10"/>
    <x v="22"/>
    <n v="2218.5"/>
    <n v="2610"/>
  </r>
  <r>
    <x v="3"/>
    <s v="Чорноморськ"/>
    <x v="8"/>
    <s v="Побутова хімія"/>
    <s v="Засіб для миття посуду"/>
    <x v="1"/>
    <x v="10"/>
    <x v="22"/>
    <n v="3912.7599999999998"/>
    <n v="4253"/>
  </r>
  <r>
    <x v="4"/>
    <s v="Чугуїв"/>
    <x v="9"/>
    <s v="Побутова хімія"/>
    <s v="Засіб для посудомийних машин"/>
    <x v="1"/>
    <x v="10"/>
    <x v="22"/>
    <n v="2992.96"/>
    <n v="3184"/>
  </r>
  <r>
    <x v="0"/>
    <s v="Житомир"/>
    <x v="0"/>
    <s v="Побутова хімія"/>
    <s v="Засоби для догляду за меблями"/>
    <x v="1"/>
    <x v="10"/>
    <x v="22"/>
    <n v="3228.0299999999997"/>
    <n v="3627"/>
  </r>
  <r>
    <x v="1"/>
    <s v="Запоріжжя"/>
    <x v="2"/>
    <s v="Товари для дому"/>
    <s v="Серветки"/>
    <x v="1"/>
    <x v="10"/>
    <x v="22"/>
    <n v="1418.25"/>
    <n v="1525"/>
  </r>
  <r>
    <x v="2"/>
    <s v="Бориспіль"/>
    <x v="3"/>
    <s v="Товари для дому"/>
    <s v="Зубочистки"/>
    <x v="1"/>
    <x v="10"/>
    <x v="22"/>
    <n v="1673.9999999999998"/>
    <n v="1860"/>
  </r>
  <r>
    <x v="3"/>
    <s v="Одеса"/>
    <x v="4"/>
    <s v="Товари для дому"/>
    <s v="Одноразовий посуд"/>
    <x v="1"/>
    <x v="10"/>
    <x v="22"/>
    <n v="1248.52"/>
    <n v="1372"/>
  </r>
  <r>
    <x v="4"/>
    <s v="Харків"/>
    <x v="5"/>
    <s v="Косметика"/>
    <s v="Шампунь"/>
    <x v="1"/>
    <x v="10"/>
    <x v="22"/>
    <n v="4093.7599999999993"/>
    <n v="4652"/>
  </r>
  <r>
    <x v="1"/>
    <s v="Запоріжжя"/>
    <x v="2"/>
    <s v="Косметика"/>
    <s v="Мило"/>
    <x v="1"/>
    <x v="10"/>
    <x v="22"/>
    <n v="2472.04"/>
    <n v="2687"/>
  </r>
  <r>
    <x v="2"/>
    <s v="Біла Церква"/>
    <x v="7"/>
    <s v="Побутова хімія"/>
    <s v="Засіб для миття посуду"/>
    <x v="1"/>
    <x v="10"/>
    <x v="22"/>
    <n v="3988.6800000000003"/>
    <n v="4638"/>
  </r>
  <r>
    <x v="3"/>
    <s v="Чорноморськ"/>
    <x v="8"/>
    <s v="Побутова хімія"/>
    <s v="Засіб для посудомийних машин"/>
    <x v="1"/>
    <x v="10"/>
    <x v="22"/>
    <n v="4149.5999999999995"/>
    <n v="4560"/>
  </r>
  <r>
    <x v="4"/>
    <s v="Чугуїв"/>
    <x v="9"/>
    <s v="Побутова хімія"/>
    <s v="Засоби для догляду за меблями"/>
    <x v="1"/>
    <x v="10"/>
    <x v="22"/>
    <n v="3668.04"/>
    <n v="3987"/>
  </r>
  <r>
    <x v="0"/>
    <s v="Житомир"/>
    <x v="0"/>
    <s v="Товари для дому"/>
    <s v="Серветки"/>
    <x v="1"/>
    <x v="10"/>
    <x v="22"/>
    <n v="2274.7999999999997"/>
    <n v="2420"/>
  </r>
  <r>
    <x v="1"/>
    <s v="Бердянськ"/>
    <x v="6"/>
    <s v="Товари для дому"/>
    <s v="Зубочистки"/>
    <x v="1"/>
    <x v="10"/>
    <x v="22"/>
    <n v="2107.5199999999995"/>
    <n v="2368"/>
  </r>
  <r>
    <x v="2"/>
    <s v="Бориспіль"/>
    <x v="3"/>
    <s v="Товари для дому"/>
    <s v="Одноразовий посуд"/>
    <x v="1"/>
    <x v="10"/>
    <x v="22"/>
    <n v="1875.7200000000003"/>
    <n v="2156"/>
  </r>
  <r>
    <x v="3"/>
    <s v="Одеса"/>
    <x v="4"/>
    <s v="Косметика"/>
    <s v="Шампунь"/>
    <x v="1"/>
    <x v="10"/>
    <x v="22"/>
    <n v="4706.7199999999993"/>
    <n v="5116"/>
  </r>
  <r>
    <x v="4"/>
    <s v="Харків"/>
    <x v="5"/>
    <s v="Косметика"/>
    <s v="Дезодорант"/>
    <x v="1"/>
    <x v="10"/>
    <x v="22"/>
    <n v="3118.0800000000004"/>
    <n v="3584"/>
  </r>
  <r>
    <x v="0"/>
    <s v="Бердичів"/>
    <x v="1"/>
    <s v="Косметика"/>
    <s v="Мило"/>
    <x v="1"/>
    <x v="10"/>
    <x v="22"/>
    <n v="3669.6200000000003"/>
    <n v="4267"/>
  </r>
  <r>
    <x v="1"/>
    <s v="Запоріжжя"/>
    <x v="2"/>
    <s v="Побутова хімія"/>
    <s v="Засіб для миття посуду"/>
    <x v="1"/>
    <x v="10"/>
    <x v="22"/>
    <n v="4301.4399999999996"/>
    <n v="4888"/>
  </r>
  <r>
    <x v="2"/>
    <s v="Біла Церква"/>
    <x v="7"/>
    <s v="Побутова хімія"/>
    <s v="Засіб для посудомийних машин"/>
    <x v="1"/>
    <x v="10"/>
    <x v="22"/>
    <n v="2581.0399999999995"/>
    <n v="2933"/>
  </r>
  <r>
    <x v="3"/>
    <s v="Чорноморськ"/>
    <x v="8"/>
    <s v="Побутова хімія"/>
    <s v="Засоби для догляду за меблями"/>
    <x v="1"/>
    <x v="10"/>
    <x v="22"/>
    <n v="3553.0800000000004"/>
    <n v="4084"/>
  </r>
  <r>
    <x v="4"/>
    <s v="Чугуїв"/>
    <x v="9"/>
    <s v="Товари для дому"/>
    <s v="Серветки"/>
    <x v="1"/>
    <x v="10"/>
    <x v="22"/>
    <n v="2128.16"/>
    <n v="2264"/>
  </r>
  <r>
    <x v="1"/>
    <s v="Запоріжжя"/>
    <x v="2"/>
    <s v="Товари для дому"/>
    <s v="Одноразовий посуд"/>
    <x v="1"/>
    <x v="10"/>
    <x v="22"/>
    <n v="1784.15"/>
    <n v="2099"/>
  </r>
  <r>
    <x v="2"/>
    <s v="Бориспіль"/>
    <x v="3"/>
    <s v="Косметика"/>
    <s v="Шампунь"/>
    <x v="1"/>
    <x v="10"/>
    <x v="22"/>
    <n v="4984.07"/>
    <n v="5477"/>
  </r>
  <r>
    <x v="3"/>
    <s v="Чорноморськ"/>
    <x v="8"/>
    <s v="Косметика"/>
    <s v="Дезодорант"/>
    <x v="1"/>
    <x v="10"/>
    <x v="22"/>
    <n v="4981.3399999999992"/>
    <n v="5474"/>
  </r>
  <r>
    <x v="4"/>
    <s v="Харків"/>
    <x v="5"/>
    <s v="Косметика"/>
    <s v="Мило"/>
    <x v="1"/>
    <x v="10"/>
    <x v="22"/>
    <n v="3817.5400000000004"/>
    <n v="4439"/>
  </r>
  <r>
    <x v="0"/>
    <s v="Бердичів"/>
    <x v="1"/>
    <s v="Побутова хімія"/>
    <s v="Засіб для миття посуду"/>
    <x v="1"/>
    <x v="10"/>
    <x v="22"/>
    <n v="3912.3900000000003"/>
    <n v="4497"/>
  </r>
  <r>
    <x v="0"/>
    <s v="Бердичів"/>
    <x v="1"/>
    <s v="Побутова хімія"/>
    <s v="Засіб для посудомийних машин"/>
    <x v="1"/>
    <x v="10"/>
    <x v="22"/>
    <n v="2452.5599999999995"/>
    <n v="2787"/>
  </r>
  <r>
    <x v="1"/>
    <s v="Бердянськ"/>
    <x v="6"/>
    <s v="Побутова хімія"/>
    <s v="Засоби для догляду за меблями"/>
    <x v="1"/>
    <x v="10"/>
    <x v="22"/>
    <n v="3344.52"/>
    <n v="3558"/>
  </r>
  <r>
    <x v="1"/>
    <s v="Бердянськ"/>
    <x v="6"/>
    <s v="Товари для дому"/>
    <s v="Серветки"/>
    <x v="1"/>
    <x v="10"/>
    <x v="22"/>
    <n v="1868.1099999999997"/>
    <n v="2099"/>
  </r>
  <r>
    <x v="2"/>
    <s v="Біла Церква"/>
    <x v="7"/>
    <s v="Товари для дому"/>
    <s v="Зубочистки"/>
    <x v="1"/>
    <x v="10"/>
    <x v="22"/>
    <n v="1760.8799999999999"/>
    <n v="1914"/>
  </r>
  <r>
    <x v="2"/>
    <s v="Біла Церква"/>
    <x v="7"/>
    <s v="Товари для дому"/>
    <s v="Одноразовий посуд"/>
    <x v="1"/>
    <x v="10"/>
    <x v="22"/>
    <n v="1658.1599999999999"/>
    <n v="1764"/>
  </r>
  <r>
    <x v="2"/>
    <s v="Бориспіль"/>
    <x v="3"/>
    <s v="Косметика"/>
    <s v="Дезодорант"/>
    <x v="1"/>
    <x v="10"/>
    <x v="22"/>
    <n v="3171.6800000000003"/>
    <n v="3688"/>
  </r>
  <r>
    <x v="0"/>
    <s v="Житомир"/>
    <x v="0"/>
    <s v="Косметика"/>
    <s v="Мило"/>
    <x v="1"/>
    <x v="10"/>
    <x v="22"/>
    <n v="3906.6299999999997"/>
    <n v="4293"/>
  </r>
  <r>
    <x v="2"/>
    <s v="Ірпінь"/>
    <x v="10"/>
    <s v="Товари для дому"/>
    <s v="Серветки"/>
    <x v="1"/>
    <x v="10"/>
    <x v="22"/>
    <n v="2174.2699999999995"/>
    <n v="2443"/>
  </r>
  <r>
    <x v="2"/>
    <s v="Ірпінь"/>
    <x v="10"/>
    <s v="Товари для дому"/>
    <s v="Зубочистки"/>
    <x v="1"/>
    <x v="10"/>
    <x v="22"/>
    <n v="2282.25"/>
    <n v="2685"/>
  </r>
  <r>
    <x v="2"/>
    <s v="Київ"/>
    <x v="11"/>
    <s v="Товари для дому"/>
    <s v="Одноразовий посуд"/>
    <x v="1"/>
    <x v="10"/>
    <x v="22"/>
    <n v="2506.14"/>
    <n v="2754"/>
  </r>
  <r>
    <x v="2"/>
    <s v="Київ"/>
    <x v="11"/>
    <s v="Косметика"/>
    <s v="Шампунь"/>
    <x v="1"/>
    <x v="10"/>
    <x v="22"/>
    <n v="4482.9299999999994"/>
    <n v="5037"/>
  </r>
  <r>
    <x v="3"/>
    <s v="Одеса"/>
    <x v="4"/>
    <s v="Косметика"/>
    <s v="Дезодорант"/>
    <x v="1"/>
    <x v="10"/>
    <x v="22"/>
    <n v="4748.4799999999996"/>
    <n v="5396"/>
  </r>
  <r>
    <x v="3"/>
    <s v="Одеса"/>
    <x v="4"/>
    <s v="Косметика"/>
    <s v="Мило"/>
    <x v="1"/>
    <x v="10"/>
    <x v="22"/>
    <n v="3347.1200000000003"/>
    <n v="3892"/>
  </r>
  <r>
    <x v="4"/>
    <s v="Харків"/>
    <x v="5"/>
    <s v="Побутова хімія"/>
    <s v="Засіб для миття посуду"/>
    <x v="1"/>
    <x v="10"/>
    <x v="22"/>
    <n v="3840.9999999999995"/>
    <n v="4175"/>
  </r>
  <r>
    <x v="4"/>
    <s v="Харків"/>
    <x v="5"/>
    <s v="Побутова хімія"/>
    <s v="Засіб для посудомийних машин"/>
    <x v="1"/>
    <x v="10"/>
    <x v="22"/>
    <n v="4121.1200000000008"/>
    <n v="4792"/>
  </r>
  <r>
    <x v="3"/>
    <s v="Чорноморськ"/>
    <x v="8"/>
    <s v="Товари для дому"/>
    <s v="Серветки"/>
    <x v="1"/>
    <x v="10"/>
    <x v="22"/>
    <n v="2143.7000000000003"/>
    <n v="2522"/>
  </r>
  <r>
    <x v="4"/>
    <s v="Чугуїв"/>
    <x v="9"/>
    <s v="Товари для дому"/>
    <s v="Зубочистки"/>
    <x v="1"/>
    <x v="10"/>
    <x v="22"/>
    <n v="1457.9999999999998"/>
    <n v="1620"/>
  </r>
  <r>
    <x v="4"/>
    <s v="Чугуїв"/>
    <x v="9"/>
    <s v="Товари для дому"/>
    <s v="Одноразовий посуд"/>
    <x v="1"/>
    <x v="10"/>
    <x v="22"/>
    <n v="1424.19"/>
    <n v="1637"/>
  </r>
  <r>
    <x v="2"/>
    <s v="Біла Церква"/>
    <x v="7"/>
    <s v="Косметика"/>
    <s v="Шампунь"/>
    <x v="1"/>
    <x v="10"/>
    <x v="22"/>
    <n v="5342.0199999999995"/>
    <n v="5683"/>
  </r>
  <r>
    <x v="1"/>
    <s v="Бердянськ"/>
    <x v="6"/>
    <s v="Побутова хімія"/>
    <s v="Засіб для посудомийних машин"/>
    <x v="1"/>
    <x v="10"/>
    <x v="22"/>
    <n v="4501.6000000000004"/>
    <n v="5296"/>
  </r>
  <r>
    <x v="0"/>
    <s v="Житомир"/>
    <x v="0"/>
    <s v="Товари для дому"/>
    <s v="Одноразовий посуд"/>
    <x v="1"/>
    <x v="10"/>
    <x v="22"/>
    <n v="2556.7999999999997"/>
    <n v="2720"/>
  </r>
  <r>
    <x v="0"/>
    <s v="Житомир"/>
    <x v="0"/>
    <s v="Косметика"/>
    <s v="Шампунь"/>
    <x v="1"/>
    <x v="10"/>
    <x v="22"/>
    <n v="5430.38"/>
    <n v="5777"/>
  </r>
  <r>
    <x v="1"/>
    <s v="Запоріжжя"/>
    <x v="2"/>
    <s v="Косметика"/>
    <s v="Дезодорант"/>
    <x v="1"/>
    <x v="10"/>
    <x v="22"/>
    <n v="4122"/>
    <n v="4580"/>
  </r>
  <r>
    <x v="2"/>
    <s v="Ірпінь"/>
    <x v="10"/>
    <s v="Побутова хімія"/>
    <s v="Засіб для миття посуду"/>
    <x v="1"/>
    <x v="10"/>
    <x v="22"/>
    <n v="4283.5199999999995"/>
    <n v="4656"/>
  </r>
  <r>
    <x v="2"/>
    <s v="Ірпінь"/>
    <x v="10"/>
    <s v="Побутова хімія"/>
    <s v="Засіб для посудомийних машин"/>
    <x v="1"/>
    <x v="10"/>
    <x v="22"/>
    <n v="4684.0800000000008"/>
    <n v="5384"/>
  </r>
  <r>
    <x v="2"/>
    <s v="Київ"/>
    <x v="11"/>
    <s v="Побутова хімія"/>
    <s v="Засоби для догляду за меблями"/>
    <x v="1"/>
    <x v="10"/>
    <x v="22"/>
    <n v="3342.43"/>
    <n v="3673"/>
  </r>
  <r>
    <x v="2"/>
    <s v="Київ"/>
    <x v="11"/>
    <s v="Товари для дому"/>
    <s v="Серветки"/>
    <x v="1"/>
    <x v="10"/>
    <x v="22"/>
    <n v="2490.2999999999997"/>
    <n v="2767"/>
  </r>
  <r>
    <x v="2"/>
    <s v="Біла Церква"/>
    <x v="7"/>
    <s v="Товари для дому"/>
    <s v="Серветки"/>
    <x v="1"/>
    <x v="10"/>
    <x v="22"/>
    <n v="1865.3400000000001"/>
    <n v="2169"/>
  </r>
  <r>
    <x v="1"/>
    <s v="Бердянськ"/>
    <x v="6"/>
    <s v="Косметика"/>
    <s v="Мило"/>
    <x v="1"/>
    <x v="10"/>
    <x v="22"/>
    <n v="3164.98"/>
    <n v="3367"/>
  </r>
  <r>
    <x v="2"/>
    <s v="Бориспіль"/>
    <x v="3"/>
    <s v="Побутова хімія"/>
    <s v="Засіб для миття посуду"/>
    <x v="1"/>
    <x v="10"/>
    <x v="22"/>
    <n v="3524.9500000000003"/>
    <n v="4147"/>
  </r>
  <r>
    <x v="2"/>
    <s v="Бориспіль"/>
    <x v="3"/>
    <s v="Побутова хімія"/>
    <s v="Засіб для посудомийних машин"/>
    <x v="1"/>
    <x v="10"/>
    <x v="22"/>
    <n v="4679.12"/>
    <n v="5086"/>
  </r>
  <r>
    <x v="1"/>
    <s v="Запоріжжя"/>
    <x v="2"/>
    <s v="Товари для дому"/>
    <s v="Зубочистки"/>
    <x v="1"/>
    <x v="10"/>
    <x v="22"/>
    <n v="2328.0200000000004"/>
    <n v="2707"/>
  </r>
  <r>
    <x v="2"/>
    <s v="Ірпінь"/>
    <x v="10"/>
    <s v="Косметика"/>
    <s v="Шампунь"/>
    <x v="1"/>
    <x v="10"/>
    <x v="22"/>
    <n v="4176.9000000000005"/>
    <n v="4914"/>
  </r>
  <r>
    <x v="2"/>
    <s v="Ірпінь"/>
    <x v="10"/>
    <s v="Косметика"/>
    <s v="Дезодорант"/>
    <x v="1"/>
    <x v="10"/>
    <x v="22"/>
    <n v="3421.5999999999995"/>
    <n v="3760"/>
  </r>
  <r>
    <x v="2"/>
    <s v="Київ"/>
    <x v="11"/>
    <s v="Косметика"/>
    <s v="Мило"/>
    <x v="1"/>
    <x v="10"/>
    <x v="22"/>
    <n v="2658.6"/>
    <n v="2954"/>
  </r>
  <r>
    <x v="2"/>
    <s v="Київ"/>
    <x v="11"/>
    <s v="Побутова хімія"/>
    <s v="Засіб для миття посуду"/>
    <x v="1"/>
    <x v="10"/>
    <x v="22"/>
    <n v="3351.5999999999995"/>
    <n v="3724"/>
  </r>
  <r>
    <x v="3"/>
    <s v="Одеса"/>
    <x v="4"/>
    <s v="Побутова хімія"/>
    <s v="Засіб для посудомийних машин"/>
    <x v="1"/>
    <x v="10"/>
    <x v="22"/>
    <n v="4659.7999999999993"/>
    <n v="5065"/>
  </r>
  <r>
    <x v="3"/>
    <s v="Одеса"/>
    <x v="4"/>
    <s v="Побутова хімія"/>
    <s v="Засоби для догляду за меблями"/>
    <x v="1"/>
    <x v="10"/>
    <x v="22"/>
    <n v="2913.8199999999997"/>
    <n v="3202"/>
  </r>
  <r>
    <x v="4"/>
    <s v="Харків"/>
    <x v="5"/>
    <s v="Товари для дому"/>
    <s v="Серветки"/>
    <x v="1"/>
    <x v="10"/>
    <x v="22"/>
    <n v="1610.2199999999998"/>
    <n v="1713"/>
  </r>
  <r>
    <x v="3"/>
    <s v="Чорноморськ"/>
    <x v="8"/>
    <s v="Товари для дому"/>
    <s v="Одноразовий посуд"/>
    <x v="1"/>
    <x v="10"/>
    <x v="22"/>
    <n v="1783.7399999999998"/>
    <n v="1918"/>
  </r>
  <r>
    <x v="3"/>
    <s v="Чорноморськ"/>
    <x v="8"/>
    <s v="Косметика"/>
    <s v="Шампунь"/>
    <x v="1"/>
    <x v="10"/>
    <x v="22"/>
    <n v="4302.1500000000005"/>
    <n v="4945"/>
  </r>
  <r>
    <x v="4"/>
    <s v="Чугуїв"/>
    <x v="9"/>
    <s v="Косметика"/>
    <s v="Дезодорант"/>
    <x v="1"/>
    <x v="10"/>
    <x v="22"/>
    <n v="3568.41"/>
    <n v="3837"/>
  </r>
  <r>
    <x v="4"/>
    <s v="Чугуїв"/>
    <x v="9"/>
    <s v="Косметика"/>
    <s v="Мило"/>
    <x v="1"/>
    <x v="10"/>
    <x v="22"/>
    <n v="3509.0999999999995"/>
    <n v="3899"/>
  </r>
  <r>
    <x v="0"/>
    <s v="Бердичів"/>
    <x v="1"/>
    <s v="Побутова хімія"/>
    <s v="Засоби для догляду за меблями"/>
    <x v="1"/>
    <x v="10"/>
    <x v="22"/>
    <n v="2839.2"/>
    <n v="3120"/>
  </r>
  <r>
    <x v="0"/>
    <s v="Бердичів"/>
    <x v="1"/>
    <s v="Товари для дому"/>
    <s v="Серветки"/>
    <x v="1"/>
    <x v="10"/>
    <x v="22"/>
    <n v="2730.56"/>
    <n v="2968"/>
  </r>
  <r>
    <x v="1"/>
    <s v="Бердянськ"/>
    <x v="6"/>
    <s v="Товари для дому"/>
    <s v="Одноразовий посуд"/>
    <x v="1"/>
    <x v="10"/>
    <x v="22"/>
    <n v="1981.83"/>
    <n v="2131"/>
  </r>
  <r>
    <x v="2"/>
    <s v="Ірпінь"/>
    <x v="10"/>
    <s v="Косметика"/>
    <s v="Мило"/>
    <x v="1"/>
    <x v="10"/>
    <x v="22"/>
    <n v="3449.08"/>
    <n v="3749"/>
  </r>
  <r>
    <x v="2"/>
    <s v="Київ"/>
    <x v="11"/>
    <s v="Побутова хімія"/>
    <s v="Засіб для посудомийних машин"/>
    <x v="1"/>
    <x v="10"/>
    <x v="22"/>
    <n v="3769.9199999999996"/>
    <n v="4284"/>
  </r>
  <r>
    <x v="2"/>
    <s v="Біла Церква"/>
    <x v="7"/>
    <s v="Побутова хімія"/>
    <s v="Засоби для догляду за меблями"/>
    <x v="1"/>
    <x v="10"/>
    <x v="22"/>
    <n v="3366.14"/>
    <n v="3581"/>
  </r>
  <r>
    <x v="2"/>
    <s v="Бориспіль"/>
    <x v="3"/>
    <s v="Косметика"/>
    <s v="Мило"/>
    <x v="1"/>
    <x v="10"/>
    <x v="22"/>
    <n v="4306.5000000000009"/>
    <n v="4950"/>
  </r>
  <r>
    <x v="2"/>
    <s v="Ірпінь"/>
    <x v="10"/>
    <s v="Товари для дому"/>
    <s v="Одноразовий посуд"/>
    <x v="1"/>
    <x v="10"/>
    <x v="22"/>
    <n v="2320.35"/>
    <n v="2495"/>
  </r>
  <r>
    <x v="2"/>
    <s v="Київ"/>
    <x v="11"/>
    <s v="Косметика"/>
    <s v="Дезодорант"/>
    <x v="1"/>
    <x v="10"/>
    <x v="22"/>
    <n v="4370.01"/>
    <n v="5023"/>
  </r>
  <r>
    <x v="3"/>
    <s v="Одеса"/>
    <x v="4"/>
    <s v="Побутова хімія"/>
    <s v="Засіб для миття посуду"/>
    <x v="1"/>
    <x v="10"/>
    <x v="22"/>
    <n v="3763.7999999999997"/>
    <n v="4182"/>
  </r>
  <r>
    <x v="4"/>
    <s v="Харків"/>
    <x v="5"/>
    <s v="Побутова хімія"/>
    <s v="Засоби для догляду за меблями"/>
    <x v="1"/>
    <x v="10"/>
    <x v="22"/>
    <n v="3147.7599999999998"/>
    <n v="3577"/>
  </r>
  <r>
    <x v="3"/>
    <s v="Чорноморськ"/>
    <x v="8"/>
    <s v="Товари для дому"/>
    <s v="Зубочистки"/>
    <x v="1"/>
    <x v="10"/>
    <x v="22"/>
    <n v="2267.7999999999997"/>
    <n v="2465"/>
  </r>
  <r>
    <x v="4"/>
    <s v="Чугуїв"/>
    <x v="9"/>
    <s v="Косметика"/>
    <s v="Шампунь"/>
    <x v="1"/>
    <x v="10"/>
    <x v="22"/>
    <n v="4378.5199999999995"/>
    <n v="4658"/>
  </r>
  <r>
    <x v="2"/>
    <s v="Ірпінь"/>
    <x v="10"/>
    <s v="Побутова хімія"/>
    <s v="Засоби для догляду за меблями"/>
    <x v="1"/>
    <x v="10"/>
    <x v="22"/>
    <n v="3255"/>
    <n v="3500"/>
  </r>
  <r>
    <x v="2"/>
    <s v="Київ"/>
    <x v="11"/>
    <s v="Товари для дому"/>
    <s v="Зубочистки"/>
    <x v="1"/>
    <x v="10"/>
    <x v="22"/>
    <n v="2788.24"/>
    <n v="3064"/>
  </r>
  <r>
    <x v="0"/>
    <s v="Житомир"/>
    <x v="0"/>
    <s v="Товари для дому"/>
    <s v="Зубочистки"/>
    <x v="1"/>
    <x v="11"/>
    <x v="23"/>
    <n v="2678.3999999999996"/>
    <n v="2976"/>
  </r>
  <r>
    <x v="0"/>
    <s v="Бердичів"/>
    <x v="1"/>
    <s v="Товари для дому"/>
    <s v="Зубочистки"/>
    <x v="1"/>
    <x v="11"/>
    <x v="23"/>
    <n v="2332.44"/>
    <n v="2508"/>
  </r>
  <r>
    <x v="0"/>
    <s v="Бердичів"/>
    <x v="1"/>
    <s v="Косметика"/>
    <s v="Дезодорант"/>
    <x v="1"/>
    <x v="11"/>
    <x v="23"/>
    <n v="4060.1799999999994"/>
    <n v="4562"/>
  </r>
  <r>
    <x v="0"/>
    <s v="Житомир"/>
    <x v="0"/>
    <s v="Косметика"/>
    <s v="Дезодорант"/>
    <x v="1"/>
    <x v="11"/>
    <x v="23"/>
    <n v="2573.1"/>
    <n v="2859"/>
  </r>
  <r>
    <x v="0"/>
    <s v="Житомир"/>
    <x v="0"/>
    <s v="Побутова хімія"/>
    <s v="Засіб для миття посуду"/>
    <x v="1"/>
    <x v="11"/>
    <x v="23"/>
    <n v="4411.7299999999996"/>
    <n v="4957"/>
  </r>
  <r>
    <x v="1"/>
    <s v="Запоріжжя"/>
    <x v="2"/>
    <s v="Побутова хімія"/>
    <s v="Засіб для посудомийних машин"/>
    <x v="1"/>
    <x v="11"/>
    <x v="23"/>
    <n v="4653.8999999999996"/>
    <n v="5171"/>
  </r>
  <r>
    <x v="2"/>
    <s v="Бориспіль"/>
    <x v="3"/>
    <s v="Побутова хімія"/>
    <s v="Засоби для догляду за меблями"/>
    <x v="1"/>
    <x v="11"/>
    <x v="23"/>
    <n v="3382.38"/>
    <n v="3933"/>
  </r>
  <r>
    <x v="3"/>
    <s v="Одеса"/>
    <x v="4"/>
    <s v="Товари для дому"/>
    <s v="Серветки"/>
    <x v="1"/>
    <x v="11"/>
    <x v="23"/>
    <n v="2625.9199999999996"/>
    <n v="2984"/>
  </r>
  <r>
    <x v="4"/>
    <s v="Харків"/>
    <x v="5"/>
    <s v="Товари для дому"/>
    <s v="Зубочистки"/>
    <x v="1"/>
    <x v="11"/>
    <x v="23"/>
    <n v="1375.0499999999997"/>
    <n v="1545"/>
  </r>
  <r>
    <x v="0"/>
    <s v="Бердичів"/>
    <x v="1"/>
    <s v="Товари для дому"/>
    <s v="Одноразовий посуд"/>
    <x v="1"/>
    <x v="11"/>
    <x v="23"/>
    <n v="2169.69"/>
    <n v="2333"/>
  </r>
  <r>
    <x v="1"/>
    <s v="Бердянськ"/>
    <x v="6"/>
    <s v="Косметика"/>
    <s v="Шампунь"/>
    <x v="1"/>
    <x v="11"/>
    <x v="23"/>
    <n v="4269.09"/>
    <n v="4907"/>
  </r>
  <r>
    <x v="2"/>
    <s v="Біла Церква"/>
    <x v="7"/>
    <s v="Косметика"/>
    <s v="Дезодорант"/>
    <x v="1"/>
    <x v="11"/>
    <x v="23"/>
    <n v="3251.2500000000005"/>
    <n v="3825"/>
  </r>
  <r>
    <x v="3"/>
    <s v="Чорноморськ"/>
    <x v="8"/>
    <s v="Косметика"/>
    <s v="Мило"/>
    <x v="1"/>
    <x v="11"/>
    <x v="23"/>
    <n v="3756.2699999999995"/>
    <n v="4039"/>
  </r>
  <r>
    <x v="4"/>
    <s v="Чугуїв"/>
    <x v="9"/>
    <s v="Побутова хімія"/>
    <s v="Засіб для миття посуду"/>
    <x v="1"/>
    <x v="11"/>
    <x v="23"/>
    <n v="3804.6400000000003"/>
    <n v="4424"/>
  </r>
  <r>
    <x v="0"/>
    <s v="Житомир"/>
    <x v="0"/>
    <s v="Побутова хімія"/>
    <s v="Засіб для посудомийних машин"/>
    <x v="1"/>
    <x v="11"/>
    <x v="23"/>
    <n v="3977.4099999999994"/>
    <n v="4469"/>
  </r>
  <r>
    <x v="1"/>
    <s v="Запоріжжя"/>
    <x v="2"/>
    <s v="Побутова хімія"/>
    <s v="Засоби для догляду за меблями"/>
    <x v="1"/>
    <x v="11"/>
    <x v="23"/>
    <n v="2945.31"/>
    <n v="3167"/>
  </r>
  <r>
    <x v="2"/>
    <s v="Бориспіль"/>
    <x v="3"/>
    <s v="Товари для дому"/>
    <s v="Серветки"/>
    <x v="1"/>
    <x v="11"/>
    <x v="23"/>
    <n v="1725.1499999999999"/>
    <n v="1855"/>
  </r>
  <r>
    <x v="3"/>
    <s v="Одеса"/>
    <x v="4"/>
    <s v="Товари для дому"/>
    <s v="Зубочистки"/>
    <x v="1"/>
    <x v="11"/>
    <x v="23"/>
    <n v="1789.2500000000002"/>
    <n v="2105"/>
  </r>
  <r>
    <x v="4"/>
    <s v="Харків"/>
    <x v="5"/>
    <s v="Товари для дому"/>
    <s v="Одноразовий посуд"/>
    <x v="1"/>
    <x v="11"/>
    <x v="23"/>
    <n v="1488.6"/>
    <n v="1654"/>
  </r>
  <r>
    <x v="0"/>
    <s v="Бердичів"/>
    <x v="1"/>
    <s v="Косметика"/>
    <s v="Шампунь"/>
    <x v="1"/>
    <x v="11"/>
    <x v="23"/>
    <n v="5341.78"/>
    <n v="6002"/>
  </r>
  <r>
    <x v="1"/>
    <s v="Бердянськ"/>
    <x v="6"/>
    <s v="Косметика"/>
    <s v="Дезодорант"/>
    <x v="1"/>
    <x v="11"/>
    <x v="23"/>
    <n v="4798.7"/>
    <n v="5105"/>
  </r>
  <r>
    <x v="2"/>
    <s v="Біла Церква"/>
    <x v="7"/>
    <s v="Косметика"/>
    <s v="Мило"/>
    <x v="1"/>
    <x v="11"/>
    <x v="23"/>
    <n v="3604.4100000000003"/>
    <n v="4143"/>
  </r>
  <r>
    <x v="3"/>
    <s v="Чорноморськ"/>
    <x v="8"/>
    <s v="Побутова хімія"/>
    <s v="Засіб для миття посуду"/>
    <x v="1"/>
    <x v="11"/>
    <x v="23"/>
    <n v="3864.3799999999997"/>
    <n v="4342"/>
  </r>
  <r>
    <x v="4"/>
    <s v="Чугуїв"/>
    <x v="9"/>
    <s v="Побутова хімія"/>
    <s v="Засіб для посудомийних машин"/>
    <x v="1"/>
    <x v="11"/>
    <x v="23"/>
    <n v="3990.3499999999995"/>
    <n v="4385"/>
  </r>
  <r>
    <x v="0"/>
    <s v="Житомир"/>
    <x v="0"/>
    <s v="Побутова хімія"/>
    <s v="Засоби для догляду за меблями"/>
    <x v="1"/>
    <x v="11"/>
    <x v="23"/>
    <n v="2811.8"/>
    <n v="3308"/>
  </r>
  <r>
    <x v="1"/>
    <s v="Запоріжжя"/>
    <x v="2"/>
    <s v="Товари для дому"/>
    <s v="Серветки"/>
    <x v="1"/>
    <x v="11"/>
    <x v="23"/>
    <n v="2338.9199999999996"/>
    <n v="2628"/>
  </r>
  <r>
    <x v="2"/>
    <s v="Бориспіль"/>
    <x v="3"/>
    <s v="Товари для дому"/>
    <s v="Зубочистки"/>
    <x v="1"/>
    <x v="11"/>
    <x v="23"/>
    <n v="2352.8000000000002"/>
    <n v="2768"/>
  </r>
  <r>
    <x v="3"/>
    <s v="Одеса"/>
    <x v="4"/>
    <s v="Товари для дому"/>
    <s v="Одноразовий посуд"/>
    <x v="1"/>
    <x v="11"/>
    <x v="23"/>
    <n v="2014.9200000000003"/>
    <n v="2316"/>
  </r>
  <r>
    <x v="4"/>
    <s v="Харків"/>
    <x v="5"/>
    <s v="Косметика"/>
    <s v="Шампунь"/>
    <x v="1"/>
    <x v="11"/>
    <x v="23"/>
    <n v="5450.73"/>
    <n v="5861"/>
  </r>
  <r>
    <x v="1"/>
    <s v="Запоріжжя"/>
    <x v="2"/>
    <s v="Косметика"/>
    <s v="Мило"/>
    <x v="1"/>
    <x v="11"/>
    <x v="23"/>
    <n v="2208.3000000000002"/>
    <n v="2598"/>
  </r>
  <r>
    <x v="2"/>
    <s v="Біла Церква"/>
    <x v="7"/>
    <s v="Побутова хімія"/>
    <s v="Засіб для миття посуду"/>
    <x v="1"/>
    <x v="11"/>
    <x v="23"/>
    <n v="3348.6300000000006"/>
    <n v="3849"/>
  </r>
  <r>
    <x v="3"/>
    <s v="Чорноморськ"/>
    <x v="8"/>
    <s v="Побутова хімія"/>
    <s v="Засіб для посудомийних машин"/>
    <x v="1"/>
    <x v="11"/>
    <x v="23"/>
    <n v="4055.0700000000006"/>
    <n v="4661"/>
  </r>
  <r>
    <x v="4"/>
    <s v="Чугуїв"/>
    <x v="9"/>
    <s v="Побутова хімія"/>
    <s v="Засоби для догляду за меблями"/>
    <x v="1"/>
    <x v="11"/>
    <x v="23"/>
    <n v="2879.3599999999997"/>
    <n v="3272"/>
  </r>
  <r>
    <x v="0"/>
    <s v="Житомир"/>
    <x v="0"/>
    <s v="Товари для дому"/>
    <s v="Серветки"/>
    <x v="1"/>
    <x v="11"/>
    <x v="23"/>
    <n v="2008.7999999999997"/>
    <n v="2232"/>
  </r>
  <r>
    <x v="1"/>
    <s v="Бердянськ"/>
    <x v="6"/>
    <s v="Товари для дому"/>
    <s v="Зубочистки"/>
    <x v="1"/>
    <x v="11"/>
    <x v="23"/>
    <n v="2069.7599999999998"/>
    <n v="2352"/>
  </r>
  <r>
    <x v="2"/>
    <s v="Бориспіль"/>
    <x v="3"/>
    <s v="Товари для дому"/>
    <s v="Одноразовий посуд"/>
    <x v="1"/>
    <x v="11"/>
    <x v="23"/>
    <n v="1673.1999999999998"/>
    <n v="1780"/>
  </r>
  <r>
    <x v="3"/>
    <s v="Одеса"/>
    <x v="4"/>
    <s v="Косметика"/>
    <s v="Шампунь"/>
    <x v="1"/>
    <x v="11"/>
    <x v="23"/>
    <n v="4964.22"/>
    <n v="5706"/>
  </r>
  <r>
    <x v="4"/>
    <s v="Харків"/>
    <x v="5"/>
    <s v="Косметика"/>
    <s v="Дезодорант"/>
    <x v="1"/>
    <x v="11"/>
    <x v="23"/>
    <n v="5113.3599999999997"/>
    <n v="5558"/>
  </r>
  <r>
    <x v="0"/>
    <s v="Бердичів"/>
    <x v="1"/>
    <s v="Косметика"/>
    <s v="Мило"/>
    <x v="1"/>
    <x v="11"/>
    <x v="23"/>
    <n v="4021.0199999999995"/>
    <n v="4518"/>
  </r>
  <r>
    <x v="1"/>
    <s v="Запоріжжя"/>
    <x v="2"/>
    <s v="Побутова хімія"/>
    <s v="Засіб для миття посуду"/>
    <x v="1"/>
    <x v="11"/>
    <x v="23"/>
    <n v="3442.2799999999997"/>
    <n v="3662"/>
  </r>
  <r>
    <x v="2"/>
    <s v="Біла Церква"/>
    <x v="7"/>
    <s v="Побутова хімія"/>
    <s v="Засіб для посудомийних машин"/>
    <x v="1"/>
    <x v="11"/>
    <x v="23"/>
    <n v="4966.0199999999995"/>
    <n v="5283"/>
  </r>
  <r>
    <x v="3"/>
    <s v="Чорноморськ"/>
    <x v="8"/>
    <s v="Побутова хімія"/>
    <s v="Засоби для догляду за меблями"/>
    <x v="1"/>
    <x v="11"/>
    <x v="23"/>
    <n v="3385.6"/>
    <n v="3680"/>
  </r>
  <r>
    <x v="4"/>
    <s v="Чугуїв"/>
    <x v="9"/>
    <s v="Товари для дому"/>
    <s v="Серветки"/>
    <x v="1"/>
    <x v="11"/>
    <x v="23"/>
    <n v="2526.6800000000003"/>
    <n v="2938"/>
  </r>
  <r>
    <x v="1"/>
    <s v="Запоріжжя"/>
    <x v="2"/>
    <s v="Товари для дому"/>
    <s v="Одноразовий посуд"/>
    <x v="1"/>
    <x v="11"/>
    <x v="23"/>
    <n v="1219.3"/>
    <n v="1370"/>
  </r>
  <r>
    <x v="2"/>
    <s v="Бориспіль"/>
    <x v="3"/>
    <s v="Косметика"/>
    <s v="Шампунь"/>
    <x v="1"/>
    <x v="11"/>
    <x v="23"/>
    <n v="5913.54"/>
    <n v="6291"/>
  </r>
  <r>
    <x v="3"/>
    <s v="Чорноморськ"/>
    <x v="8"/>
    <s v="Косметика"/>
    <s v="Дезодорант"/>
    <x v="1"/>
    <x v="11"/>
    <x v="23"/>
    <n v="4237.2"/>
    <n v="4708"/>
  </r>
  <r>
    <x v="4"/>
    <s v="Харків"/>
    <x v="5"/>
    <s v="Косметика"/>
    <s v="Мило"/>
    <x v="1"/>
    <x v="11"/>
    <x v="23"/>
    <n v="4130.49"/>
    <n v="4641"/>
  </r>
  <r>
    <x v="0"/>
    <s v="Бердичів"/>
    <x v="1"/>
    <s v="Побутова хімія"/>
    <s v="Засіб для миття посуду"/>
    <x v="1"/>
    <x v="11"/>
    <x v="23"/>
    <n v="4211.6799999999994"/>
    <n v="4786"/>
  </r>
  <r>
    <x v="0"/>
    <s v="Бердичів"/>
    <x v="1"/>
    <s v="Побутова хімія"/>
    <s v="Засіб для посудомийних машин"/>
    <x v="1"/>
    <x v="11"/>
    <x v="23"/>
    <n v="2493.0500000000002"/>
    <n v="2933"/>
  </r>
  <r>
    <x v="1"/>
    <s v="Бердянськ"/>
    <x v="6"/>
    <s v="Побутова хімія"/>
    <s v="Засоби для догляду за меблями"/>
    <x v="1"/>
    <x v="11"/>
    <x v="23"/>
    <n v="2806.1699999999996"/>
    <n v="3153"/>
  </r>
  <r>
    <x v="1"/>
    <s v="Бердянськ"/>
    <x v="6"/>
    <s v="Товари для дому"/>
    <s v="Серветки"/>
    <x v="1"/>
    <x v="11"/>
    <x v="23"/>
    <n v="2596.2299999999996"/>
    <n v="2853"/>
  </r>
  <r>
    <x v="2"/>
    <s v="Біла Церква"/>
    <x v="7"/>
    <s v="Товари для дому"/>
    <s v="Зубочистки"/>
    <x v="1"/>
    <x v="11"/>
    <x v="23"/>
    <n v="2348.12"/>
    <n v="2498"/>
  </r>
  <r>
    <x v="2"/>
    <s v="Біла Церква"/>
    <x v="7"/>
    <s v="Товари для дому"/>
    <s v="Одноразовий посуд"/>
    <x v="1"/>
    <x v="11"/>
    <x v="23"/>
    <n v="2092.5"/>
    <n v="2325"/>
  </r>
  <r>
    <x v="2"/>
    <s v="Бориспіль"/>
    <x v="3"/>
    <s v="Косметика"/>
    <s v="Дезодорант"/>
    <x v="1"/>
    <x v="11"/>
    <x v="23"/>
    <n v="2933.3500000000004"/>
    <n v="3451"/>
  </r>
  <r>
    <x v="0"/>
    <s v="Житомир"/>
    <x v="0"/>
    <s v="Косметика"/>
    <s v="Мило"/>
    <x v="1"/>
    <x v="11"/>
    <x v="23"/>
    <n v="1943.7599999999998"/>
    <n v="2184"/>
  </r>
  <r>
    <x v="2"/>
    <s v="Ірпінь"/>
    <x v="10"/>
    <s v="Товари для дому"/>
    <s v="Серветки"/>
    <x v="1"/>
    <x v="11"/>
    <x v="23"/>
    <n v="2188.29"/>
    <n v="2353"/>
  </r>
  <r>
    <x v="2"/>
    <s v="Ірпінь"/>
    <x v="10"/>
    <s v="Товари для дому"/>
    <s v="Зубочистки"/>
    <x v="1"/>
    <x v="11"/>
    <x v="23"/>
    <n v="1860.9899999999998"/>
    <n v="2091"/>
  </r>
  <r>
    <x v="2"/>
    <s v="Київ"/>
    <x v="11"/>
    <s v="Товари для дому"/>
    <s v="Одноразовий посуд"/>
    <x v="1"/>
    <x v="11"/>
    <x v="23"/>
    <n v="2191.14"/>
    <n v="2331"/>
  </r>
  <r>
    <x v="2"/>
    <s v="Київ"/>
    <x v="11"/>
    <s v="Косметика"/>
    <s v="Шампунь"/>
    <x v="1"/>
    <x v="11"/>
    <x v="23"/>
    <n v="6178.62"/>
    <n v="6573"/>
  </r>
  <r>
    <x v="3"/>
    <s v="Одеса"/>
    <x v="4"/>
    <s v="Косметика"/>
    <s v="Дезодорант"/>
    <x v="1"/>
    <x v="11"/>
    <x v="23"/>
    <n v="3374.9999999999995"/>
    <n v="3750"/>
  </r>
  <r>
    <x v="3"/>
    <s v="Одеса"/>
    <x v="4"/>
    <s v="Косметика"/>
    <s v="Мило"/>
    <x v="1"/>
    <x v="11"/>
    <x v="23"/>
    <n v="1933.9699999999998"/>
    <n v="2173"/>
  </r>
  <r>
    <x v="4"/>
    <s v="Харків"/>
    <x v="5"/>
    <s v="Побутова хімія"/>
    <s v="Засіб для миття посуду"/>
    <x v="1"/>
    <x v="11"/>
    <x v="23"/>
    <n v="3414.9299999999994"/>
    <n v="3837"/>
  </r>
  <r>
    <x v="4"/>
    <s v="Харків"/>
    <x v="5"/>
    <s v="Побутова хімія"/>
    <s v="Засіб для посудомийних машин"/>
    <x v="1"/>
    <x v="11"/>
    <x v="23"/>
    <n v="2947.8"/>
    <n v="3468"/>
  </r>
  <r>
    <x v="3"/>
    <s v="Чорноморськ"/>
    <x v="8"/>
    <s v="Товари для дому"/>
    <s v="Серветки"/>
    <x v="1"/>
    <x v="11"/>
    <x v="23"/>
    <n v="2362.5"/>
    <n v="2625"/>
  </r>
  <r>
    <x v="4"/>
    <s v="Чугуїв"/>
    <x v="9"/>
    <s v="Товари для дому"/>
    <s v="Зубочистки"/>
    <x v="1"/>
    <x v="11"/>
    <x v="23"/>
    <n v="1721.4299999999998"/>
    <n v="1851"/>
  </r>
  <r>
    <x v="4"/>
    <s v="Чугуїв"/>
    <x v="9"/>
    <s v="Товари для дому"/>
    <s v="Одноразовий посуд"/>
    <x v="1"/>
    <x v="11"/>
    <x v="23"/>
    <n v="1270.8"/>
    <n v="1412"/>
  </r>
  <r>
    <x v="2"/>
    <s v="Біла Церква"/>
    <x v="7"/>
    <s v="Косметика"/>
    <s v="Шампунь"/>
    <x v="1"/>
    <x v="11"/>
    <x v="23"/>
    <n v="4681.5999999999995"/>
    <n v="5320"/>
  </r>
  <r>
    <x v="1"/>
    <s v="Бердянськ"/>
    <x v="6"/>
    <s v="Побутова хімія"/>
    <s v="Засіб для посудомийних машин"/>
    <x v="1"/>
    <x v="11"/>
    <x v="23"/>
    <n v="4341.9199999999992"/>
    <n v="4934"/>
  </r>
  <r>
    <x v="0"/>
    <s v="Житомир"/>
    <x v="0"/>
    <s v="Товари для дому"/>
    <s v="Одноразовий посуд"/>
    <x v="1"/>
    <x v="11"/>
    <x v="23"/>
    <n v="1483.35"/>
    <n v="1595"/>
  </r>
  <r>
    <x v="0"/>
    <s v="Житомир"/>
    <x v="0"/>
    <s v="Косметика"/>
    <s v="Шампунь"/>
    <x v="1"/>
    <x v="11"/>
    <x v="23"/>
    <n v="6184.36"/>
    <n v="6796"/>
  </r>
  <r>
    <x v="1"/>
    <s v="Запоріжжя"/>
    <x v="2"/>
    <s v="Косметика"/>
    <s v="Дезодорант"/>
    <x v="1"/>
    <x v="11"/>
    <x v="23"/>
    <n v="4173.5"/>
    <n v="4910"/>
  </r>
  <r>
    <x v="2"/>
    <s v="Ірпінь"/>
    <x v="10"/>
    <s v="Побутова хімія"/>
    <s v="Засіб для миття посуду"/>
    <x v="1"/>
    <x v="11"/>
    <x v="23"/>
    <n v="3742.6399999999994"/>
    <n v="4253"/>
  </r>
  <r>
    <x v="2"/>
    <s v="Ірпінь"/>
    <x v="10"/>
    <s v="Побутова хімія"/>
    <s v="Засіб для посудомийних машин"/>
    <x v="1"/>
    <x v="11"/>
    <x v="23"/>
    <n v="4698.33"/>
    <n v="5163"/>
  </r>
  <r>
    <x v="2"/>
    <s v="Київ"/>
    <x v="11"/>
    <s v="Побутова хімія"/>
    <s v="Засоби для догляду за меблями"/>
    <x v="1"/>
    <x v="11"/>
    <x v="23"/>
    <n v="3068.9999999999995"/>
    <n v="3410"/>
  </r>
  <r>
    <x v="2"/>
    <s v="Київ"/>
    <x v="11"/>
    <s v="Товари для дому"/>
    <s v="Серветки"/>
    <x v="1"/>
    <x v="11"/>
    <x v="23"/>
    <n v="2107.1400000000003"/>
    <n v="2422"/>
  </r>
  <r>
    <x v="2"/>
    <s v="Біла Церква"/>
    <x v="7"/>
    <s v="Товари для дому"/>
    <s v="Серветки"/>
    <x v="1"/>
    <x v="11"/>
    <x v="23"/>
    <n v="2046.8799999999997"/>
    <n v="2326"/>
  </r>
  <r>
    <x v="1"/>
    <s v="Бердянськ"/>
    <x v="6"/>
    <s v="Косметика"/>
    <s v="Мило"/>
    <x v="1"/>
    <x v="11"/>
    <x v="23"/>
    <n v="2590.1999999999998"/>
    <n v="2878"/>
  </r>
  <r>
    <x v="2"/>
    <s v="Бориспіль"/>
    <x v="3"/>
    <s v="Побутова хімія"/>
    <s v="Засіб для миття посуду"/>
    <x v="1"/>
    <x v="11"/>
    <x v="23"/>
    <n v="3078.7000000000003"/>
    <n v="3622"/>
  </r>
  <r>
    <x v="2"/>
    <s v="Бориспіль"/>
    <x v="3"/>
    <s v="Побутова хімія"/>
    <s v="Засіб для посудомийних машин"/>
    <x v="1"/>
    <x v="11"/>
    <x v="23"/>
    <n v="2670.89"/>
    <n v="3001"/>
  </r>
  <r>
    <x v="1"/>
    <s v="Запоріжжя"/>
    <x v="2"/>
    <s v="Товари для дому"/>
    <s v="Зубочистки"/>
    <x v="1"/>
    <x v="11"/>
    <x v="23"/>
    <n v="2476.0200000000004"/>
    <n v="2846"/>
  </r>
  <r>
    <x v="2"/>
    <s v="Ірпінь"/>
    <x v="10"/>
    <s v="Косметика"/>
    <s v="Шампунь"/>
    <x v="1"/>
    <x v="11"/>
    <x v="23"/>
    <n v="4902.96"/>
    <n v="5272"/>
  </r>
  <r>
    <x v="2"/>
    <s v="Ірпінь"/>
    <x v="10"/>
    <s v="Косметика"/>
    <s v="Дезодорант"/>
    <x v="1"/>
    <x v="11"/>
    <x v="23"/>
    <n v="2683.0499999999997"/>
    <n v="2885"/>
  </r>
  <r>
    <x v="2"/>
    <s v="Київ"/>
    <x v="11"/>
    <s v="Косметика"/>
    <s v="Мило"/>
    <x v="1"/>
    <x v="11"/>
    <x v="23"/>
    <n v="3601.89"/>
    <n v="3873"/>
  </r>
  <r>
    <x v="2"/>
    <s v="Київ"/>
    <x v="11"/>
    <s v="Побутова хімія"/>
    <s v="Засіб для миття посуду"/>
    <x v="1"/>
    <x v="11"/>
    <x v="23"/>
    <n v="3172.2599999999998"/>
    <n v="3486"/>
  </r>
  <r>
    <x v="3"/>
    <s v="Одеса"/>
    <x v="4"/>
    <s v="Побутова хімія"/>
    <s v="Засіб для посудомийних машин"/>
    <x v="1"/>
    <x v="11"/>
    <x v="23"/>
    <n v="2878.35"/>
    <n v="3095"/>
  </r>
  <r>
    <x v="3"/>
    <s v="Одеса"/>
    <x v="4"/>
    <s v="Побутова хімія"/>
    <s v="Засоби для догляду за меблями"/>
    <x v="1"/>
    <x v="11"/>
    <x v="23"/>
    <n v="3096.72"/>
    <n v="3366"/>
  </r>
  <r>
    <x v="4"/>
    <s v="Харків"/>
    <x v="5"/>
    <s v="Товари для дому"/>
    <s v="Серветки"/>
    <x v="1"/>
    <x v="11"/>
    <x v="23"/>
    <n v="2264.5499999999997"/>
    <n v="2435"/>
  </r>
  <r>
    <x v="3"/>
    <s v="Чорноморськ"/>
    <x v="8"/>
    <s v="Товари для дому"/>
    <s v="Одноразовий посуд"/>
    <x v="1"/>
    <x v="11"/>
    <x v="23"/>
    <n v="1567.2799999999997"/>
    <n v="1781"/>
  </r>
  <r>
    <x v="3"/>
    <s v="Чорноморськ"/>
    <x v="8"/>
    <s v="Косметика"/>
    <s v="Шампунь"/>
    <x v="1"/>
    <x v="11"/>
    <x v="23"/>
    <n v="5409.4000000000005"/>
    <n v="6290"/>
  </r>
  <r>
    <x v="4"/>
    <s v="Чугуїв"/>
    <x v="9"/>
    <s v="Косметика"/>
    <s v="Дезодорант"/>
    <x v="1"/>
    <x v="11"/>
    <x v="23"/>
    <n v="3043.7999999999997"/>
    <n v="3382"/>
  </r>
  <r>
    <x v="4"/>
    <s v="Чугуїв"/>
    <x v="9"/>
    <s v="Косметика"/>
    <s v="Мило"/>
    <x v="1"/>
    <x v="11"/>
    <x v="23"/>
    <n v="4471.58"/>
    <n v="4757"/>
  </r>
  <r>
    <x v="0"/>
    <s v="Бердичів"/>
    <x v="1"/>
    <s v="Побутова хімія"/>
    <s v="Засоби для догляду за меблями"/>
    <x v="1"/>
    <x v="11"/>
    <x v="23"/>
    <n v="3071.05"/>
    <n v="3613"/>
  </r>
  <r>
    <x v="0"/>
    <s v="Бердичів"/>
    <x v="1"/>
    <s v="Товари для дому"/>
    <s v="Серветки"/>
    <x v="1"/>
    <x v="11"/>
    <x v="23"/>
    <n v="2353.12"/>
    <n v="2674"/>
  </r>
  <r>
    <x v="1"/>
    <s v="Бердянськ"/>
    <x v="6"/>
    <s v="Товари для дому"/>
    <s v="Одноразовий посуд"/>
    <x v="1"/>
    <x v="11"/>
    <x v="23"/>
    <n v="1676.9599999999998"/>
    <n v="1784"/>
  </r>
  <r>
    <x v="2"/>
    <s v="Ірпінь"/>
    <x v="10"/>
    <s v="Косметика"/>
    <s v="Мило"/>
    <x v="1"/>
    <x v="11"/>
    <x v="23"/>
    <n v="3530.6299999999997"/>
    <n v="3967"/>
  </r>
  <r>
    <x v="2"/>
    <s v="Київ"/>
    <x v="11"/>
    <s v="Побутова хімія"/>
    <s v="Засіб для посудомийних машин"/>
    <x v="1"/>
    <x v="11"/>
    <x v="23"/>
    <n v="3528.2"/>
    <n v="3835"/>
  </r>
  <r>
    <x v="2"/>
    <s v="Біла Церква"/>
    <x v="7"/>
    <s v="Побутова хімія"/>
    <s v="Засоби для догляду за меблями"/>
    <x v="1"/>
    <x v="11"/>
    <x v="23"/>
    <n v="2945.6699999999996"/>
    <n v="3237"/>
  </r>
  <r>
    <x v="2"/>
    <s v="Бориспіль"/>
    <x v="3"/>
    <s v="Косметика"/>
    <s v="Мило"/>
    <x v="1"/>
    <x v="11"/>
    <x v="23"/>
    <n v="3090.2799999999997"/>
    <n v="3359"/>
  </r>
  <r>
    <x v="2"/>
    <s v="Ірпінь"/>
    <x v="10"/>
    <s v="Товари для дому"/>
    <s v="Одноразовий посуд"/>
    <x v="1"/>
    <x v="11"/>
    <x v="23"/>
    <n v="2155.6000000000004"/>
    <n v="2536"/>
  </r>
  <r>
    <x v="2"/>
    <s v="Київ"/>
    <x v="11"/>
    <s v="Косметика"/>
    <s v="Дезодорант"/>
    <x v="1"/>
    <x v="11"/>
    <x v="23"/>
    <n v="3387.5400000000004"/>
    <n v="3939"/>
  </r>
  <r>
    <x v="3"/>
    <s v="Одеса"/>
    <x v="4"/>
    <s v="Побутова хімія"/>
    <s v="Засіб для миття посуду"/>
    <x v="1"/>
    <x v="11"/>
    <x v="23"/>
    <n v="4095.58"/>
    <n v="4357"/>
  </r>
  <r>
    <x v="4"/>
    <s v="Харків"/>
    <x v="5"/>
    <s v="Побутова хімія"/>
    <s v="Засоби для догляду за меблями"/>
    <x v="1"/>
    <x v="11"/>
    <x v="23"/>
    <n v="2751.72"/>
    <n v="2991"/>
  </r>
  <r>
    <x v="3"/>
    <s v="Чорноморськ"/>
    <x v="8"/>
    <s v="Товари для дому"/>
    <s v="Зубочистки"/>
    <x v="1"/>
    <x v="11"/>
    <x v="23"/>
    <n v="2863.8"/>
    <n v="3330"/>
  </r>
  <r>
    <x v="4"/>
    <s v="Чугуїв"/>
    <x v="9"/>
    <s v="Косметика"/>
    <s v="Шампунь"/>
    <x v="1"/>
    <x v="11"/>
    <x v="23"/>
    <n v="4633.7199999999993"/>
    <n v="5092"/>
  </r>
  <r>
    <x v="2"/>
    <s v="Ірпінь"/>
    <x v="10"/>
    <s v="Побутова хімія"/>
    <s v="Засоби для догляду за меблями"/>
    <x v="1"/>
    <x v="11"/>
    <x v="23"/>
    <n v="3175.2"/>
    <n v="3528"/>
  </r>
  <r>
    <x v="2"/>
    <s v="Київ"/>
    <x v="11"/>
    <s v="Товари для дому"/>
    <s v="Зубочистки"/>
    <x v="1"/>
    <x v="11"/>
    <x v="23"/>
    <n v="1562.8799999999999"/>
    <n v="1776"/>
  </r>
  <r>
    <x v="0"/>
    <s v="Житомир"/>
    <x v="0"/>
    <s v="Товари для дому"/>
    <s v="Зубочистки"/>
    <x v="2"/>
    <x v="0"/>
    <x v="24"/>
    <n v="2531.84"/>
    <n v="2944"/>
  </r>
  <r>
    <x v="0"/>
    <s v="Бердичів"/>
    <x v="1"/>
    <s v="Товари для дому"/>
    <s v="Зубочистки"/>
    <x v="2"/>
    <x v="0"/>
    <x v="24"/>
    <n v="2397.54"/>
    <n v="2578"/>
  </r>
  <r>
    <x v="0"/>
    <s v="Бердичів"/>
    <x v="1"/>
    <s v="Косметика"/>
    <s v="Дезодорант"/>
    <x v="2"/>
    <x v="0"/>
    <x v="24"/>
    <n v="4824.8999999999996"/>
    <n v="5361"/>
  </r>
  <r>
    <x v="0"/>
    <s v="Житомир"/>
    <x v="0"/>
    <s v="Косметика"/>
    <s v="Дезодорант"/>
    <x v="2"/>
    <x v="0"/>
    <x v="24"/>
    <n v="3786.2400000000007"/>
    <n v="4352"/>
  </r>
  <r>
    <x v="0"/>
    <s v="Житомир"/>
    <x v="0"/>
    <s v="Побутова хімія"/>
    <s v="Засіб для миття посуду"/>
    <x v="2"/>
    <x v="0"/>
    <x v="24"/>
    <n v="3665.3100000000004"/>
    <n v="4213"/>
  </r>
  <r>
    <x v="1"/>
    <s v="Запоріжжя"/>
    <x v="2"/>
    <s v="Побутова хімія"/>
    <s v="Засіб для посудомийних машин"/>
    <x v="2"/>
    <x v="0"/>
    <x v="24"/>
    <n v="2785.2"/>
    <n v="3165"/>
  </r>
  <r>
    <x v="2"/>
    <s v="Бориспіль"/>
    <x v="3"/>
    <s v="Побутова хімія"/>
    <s v="Засоби для догляду за меблями"/>
    <x v="2"/>
    <x v="0"/>
    <x v="24"/>
    <n v="2985.8399999999997"/>
    <n v="3393"/>
  </r>
  <r>
    <x v="3"/>
    <s v="Одеса"/>
    <x v="4"/>
    <s v="Товари для дому"/>
    <s v="Серветки"/>
    <x v="2"/>
    <x v="0"/>
    <x v="24"/>
    <n v="1434.6799999999998"/>
    <n v="1612"/>
  </r>
  <r>
    <x v="4"/>
    <s v="Харків"/>
    <x v="5"/>
    <s v="Товари для дому"/>
    <s v="Зубочистки"/>
    <x v="2"/>
    <x v="0"/>
    <x v="24"/>
    <n v="2465.5800000000004"/>
    <n v="2834"/>
  </r>
  <r>
    <x v="0"/>
    <s v="Бердичів"/>
    <x v="1"/>
    <s v="Товари для дому"/>
    <s v="Одноразовий посуд"/>
    <x v="2"/>
    <x v="0"/>
    <x v="24"/>
    <n v="2434.6600000000003"/>
    <n v="2831"/>
  </r>
  <r>
    <x v="1"/>
    <s v="Бердянськ"/>
    <x v="6"/>
    <s v="Косметика"/>
    <s v="Шампунь"/>
    <x v="2"/>
    <x v="0"/>
    <x v="24"/>
    <n v="5524.1500000000005"/>
    <n v="6499"/>
  </r>
  <r>
    <x v="2"/>
    <s v="Біла Церква"/>
    <x v="7"/>
    <s v="Косметика"/>
    <s v="Дезодорант"/>
    <x v="2"/>
    <x v="0"/>
    <x v="24"/>
    <n v="3102.5399999999995"/>
    <n v="3486"/>
  </r>
  <r>
    <x v="3"/>
    <s v="Чорноморськ"/>
    <x v="8"/>
    <s v="Косметика"/>
    <s v="Мило"/>
    <x v="2"/>
    <x v="0"/>
    <x v="24"/>
    <n v="2085.3900000000003"/>
    <n v="2397"/>
  </r>
  <r>
    <x v="4"/>
    <s v="Чугуїв"/>
    <x v="9"/>
    <s v="Побутова хімія"/>
    <s v="Засіб для миття посуду"/>
    <x v="2"/>
    <x v="0"/>
    <x v="24"/>
    <n v="3771.08"/>
    <n v="4099"/>
  </r>
  <r>
    <x v="0"/>
    <s v="Житомир"/>
    <x v="0"/>
    <s v="Побутова хімія"/>
    <s v="Засіб для посудомийних машин"/>
    <x v="2"/>
    <x v="0"/>
    <x v="24"/>
    <n v="4009.2799999999997"/>
    <n v="4556"/>
  </r>
  <r>
    <x v="1"/>
    <s v="Запоріжжя"/>
    <x v="2"/>
    <s v="Побутова хімія"/>
    <s v="Засоби для догляду за меблями"/>
    <x v="2"/>
    <x v="0"/>
    <x v="24"/>
    <n v="2702.0399999999995"/>
    <n v="3036"/>
  </r>
  <r>
    <x v="2"/>
    <s v="Бориспіль"/>
    <x v="3"/>
    <s v="Товари для дому"/>
    <s v="Серветки"/>
    <x v="2"/>
    <x v="0"/>
    <x v="24"/>
    <n v="1798.62"/>
    <n v="1934"/>
  </r>
  <r>
    <x v="3"/>
    <s v="Одеса"/>
    <x v="4"/>
    <s v="Товари для дому"/>
    <s v="Зубочистки"/>
    <x v="2"/>
    <x v="0"/>
    <x v="24"/>
    <n v="2703.44"/>
    <n v="2876"/>
  </r>
  <r>
    <x v="4"/>
    <s v="Харків"/>
    <x v="5"/>
    <s v="Товари для дому"/>
    <s v="Одноразовий посуд"/>
    <x v="2"/>
    <x v="0"/>
    <x v="24"/>
    <n v="2293.5299999999997"/>
    <n v="2577"/>
  </r>
  <r>
    <x v="0"/>
    <s v="Бердичів"/>
    <x v="1"/>
    <s v="Косметика"/>
    <s v="Шампунь"/>
    <x v="2"/>
    <x v="0"/>
    <x v="24"/>
    <n v="6029.1"/>
    <n v="6930"/>
  </r>
  <r>
    <x v="1"/>
    <s v="Бердянськ"/>
    <x v="6"/>
    <s v="Косметика"/>
    <s v="Дезодорант"/>
    <x v="2"/>
    <x v="0"/>
    <x v="24"/>
    <n v="3404.7199999999993"/>
    <n v="3869"/>
  </r>
  <r>
    <x v="2"/>
    <s v="Біла Церква"/>
    <x v="7"/>
    <s v="Косметика"/>
    <s v="Мило"/>
    <x v="2"/>
    <x v="0"/>
    <x v="24"/>
    <n v="2138.3999999999996"/>
    <n v="2376"/>
  </r>
  <r>
    <x v="3"/>
    <s v="Чорноморськ"/>
    <x v="8"/>
    <s v="Побутова хімія"/>
    <s v="Засіб для миття посуду"/>
    <x v="2"/>
    <x v="0"/>
    <x v="24"/>
    <n v="3989.05"/>
    <n v="4693"/>
  </r>
  <r>
    <x v="4"/>
    <s v="Чугуїв"/>
    <x v="9"/>
    <s v="Побутова хімія"/>
    <s v="Засіб для посудомийних машин"/>
    <x v="2"/>
    <x v="0"/>
    <x v="24"/>
    <n v="4206.0199999999995"/>
    <n v="4622"/>
  </r>
  <r>
    <x v="0"/>
    <s v="Житомир"/>
    <x v="0"/>
    <s v="Побутова хімія"/>
    <s v="Засоби для догляду за меблями"/>
    <x v="2"/>
    <x v="0"/>
    <x v="24"/>
    <n v="2721.2999999999997"/>
    <n v="2895"/>
  </r>
  <r>
    <x v="1"/>
    <s v="Запоріжжя"/>
    <x v="2"/>
    <s v="Товари для дому"/>
    <s v="Серветки"/>
    <x v="2"/>
    <x v="0"/>
    <x v="24"/>
    <n v="2361.6"/>
    <n v="2624"/>
  </r>
  <r>
    <x v="2"/>
    <s v="Бориспіль"/>
    <x v="3"/>
    <s v="Товари для дому"/>
    <s v="Зубочистки"/>
    <x v="2"/>
    <x v="0"/>
    <x v="24"/>
    <n v="2183.65"/>
    <n v="2569"/>
  </r>
  <r>
    <x v="3"/>
    <s v="Одеса"/>
    <x v="4"/>
    <s v="Товари для дому"/>
    <s v="Одноразовий посуд"/>
    <x v="2"/>
    <x v="0"/>
    <x v="24"/>
    <n v="1669.85"/>
    <n v="1835"/>
  </r>
  <r>
    <x v="4"/>
    <s v="Харків"/>
    <x v="5"/>
    <s v="Косметика"/>
    <s v="Шампунь"/>
    <x v="2"/>
    <x v="0"/>
    <x v="24"/>
    <n v="4245.45"/>
    <n v="4565"/>
  </r>
  <r>
    <x v="1"/>
    <s v="Запоріжжя"/>
    <x v="2"/>
    <s v="Косметика"/>
    <s v="Мило"/>
    <x v="2"/>
    <x v="0"/>
    <x v="24"/>
    <n v="2641.3199999999997"/>
    <n v="2871"/>
  </r>
  <r>
    <x v="2"/>
    <s v="Біла Церква"/>
    <x v="7"/>
    <s v="Побутова хімія"/>
    <s v="Засіб для миття посуду"/>
    <x v="2"/>
    <x v="0"/>
    <x v="24"/>
    <n v="4539.28"/>
    <n v="4934"/>
  </r>
  <r>
    <x v="3"/>
    <s v="Чорноморськ"/>
    <x v="8"/>
    <s v="Побутова хімія"/>
    <s v="Засіб для посудомийних машин"/>
    <x v="2"/>
    <x v="0"/>
    <x v="24"/>
    <n v="4268.7999999999993"/>
    <n v="4640"/>
  </r>
  <r>
    <x v="4"/>
    <s v="Чугуїв"/>
    <x v="9"/>
    <s v="Побутова хімія"/>
    <s v="Засоби для догляду за меблями"/>
    <x v="2"/>
    <x v="0"/>
    <x v="24"/>
    <n v="3655.66"/>
    <n v="3889"/>
  </r>
  <r>
    <x v="0"/>
    <s v="Житомир"/>
    <x v="0"/>
    <s v="Товари для дому"/>
    <s v="Серветки"/>
    <x v="2"/>
    <x v="0"/>
    <x v="24"/>
    <n v="1580.6800000000003"/>
    <n v="1838"/>
  </r>
  <r>
    <x v="1"/>
    <s v="Бердянськ"/>
    <x v="6"/>
    <s v="Товари для дому"/>
    <s v="Зубочистки"/>
    <x v="2"/>
    <x v="0"/>
    <x v="24"/>
    <n v="2518.2599999999998"/>
    <n v="2679"/>
  </r>
  <r>
    <x v="2"/>
    <s v="Бориспіль"/>
    <x v="3"/>
    <s v="Товари для дому"/>
    <s v="Одноразовий посуд"/>
    <x v="2"/>
    <x v="0"/>
    <x v="24"/>
    <n v="1094.7800000000002"/>
    <n v="1273"/>
  </r>
  <r>
    <x v="3"/>
    <s v="Одеса"/>
    <x v="4"/>
    <s v="Косметика"/>
    <s v="Шампунь"/>
    <x v="2"/>
    <x v="0"/>
    <x v="24"/>
    <n v="3440.8600000000006"/>
    <n v="4001"/>
  </r>
  <r>
    <x v="4"/>
    <s v="Харків"/>
    <x v="5"/>
    <s v="Косметика"/>
    <s v="Дезодорант"/>
    <x v="2"/>
    <x v="0"/>
    <x v="24"/>
    <n v="3806.49"/>
    <n v="4093"/>
  </r>
  <r>
    <x v="0"/>
    <s v="Бердичів"/>
    <x v="1"/>
    <s v="Косметика"/>
    <s v="Мило"/>
    <x v="2"/>
    <x v="0"/>
    <x v="24"/>
    <n v="2644.5000000000005"/>
    <n v="3075"/>
  </r>
  <r>
    <x v="1"/>
    <s v="Запоріжжя"/>
    <x v="2"/>
    <s v="Побутова хімія"/>
    <s v="Засіб для миття посуду"/>
    <x v="2"/>
    <x v="0"/>
    <x v="24"/>
    <n v="3040.2"/>
    <n v="3378"/>
  </r>
  <r>
    <x v="2"/>
    <s v="Біла Церква"/>
    <x v="7"/>
    <s v="Побутова хімія"/>
    <s v="Засіб для посудомийних машин"/>
    <x v="2"/>
    <x v="0"/>
    <x v="24"/>
    <n v="3972.4200000000005"/>
    <n v="4566"/>
  </r>
  <r>
    <x v="3"/>
    <s v="Чорноморськ"/>
    <x v="8"/>
    <s v="Побутова хімія"/>
    <s v="Засоби для догляду за меблями"/>
    <x v="2"/>
    <x v="0"/>
    <x v="24"/>
    <n v="3172.16"/>
    <n v="3448"/>
  </r>
  <r>
    <x v="4"/>
    <s v="Чугуїв"/>
    <x v="9"/>
    <s v="Товари для дому"/>
    <s v="Серветки"/>
    <x v="2"/>
    <x v="0"/>
    <x v="24"/>
    <n v="1733.7600000000002"/>
    <n v="2016"/>
  </r>
  <r>
    <x v="1"/>
    <s v="Запоріжжя"/>
    <x v="2"/>
    <s v="Товари для дому"/>
    <s v="Одноразовий посуд"/>
    <x v="2"/>
    <x v="0"/>
    <x v="24"/>
    <n v="1247.7799999999997"/>
    <n v="1402"/>
  </r>
  <r>
    <x v="2"/>
    <s v="Бориспіль"/>
    <x v="3"/>
    <s v="Косметика"/>
    <s v="Шампунь"/>
    <x v="2"/>
    <x v="0"/>
    <x v="24"/>
    <n v="5280.73"/>
    <n v="5803"/>
  </r>
  <r>
    <x v="3"/>
    <s v="Чорноморськ"/>
    <x v="8"/>
    <s v="Косметика"/>
    <s v="Дезодорант"/>
    <x v="2"/>
    <x v="0"/>
    <x v="24"/>
    <n v="4051.3199999999997"/>
    <n v="4452"/>
  </r>
  <r>
    <x v="4"/>
    <s v="Харків"/>
    <x v="5"/>
    <s v="Косметика"/>
    <s v="Мило"/>
    <x v="2"/>
    <x v="0"/>
    <x v="24"/>
    <n v="2868.8799999999997"/>
    <n v="3052"/>
  </r>
  <r>
    <x v="0"/>
    <s v="Бердичів"/>
    <x v="1"/>
    <s v="Побутова хімія"/>
    <s v="Засіб для миття посуду"/>
    <x v="2"/>
    <x v="0"/>
    <x v="24"/>
    <n v="4679.7599999999993"/>
    <n v="5032"/>
  </r>
  <r>
    <x v="0"/>
    <s v="Бердичів"/>
    <x v="1"/>
    <s v="Побутова хімія"/>
    <s v="Засіб для посудомийних машин"/>
    <x v="2"/>
    <x v="0"/>
    <x v="24"/>
    <n v="3729.2999999999997"/>
    <n v="4010"/>
  </r>
  <r>
    <x v="1"/>
    <s v="Бердянськ"/>
    <x v="6"/>
    <s v="Побутова хімія"/>
    <s v="Засоби для догляду за меблями"/>
    <x v="2"/>
    <x v="0"/>
    <x v="24"/>
    <n v="3114.6000000000004"/>
    <n v="3580"/>
  </r>
  <r>
    <x v="1"/>
    <s v="Бердянськ"/>
    <x v="6"/>
    <s v="Товари для дому"/>
    <s v="Серветки"/>
    <x v="2"/>
    <x v="0"/>
    <x v="24"/>
    <n v="1865.6999999999998"/>
    <n v="2073"/>
  </r>
  <r>
    <x v="2"/>
    <s v="Біла Церква"/>
    <x v="7"/>
    <s v="Товари для дому"/>
    <s v="Зубочистки"/>
    <x v="2"/>
    <x v="0"/>
    <x v="24"/>
    <n v="2790.9600000000005"/>
    <n v="3208"/>
  </r>
  <r>
    <x v="2"/>
    <s v="Біла Церква"/>
    <x v="7"/>
    <s v="Товари для дому"/>
    <s v="Одноразовий посуд"/>
    <x v="2"/>
    <x v="0"/>
    <x v="24"/>
    <n v="2171.5"/>
    <n v="2525"/>
  </r>
  <r>
    <x v="2"/>
    <s v="Бориспіль"/>
    <x v="3"/>
    <s v="Косметика"/>
    <s v="Дезодорант"/>
    <x v="2"/>
    <x v="0"/>
    <x v="24"/>
    <n v="5207.07"/>
    <n v="5599"/>
  </r>
  <r>
    <x v="0"/>
    <s v="Житомир"/>
    <x v="0"/>
    <s v="Косметика"/>
    <s v="Мило"/>
    <x v="2"/>
    <x v="0"/>
    <x v="24"/>
    <n v="3533.9400000000005"/>
    <n v="4062"/>
  </r>
  <r>
    <x v="2"/>
    <s v="Ірпінь"/>
    <x v="10"/>
    <s v="Товари для дому"/>
    <s v="Серветки"/>
    <x v="2"/>
    <x v="0"/>
    <x v="24"/>
    <n v="1795.4999999999998"/>
    <n v="1995"/>
  </r>
  <r>
    <x v="2"/>
    <s v="Ірпінь"/>
    <x v="10"/>
    <s v="Товари для дому"/>
    <s v="Зубочистки"/>
    <x v="2"/>
    <x v="0"/>
    <x v="24"/>
    <n v="2426.04"/>
    <n v="2637"/>
  </r>
  <r>
    <x v="2"/>
    <s v="Київ"/>
    <x v="11"/>
    <s v="Товари для дому"/>
    <s v="Одноразовий посуд"/>
    <x v="2"/>
    <x v="0"/>
    <x v="24"/>
    <n v="2142"/>
    <n v="2520"/>
  </r>
  <r>
    <x v="2"/>
    <s v="Київ"/>
    <x v="11"/>
    <s v="Косметика"/>
    <s v="Шампунь"/>
    <x v="2"/>
    <x v="0"/>
    <x v="24"/>
    <n v="4839.2999999999993"/>
    <n v="5377"/>
  </r>
  <r>
    <x v="3"/>
    <s v="Одеса"/>
    <x v="4"/>
    <s v="Косметика"/>
    <s v="Дезодорант"/>
    <x v="2"/>
    <x v="0"/>
    <x v="24"/>
    <n v="3478.5199999999995"/>
    <n v="3781"/>
  </r>
  <r>
    <x v="3"/>
    <s v="Одеса"/>
    <x v="4"/>
    <s v="Косметика"/>
    <s v="Мило"/>
    <x v="2"/>
    <x v="0"/>
    <x v="24"/>
    <n v="1955.3599999999997"/>
    <n v="2222"/>
  </r>
  <r>
    <x v="4"/>
    <s v="Харків"/>
    <x v="5"/>
    <s v="Побутова хімія"/>
    <s v="Засіб для миття посуду"/>
    <x v="2"/>
    <x v="0"/>
    <x v="24"/>
    <n v="3025.4800000000005"/>
    <n v="3518"/>
  </r>
  <r>
    <x v="4"/>
    <s v="Харків"/>
    <x v="5"/>
    <s v="Побутова хімія"/>
    <s v="Засіб для посудомийних машин"/>
    <x v="2"/>
    <x v="0"/>
    <x v="24"/>
    <n v="3409.0400000000004"/>
    <n v="3964"/>
  </r>
  <r>
    <x v="3"/>
    <s v="Чорноморськ"/>
    <x v="8"/>
    <s v="Товари для дому"/>
    <s v="Серветки"/>
    <x v="2"/>
    <x v="0"/>
    <x v="24"/>
    <n v="2047.7599999999998"/>
    <n v="2327"/>
  </r>
  <r>
    <x v="4"/>
    <s v="Чугуїв"/>
    <x v="9"/>
    <s v="Товари для дому"/>
    <s v="Зубочистки"/>
    <x v="2"/>
    <x v="0"/>
    <x v="24"/>
    <n v="1595.4399999999998"/>
    <n v="1813"/>
  </r>
  <r>
    <x v="4"/>
    <s v="Чугуїв"/>
    <x v="9"/>
    <s v="Товари для дому"/>
    <s v="Одноразовий посуд"/>
    <x v="2"/>
    <x v="0"/>
    <x v="24"/>
    <n v="1617.6600000000003"/>
    <n v="1881"/>
  </r>
  <r>
    <x v="2"/>
    <s v="Біла Церква"/>
    <x v="7"/>
    <s v="Косметика"/>
    <s v="Шампунь"/>
    <x v="2"/>
    <x v="0"/>
    <x v="24"/>
    <n v="4304.9699999999993"/>
    <n v="4629"/>
  </r>
  <r>
    <x v="1"/>
    <s v="Бердянськ"/>
    <x v="6"/>
    <s v="Побутова хімія"/>
    <s v="Засіб для посудомийних машин"/>
    <x v="2"/>
    <x v="0"/>
    <x v="24"/>
    <n v="2495.6999999999998"/>
    <n v="2655"/>
  </r>
  <r>
    <x v="0"/>
    <s v="Житомир"/>
    <x v="0"/>
    <s v="Товари для дому"/>
    <s v="Одноразовий посуд"/>
    <x v="2"/>
    <x v="0"/>
    <x v="24"/>
    <n v="2383.29"/>
    <n v="2619"/>
  </r>
  <r>
    <x v="0"/>
    <s v="Житомир"/>
    <x v="0"/>
    <s v="Косметика"/>
    <s v="Шампунь"/>
    <x v="2"/>
    <x v="0"/>
    <x v="24"/>
    <n v="4064.97"/>
    <n v="4467"/>
  </r>
  <r>
    <x v="1"/>
    <s v="Запоріжжя"/>
    <x v="2"/>
    <s v="Косметика"/>
    <s v="Дезодорант"/>
    <x v="2"/>
    <x v="0"/>
    <x v="24"/>
    <n v="3664.3500000000004"/>
    <n v="4311"/>
  </r>
  <r>
    <x v="2"/>
    <s v="Ірпінь"/>
    <x v="10"/>
    <s v="Побутова хімія"/>
    <s v="Засіб для миття посуду"/>
    <x v="2"/>
    <x v="0"/>
    <x v="24"/>
    <n v="4014.55"/>
    <n v="4723"/>
  </r>
  <r>
    <x v="2"/>
    <s v="Ірпінь"/>
    <x v="10"/>
    <s v="Побутова хімія"/>
    <s v="Засіб для посудомийних машин"/>
    <x v="2"/>
    <x v="0"/>
    <x v="24"/>
    <n v="4804.8200000000006"/>
    <n v="5587"/>
  </r>
  <r>
    <x v="2"/>
    <s v="Київ"/>
    <x v="11"/>
    <s v="Побутова хімія"/>
    <s v="Засоби для догляду за меблями"/>
    <x v="2"/>
    <x v="0"/>
    <x v="24"/>
    <n v="2702.04"/>
    <n v="2937"/>
  </r>
  <r>
    <x v="2"/>
    <s v="Київ"/>
    <x v="11"/>
    <s v="Товари для дому"/>
    <s v="Серветки"/>
    <x v="2"/>
    <x v="0"/>
    <x v="24"/>
    <n v="1448.9199999999998"/>
    <n v="1628"/>
  </r>
  <r>
    <x v="2"/>
    <s v="Біла Церква"/>
    <x v="7"/>
    <s v="Товари для дому"/>
    <s v="Серветки"/>
    <x v="2"/>
    <x v="0"/>
    <x v="24"/>
    <n v="1415.1"/>
    <n v="1590"/>
  </r>
  <r>
    <x v="1"/>
    <s v="Бердянськ"/>
    <x v="6"/>
    <s v="Косметика"/>
    <s v="Мило"/>
    <x v="2"/>
    <x v="0"/>
    <x v="24"/>
    <n v="2538.9500000000003"/>
    <n v="2987"/>
  </r>
  <r>
    <x v="2"/>
    <s v="Бориспіль"/>
    <x v="3"/>
    <s v="Побутова хімія"/>
    <s v="Засіб для миття посуду"/>
    <x v="2"/>
    <x v="0"/>
    <x v="24"/>
    <n v="4007.37"/>
    <n v="4309"/>
  </r>
  <r>
    <x v="2"/>
    <s v="Бориспіль"/>
    <x v="3"/>
    <s v="Побутова хімія"/>
    <s v="Засіб для посудомийних машин"/>
    <x v="2"/>
    <x v="0"/>
    <x v="24"/>
    <n v="2856.66"/>
    <n v="3039"/>
  </r>
  <r>
    <x v="1"/>
    <s v="Запоріжжя"/>
    <x v="2"/>
    <s v="Товари для дому"/>
    <s v="Зубочистки"/>
    <x v="2"/>
    <x v="0"/>
    <x v="24"/>
    <n v="1556.1"/>
    <n v="1729"/>
  </r>
  <r>
    <x v="2"/>
    <s v="Ірпінь"/>
    <x v="10"/>
    <s v="Косметика"/>
    <s v="Шампунь"/>
    <x v="2"/>
    <x v="0"/>
    <x v="24"/>
    <n v="4220.25"/>
    <n v="4965"/>
  </r>
  <r>
    <x v="2"/>
    <s v="Ірпінь"/>
    <x v="10"/>
    <s v="Косметика"/>
    <s v="Дезодорант"/>
    <x v="2"/>
    <x v="0"/>
    <x v="24"/>
    <n v="4684.41"/>
    <n v="5037"/>
  </r>
  <r>
    <x v="2"/>
    <s v="Київ"/>
    <x v="11"/>
    <s v="Косметика"/>
    <s v="Мило"/>
    <x v="2"/>
    <x v="0"/>
    <x v="24"/>
    <n v="3010.8199999999997"/>
    <n v="3203"/>
  </r>
  <r>
    <x v="2"/>
    <s v="Київ"/>
    <x v="11"/>
    <s v="Побутова хімія"/>
    <s v="Засіб для миття посуду"/>
    <x v="2"/>
    <x v="0"/>
    <x v="24"/>
    <n v="3537.5999999999995"/>
    <n v="4020"/>
  </r>
  <r>
    <x v="3"/>
    <s v="Одеса"/>
    <x v="4"/>
    <s v="Побутова хімія"/>
    <s v="Засіб для посудомийних машин"/>
    <x v="2"/>
    <x v="0"/>
    <x v="24"/>
    <n v="3105.9000000000005"/>
    <n v="3570"/>
  </r>
  <r>
    <x v="3"/>
    <s v="Одеса"/>
    <x v="4"/>
    <s v="Побутова хімія"/>
    <s v="Засоби для догляду за меблями"/>
    <x v="2"/>
    <x v="0"/>
    <x v="24"/>
    <n v="2965.7"/>
    <n v="3155"/>
  </r>
  <r>
    <x v="4"/>
    <s v="Харків"/>
    <x v="5"/>
    <s v="Товари для дому"/>
    <s v="Серветки"/>
    <x v="2"/>
    <x v="0"/>
    <x v="24"/>
    <n v="2456.3999999999996"/>
    <n v="2760"/>
  </r>
  <r>
    <x v="3"/>
    <s v="Чорноморськ"/>
    <x v="8"/>
    <s v="Товари для дому"/>
    <s v="Одноразовий посуд"/>
    <x v="2"/>
    <x v="0"/>
    <x v="24"/>
    <n v="1726.08"/>
    <n v="1856"/>
  </r>
  <r>
    <x v="3"/>
    <s v="Чорноморськ"/>
    <x v="8"/>
    <s v="Косметика"/>
    <s v="Шампунь"/>
    <x v="2"/>
    <x v="0"/>
    <x v="24"/>
    <n v="6216.2999999999993"/>
    <n v="6907"/>
  </r>
  <r>
    <x v="4"/>
    <s v="Чугуїв"/>
    <x v="9"/>
    <s v="Косметика"/>
    <s v="Дезодорант"/>
    <x v="2"/>
    <x v="0"/>
    <x v="24"/>
    <n v="4434.32"/>
    <n v="5039"/>
  </r>
  <r>
    <x v="4"/>
    <s v="Чугуїв"/>
    <x v="9"/>
    <s v="Косметика"/>
    <s v="Мило"/>
    <x v="2"/>
    <x v="0"/>
    <x v="24"/>
    <n v="3572.3599999999997"/>
    <n v="3883"/>
  </r>
  <r>
    <x v="0"/>
    <s v="Бердичів"/>
    <x v="1"/>
    <s v="Побутова хімія"/>
    <s v="Засоби для догляду за меблями"/>
    <x v="2"/>
    <x v="0"/>
    <x v="24"/>
    <n v="3294.7"/>
    <n v="3505"/>
  </r>
  <r>
    <x v="0"/>
    <s v="Бердичів"/>
    <x v="1"/>
    <s v="Товари для дому"/>
    <s v="Серветки"/>
    <x v="2"/>
    <x v="0"/>
    <x v="24"/>
    <n v="2411.4899999999998"/>
    <n v="2593"/>
  </r>
  <r>
    <x v="1"/>
    <s v="Бердянськ"/>
    <x v="6"/>
    <s v="Товари для дому"/>
    <s v="Одноразовий посуд"/>
    <x v="2"/>
    <x v="0"/>
    <x v="24"/>
    <n v="1949.9"/>
    <n v="2294"/>
  </r>
  <r>
    <x v="2"/>
    <s v="Ірпінь"/>
    <x v="10"/>
    <s v="Косметика"/>
    <s v="Мило"/>
    <x v="2"/>
    <x v="0"/>
    <x v="24"/>
    <n v="2397.54"/>
    <n v="2578"/>
  </r>
  <r>
    <x v="2"/>
    <s v="Київ"/>
    <x v="11"/>
    <s v="Побутова хімія"/>
    <s v="Засіб для посудомийних машин"/>
    <x v="2"/>
    <x v="0"/>
    <x v="24"/>
    <n v="2591.58"/>
    <n v="2757"/>
  </r>
  <r>
    <x v="2"/>
    <s v="Біла Церква"/>
    <x v="7"/>
    <s v="Побутова хімія"/>
    <s v="Засоби для догляду за меблями"/>
    <x v="2"/>
    <x v="0"/>
    <x v="24"/>
    <n v="2646.05"/>
    <n v="3113"/>
  </r>
  <r>
    <x v="2"/>
    <s v="Бориспіль"/>
    <x v="3"/>
    <s v="Косметика"/>
    <s v="Мило"/>
    <x v="2"/>
    <x v="0"/>
    <x v="24"/>
    <n v="2430.0899999999997"/>
    <n v="2613"/>
  </r>
  <r>
    <x v="2"/>
    <s v="Ірпінь"/>
    <x v="10"/>
    <s v="Товари для дому"/>
    <s v="Одноразовий посуд"/>
    <x v="2"/>
    <x v="0"/>
    <x v="24"/>
    <n v="1722.9500000000003"/>
    <n v="2027"/>
  </r>
  <r>
    <x v="2"/>
    <s v="Київ"/>
    <x v="11"/>
    <s v="Косметика"/>
    <s v="Дезодорант"/>
    <x v="2"/>
    <x v="0"/>
    <x v="24"/>
    <n v="3978.54"/>
    <n v="4278"/>
  </r>
  <r>
    <x v="3"/>
    <s v="Одеса"/>
    <x v="4"/>
    <s v="Побутова хімія"/>
    <s v="Засіб для миття посуду"/>
    <x v="2"/>
    <x v="0"/>
    <x v="24"/>
    <n v="4415.8399999999992"/>
    <n v="5018"/>
  </r>
  <r>
    <x v="4"/>
    <s v="Харків"/>
    <x v="5"/>
    <s v="Побутова хімія"/>
    <s v="Засоби для догляду за меблями"/>
    <x v="2"/>
    <x v="0"/>
    <x v="24"/>
    <n v="2978.0999999999995"/>
    <n v="3309"/>
  </r>
  <r>
    <x v="3"/>
    <s v="Чорноморськ"/>
    <x v="8"/>
    <s v="Товари для дому"/>
    <s v="Зубочистки"/>
    <x v="2"/>
    <x v="0"/>
    <x v="24"/>
    <n v="2760.6000000000004"/>
    <n v="3210"/>
  </r>
  <r>
    <x v="4"/>
    <s v="Чугуїв"/>
    <x v="9"/>
    <s v="Косметика"/>
    <s v="Шампунь"/>
    <x v="2"/>
    <x v="0"/>
    <x v="24"/>
    <n v="5429.670000000001"/>
    <n v="6241"/>
  </r>
  <r>
    <x v="2"/>
    <s v="Ірпінь"/>
    <x v="10"/>
    <s v="Побутова хімія"/>
    <s v="Засоби для догляду за меблями"/>
    <x v="2"/>
    <x v="0"/>
    <x v="24"/>
    <n v="3290.3299999999995"/>
    <n v="3697"/>
  </r>
  <r>
    <x v="2"/>
    <s v="Київ"/>
    <x v="11"/>
    <s v="Товари для дому"/>
    <s v="Зубочистки"/>
    <x v="2"/>
    <x v="0"/>
    <x v="24"/>
    <n v="2763.0299999999997"/>
    <n v="2971"/>
  </r>
  <r>
    <x v="0"/>
    <s v="Житомир"/>
    <x v="0"/>
    <s v="Товари для дому"/>
    <s v="Зубочистки"/>
    <x v="2"/>
    <x v="1"/>
    <x v="25"/>
    <n v="1769.88"/>
    <n v="2058"/>
  </r>
  <r>
    <x v="0"/>
    <s v="Бердичів"/>
    <x v="1"/>
    <s v="Товари для дому"/>
    <s v="Зубочистки"/>
    <x v="2"/>
    <x v="1"/>
    <x v="25"/>
    <n v="2643.2799999999997"/>
    <n v="2812"/>
  </r>
  <r>
    <x v="0"/>
    <s v="Бердичів"/>
    <x v="1"/>
    <s v="Косметика"/>
    <s v="Дезодорант"/>
    <x v="2"/>
    <x v="1"/>
    <x v="25"/>
    <n v="4278.82"/>
    <n v="4702"/>
  </r>
  <r>
    <x v="0"/>
    <s v="Житомир"/>
    <x v="0"/>
    <s v="Косметика"/>
    <s v="Дезодорант"/>
    <x v="2"/>
    <x v="1"/>
    <x v="25"/>
    <n v="4519.4199999999992"/>
    <n v="5078"/>
  </r>
  <r>
    <x v="0"/>
    <s v="Житомир"/>
    <x v="0"/>
    <s v="Побутова хімія"/>
    <s v="Засіб для миття посуду"/>
    <x v="2"/>
    <x v="1"/>
    <x v="25"/>
    <n v="3659.4199999999996"/>
    <n v="3893"/>
  </r>
  <r>
    <x v="1"/>
    <s v="Запоріжжя"/>
    <x v="2"/>
    <s v="Побутова хімія"/>
    <s v="Засіб для посудомийних машин"/>
    <x v="2"/>
    <x v="1"/>
    <x v="25"/>
    <n v="3936.3500000000004"/>
    <n v="4631"/>
  </r>
  <r>
    <x v="2"/>
    <s v="Бориспіль"/>
    <x v="3"/>
    <s v="Побутова хімія"/>
    <s v="Засоби для догляду за меблями"/>
    <x v="2"/>
    <x v="1"/>
    <x v="25"/>
    <n v="3105.05"/>
    <n v="3653"/>
  </r>
  <r>
    <x v="3"/>
    <s v="Одеса"/>
    <x v="4"/>
    <s v="Товари для дому"/>
    <s v="Серветки"/>
    <x v="2"/>
    <x v="1"/>
    <x v="25"/>
    <n v="2247.5199999999995"/>
    <n v="2554"/>
  </r>
  <r>
    <x v="4"/>
    <s v="Харків"/>
    <x v="5"/>
    <s v="Товари для дому"/>
    <s v="Зубочистки"/>
    <x v="2"/>
    <x v="1"/>
    <x v="25"/>
    <n v="2848.38"/>
    <n v="3274"/>
  </r>
  <r>
    <x v="0"/>
    <s v="Бердичів"/>
    <x v="1"/>
    <s v="Товари для дому"/>
    <s v="Одноразовий посуд"/>
    <x v="2"/>
    <x v="1"/>
    <x v="25"/>
    <n v="1474.8799999999999"/>
    <n v="1676"/>
  </r>
  <r>
    <x v="1"/>
    <s v="Бердянськ"/>
    <x v="6"/>
    <s v="Косметика"/>
    <s v="Шампунь"/>
    <x v="2"/>
    <x v="1"/>
    <x v="25"/>
    <n v="4522.32"/>
    <n v="5139"/>
  </r>
  <r>
    <x v="2"/>
    <s v="Біла Церква"/>
    <x v="7"/>
    <s v="Косметика"/>
    <s v="Дезодорант"/>
    <x v="2"/>
    <x v="1"/>
    <x v="25"/>
    <n v="4741.5000000000009"/>
    <n v="5450"/>
  </r>
  <r>
    <x v="3"/>
    <s v="Чорноморськ"/>
    <x v="8"/>
    <s v="Косметика"/>
    <s v="Мило"/>
    <x v="2"/>
    <x v="1"/>
    <x v="25"/>
    <n v="2986.3799999999997"/>
    <n v="3177"/>
  </r>
  <r>
    <x v="4"/>
    <s v="Чугуїв"/>
    <x v="9"/>
    <s v="Побутова хімія"/>
    <s v="Засіб для миття посуду"/>
    <x v="2"/>
    <x v="1"/>
    <x v="25"/>
    <n v="4237.2"/>
    <n v="4708"/>
  </r>
  <r>
    <x v="0"/>
    <s v="Житомир"/>
    <x v="0"/>
    <s v="Побутова хімія"/>
    <s v="Засіб для посудомийних машин"/>
    <x v="2"/>
    <x v="1"/>
    <x v="25"/>
    <n v="4875.2999999999993"/>
    <n v="5417"/>
  </r>
  <r>
    <x v="1"/>
    <s v="Запоріжжя"/>
    <x v="2"/>
    <s v="Побутова хімія"/>
    <s v="Засоби для догляду за меблями"/>
    <x v="2"/>
    <x v="1"/>
    <x v="25"/>
    <n v="3412.2599999999998"/>
    <n v="3834"/>
  </r>
  <r>
    <x v="2"/>
    <s v="Бориспіль"/>
    <x v="3"/>
    <s v="Товари для дому"/>
    <s v="Серветки"/>
    <x v="2"/>
    <x v="1"/>
    <x v="25"/>
    <n v="1815.4399999999998"/>
    <n v="2063"/>
  </r>
  <r>
    <x v="3"/>
    <s v="Одеса"/>
    <x v="4"/>
    <s v="Товари для дому"/>
    <s v="Зубочистки"/>
    <x v="2"/>
    <x v="1"/>
    <x v="25"/>
    <n v="2572.3799999999997"/>
    <n v="2766"/>
  </r>
  <r>
    <x v="4"/>
    <s v="Харків"/>
    <x v="5"/>
    <s v="Товари для дому"/>
    <s v="Одноразовий посуд"/>
    <x v="2"/>
    <x v="1"/>
    <x v="25"/>
    <n v="2342.9100000000003"/>
    <n v="2693"/>
  </r>
  <r>
    <x v="0"/>
    <s v="Бердичів"/>
    <x v="1"/>
    <s v="Косметика"/>
    <s v="Шампунь"/>
    <x v="2"/>
    <x v="1"/>
    <x v="25"/>
    <n v="3893.9999999999995"/>
    <n v="4425"/>
  </r>
  <r>
    <x v="1"/>
    <s v="Бердянськ"/>
    <x v="6"/>
    <s v="Косметика"/>
    <s v="Дезодорант"/>
    <x v="2"/>
    <x v="1"/>
    <x v="25"/>
    <n v="4286.4900000000007"/>
    <n v="4927"/>
  </r>
  <r>
    <x v="2"/>
    <s v="Біла Церква"/>
    <x v="7"/>
    <s v="Косметика"/>
    <s v="Мило"/>
    <x v="2"/>
    <x v="1"/>
    <x v="25"/>
    <n v="2974.3999999999996"/>
    <n v="3380"/>
  </r>
  <r>
    <x v="3"/>
    <s v="Чорноморськ"/>
    <x v="8"/>
    <s v="Побутова хімія"/>
    <s v="Засіб для миття посуду"/>
    <x v="2"/>
    <x v="1"/>
    <x v="25"/>
    <n v="3375.6799999999994"/>
    <n v="3836"/>
  </r>
  <r>
    <x v="4"/>
    <s v="Чугуїв"/>
    <x v="9"/>
    <s v="Побутова хімія"/>
    <s v="Засіб для посудомийних машин"/>
    <x v="2"/>
    <x v="1"/>
    <x v="25"/>
    <n v="2378.7399999999998"/>
    <n v="2614"/>
  </r>
  <r>
    <x v="0"/>
    <s v="Житомир"/>
    <x v="0"/>
    <s v="Побутова хімія"/>
    <s v="Засоби для догляду за меблями"/>
    <x v="2"/>
    <x v="1"/>
    <x v="25"/>
    <n v="2507.34"/>
    <n v="2882"/>
  </r>
  <r>
    <x v="1"/>
    <s v="Запоріжжя"/>
    <x v="2"/>
    <s v="Товари для дому"/>
    <s v="Серветки"/>
    <x v="2"/>
    <x v="1"/>
    <x v="25"/>
    <n v="2476.0500000000002"/>
    <n v="2913"/>
  </r>
  <r>
    <x v="2"/>
    <s v="Бориспіль"/>
    <x v="3"/>
    <s v="Товари для дому"/>
    <s v="Зубочистки"/>
    <x v="2"/>
    <x v="1"/>
    <x v="25"/>
    <n v="1501.9500000000003"/>
    <n v="1767"/>
  </r>
  <r>
    <x v="3"/>
    <s v="Одеса"/>
    <x v="4"/>
    <s v="Товари для дому"/>
    <s v="Одноразовий посуд"/>
    <x v="2"/>
    <x v="1"/>
    <x v="25"/>
    <n v="1704.6899999999998"/>
    <n v="1833"/>
  </r>
  <r>
    <x v="4"/>
    <s v="Харків"/>
    <x v="5"/>
    <s v="Косметика"/>
    <s v="Шампунь"/>
    <x v="2"/>
    <x v="1"/>
    <x v="25"/>
    <n v="5375.5999999999995"/>
    <n v="6040"/>
  </r>
  <r>
    <x v="1"/>
    <s v="Запоріжжя"/>
    <x v="2"/>
    <s v="Косметика"/>
    <s v="Мило"/>
    <x v="2"/>
    <x v="1"/>
    <x v="25"/>
    <n v="2915.64"/>
    <n v="3276"/>
  </r>
  <r>
    <x v="2"/>
    <s v="Біла Церква"/>
    <x v="7"/>
    <s v="Побутова хімія"/>
    <s v="Засіб для миття посуду"/>
    <x v="2"/>
    <x v="1"/>
    <x v="25"/>
    <n v="4185.9299999999994"/>
    <n v="4501"/>
  </r>
  <r>
    <x v="3"/>
    <s v="Чорноморськ"/>
    <x v="8"/>
    <s v="Побутова хімія"/>
    <s v="Засіб для посудомийних машин"/>
    <x v="2"/>
    <x v="1"/>
    <x v="25"/>
    <n v="3591.3600000000006"/>
    <n v="4176"/>
  </r>
  <r>
    <x v="4"/>
    <s v="Чугуїв"/>
    <x v="9"/>
    <s v="Побутова хімія"/>
    <s v="Засоби для догляду за меблями"/>
    <x v="2"/>
    <x v="1"/>
    <x v="25"/>
    <n v="3838.9599999999996"/>
    <n v="4084"/>
  </r>
  <r>
    <x v="0"/>
    <s v="Житомир"/>
    <x v="0"/>
    <s v="Товари для дому"/>
    <s v="Серветки"/>
    <x v="2"/>
    <x v="1"/>
    <x v="25"/>
    <n v="1446.8999999999999"/>
    <n v="1590"/>
  </r>
  <r>
    <x v="1"/>
    <s v="Бердянськ"/>
    <x v="6"/>
    <s v="Товари для дому"/>
    <s v="Зубочистки"/>
    <x v="2"/>
    <x v="1"/>
    <x v="25"/>
    <n v="2691.7799999999997"/>
    <n v="2958"/>
  </r>
  <r>
    <x v="2"/>
    <s v="Бориспіль"/>
    <x v="3"/>
    <s v="Товари для дому"/>
    <s v="Одноразовий посуд"/>
    <x v="2"/>
    <x v="1"/>
    <x v="25"/>
    <n v="1089.6200000000001"/>
    <n v="1267"/>
  </r>
  <r>
    <x v="3"/>
    <s v="Одеса"/>
    <x v="4"/>
    <s v="Косметика"/>
    <s v="Шампунь"/>
    <x v="2"/>
    <x v="1"/>
    <x v="25"/>
    <n v="4371.7500000000009"/>
    <n v="5025"/>
  </r>
  <r>
    <x v="4"/>
    <s v="Харків"/>
    <x v="5"/>
    <s v="Косметика"/>
    <s v="Дезодорант"/>
    <x v="2"/>
    <x v="1"/>
    <x v="25"/>
    <n v="4302.8999999999996"/>
    <n v="4781"/>
  </r>
  <r>
    <x v="0"/>
    <s v="Бердичів"/>
    <x v="1"/>
    <s v="Косметика"/>
    <s v="Мило"/>
    <x v="2"/>
    <x v="1"/>
    <x v="25"/>
    <n v="1822.4"/>
    <n v="2144"/>
  </r>
  <r>
    <x v="1"/>
    <s v="Запоріжжя"/>
    <x v="2"/>
    <s v="Побутова хімія"/>
    <s v="Засіб для миття посуду"/>
    <x v="2"/>
    <x v="1"/>
    <x v="25"/>
    <n v="3014.55"/>
    <n v="3465"/>
  </r>
  <r>
    <x v="2"/>
    <s v="Біла Церква"/>
    <x v="7"/>
    <s v="Побутова хімія"/>
    <s v="Засіб для посудомийних машин"/>
    <x v="2"/>
    <x v="1"/>
    <x v="25"/>
    <n v="3228.4400000000005"/>
    <n v="3754"/>
  </r>
  <r>
    <x v="3"/>
    <s v="Чорноморськ"/>
    <x v="8"/>
    <s v="Побутова хімія"/>
    <s v="Засоби для догляду за меблями"/>
    <x v="2"/>
    <x v="1"/>
    <x v="25"/>
    <n v="2729.64"/>
    <n v="2967"/>
  </r>
  <r>
    <x v="4"/>
    <s v="Чугуїв"/>
    <x v="9"/>
    <s v="Товари для дому"/>
    <s v="Серветки"/>
    <x v="2"/>
    <x v="1"/>
    <x v="25"/>
    <n v="2544.9599999999996"/>
    <n v="2892"/>
  </r>
  <r>
    <x v="1"/>
    <s v="Запоріжжя"/>
    <x v="2"/>
    <s v="Товари для дому"/>
    <s v="Одноразовий посуд"/>
    <x v="2"/>
    <x v="1"/>
    <x v="25"/>
    <n v="1929.6"/>
    <n v="2144"/>
  </r>
  <r>
    <x v="2"/>
    <s v="Бориспіль"/>
    <x v="3"/>
    <s v="Косметика"/>
    <s v="Шампунь"/>
    <x v="2"/>
    <x v="1"/>
    <x v="25"/>
    <n v="6278.4"/>
    <n v="6976"/>
  </r>
  <r>
    <x v="3"/>
    <s v="Чорноморськ"/>
    <x v="8"/>
    <s v="Косметика"/>
    <s v="Дезодорант"/>
    <x v="2"/>
    <x v="1"/>
    <x v="25"/>
    <n v="4357.7999999999993"/>
    <n v="4842"/>
  </r>
  <r>
    <x v="4"/>
    <s v="Харків"/>
    <x v="5"/>
    <s v="Косметика"/>
    <s v="Мило"/>
    <x v="2"/>
    <x v="1"/>
    <x v="25"/>
    <n v="3694.4999999999995"/>
    <n v="4105"/>
  </r>
  <r>
    <x v="0"/>
    <s v="Бердичів"/>
    <x v="1"/>
    <s v="Побутова хімія"/>
    <s v="Засіб для миття посуду"/>
    <x v="2"/>
    <x v="1"/>
    <x v="25"/>
    <n v="3700.1100000000006"/>
    <n v="4253"/>
  </r>
  <r>
    <x v="0"/>
    <s v="Бердичів"/>
    <x v="1"/>
    <s v="Побутова хімія"/>
    <s v="Засіб для посудомийних машин"/>
    <x v="2"/>
    <x v="1"/>
    <x v="25"/>
    <n v="4617.28"/>
    <n v="4912"/>
  </r>
  <r>
    <x v="1"/>
    <s v="Бердянськ"/>
    <x v="6"/>
    <s v="Побутова хімія"/>
    <s v="Засоби для догляду за меблями"/>
    <x v="2"/>
    <x v="1"/>
    <x v="25"/>
    <n v="2719.8399999999997"/>
    <n v="3056"/>
  </r>
  <r>
    <x v="1"/>
    <s v="Бердянськ"/>
    <x v="6"/>
    <s v="Товари для дому"/>
    <s v="Серветки"/>
    <x v="2"/>
    <x v="1"/>
    <x v="25"/>
    <n v="2030.4600000000003"/>
    <n v="2361"/>
  </r>
  <r>
    <x v="2"/>
    <s v="Біла Церква"/>
    <x v="7"/>
    <s v="Товари для дому"/>
    <s v="Зубочистки"/>
    <x v="2"/>
    <x v="1"/>
    <x v="25"/>
    <n v="1479.0000000000002"/>
    <n v="1740"/>
  </r>
  <r>
    <x v="2"/>
    <s v="Біла Церква"/>
    <x v="7"/>
    <s v="Товари для дому"/>
    <s v="Одноразовий посуд"/>
    <x v="2"/>
    <x v="1"/>
    <x v="25"/>
    <n v="2414.7199999999998"/>
    <n v="2744"/>
  </r>
  <r>
    <x v="2"/>
    <s v="Бориспіль"/>
    <x v="3"/>
    <s v="Косметика"/>
    <s v="Дезодорант"/>
    <x v="2"/>
    <x v="1"/>
    <x v="25"/>
    <n v="2359.39"/>
    <n v="2651"/>
  </r>
  <r>
    <x v="0"/>
    <s v="Житомир"/>
    <x v="0"/>
    <s v="Косметика"/>
    <s v="Мило"/>
    <x v="2"/>
    <x v="1"/>
    <x v="25"/>
    <n v="1937.5299999999997"/>
    <n v="2177"/>
  </r>
  <r>
    <x v="2"/>
    <s v="Ірпінь"/>
    <x v="10"/>
    <s v="Товари для дому"/>
    <s v="Серветки"/>
    <x v="2"/>
    <x v="1"/>
    <x v="25"/>
    <n v="2411.8999999999996"/>
    <n v="2710"/>
  </r>
  <r>
    <x v="2"/>
    <s v="Ірпінь"/>
    <x v="10"/>
    <s v="Товари для дому"/>
    <s v="Зубочистки"/>
    <x v="2"/>
    <x v="1"/>
    <x v="25"/>
    <n v="2312.8799999999997"/>
    <n v="2514"/>
  </r>
  <r>
    <x v="2"/>
    <s v="Київ"/>
    <x v="11"/>
    <s v="Товари для дому"/>
    <s v="Одноразовий посуд"/>
    <x v="2"/>
    <x v="1"/>
    <x v="25"/>
    <n v="1342.32"/>
    <n v="1428"/>
  </r>
  <r>
    <x v="2"/>
    <s v="Київ"/>
    <x v="11"/>
    <s v="Косметика"/>
    <s v="Шампунь"/>
    <x v="2"/>
    <x v="1"/>
    <x v="25"/>
    <n v="3812.64"/>
    <n v="4056"/>
  </r>
  <r>
    <x v="3"/>
    <s v="Одеса"/>
    <x v="4"/>
    <s v="Косметика"/>
    <s v="Дезодорант"/>
    <x v="2"/>
    <x v="1"/>
    <x v="25"/>
    <n v="2624.8"/>
    <n v="3088"/>
  </r>
  <r>
    <x v="3"/>
    <s v="Одеса"/>
    <x v="4"/>
    <s v="Косметика"/>
    <s v="Мило"/>
    <x v="2"/>
    <x v="1"/>
    <x v="25"/>
    <n v="2889.2700000000004"/>
    <n v="3321"/>
  </r>
  <r>
    <x v="4"/>
    <s v="Харків"/>
    <x v="5"/>
    <s v="Побутова хімія"/>
    <s v="Засіб для миття посуду"/>
    <x v="2"/>
    <x v="1"/>
    <x v="25"/>
    <n v="3392.3999999999996"/>
    <n v="3855"/>
  </r>
  <r>
    <x v="4"/>
    <s v="Харків"/>
    <x v="5"/>
    <s v="Побутова хімія"/>
    <s v="Засіб для посудомийних машин"/>
    <x v="2"/>
    <x v="1"/>
    <x v="25"/>
    <n v="2829.4000000000005"/>
    <n v="3290"/>
  </r>
  <r>
    <x v="3"/>
    <s v="Чорноморськ"/>
    <x v="8"/>
    <s v="Товари для дому"/>
    <s v="Серветки"/>
    <x v="2"/>
    <x v="1"/>
    <x v="25"/>
    <n v="1710.8"/>
    <n v="1820"/>
  </r>
  <r>
    <x v="4"/>
    <s v="Чугуїв"/>
    <x v="9"/>
    <s v="Товари для дому"/>
    <s v="Зубочистки"/>
    <x v="2"/>
    <x v="1"/>
    <x v="25"/>
    <n v="2012.9599999999998"/>
    <n v="2188"/>
  </r>
  <r>
    <x v="4"/>
    <s v="Чугуїв"/>
    <x v="9"/>
    <s v="Товари для дому"/>
    <s v="Одноразовий посуд"/>
    <x v="2"/>
    <x v="1"/>
    <x v="25"/>
    <n v="2031.5000000000002"/>
    <n v="2390"/>
  </r>
  <r>
    <x v="2"/>
    <s v="Біла Церква"/>
    <x v="7"/>
    <s v="Косметика"/>
    <s v="Шампунь"/>
    <x v="2"/>
    <x v="1"/>
    <x v="25"/>
    <n v="3598.2400000000007"/>
    <n v="4184"/>
  </r>
  <r>
    <x v="1"/>
    <s v="Бердянськ"/>
    <x v="6"/>
    <s v="Побутова хімія"/>
    <s v="Засіб для посудомийних машин"/>
    <x v="2"/>
    <x v="1"/>
    <x v="25"/>
    <n v="3849.2999999999997"/>
    <n v="4230"/>
  </r>
  <r>
    <x v="0"/>
    <s v="Житомир"/>
    <x v="0"/>
    <s v="Товари для дому"/>
    <s v="Одноразовий посуд"/>
    <x v="2"/>
    <x v="1"/>
    <x v="25"/>
    <n v="1314.09"/>
    <n v="1413"/>
  </r>
  <r>
    <x v="0"/>
    <s v="Житомир"/>
    <x v="0"/>
    <s v="Косметика"/>
    <s v="Шампунь"/>
    <x v="2"/>
    <x v="1"/>
    <x v="25"/>
    <n v="6030.9"/>
    <n v="6701"/>
  </r>
  <r>
    <x v="1"/>
    <s v="Запоріжжя"/>
    <x v="2"/>
    <s v="Косметика"/>
    <s v="Дезодорант"/>
    <x v="2"/>
    <x v="1"/>
    <x v="25"/>
    <n v="4512.6899999999996"/>
    <n v="4959"/>
  </r>
  <r>
    <x v="2"/>
    <s v="Ірпінь"/>
    <x v="10"/>
    <s v="Побутова хімія"/>
    <s v="Засіб для миття посуду"/>
    <x v="2"/>
    <x v="1"/>
    <x v="25"/>
    <n v="4343"/>
    <n v="5050"/>
  </r>
  <r>
    <x v="2"/>
    <s v="Ірпінь"/>
    <x v="10"/>
    <s v="Побутова хімія"/>
    <s v="Засіб для посудомийних машин"/>
    <x v="2"/>
    <x v="1"/>
    <x v="25"/>
    <n v="3427.0599999999995"/>
    <n v="3766"/>
  </r>
  <r>
    <x v="2"/>
    <s v="Київ"/>
    <x v="11"/>
    <s v="Побутова хімія"/>
    <s v="Засоби для догляду за меблями"/>
    <x v="2"/>
    <x v="1"/>
    <x v="25"/>
    <n v="3144.33"/>
    <n v="3381"/>
  </r>
  <r>
    <x v="2"/>
    <s v="Київ"/>
    <x v="11"/>
    <s v="Товари для дому"/>
    <s v="Серветки"/>
    <x v="2"/>
    <x v="1"/>
    <x v="25"/>
    <n v="1333.0000000000002"/>
    <n v="1550"/>
  </r>
  <r>
    <x v="2"/>
    <s v="Біла Церква"/>
    <x v="7"/>
    <s v="Товари для дому"/>
    <s v="Серветки"/>
    <x v="2"/>
    <x v="1"/>
    <x v="25"/>
    <n v="2371.0200000000004"/>
    <n v="2757"/>
  </r>
  <r>
    <x v="1"/>
    <s v="Бердянськ"/>
    <x v="6"/>
    <s v="Косметика"/>
    <s v="Мило"/>
    <x v="2"/>
    <x v="1"/>
    <x v="25"/>
    <n v="4045.8599999999997"/>
    <n v="4446"/>
  </r>
  <r>
    <x v="2"/>
    <s v="Бориспіль"/>
    <x v="3"/>
    <s v="Побутова хімія"/>
    <s v="Засіб для миття посуду"/>
    <x v="2"/>
    <x v="1"/>
    <x v="25"/>
    <n v="2972.5999999999995"/>
    <n v="3340"/>
  </r>
  <r>
    <x v="2"/>
    <s v="Бориспіль"/>
    <x v="3"/>
    <s v="Побутова хімія"/>
    <s v="Засіб для посудомийних машин"/>
    <x v="2"/>
    <x v="1"/>
    <x v="25"/>
    <n v="4464.8999999999996"/>
    <n v="4961"/>
  </r>
  <r>
    <x v="1"/>
    <s v="Запоріжжя"/>
    <x v="2"/>
    <s v="Товари для дому"/>
    <s v="Зубочистки"/>
    <x v="2"/>
    <x v="1"/>
    <x v="25"/>
    <n v="1309.8500000000001"/>
    <n v="1541"/>
  </r>
  <r>
    <x v="2"/>
    <s v="Ірпінь"/>
    <x v="10"/>
    <s v="Косметика"/>
    <s v="Шампунь"/>
    <x v="2"/>
    <x v="1"/>
    <x v="25"/>
    <n v="5282.1200000000008"/>
    <n v="6142"/>
  </r>
  <r>
    <x v="2"/>
    <s v="Ірпінь"/>
    <x v="10"/>
    <s v="Косметика"/>
    <s v="Дезодорант"/>
    <x v="2"/>
    <x v="1"/>
    <x v="25"/>
    <n v="5161.54"/>
    <n v="5491"/>
  </r>
  <r>
    <x v="2"/>
    <s v="Київ"/>
    <x v="11"/>
    <s v="Косметика"/>
    <s v="Мило"/>
    <x v="2"/>
    <x v="1"/>
    <x v="25"/>
    <n v="2867.2400000000002"/>
    <n v="3334"/>
  </r>
  <r>
    <x v="2"/>
    <s v="Київ"/>
    <x v="11"/>
    <s v="Побутова хімія"/>
    <s v="Засіб для миття посуду"/>
    <x v="2"/>
    <x v="1"/>
    <x v="25"/>
    <n v="3274.2799999999997"/>
    <n v="3559"/>
  </r>
  <r>
    <x v="3"/>
    <s v="Одеса"/>
    <x v="4"/>
    <s v="Побутова хімія"/>
    <s v="Засіб для посудомийних машин"/>
    <x v="2"/>
    <x v="1"/>
    <x v="25"/>
    <n v="3288.6400000000003"/>
    <n v="3824"/>
  </r>
  <r>
    <x v="3"/>
    <s v="Одеса"/>
    <x v="4"/>
    <s v="Побутова хімія"/>
    <s v="Засоби для догляду за меблями"/>
    <x v="2"/>
    <x v="1"/>
    <x v="25"/>
    <n v="3694.5999999999995"/>
    <n v="4060"/>
  </r>
  <r>
    <x v="4"/>
    <s v="Харків"/>
    <x v="5"/>
    <s v="Товари для дому"/>
    <s v="Серветки"/>
    <x v="2"/>
    <x v="1"/>
    <x v="25"/>
    <n v="1923.6799999999998"/>
    <n v="2186"/>
  </r>
  <r>
    <x v="3"/>
    <s v="Чорноморськ"/>
    <x v="8"/>
    <s v="Товари для дому"/>
    <s v="Одноразовий посуд"/>
    <x v="2"/>
    <x v="1"/>
    <x v="25"/>
    <n v="2560.3599999999997"/>
    <n v="2783"/>
  </r>
  <r>
    <x v="3"/>
    <s v="Чорноморськ"/>
    <x v="8"/>
    <s v="Косметика"/>
    <s v="Шампунь"/>
    <x v="2"/>
    <x v="1"/>
    <x v="25"/>
    <n v="5051.1999999999989"/>
    <n v="5740"/>
  </r>
  <r>
    <x v="4"/>
    <s v="Чугуїв"/>
    <x v="9"/>
    <s v="Косметика"/>
    <s v="Дезодорант"/>
    <x v="2"/>
    <x v="1"/>
    <x v="25"/>
    <n v="4945.8499999999995"/>
    <n v="5435"/>
  </r>
  <r>
    <x v="4"/>
    <s v="Чугуїв"/>
    <x v="9"/>
    <s v="Косметика"/>
    <s v="Мило"/>
    <x v="2"/>
    <x v="1"/>
    <x v="25"/>
    <n v="3554.14"/>
    <n v="3781"/>
  </r>
  <r>
    <x v="0"/>
    <s v="Бердичів"/>
    <x v="1"/>
    <s v="Побутова хімія"/>
    <s v="Засоби для догляду за меблями"/>
    <x v="2"/>
    <x v="1"/>
    <x v="25"/>
    <n v="3473.6699999999996"/>
    <n v="3903"/>
  </r>
  <r>
    <x v="0"/>
    <s v="Бердичів"/>
    <x v="1"/>
    <s v="Товари для дому"/>
    <s v="Серветки"/>
    <x v="2"/>
    <x v="1"/>
    <x v="25"/>
    <n v="2185.3500000000004"/>
    <n v="2571"/>
  </r>
  <r>
    <x v="1"/>
    <s v="Бердянськ"/>
    <x v="6"/>
    <s v="Товари для дому"/>
    <s v="Одноразовий посуд"/>
    <x v="2"/>
    <x v="1"/>
    <x v="25"/>
    <n v="2311.46"/>
    <n v="2459"/>
  </r>
  <r>
    <x v="2"/>
    <s v="Ірпінь"/>
    <x v="10"/>
    <s v="Косметика"/>
    <s v="Мило"/>
    <x v="2"/>
    <x v="1"/>
    <x v="25"/>
    <n v="2603.2499999999995"/>
    <n v="2925"/>
  </r>
  <r>
    <x v="2"/>
    <s v="Київ"/>
    <x v="11"/>
    <s v="Побутова хімія"/>
    <s v="Засіб для посудомийних машин"/>
    <x v="2"/>
    <x v="1"/>
    <x v="25"/>
    <n v="3763.8"/>
    <n v="4428"/>
  </r>
  <r>
    <x v="2"/>
    <s v="Біла Церква"/>
    <x v="7"/>
    <s v="Побутова хімія"/>
    <s v="Засоби для догляду за меблями"/>
    <x v="2"/>
    <x v="1"/>
    <x v="25"/>
    <n v="2799.3199999999997"/>
    <n v="2978"/>
  </r>
  <r>
    <x v="2"/>
    <s v="Бориспіль"/>
    <x v="3"/>
    <s v="Косметика"/>
    <s v="Мило"/>
    <x v="2"/>
    <x v="1"/>
    <x v="25"/>
    <n v="3875.6899999999996"/>
    <n v="4259"/>
  </r>
  <r>
    <x v="2"/>
    <s v="Ірпінь"/>
    <x v="10"/>
    <s v="Товари для дому"/>
    <s v="Одноразовий посуд"/>
    <x v="2"/>
    <x v="1"/>
    <x v="25"/>
    <n v="1179.7200000000003"/>
    <n v="1356"/>
  </r>
  <r>
    <x v="2"/>
    <s v="Київ"/>
    <x v="11"/>
    <s v="Косметика"/>
    <s v="Дезодорант"/>
    <x v="2"/>
    <x v="1"/>
    <x v="25"/>
    <n v="4028.8399999999997"/>
    <n v="4286"/>
  </r>
  <r>
    <x v="3"/>
    <s v="Одеса"/>
    <x v="4"/>
    <s v="Побутова хімія"/>
    <s v="Засіб для миття посуду"/>
    <x v="2"/>
    <x v="1"/>
    <x v="25"/>
    <n v="3503.3799999999997"/>
    <n v="3727"/>
  </r>
  <r>
    <x v="4"/>
    <s v="Харків"/>
    <x v="5"/>
    <s v="Побутова хімія"/>
    <s v="Засоби для догляду за меблями"/>
    <x v="2"/>
    <x v="1"/>
    <x v="25"/>
    <n v="3427.2000000000003"/>
    <n v="4032"/>
  </r>
  <r>
    <x v="3"/>
    <s v="Чорноморськ"/>
    <x v="8"/>
    <s v="Товари для дому"/>
    <s v="Зубочистки"/>
    <x v="2"/>
    <x v="1"/>
    <x v="25"/>
    <n v="1864.7999999999997"/>
    <n v="2072"/>
  </r>
  <r>
    <x v="4"/>
    <s v="Чугуїв"/>
    <x v="9"/>
    <s v="Косметика"/>
    <s v="Шампунь"/>
    <x v="2"/>
    <x v="1"/>
    <x v="25"/>
    <n v="4568.3999999999996"/>
    <n v="4860"/>
  </r>
  <r>
    <x v="2"/>
    <s v="Ірпінь"/>
    <x v="10"/>
    <s v="Побутова хімія"/>
    <s v="Засоби для догляду за меблями"/>
    <x v="2"/>
    <x v="1"/>
    <x v="25"/>
    <n v="3693.9599999999996"/>
    <n v="3972"/>
  </r>
  <r>
    <x v="2"/>
    <s v="Київ"/>
    <x v="11"/>
    <s v="Товари для дому"/>
    <s v="Зубочистки"/>
    <x v="2"/>
    <x v="1"/>
    <x v="25"/>
    <n v="2556.08"/>
    <n v="2872"/>
  </r>
  <r>
    <x v="0"/>
    <s v="Житомир"/>
    <x v="0"/>
    <s v="Товари для дому"/>
    <s v="Зубочистки"/>
    <x v="2"/>
    <x v="2"/>
    <x v="26"/>
    <n v="2023.0000000000002"/>
    <n v="2380"/>
  </r>
  <r>
    <x v="0"/>
    <s v="Бердичів"/>
    <x v="1"/>
    <s v="Товари для дому"/>
    <s v="Зубочистки"/>
    <x v="2"/>
    <x v="2"/>
    <x v="26"/>
    <n v="1945.6799999999998"/>
    <n v="2211"/>
  </r>
  <r>
    <x v="0"/>
    <s v="Бердичів"/>
    <x v="1"/>
    <s v="Косметика"/>
    <s v="Дезодорант"/>
    <x v="2"/>
    <x v="2"/>
    <x v="26"/>
    <n v="3567.8700000000003"/>
    <n v="4101"/>
  </r>
  <r>
    <x v="0"/>
    <s v="Житомир"/>
    <x v="0"/>
    <s v="Косметика"/>
    <s v="Дезодорант"/>
    <x v="2"/>
    <x v="2"/>
    <x v="26"/>
    <n v="4604.16"/>
    <n v="5232"/>
  </r>
  <r>
    <x v="0"/>
    <s v="Житомир"/>
    <x v="0"/>
    <s v="Побутова хімія"/>
    <s v="Засіб для миття посуду"/>
    <x v="2"/>
    <x v="2"/>
    <x v="26"/>
    <n v="3747.3799999999997"/>
    <n v="4118"/>
  </r>
  <r>
    <x v="1"/>
    <s v="Запоріжжя"/>
    <x v="2"/>
    <s v="Побутова хімія"/>
    <s v="Засіб для посудомийних машин"/>
    <x v="2"/>
    <x v="2"/>
    <x v="26"/>
    <n v="3978.3600000000006"/>
    <n v="4626"/>
  </r>
  <r>
    <x v="2"/>
    <s v="Бориспіль"/>
    <x v="3"/>
    <s v="Побутова хімія"/>
    <s v="Засоби для догляду за меблями"/>
    <x v="2"/>
    <x v="2"/>
    <x v="26"/>
    <n v="2713.7799999999997"/>
    <n v="2887"/>
  </r>
  <r>
    <x v="3"/>
    <s v="Одеса"/>
    <x v="4"/>
    <s v="Товари для дому"/>
    <s v="Серветки"/>
    <x v="2"/>
    <x v="2"/>
    <x v="26"/>
    <n v="2476.3199999999997"/>
    <n v="2814"/>
  </r>
  <r>
    <x v="4"/>
    <s v="Харків"/>
    <x v="5"/>
    <s v="Товари для дому"/>
    <s v="Зубочистки"/>
    <x v="2"/>
    <x v="2"/>
    <x v="26"/>
    <n v="2066.3999999999996"/>
    <n v="2296"/>
  </r>
  <r>
    <x v="0"/>
    <s v="Бердичів"/>
    <x v="1"/>
    <s v="Товари для дому"/>
    <s v="Одноразовий посуд"/>
    <x v="2"/>
    <x v="2"/>
    <x v="26"/>
    <n v="2327.79"/>
    <n v="2503"/>
  </r>
  <r>
    <x v="1"/>
    <s v="Бердянськ"/>
    <x v="6"/>
    <s v="Косметика"/>
    <s v="Шампунь"/>
    <x v="2"/>
    <x v="2"/>
    <x v="26"/>
    <n v="5550.5000000000009"/>
    <n v="6530"/>
  </r>
  <r>
    <x v="2"/>
    <s v="Біла Церква"/>
    <x v="7"/>
    <s v="Косметика"/>
    <s v="Дезодорант"/>
    <x v="2"/>
    <x v="2"/>
    <x v="26"/>
    <n v="2914.2"/>
    <n v="3238"/>
  </r>
  <r>
    <x v="3"/>
    <s v="Чорноморськ"/>
    <x v="8"/>
    <s v="Косметика"/>
    <s v="Мило"/>
    <x v="2"/>
    <x v="2"/>
    <x v="26"/>
    <n v="3538.99"/>
    <n v="3889"/>
  </r>
  <r>
    <x v="4"/>
    <s v="Чугуїв"/>
    <x v="9"/>
    <s v="Побутова хімія"/>
    <s v="Засіб для миття посуду"/>
    <x v="2"/>
    <x v="2"/>
    <x v="26"/>
    <n v="4217.7099999999991"/>
    <n v="4739"/>
  </r>
  <r>
    <x v="0"/>
    <s v="Житомир"/>
    <x v="0"/>
    <s v="Побутова хімія"/>
    <s v="Засіб для посудомийних машин"/>
    <x v="2"/>
    <x v="2"/>
    <x v="26"/>
    <n v="5178.46"/>
    <n v="5509"/>
  </r>
  <r>
    <x v="1"/>
    <s v="Запоріжжя"/>
    <x v="2"/>
    <s v="Побутова хімія"/>
    <s v="Засоби для догляду за меблями"/>
    <x v="2"/>
    <x v="2"/>
    <x v="26"/>
    <n v="3282.2999999999997"/>
    <n v="3647"/>
  </r>
  <r>
    <x v="2"/>
    <s v="Бориспіль"/>
    <x v="3"/>
    <s v="Товари для дому"/>
    <s v="Серветки"/>
    <x v="2"/>
    <x v="2"/>
    <x v="26"/>
    <n v="1473.84"/>
    <n v="1602"/>
  </r>
  <r>
    <x v="3"/>
    <s v="Одеса"/>
    <x v="4"/>
    <s v="Товари для дому"/>
    <s v="Зубочистки"/>
    <x v="2"/>
    <x v="2"/>
    <x v="26"/>
    <n v="1739"/>
    <n v="1850"/>
  </r>
  <r>
    <x v="4"/>
    <s v="Харків"/>
    <x v="5"/>
    <s v="Товари для дому"/>
    <s v="Одноразовий посуд"/>
    <x v="2"/>
    <x v="2"/>
    <x v="26"/>
    <n v="1263.95"/>
    <n v="1487"/>
  </r>
  <r>
    <x v="0"/>
    <s v="Бердичів"/>
    <x v="1"/>
    <s v="Косметика"/>
    <s v="Шампунь"/>
    <x v="2"/>
    <x v="2"/>
    <x v="26"/>
    <n v="3645.3"/>
    <n v="4190"/>
  </r>
  <r>
    <x v="1"/>
    <s v="Бердянськ"/>
    <x v="6"/>
    <s v="Косметика"/>
    <s v="Дезодорант"/>
    <x v="2"/>
    <x v="2"/>
    <x v="26"/>
    <n v="3005.6000000000004"/>
    <n v="3536"/>
  </r>
  <r>
    <x v="2"/>
    <s v="Біла Церква"/>
    <x v="7"/>
    <s v="Косметика"/>
    <s v="Мило"/>
    <x v="2"/>
    <x v="2"/>
    <x v="26"/>
    <n v="3529.4400000000005"/>
    <n v="4104"/>
  </r>
  <r>
    <x v="3"/>
    <s v="Чорноморськ"/>
    <x v="8"/>
    <s v="Побутова хімія"/>
    <s v="Засіб для миття посуду"/>
    <x v="2"/>
    <x v="2"/>
    <x v="26"/>
    <n v="3005.7599999999998"/>
    <n v="3232"/>
  </r>
  <r>
    <x v="4"/>
    <s v="Чугуїв"/>
    <x v="9"/>
    <s v="Побутова хімія"/>
    <s v="Засіб для посудомийних машин"/>
    <x v="2"/>
    <x v="2"/>
    <x v="26"/>
    <n v="3314.4399999999996"/>
    <n v="3526"/>
  </r>
  <r>
    <x v="0"/>
    <s v="Житомир"/>
    <x v="0"/>
    <s v="Побутова хімія"/>
    <s v="Засоби для догляду за меблями"/>
    <x v="2"/>
    <x v="2"/>
    <x v="26"/>
    <n v="3183.7200000000003"/>
    <n v="3702"/>
  </r>
  <r>
    <x v="1"/>
    <s v="Запоріжжя"/>
    <x v="2"/>
    <s v="Товари для дому"/>
    <s v="Серветки"/>
    <x v="2"/>
    <x v="2"/>
    <x v="26"/>
    <n v="2710.89"/>
    <n v="2979"/>
  </r>
  <r>
    <x v="2"/>
    <s v="Бориспіль"/>
    <x v="3"/>
    <s v="Товари для дому"/>
    <s v="Зубочистки"/>
    <x v="2"/>
    <x v="2"/>
    <x v="26"/>
    <n v="2884.4400000000005"/>
    <n v="3354"/>
  </r>
  <r>
    <x v="3"/>
    <s v="Одеса"/>
    <x v="4"/>
    <s v="Товари для дому"/>
    <s v="Одноразовий посуд"/>
    <x v="2"/>
    <x v="2"/>
    <x v="26"/>
    <n v="1256.6799999999998"/>
    <n v="1412"/>
  </r>
  <r>
    <x v="4"/>
    <s v="Харків"/>
    <x v="5"/>
    <s v="Косметика"/>
    <s v="Шампунь"/>
    <x v="2"/>
    <x v="2"/>
    <x v="26"/>
    <n v="4954.6500000000005"/>
    <n v="5695"/>
  </r>
  <r>
    <x v="1"/>
    <s v="Запоріжжя"/>
    <x v="2"/>
    <s v="Косметика"/>
    <s v="Мило"/>
    <x v="2"/>
    <x v="2"/>
    <x v="26"/>
    <n v="3167.9500000000003"/>
    <n v="3727"/>
  </r>
  <r>
    <x v="2"/>
    <s v="Біла Церква"/>
    <x v="7"/>
    <s v="Побутова хімія"/>
    <s v="Засіб для миття посуду"/>
    <x v="2"/>
    <x v="2"/>
    <x v="26"/>
    <n v="3899.49"/>
    <n v="4193"/>
  </r>
  <r>
    <x v="3"/>
    <s v="Чорноморськ"/>
    <x v="8"/>
    <s v="Побутова хімія"/>
    <s v="Засіб для посудомийних машин"/>
    <x v="2"/>
    <x v="2"/>
    <x v="26"/>
    <n v="4132.7000000000007"/>
    <n v="4862"/>
  </r>
  <r>
    <x v="4"/>
    <s v="Чугуїв"/>
    <x v="9"/>
    <s v="Побутова хімія"/>
    <s v="Засоби для догляду за меблями"/>
    <x v="2"/>
    <x v="2"/>
    <x v="26"/>
    <n v="3392.0999999999995"/>
    <n v="3769"/>
  </r>
  <r>
    <x v="0"/>
    <s v="Житомир"/>
    <x v="0"/>
    <s v="Товари для дому"/>
    <s v="Серветки"/>
    <x v="2"/>
    <x v="2"/>
    <x v="26"/>
    <n v="2111.3999999999996"/>
    <n v="2346"/>
  </r>
  <r>
    <x v="1"/>
    <s v="Бердянськ"/>
    <x v="6"/>
    <s v="Товари для дому"/>
    <s v="Зубочистки"/>
    <x v="2"/>
    <x v="2"/>
    <x v="26"/>
    <n v="1575.2999999999997"/>
    <n v="1770"/>
  </r>
  <r>
    <x v="2"/>
    <s v="Бориспіль"/>
    <x v="3"/>
    <s v="Товари для дому"/>
    <s v="Одноразовий посуд"/>
    <x v="2"/>
    <x v="2"/>
    <x v="26"/>
    <n v="1886.7199999999998"/>
    <n v="2144"/>
  </r>
  <r>
    <x v="3"/>
    <s v="Одеса"/>
    <x v="4"/>
    <s v="Косметика"/>
    <s v="Шампунь"/>
    <x v="2"/>
    <x v="2"/>
    <x v="26"/>
    <n v="5701.3399999999992"/>
    <n v="6406"/>
  </r>
  <r>
    <x v="4"/>
    <s v="Харків"/>
    <x v="5"/>
    <s v="Косметика"/>
    <s v="Дезодорант"/>
    <x v="2"/>
    <x v="2"/>
    <x v="26"/>
    <n v="3138.75"/>
    <n v="3375"/>
  </r>
  <r>
    <x v="0"/>
    <s v="Бердичів"/>
    <x v="1"/>
    <s v="Косметика"/>
    <s v="Мило"/>
    <x v="2"/>
    <x v="2"/>
    <x v="26"/>
    <n v="2947.2200000000003"/>
    <n v="3427"/>
  </r>
  <r>
    <x v="1"/>
    <s v="Запоріжжя"/>
    <x v="2"/>
    <s v="Побутова хімія"/>
    <s v="Засіб для миття посуду"/>
    <x v="2"/>
    <x v="2"/>
    <x v="26"/>
    <n v="3790.8800000000006"/>
    <n v="4408"/>
  </r>
  <r>
    <x v="2"/>
    <s v="Біла Церква"/>
    <x v="7"/>
    <s v="Побутова хімія"/>
    <s v="Засіб для посудомийних машин"/>
    <x v="2"/>
    <x v="2"/>
    <x v="26"/>
    <n v="2492.2800000000002"/>
    <n v="2898"/>
  </r>
  <r>
    <x v="3"/>
    <s v="Чорноморськ"/>
    <x v="8"/>
    <s v="Побутова хімія"/>
    <s v="Засоби для догляду за меблями"/>
    <x v="2"/>
    <x v="2"/>
    <x v="26"/>
    <n v="2987.16"/>
    <n v="3212"/>
  </r>
  <r>
    <x v="4"/>
    <s v="Чугуїв"/>
    <x v="9"/>
    <s v="Товари для дому"/>
    <s v="Серветки"/>
    <x v="2"/>
    <x v="2"/>
    <x v="26"/>
    <n v="2496.64"/>
    <n v="2656"/>
  </r>
  <r>
    <x v="1"/>
    <s v="Запоріжжя"/>
    <x v="2"/>
    <s v="Товари для дому"/>
    <s v="Одноразовий посуд"/>
    <x v="2"/>
    <x v="2"/>
    <x v="26"/>
    <n v="1806.1200000000003"/>
    <n v="2076"/>
  </r>
  <r>
    <x v="2"/>
    <s v="Бориспіль"/>
    <x v="3"/>
    <s v="Косметика"/>
    <s v="Шампунь"/>
    <x v="2"/>
    <x v="2"/>
    <x v="26"/>
    <n v="5575.4999999999991"/>
    <n v="6195"/>
  </r>
  <r>
    <x v="3"/>
    <s v="Чорноморськ"/>
    <x v="8"/>
    <s v="Косметика"/>
    <s v="Дезодорант"/>
    <x v="2"/>
    <x v="2"/>
    <x v="26"/>
    <n v="3028.9200000000005"/>
    <n v="3522"/>
  </r>
  <r>
    <x v="4"/>
    <s v="Харків"/>
    <x v="5"/>
    <s v="Косметика"/>
    <s v="Мило"/>
    <x v="2"/>
    <x v="2"/>
    <x v="26"/>
    <n v="2432.7199999999998"/>
    <n v="2588"/>
  </r>
  <r>
    <x v="0"/>
    <s v="Бердичів"/>
    <x v="1"/>
    <s v="Побутова хімія"/>
    <s v="Засіб для миття посуду"/>
    <x v="2"/>
    <x v="2"/>
    <x v="26"/>
    <n v="3069.12"/>
    <n v="3336"/>
  </r>
  <r>
    <x v="0"/>
    <s v="Бердичів"/>
    <x v="1"/>
    <s v="Побутова хімія"/>
    <s v="Засіб для посудомийних машин"/>
    <x v="2"/>
    <x v="2"/>
    <x v="26"/>
    <n v="3735.7500000000005"/>
    <n v="4395"/>
  </r>
  <r>
    <x v="1"/>
    <s v="Бердянськ"/>
    <x v="6"/>
    <s v="Побутова хімія"/>
    <s v="Засоби для догляду за меблями"/>
    <x v="2"/>
    <x v="2"/>
    <x v="26"/>
    <n v="3151"/>
    <n v="3425"/>
  </r>
  <r>
    <x v="1"/>
    <s v="Бердянськ"/>
    <x v="6"/>
    <s v="Товари для дому"/>
    <s v="Серветки"/>
    <x v="2"/>
    <x v="2"/>
    <x v="26"/>
    <n v="1304.6200000000001"/>
    <n v="1517"/>
  </r>
  <r>
    <x v="2"/>
    <s v="Біла Церква"/>
    <x v="7"/>
    <s v="Товари для дому"/>
    <s v="Зубочистки"/>
    <x v="2"/>
    <x v="2"/>
    <x v="26"/>
    <n v="2351.8799999999997"/>
    <n v="2502"/>
  </r>
  <r>
    <x v="2"/>
    <s v="Біла Церква"/>
    <x v="7"/>
    <s v="Товари для дому"/>
    <s v="Одноразовий посуд"/>
    <x v="2"/>
    <x v="2"/>
    <x v="26"/>
    <n v="2068.9"/>
    <n v="2434"/>
  </r>
  <r>
    <x v="2"/>
    <s v="Бориспіль"/>
    <x v="3"/>
    <s v="Косметика"/>
    <s v="Дезодорант"/>
    <x v="2"/>
    <x v="2"/>
    <x v="26"/>
    <n v="3796.9000000000005"/>
    <n v="4415"/>
  </r>
  <r>
    <x v="0"/>
    <s v="Житомир"/>
    <x v="0"/>
    <s v="Косметика"/>
    <s v="Мило"/>
    <x v="2"/>
    <x v="2"/>
    <x v="26"/>
    <n v="3407.3200000000006"/>
    <n v="3962"/>
  </r>
  <r>
    <x v="2"/>
    <s v="Ірпінь"/>
    <x v="10"/>
    <s v="Товари для дому"/>
    <s v="Серветки"/>
    <x v="2"/>
    <x v="2"/>
    <x v="26"/>
    <n v="2634.8199999999997"/>
    <n v="2803"/>
  </r>
  <r>
    <x v="2"/>
    <s v="Ірпінь"/>
    <x v="10"/>
    <s v="Товари для дому"/>
    <s v="Зубочистки"/>
    <x v="2"/>
    <x v="2"/>
    <x v="26"/>
    <n v="2018.1799999999998"/>
    <n v="2147"/>
  </r>
  <r>
    <x v="2"/>
    <s v="Київ"/>
    <x v="11"/>
    <s v="Товари для дому"/>
    <s v="Одноразовий посуд"/>
    <x v="2"/>
    <x v="2"/>
    <x v="26"/>
    <n v="1772.9999999999998"/>
    <n v="1970"/>
  </r>
  <r>
    <x v="2"/>
    <s v="Київ"/>
    <x v="11"/>
    <s v="Косметика"/>
    <s v="Шампунь"/>
    <x v="2"/>
    <x v="2"/>
    <x v="26"/>
    <n v="5346.23"/>
    <n v="6007"/>
  </r>
  <r>
    <x v="3"/>
    <s v="Одеса"/>
    <x v="4"/>
    <s v="Косметика"/>
    <s v="Дезодорант"/>
    <x v="2"/>
    <x v="2"/>
    <x v="26"/>
    <n v="4173.2999999999993"/>
    <n v="4637"/>
  </r>
  <r>
    <x v="3"/>
    <s v="Одеса"/>
    <x v="4"/>
    <s v="Косметика"/>
    <s v="Мило"/>
    <x v="2"/>
    <x v="2"/>
    <x v="26"/>
    <n v="4195.2299999999996"/>
    <n v="4511"/>
  </r>
  <r>
    <x v="4"/>
    <s v="Харків"/>
    <x v="5"/>
    <s v="Побутова хімія"/>
    <s v="Засіб для миття посуду"/>
    <x v="2"/>
    <x v="2"/>
    <x v="26"/>
    <n v="3600.87"/>
    <n v="3957"/>
  </r>
  <r>
    <x v="4"/>
    <s v="Харків"/>
    <x v="5"/>
    <s v="Побутова хімія"/>
    <s v="Засіб для посудомийних машин"/>
    <x v="2"/>
    <x v="2"/>
    <x v="26"/>
    <n v="4475.8099999999995"/>
    <n v="5029"/>
  </r>
  <r>
    <x v="3"/>
    <s v="Чорноморськ"/>
    <x v="8"/>
    <s v="Товари для дому"/>
    <s v="Серветки"/>
    <x v="2"/>
    <x v="2"/>
    <x v="26"/>
    <n v="2502.2799999999997"/>
    <n v="2662"/>
  </r>
  <r>
    <x v="4"/>
    <s v="Чугуїв"/>
    <x v="9"/>
    <s v="Товари для дому"/>
    <s v="Зубочистки"/>
    <x v="2"/>
    <x v="2"/>
    <x v="26"/>
    <n v="2714.72"/>
    <n v="2888"/>
  </r>
  <r>
    <x v="4"/>
    <s v="Чугуїв"/>
    <x v="9"/>
    <s v="Товари для дому"/>
    <s v="Одноразовий посуд"/>
    <x v="2"/>
    <x v="2"/>
    <x v="26"/>
    <n v="2396.6099999999997"/>
    <n v="2577"/>
  </r>
  <r>
    <x v="2"/>
    <s v="Біла Церква"/>
    <x v="7"/>
    <s v="Косметика"/>
    <s v="Шампунь"/>
    <x v="2"/>
    <x v="2"/>
    <x v="26"/>
    <n v="5423.66"/>
    <n v="6094"/>
  </r>
  <r>
    <x v="1"/>
    <s v="Бердянськ"/>
    <x v="6"/>
    <s v="Побутова хімія"/>
    <s v="Засіб для посудомийних машин"/>
    <x v="2"/>
    <x v="2"/>
    <x v="26"/>
    <n v="3552.6600000000003"/>
    <n v="4131"/>
  </r>
  <r>
    <x v="0"/>
    <s v="Житомир"/>
    <x v="0"/>
    <s v="Товари для дому"/>
    <s v="Одноразовий посуд"/>
    <x v="2"/>
    <x v="2"/>
    <x v="26"/>
    <n v="2081.04"/>
    <n v="2262"/>
  </r>
  <r>
    <x v="0"/>
    <s v="Житомир"/>
    <x v="0"/>
    <s v="Косметика"/>
    <s v="Шампунь"/>
    <x v="2"/>
    <x v="2"/>
    <x v="26"/>
    <n v="4237.08"/>
    <n v="4556"/>
  </r>
  <r>
    <x v="1"/>
    <s v="Запоріжжя"/>
    <x v="2"/>
    <s v="Косметика"/>
    <s v="Дезодорант"/>
    <x v="2"/>
    <x v="2"/>
    <x v="26"/>
    <n v="4971.33"/>
    <n v="5463"/>
  </r>
  <r>
    <x v="2"/>
    <s v="Ірпінь"/>
    <x v="10"/>
    <s v="Побутова хімія"/>
    <s v="Засіб для миття посуду"/>
    <x v="2"/>
    <x v="2"/>
    <x v="26"/>
    <n v="4018.5599999999995"/>
    <n v="4416"/>
  </r>
  <r>
    <x v="2"/>
    <s v="Ірпінь"/>
    <x v="10"/>
    <s v="Побутова хімія"/>
    <s v="Засіб для посудомийних машин"/>
    <x v="2"/>
    <x v="2"/>
    <x v="26"/>
    <n v="4869.0399999999991"/>
    <n v="5533"/>
  </r>
  <r>
    <x v="2"/>
    <s v="Київ"/>
    <x v="11"/>
    <s v="Побутова хімія"/>
    <s v="Засоби для догляду за меблями"/>
    <x v="2"/>
    <x v="2"/>
    <x v="26"/>
    <n v="2789.1499999999996"/>
    <n v="3065"/>
  </r>
  <r>
    <x v="2"/>
    <s v="Київ"/>
    <x v="11"/>
    <s v="Товари для дому"/>
    <s v="Серветки"/>
    <x v="2"/>
    <x v="2"/>
    <x v="26"/>
    <n v="2009.2799999999997"/>
    <n v="2184"/>
  </r>
  <r>
    <x v="2"/>
    <s v="Біла Церква"/>
    <x v="7"/>
    <s v="Товари для дому"/>
    <s v="Серветки"/>
    <x v="2"/>
    <x v="2"/>
    <x v="26"/>
    <n v="2293.3000000000002"/>
    <n v="2698"/>
  </r>
  <r>
    <x v="1"/>
    <s v="Бердянськ"/>
    <x v="6"/>
    <s v="Косметика"/>
    <s v="Мило"/>
    <x v="2"/>
    <x v="2"/>
    <x v="26"/>
    <n v="1879.6799999999998"/>
    <n v="2112"/>
  </r>
  <r>
    <x v="2"/>
    <s v="Бориспіль"/>
    <x v="3"/>
    <s v="Побутова хімія"/>
    <s v="Засіб для миття посуду"/>
    <x v="2"/>
    <x v="2"/>
    <x v="26"/>
    <n v="4158.9699999999993"/>
    <n v="4673"/>
  </r>
  <r>
    <x v="2"/>
    <s v="Бориспіль"/>
    <x v="3"/>
    <s v="Побутова хімія"/>
    <s v="Засіб для посудомийних машин"/>
    <x v="2"/>
    <x v="2"/>
    <x v="26"/>
    <n v="3909.5600000000004"/>
    <n v="4546"/>
  </r>
  <r>
    <x v="1"/>
    <s v="Запоріжжя"/>
    <x v="2"/>
    <s v="Товари для дому"/>
    <s v="Зубочистки"/>
    <x v="2"/>
    <x v="2"/>
    <x v="26"/>
    <n v="1389.39"/>
    <n v="1597"/>
  </r>
  <r>
    <x v="2"/>
    <s v="Ірпінь"/>
    <x v="10"/>
    <s v="Косметика"/>
    <s v="Шампунь"/>
    <x v="2"/>
    <x v="2"/>
    <x v="26"/>
    <n v="6050.78"/>
    <n v="6437"/>
  </r>
  <r>
    <x v="2"/>
    <s v="Ірпінь"/>
    <x v="10"/>
    <s v="Косметика"/>
    <s v="Дезодорант"/>
    <x v="2"/>
    <x v="2"/>
    <x v="26"/>
    <n v="2614.8199999999997"/>
    <n v="2938"/>
  </r>
  <r>
    <x v="2"/>
    <s v="Київ"/>
    <x v="11"/>
    <s v="Косметика"/>
    <s v="Мило"/>
    <x v="2"/>
    <x v="2"/>
    <x v="26"/>
    <n v="2151.8799999999997"/>
    <n v="2339"/>
  </r>
  <r>
    <x v="2"/>
    <s v="Київ"/>
    <x v="11"/>
    <s v="Побутова хімія"/>
    <s v="Засіб для миття посуду"/>
    <x v="2"/>
    <x v="2"/>
    <x v="26"/>
    <n v="2913.68"/>
    <n v="3311"/>
  </r>
  <r>
    <x v="3"/>
    <s v="Одеса"/>
    <x v="4"/>
    <s v="Побутова хімія"/>
    <s v="Засіб для посудомийних машин"/>
    <x v="2"/>
    <x v="2"/>
    <x v="26"/>
    <n v="4001.4399999999996"/>
    <n v="4496"/>
  </r>
  <r>
    <x v="3"/>
    <s v="Одеса"/>
    <x v="4"/>
    <s v="Побутова хімія"/>
    <s v="Засоби для догляду за меблями"/>
    <x v="2"/>
    <x v="2"/>
    <x v="26"/>
    <n v="3335.12"/>
    <n v="3548"/>
  </r>
  <r>
    <x v="4"/>
    <s v="Харків"/>
    <x v="5"/>
    <s v="Товари для дому"/>
    <s v="Серветки"/>
    <x v="2"/>
    <x v="2"/>
    <x v="26"/>
    <n v="1887.6"/>
    <n v="2145"/>
  </r>
  <r>
    <x v="3"/>
    <s v="Чорноморськ"/>
    <x v="8"/>
    <s v="Товари для дому"/>
    <s v="Одноразовий посуд"/>
    <x v="2"/>
    <x v="2"/>
    <x v="26"/>
    <n v="1636.2500000000002"/>
    <n v="1925"/>
  </r>
  <r>
    <x v="3"/>
    <s v="Чорноморськ"/>
    <x v="8"/>
    <s v="Косметика"/>
    <s v="Шампунь"/>
    <x v="2"/>
    <x v="2"/>
    <x v="26"/>
    <n v="3591.2500000000005"/>
    <n v="4225"/>
  </r>
  <r>
    <x v="4"/>
    <s v="Чугуїв"/>
    <x v="9"/>
    <s v="Косметика"/>
    <s v="Дезодорант"/>
    <x v="2"/>
    <x v="2"/>
    <x v="26"/>
    <n v="2930.2"/>
    <n v="3220"/>
  </r>
  <r>
    <x v="4"/>
    <s v="Чугуїв"/>
    <x v="9"/>
    <s v="Косметика"/>
    <s v="Мило"/>
    <x v="2"/>
    <x v="2"/>
    <x v="26"/>
    <n v="2227.5"/>
    <n v="2475"/>
  </r>
  <r>
    <x v="0"/>
    <s v="Бердичів"/>
    <x v="1"/>
    <s v="Побутова хімія"/>
    <s v="Засоби для догляду за меблями"/>
    <x v="2"/>
    <x v="2"/>
    <x v="26"/>
    <n v="2823.7599999999998"/>
    <n v="3004"/>
  </r>
  <r>
    <x v="0"/>
    <s v="Бердичів"/>
    <x v="1"/>
    <s v="Товари для дому"/>
    <s v="Серветки"/>
    <x v="2"/>
    <x v="2"/>
    <x v="26"/>
    <n v="1890.0699999999997"/>
    <n v="2077"/>
  </r>
  <r>
    <x v="1"/>
    <s v="Бердянськ"/>
    <x v="6"/>
    <s v="Товари для дому"/>
    <s v="Одноразовий посуд"/>
    <x v="2"/>
    <x v="2"/>
    <x v="26"/>
    <n v="2621.08"/>
    <n v="2849"/>
  </r>
  <r>
    <x v="2"/>
    <s v="Ірпінь"/>
    <x v="10"/>
    <s v="Косметика"/>
    <s v="Мило"/>
    <x v="2"/>
    <x v="2"/>
    <x v="26"/>
    <n v="3252.0600000000004"/>
    <n v="3738"/>
  </r>
  <r>
    <x v="2"/>
    <s v="Київ"/>
    <x v="11"/>
    <s v="Побутова хімія"/>
    <s v="Засіб для посудомийних машин"/>
    <x v="2"/>
    <x v="2"/>
    <x v="26"/>
    <n v="2749.08"/>
    <n v="2956"/>
  </r>
  <r>
    <x v="2"/>
    <s v="Біла Церква"/>
    <x v="7"/>
    <s v="Побутова хімія"/>
    <s v="Засоби для догляду за меблями"/>
    <x v="2"/>
    <x v="2"/>
    <x v="26"/>
    <n v="2625.35"/>
    <n v="2885"/>
  </r>
  <r>
    <x v="2"/>
    <s v="Бориспіль"/>
    <x v="3"/>
    <s v="Косметика"/>
    <s v="Мило"/>
    <x v="2"/>
    <x v="2"/>
    <x v="26"/>
    <n v="4390.2"/>
    <n v="4878"/>
  </r>
  <r>
    <x v="2"/>
    <s v="Ірпінь"/>
    <x v="10"/>
    <s v="Товари для дому"/>
    <s v="Одноразовий посуд"/>
    <x v="2"/>
    <x v="2"/>
    <x v="26"/>
    <n v="1352.2599999999998"/>
    <n v="1486"/>
  </r>
  <r>
    <x v="2"/>
    <s v="Київ"/>
    <x v="11"/>
    <s v="Косметика"/>
    <s v="Дезодорант"/>
    <x v="2"/>
    <x v="2"/>
    <x v="26"/>
    <n v="3946.2599999999998"/>
    <n v="4434"/>
  </r>
  <r>
    <x v="3"/>
    <s v="Одеса"/>
    <x v="4"/>
    <s v="Побутова хімія"/>
    <s v="Засіб для миття посуду"/>
    <x v="2"/>
    <x v="2"/>
    <x v="26"/>
    <n v="3940.2999999999997"/>
    <n v="4330"/>
  </r>
  <r>
    <x v="4"/>
    <s v="Харків"/>
    <x v="5"/>
    <s v="Побутова хімія"/>
    <s v="Засоби для догляду за меблями"/>
    <x v="2"/>
    <x v="2"/>
    <x v="26"/>
    <n v="3531.2099999999996"/>
    <n v="3797"/>
  </r>
  <r>
    <x v="3"/>
    <s v="Чорноморськ"/>
    <x v="8"/>
    <s v="Товари для дому"/>
    <s v="Зубочистки"/>
    <x v="2"/>
    <x v="2"/>
    <x v="26"/>
    <n v="1677.7199999999998"/>
    <n v="1804"/>
  </r>
  <r>
    <x v="4"/>
    <s v="Чугуїв"/>
    <x v="9"/>
    <s v="Косметика"/>
    <s v="Шампунь"/>
    <x v="2"/>
    <x v="2"/>
    <x v="26"/>
    <n v="4495.12"/>
    <n v="4886"/>
  </r>
  <r>
    <x v="2"/>
    <s v="Ірпінь"/>
    <x v="10"/>
    <s v="Побутова хімія"/>
    <s v="Засоби для догляду за меблями"/>
    <x v="2"/>
    <x v="2"/>
    <x v="26"/>
    <n v="2668.12"/>
    <n v="2932"/>
  </r>
  <r>
    <x v="2"/>
    <s v="Київ"/>
    <x v="11"/>
    <s v="Товари для дому"/>
    <s v="Зубочистки"/>
    <x v="2"/>
    <x v="2"/>
    <x v="26"/>
    <n v="2249.7600000000002"/>
    <n v="2616"/>
  </r>
  <r>
    <x v="0"/>
    <s v="Житомир"/>
    <x v="0"/>
    <s v="Товари для дому"/>
    <s v="Зубочистки"/>
    <x v="2"/>
    <x v="3"/>
    <x v="27"/>
    <n v="2198.9500000000003"/>
    <n v="2587"/>
  </r>
  <r>
    <x v="0"/>
    <s v="Бердичів"/>
    <x v="1"/>
    <s v="Товари для дому"/>
    <s v="Зубочистки"/>
    <x v="2"/>
    <x v="3"/>
    <x v="27"/>
    <n v="1551.2100000000003"/>
    <n v="1783"/>
  </r>
  <r>
    <x v="0"/>
    <s v="Бердичів"/>
    <x v="1"/>
    <s v="Косметика"/>
    <s v="Дезодорант"/>
    <x v="2"/>
    <x v="3"/>
    <x v="27"/>
    <n v="4229.28"/>
    <n v="4752"/>
  </r>
  <r>
    <x v="0"/>
    <s v="Житомир"/>
    <x v="0"/>
    <s v="Косметика"/>
    <s v="Дезодорант"/>
    <x v="2"/>
    <x v="3"/>
    <x v="27"/>
    <n v="3259.6499999999996"/>
    <n v="3505"/>
  </r>
  <r>
    <x v="0"/>
    <s v="Житомир"/>
    <x v="0"/>
    <s v="Побутова хімія"/>
    <s v="Засіб для миття посуду"/>
    <x v="2"/>
    <x v="3"/>
    <x v="27"/>
    <n v="4309.5"/>
    <n v="5070"/>
  </r>
  <r>
    <x v="1"/>
    <s v="Запоріжжя"/>
    <x v="2"/>
    <s v="Побутова хімія"/>
    <s v="Засіб для посудомийних машин"/>
    <x v="2"/>
    <x v="3"/>
    <x v="27"/>
    <n v="4169.4399999999996"/>
    <n v="4532"/>
  </r>
  <r>
    <x v="2"/>
    <s v="Бориспіль"/>
    <x v="3"/>
    <s v="Побутова хімія"/>
    <s v="Засоби для догляду за меблями"/>
    <x v="2"/>
    <x v="3"/>
    <x v="27"/>
    <n v="3207.7499999999995"/>
    <n v="3525"/>
  </r>
  <r>
    <x v="3"/>
    <s v="Одеса"/>
    <x v="4"/>
    <s v="Товари для дому"/>
    <s v="Серветки"/>
    <x v="2"/>
    <x v="3"/>
    <x v="27"/>
    <n v="1766.6999999999998"/>
    <n v="1963"/>
  </r>
  <r>
    <x v="4"/>
    <s v="Харків"/>
    <x v="5"/>
    <s v="Товари для дому"/>
    <s v="Зубочистки"/>
    <x v="2"/>
    <x v="3"/>
    <x v="27"/>
    <n v="1715.12"/>
    <n v="1949"/>
  </r>
  <r>
    <x v="0"/>
    <s v="Бердичів"/>
    <x v="1"/>
    <s v="Товари для дому"/>
    <s v="Одноразовий посуд"/>
    <x v="2"/>
    <x v="3"/>
    <x v="27"/>
    <n v="1922.3999999999999"/>
    <n v="2160"/>
  </r>
  <r>
    <x v="1"/>
    <s v="Бердянськ"/>
    <x v="6"/>
    <s v="Косметика"/>
    <s v="Шампунь"/>
    <x v="2"/>
    <x v="3"/>
    <x v="27"/>
    <n v="4532.7099999999991"/>
    <n v="4981"/>
  </r>
  <r>
    <x v="2"/>
    <s v="Біла Церква"/>
    <x v="7"/>
    <s v="Косметика"/>
    <s v="Дезодорант"/>
    <x v="2"/>
    <x v="3"/>
    <x v="27"/>
    <n v="3960.2400000000007"/>
    <n v="4552"/>
  </r>
  <r>
    <x v="3"/>
    <s v="Чорноморськ"/>
    <x v="8"/>
    <s v="Косметика"/>
    <s v="Мило"/>
    <x v="2"/>
    <x v="3"/>
    <x v="27"/>
    <n v="2109.56"/>
    <n v="2293"/>
  </r>
  <r>
    <x v="4"/>
    <s v="Чугуїв"/>
    <x v="9"/>
    <s v="Побутова хімія"/>
    <s v="Засіб для миття посуду"/>
    <x v="2"/>
    <x v="3"/>
    <x v="27"/>
    <n v="3902.99"/>
    <n v="4289"/>
  </r>
  <r>
    <x v="0"/>
    <s v="Житомир"/>
    <x v="0"/>
    <s v="Побутова хімія"/>
    <s v="Засіб для посудомийних машин"/>
    <x v="2"/>
    <x v="3"/>
    <x v="27"/>
    <n v="3640.95"/>
    <n v="3915"/>
  </r>
  <r>
    <x v="1"/>
    <s v="Запоріжжя"/>
    <x v="2"/>
    <s v="Побутова хімія"/>
    <s v="Засоби для догляду за меблями"/>
    <x v="2"/>
    <x v="3"/>
    <x v="27"/>
    <n v="3475.9999999999995"/>
    <n v="3950"/>
  </r>
  <r>
    <x v="2"/>
    <s v="Бориспіль"/>
    <x v="3"/>
    <s v="Товари для дому"/>
    <s v="Серветки"/>
    <x v="2"/>
    <x v="3"/>
    <x v="27"/>
    <n v="2346.9199999999996"/>
    <n v="2551"/>
  </r>
  <r>
    <x v="3"/>
    <s v="Одеса"/>
    <x v="4"/>
    <s v="Товари для дому"/>
    <s v="Зубочистки"/>
    <x v="2"/>
    <x v="3"/>
    <x v="27"/>
    <n v="2673.7400000000002"/>
    <n v="3109"/>
  </r>
  <r>
    <x v="4"/>
    <s v="Харків"/>
    <x v="5"/>
    <s v="Товари для дому"/>
    <s v="Одноразовий посуд"/>
    <x v="2"/>
    <x v="3"/>
    <x v="27"/>
    <n v="1860"/>
    <n v="2000"/>
  </r>
  <r>
    <x v="0"/>
    <s v="Бердичів"/>
    <x v="1"/>
    <s v="Косметика"/>
    <s v="Шампунь"/>
    <x v="2"/>
    <x v="3"/>
    <x v="27"/>
    <n v="6002.0999999999995"/>
    <n v="6669"/>
  </r>
  <r>
    <x v="1"/>
    <s v="Бердянськ"/>
    <x v="6"/>
    <s v="Косметика"/>
    <s v="Дезодорант"/>
    <x v="2"/>
    <x v="3"/>
    <x v="27"/>
    <n v="3589.7999999999997"/>
    <n v="3860"/>
  </r>
  <r>
    <x v="2"/>
    <s v="Біла Церква"/>
    <x v="7"/>
    <s v="Косметика"/>
    <s v="Мило"/>
    <x v="2"/>
    <x v="3"/>
    <x v="27"/>
    <n v="4455"/>
    <n v="4950"/>
  </r>
  <r>
    <x v="3"/>
    <s v="Чорноморськ"/>
    <x v="8"/>
    <s v="Побутова хімія"/>
    <s v="Засіб для миття посуду"/>
    <x v="2"/>
    <x v="3"/>
    <x v="27"/>
    <n v="3454.4000000000005"/>
    <n v="4064"/>
  </r>
  <r>
    <x v="4"/>
    <s v="Чугуїв"/>
    <x v="9"/>
    <s v="Побутова хімія"/>
    <s v="Засіб для посудомийних машин"/>
    <x v="2"/>
    <x v="3"/>
    <x v="27"/>
    <n v="3457.5199999999995"/>
    <n v="3929"/>
  </r>
  <r>
    <x v="0"/>
    <s v="Житомир"/>
    <x v="0"/>
    <s v="Побутова хімія"/>
    <s v="Засоби для догляду за меблями"/>
    <x v="2"/>
    <x v="3"/>
    <x v="27"/>
    <n v="3553.7699999999995"/>
    <n v="3993"/>
  </r>
  <r>
    <x v="1"/>
    <s v="Запоріжжя"/>
    <x v="2"/>
    <s v="Товари для дому"/>
    <s v="Серветки"/>
    <x v="2"/>
    <x v="3"/>
    <x v="27"/>
    <n v="1807.2599999999998"/>
    <n v="1986"/>
  </r>
  <r>
    <x v="2"/>
    <s v="Бориспіль"/>
    <x v="3"/>
    <s v="Товари для дому"/>
    <s v="Зубочистки"/>
    <x v="2"/>
    <x v="3"/>
    <x v="27"/>
    <n v="2238.5100000000002"/>
    <n v="2573"/>
  </r>
  <r>
    <x v="3"/>
    <s v="Одеса"/>
    <x v="4"/>
    <s v="Товари для дому"/>
    <s v="Одноразовий посуд"/>
    <x v="2"/>
    <x v="3"/>
    <x v="27"/>
    <n v="2076.2999999999997"/>
    <n v="2307"/>
  </r>
  <r>
    <x v="4"/>
    <s v="Харків"/>
    <x v="5"/>
    <s v="Косметика"/>
    <s v="Шампунь"/>
    <x v="2"/>
    <x v="3"/>
    <x v="27"/>
    <n v="3668.7900000000004"/>
    <n v="4217"/>
  </r>
  <r>
    <x v="1"/>
    <s v="Запоріжжя"/>
    <x v="2"/>
    <s v="Косметика"/>
    <s v="Мило"/>
    <x v="2"/>
    <x v="3"/>
    <x v="27"/>
    <n v="4392.57"/>
    <n v="4827"/>
  </r>
  <r>
    <x v="2"/>
    <s v="Біла Церква"/>
    <x v="7"/>
    <s v="Побутова хімія"/>
    <s v="Засіб для миття посуду"/>
    <x v="2"/>
    <x v="3"/>
    <x v="27"/>
    <n v="3602.72"/>
    <n v="3916"/>
  </r>
  <r>
    <x v="3"/>
    <s v="Чорноморськ"/>
    <x v="8"/>
    <s v="Побутова хімія"/>
    <s v="Засіб для посудомийних машин"/>
    <x v="2"/>
    <x v="3"/>
    <x v="27"/>
    <n v="4316.13"/>
    <n v="4641"/>
  </r>
  <r>
    <x v="4"/>
    <s v="Чугуїв"/>
    <x v="9"/>
    <s v="Побутова хімія"/>
    <s v="Засоби для догляду за меблями"/>
    <x v="2"/>
    <x v="3"/>
    <x v="27"/>
    <n v="2544.2999999999997"/>
    <n v="2827"/>
  </r>
  <r>
    <x v="0"/>
    <s v="Житомир"/>
    <x v="0"/>
    <s v="Товари для дому"/>
    <s v="Серветки"/>
    <x v="2"/>
    <x v="3"/>
    <x v="27"/>
    <n v="2657.8799999999997"/>
    <n v="2889"/>
  </r>
  <r>
    <x v="1"/>
    <s v="Бердянськ"/>
    <x v="6"/>
    <s v="Товари для дому"/>
    <s v="Зубочистки"/>
    <x v="2"/>
    <x v="3"/>
    <x v="27"/>
    <n v="2064.2399999999998"/>
    <n v="2196"/>
  </r>
  <r>
    <x v="2"/>
    <s v="Бориспіль"/>
    <x v="3"/>
    <s v="Товари для дому"/>
    <s v="Одноразовий посуд"/>
    <x v="2"/>
    <x v="3"/>
    <x v="27"/>
    <n v="2159"/>
    <n v="2540"/>
  </r>
  <r>
    <x v="3"/>
    <s v="Одеса"/>
    <x v="4"/>
    <s v="Косметика"/>
    <s v="Шампунь"/>
    <x v="2"/>
    <x v="3"/>
    <x v="27"/>
    <n v="3831.7999999999997"/>
    <n v="4165"/>
  </r>
  <r>
    <x v="4"/>
    <s v="Харків"/>
    <x v="5"/>
    <s v="Косметика"/>
    <s v="Дезодорант"/>
    <x v="2"/>
    <x v="3"/>
    <x v="27"/>
    <n v="3653.3199999999997"/>
    <n v="3971"/>
  </r>
  <r>
    <x v="0"/>
    <s v="Бердичів"/>
    <x v="1"/>
    <s v="Косметика"/>
    <s v="Мило"/>
    <x v="2"/>
    <x v="3"/>
    <x v="27"/>
    <n v="3122.0999999999995"/>
    <n v="3469"/>
  </r>
  <r>
    <x v="1"/>
    <s v="Запоріжжя"/>
    <x v="2"/>
    <s v="Побутова хімія"/>
    <s v="Засіб для миття посуду"/>
    <x v="2"/>
    <x v="3"/>
    <x v="27"/>
    <n v="4062.9000000000005"/>
    <n v="4670"/>
  </r>
  <r>
    <x v="2"/>
    <s v="Біла Церква"/>
    <x v="7"/>
    <s v="Побутова хімія"/>
    <s v="Засіб для посудомийних машин"/>
    <x v="2"/>
    <x v="3"/>
    <x v="27"/>
    <n v="2507.2799999999997"/>
    <n v="2696"/>
  </r>
  <r>
    <x v="3"/>
    <s v="Чорноморськ"/>
    <x v="8"/>
    <s v="Побутова хімія"/>
    <s v="Засоби для догляду за меблями"/>
    <x v="2"/>
    <x v="3"/>
    <x v="27"/>
    <n v="3719.58"/>
    <n v="3957"/>
  </r>
  <r>
    <x v="4"/>
    <s v="Чугуїв"/>
    <x v="9"/>
    <s v="Товари для дому"/>
    <s v="Серветки"/>
    <x v="2"/>
    <x v="3"/>
    <x v="27"/>
    <n v="2074.0800000000004"/>
    <n v="2384"/>
  </r>
  <r>
    <x v="1"/>
    <s v="Запоріжжя"/>
    <x v="2"/>
    <s v="Товари для дому"/>
    <s v="Одноразовий посуд"/>
    <x v="2"/>
    <x v="3"/>
    <x v="27"/>
    <n v="1806.35"/>
    <n v="1985"/>
  </r>
  <r>
    <x v="2"/>
    <s v="Бориспіль"/>
    <x v="3"/>
    <s v="Косметика"/>
    <s v="Шампунь"/>
    <x v="2"/>
    <x v="3"/>
    <x v="27"/>
    <n v="4860.6900000000005"/>
    <n v="5587"/>
  </r>
  <r>
    <x v="3"/>
    <s v="Чорноморськ"/>
    <x v="8"/>
    <s v="Косметика"/>
    <s v="Дезодорант"/>
    <x v="2"/>
    <x v="3"/>
    <x v="27"/>
    <n v="3443.4600000000005"/>
    <n v="3958"/>
  </r>
  <r>
    <x v="4"/>
    <s v="Харків"/>
    <x v="5"/>
    <s v="Косметика"/>
    <s v="Мило"/>
    <x v="2"/>
    <x v="3"/>
    <x v="27"/>
    <n v="3764.7"/>
    <n v="4183"/>
  </r>
  <r>
    <x v="0"/>
    <s v="Бердичів"/>
    <x v="1"/>
    <s v="Побутова хімія"/>
    <s v="Засіб для миття посуду"/>
    <x v="2"/>
    <x v="3"/>
    <x v="27"/>
    <n v="3908.9100000000003"/>
    <n v="4493"/>
  </r>
  <r>
    <x v="0"/>
    <s v="Бердичів"/>
    <x v="1"/>
    <s v="Побутова хімія"/>
    <s v="Засіб для посудомийних машин"/>
    <x v="2"/>
    <x v="3"/>
    <x v="27"/>
    <n v="2958.41"/>
    <n v="3251"/>
  </r>
  <r>
    <x v="1"/>
    <s v="Бердянськ"/>
    <x v="6"/>
    <s v="Побутова хімія"/>
    <s v="Засоби для догляду за меблями"/>
    <x v="2"/>
    <x v="3"/>
    <x v="27"/>
    <n v="2403.8000000000002"/>
    <n v="2828"/>
  </r>
  <r>
    <x v="1"/>
    <s v="Бердянськ"/>
    <x v="6"/>
    <s v="Товари для дому"/>
    <s v="Серветки"/>
    <x v="2"/>
    <x v="3"/>
    <x v="27"/>
    <n v="2334.04"/>
    <n v="2537"/>
  </r>
  <r>
    <x v="2"/>
    <s v="Біла Церква"/>
    <x v="7"/>
    <s v="Товари для дому"/>
    <s v="Зубочистки"/>
    <x v="2"/>
    <x v="3"/>
    <x v="27"/>
    <n v="2858.55"/>
    <n v="3363"/>
  </r>
  <r>
    <x v="2"/>
    <s v="Біла Церква"/>
    <x v="7"/>
    <s v="Товари для дому"/>
    <s v="Одноразовий посуд"/>
    <x v="2"/>
    <x v="3"/>
    <x v="27"/>
    <n v="1434.3999999999999"/>
    <n v="1630"/>
  </r>
  <r>
    <x v="2"/>
    <s v="Бориспіль"/>
    <x v="3"/>
    <s v="Косметика"/>
    <s v="Дезодорант"/>
    <x v="2"/>
    <x v="3"/>
    <x v="27"/>
    <n v="2760.6000000000004"/>
    <n v="3210"/>
  </r>
  <r>
    <x v="0"/>
    <s v="Житомир"/>
    <x v="0"/>
    <s v="Косметика"/>
    <s v="Мило"/>
    <x v="2"/>
    <x v="3"/>
    <x v="27"/>
    <n v="3799.4799999999996"/>
    <n v="4042"/>
  </r>
  <r>
    <x v="2"/>
    <s v="Ірпінь"/>
    <x v="10"/>
    <s v="Товари для дому"/>
    <s v="Серветки"/>
    <x v="2"/>
    <x v="3"/>
    <x v="27"/>
    <n v="1637.1"/>
    <n v="1819"/>
  </r>
  <r>
    <x v="2"/>
    <s v="Ірпінь"/>
    <x v="10"/>
    <s v="Товари для дому"/>
    <s v="Зубочистки"/>
    <x v="2"/>
    <x v="3"/>
    <x v="27"/>
    <n v="2720.0000000000005"/>
    <n v="3200"/>
  </r>
  <r>
    <x v="2"/>
    <s v="Київ"/>
    <x v="11"/>
    <s v="Товари для дому"/>
    <s v="Одноразовий посуд"/>
    <x v="2"/>
    <x v="3"/>
    <x v="27"/>
    <n v="1428.6999999999998"/>
    <n v="1570"/>
  </r>
  <r>
    <x v="2"/>
    <s v="Київ"/>
    <x v="11"/>
    <s v="Косметика"/>
    <s v="Шампунь"/>
    <x v="2"/>
    <x v="3"/>
    <x v="27"/>
    <n v="5306.1799999999994"/>
    <n v="5962"/>
  </r>
  <r>
    <x v="3"/>
    <s v="Одеса"/>
    <x v="4"/>
    <s v="Косметика"/>
    <s v="Дезодорант"/>
    <x v="2"/>
    <x v="3"/>
    <x v="27"/>
    <n v="2960.9999999999995"/>
    <n v="3290"/>
  </r>
  <r>
    <x v="3"/>
    <s v="Одеса"/>
    <x v="4"/>
    <s v="Косметика"/>
    <s v="Мило"/>
    <x v="2"/>
    <x v="3"/>
    <x v="27"/>
    <n v="2742.9799999999996"/>
    <n v="3082"/>
  </r>
  <r>
    <x v="4"/>
    <s v="Харків"/>
    <x v="5"/>
    <s v="Побутова хімія"/>
    <s v="Засіб для миття посуду"/>
    <x v="2"/>
    <x v="3"/>
    <x v="27"/>
    <n v="4202.74"/>
    <n v="4471"/>
  </r>
  <r>
    <x v="4"/>
    <s v="Харків"/>
    <x v="5"/>
    <s v="Побутова хімія"/>
    <s v="Засіб для посудомийних машин"/>
    <x v="2"/>
    <x v="3"/>
    <x v="27"/>
    <n v="3423.33"/>
    <n v="3681"/>
  </r>
  <r>
    <x v="3"/>
    <s v="Чорноморськ"/>
    <x v="8"/>
    <s v="Товари для дому"/>
    <s v="Серветки"/>
    <x v="2"/>
    <x v="3"/>
    <x v="27"/>
    <n v="2542.3199999999997"/>
    <n v="2889"/>
  </r>
  <r>
    <x v="4"/>
    <s v="Чугуїв"/>
    <x v="9"/>
    <s v="Товари для дому"/>
    <s v="Зубочистки"/>
    <x v="2"/>
    <x v="3"/>
    <x v="27"/>
    <n v="1676.7599999999998"/>
    <n v="1884"/>
  </r>
  <r>
    <x v="4"/>
    <s v="Чугуїв"/>
    <x v="9"/>
    <s v="Товари для дому"/>
    <s v="Одноразовий посуд"/>
    <x v="2"/>
    <x v="3"/>
    <x v="27"/>
    <n v="2211.6499999999996"/>
    <n v="2485"/>
  </r>
  <r>
    <x v="2"/>
    <s v="Біла Церква"/>
    <x v="7"/>
    <s v="Косметика"/>
    <s v="Шампунь"/>
    <x v="2"/>
    <x v="3"/>
    <x v="27"/>
    <n v="4153.38"/>
    <n v="4466"/>
  </r>
  <r>
    <x v="1"/>
    <s v="Бердянськ"/>
    <x v="6"/>
    <s v="Побутова хімія"/>
    <s v="Засіб для посудомийних машин"/>
    <x v="2"/>
    <x v="3"/>
    <x v="27"/>
    <n v="3629.9999999999995"/>
    <n v="4125"/>
  </r>
  <r>
    <x v="0"/>
    <s v="Житомир"/>
    <x v="0"/>
    <s v="Товари для дому"/>
    <s v="Одноразовий посуд"/>
    <x v="2"/>
    <x v="3"/>
    <x v="27"/>
    <n v="1191.7099999999998"/>
    <n v="1339"/>
  </r>
  <r>
    <x v="0"/>
    <s v="Житомир"/>
    <x v="0"/>
    <s v="Косметика"/>
    <s v="Шампунь"/>
    <x v="2"/>
    <x v="3"/>
    <x v="27"/>
    <n v="3827.55"/>
    <n v="4503"/>
  </r>
  <r>
    <x v="1"/>
    <s v="Запоріжжя"/>
    <x v="2"/>
    <s v="Косметика"/>
    <s v="Дезодорант"/>
    <x v="2"/>
    <x v="3"/>
    <x v="27"/>
    <n v="4454.45"/>
    <n v="4895"/>
  </r>
  <r>
    <x v="2"/>
    <s v="Ірпінь"/>
    <x v="10"/>
    <s v="Побутова хімія"/>
    <s v="Засіб для миття посуду"/>
    <x v="2"/>
    <x v="3"/>
    <x v="27"/>
    <n v="4403.49"/>
    <n v="4839"/>
  </r>
  <r>
    <x v="2"/>
    <s v="Ірпінь"/>
    <x v="10"/>
    <s v="Побутова хімія"/>
    <s v="Засіб для посудомийних машин"/>
    <x v="2"/>
    <x v="3"/>
    <x v="27"/>
    <n v="3192.2999999999997"/>
    <n v="3547"/>
  </r>
  <r>
    <x v="2"/>
    <s v="Київ"/>
    <x v="11"/>
    <s v="Побутова хімія"/>
    <s v="Засоби для догляду за меблями"/>
    <x v="2"/>
    <x v="3"/>
    <x v="27"/>
    <n v="3365.3599999999997"/>
    <n v="3658"/>
  </r>
  <r>
    <x v="2"/>
    <s v="Київ"/>
    <x v="11"/>
    <s v="Товари для дому"/>
    <s v="Серветки"/>
    <x v="2"/>
    <x v="3"/>
    <x v="27"/>
    <n v="1646.1"/>
    <n v="1770"/>
  </r>
  <r>
    <x v="2"/>
    <s v="Біла Церква"/>
    <x v="7"/>
    <s v="Товари для дому"/>
    <s v="Серветки"/>
    <x v="2"/>
    <x v="3"/>
    <x v="27"/>
    <n v="2001.7500000000002"/>
    <n v="2355"/>
  </r>
  <r>
    <x v="1"/>
    <s v="Бердянськ"/>
    <x v="6"/>
    <s v="Косметика"/>
    <s v="Мило"/>
    <x v="2"/>
    <x v="3"/>
    <x v="27"/>
    <n v="2541.6299999999997"/>
    <n v="2793"/>
  </r>
  <r>
    <x v="2"/>
    <s v="Бориспіль"/>
    <x v="3"/>
    <s v="Побутова хімія"/>
    <s v="Засіб для миття посуду"/>
    <x v="2"/>
    <x v="3"/>
    <x v="27"/>
    <n v="4264.2"/>
    <n v="4738"/>
  </r>
  <r>
    <x v="2"/>
    <s v="Бориспіль"/>
    <x v="3"/>
    <s v="Побутова хімія"/>
    <s v="Засіб для посудомийних машин"/>
    <x v="2"/>
    <x v="3"/>
    <x v="27"/>
    <n v="4276.7999999999993"/>
    <n v="4752"/>
  </r>
  <r>
    <x v="1"/>
    <s v="Запоріжжя"/>
    <x v="2"/>
    <s v="Товари для дому"/>
    <s v="Зубочистки"/>
    <x v="2"/>
    <x v="3"/>
    <x v="27"/>
    <n v="1490.7499999999998"/>
    <n v="1675"/>
  </r>
  <r>
    <x v="2"/>
    <s v="Ірпінь"/>
    <x v="10"/>
    <s v="Косметика"/>
    <s v="Шампунь"/>
    <x v="2"/>
    <x v="3"/>
    <x v="27"/>
    <n v="6305.4"/>
    <n v="6780"/>
  </r>
  <r>
    <x v="2"/>
    <s v="Ірпінь"/>
    <x v="10"/>
    <s v="Косметика"/>
    <s v="Дезодорант"/>
    <x v="2"/>
    <x v="3"/>
    <x v="27"/>
    <n v="3269.2"/>
    <n v="3715"/>
  </r>
  <r>
    <x v="2"/>
    <s v="Київ"/>
    <x v="11"/>
    <s v="Косметика"/>
    <s v="Мило"/>
    <x v="2"/>
    <x v="3"/>
    <x v="27"/>
    <n v="2162"/>
    <n v="2300"/>
  </r>
  <r>
    <x v="2"/>
    <s v="Київ"/>
    <x v="11"/>
    <s v="Побутова хімія"/>
    <s v="Засіб для миття посуду"/>
    <x v="2"/>
    <x v="3"/>
    <x v="27"/>
    <n v="3872.9599999999996"/>
    <n v="4256"/>
  </r>
  <r>
    <x v="3"/>
    <s v="Одеса"/>
    <x v="4"/>
    <s v="Побутова хімія"/>
    <s v="Засіб для посудомийних машин"/>
    <x v="2"/>
    <x v="3"/>
    <x v="27"/>
    <n v="3312.3999999999996"/>
    <n v="3640"/>
  </r>
  <r>
    <x v="3"/>
    <s v="Одеса"/>
    <x v="4"/>
    <s v="Побутова хімія"/>
    <s v="Засоби для догляду за меблями"/>
    <x v="2"/>
    <x v="3"/>
    <x v="27"/>
    <n v="2978.8599999999997"/>
    <n v="3169"/>
  </r>
  <r>
    <x v="4"/>
    <s v="Харків"/>
    <x v="5"/>
    <s v="Товари для дому"/>
    <s v="Серветки"/>
    <x v="2"/>
    <x v="3"/>
    <x v="27"/>
    <n v="1604.33"/>
    <n v="1763"/>
  </r>
  <r>
    <x v="3"/>
    <s v="Чорноморськ"/>
    <x v="8"/>
    <s v="Товари для дому"/>
    <s v="Одноразовий посуд"/>
    <x v="2"/>
    <x v="3"/>
    <x v="27"/>
    <n v="1781.12"/>
    <n v="2024"/>
  </r>
  <r>
    <x v="3"/>
    <s v="Чорноморськ"/>
    <x v="8"/>
    <s v="Косметика"/>
    <s v="Шампунь"/>
    <x v="2"/>
    <x v="3"/>
    <x v="27"/>
    <n v="5623.0199999999995"/>
    <n v="6318"/>
  </r>
  <r>
    <x v="4"/>
    <s v="Чугуїв"/>
    <x v="9"/>
    <s v="Косметика"/>
    <s v="Дезодорант"/>
    <x v="2"/>
    <x v="3"/>
    <x v="27"/>
    <n v="4925.6799999999994"/>
    <n v="5354"/>
  </r>
  <r>
    <x v="4"/>
    <s v="Чугуїв"/>
    <x v="9"/>
    <s v="Косметика"/>
    <s v="Мило"/>
    <x v="2"/>
    <x v="3"/>
    <x v="27"/>
    <n v="2920.59"/>
    <n v="3357"/>
  </r>
  <r>
    <x v="0"/>
    <s v="Бердичів"/>
    <x v="1"/>
    <s v="Побутова хімія"/>
    <s v="Засоби для догляду за меблями"/>
    <x v="2"/>
    <x v="3"/>
    <x v="27"/>
    <n v="2670.7599999999998"/>
    <n v="2903"/>
  </r>
  <r>
    <x v="0"/>
    <s v="Бердичів"/>
    <x v="1"/>
    <s v="Товари для дому"/>
    <s v="Серветки"/>
    <x v="2"/>
    <x v="3"/>
    <x v="27"/>
    <n v="1900.6000000000001"/>
    <n v="2210"/>
  </r>
  <r>
    <x v="1"/>
    <s v="Бердянськ"/>
    <x v="6"/>
    <s v="Товари для дому"/>
    <s v="Одноразовий посуд"/>
    <x v="2"/>
    <x v="3"/>
    <x v="27"/>
    <n v="2228.2399999999998"/>
    <n v="2422"/>
  </r>
  <r>
    <x v="2"/>
    <s v="Ірпінь"/>
    <x v="10"/>
    <s v="Косметика"/>
    <s v="Мило"/>
    <x v="2"/>
    <x v="3"/>
    <x v="27"/>
    <n v="3467.04"/>
    <n v="3728"/>
  </r>
  <r>
    <x v="2"/>
    <s v="Київ"/>
    <x v="11"/>
    <s v="Побутова хімія"/>
    <s v="Засіб для посудомийних машин"/>
    <x v="2"/>
    <x v="3"/>
    <x v="27"/>
    <n v="4807"/>
    <n v="5225"/>
  </r>
  <r>
    <x v="2"/>
    <s v="Біла Церква"/>
    <x v="7"/>
    <s v="Побутова хімія"/>
    <s v="Засоби для догляду за меблями"/>
    <x v="2"/>
    <x v="3"/>
    <x v="27"/>
    <n v="3007.3"/>
    <n v="3538"/>
  </r>
  <r>
    <x v="2"/>
    <s v="Бориспіль"/>
    <x v="3"/>
    <s v="Косметика"/>
    <s v="Мило"/>
    <x v="2"/>
    <x v="3"/>
    <x v="27"/>
    <n v="2856.0000000000005"/>
    <n v="3360"/>
  </r>
  <r>
    <x v="2"/>
    <s v="Ірпінь"/>
    <x v="10"/>
    <s v="Товари для дому"/>
    <s v="Одноразовий посуд"/>
    <x v="2"/>
    <x v="3"/>
    <x v="27"/>
    <n v="2522.9599999999996"/>
    <n v="2867"/>
  </r>
  <r>
    <x v="2"/>
    <s v="Київ"/>
    <x v="11"/>
    <s v="Косметика"/>
    <s v="Дезодорант"/>
    <x v="2"/>
    <x v="3"/>
    <x v="27"/>
    <n v="3585.34"/>
    <n v="4169"/>
  </r>
  <r>
    <x v="3"/>
    <s v="Одеса"/>
    <x v="4"/>
    <s v="Побутова хімія"/>
    <s v="Засіб для миття посуду"/>
    <x v="2"/>
    <x v="3"/>
    <x v="27"/>
    <n v="3072.8599999999997"/>
    <n v="3269"/>
  </r>
  <r>
    <x v="4"/>
    <s v="Харків"/>
    <x v="5"/>
    <s v="Побутова хімія"/>
    <s v="Засоби для догляду за меблями"/>
    <x v="2"/>
    <x v="3"/>
    <x v="27"/>
    <n v="3266.8999999999996"/>
    <n v="3590"/>
  </r>
  <r>
    <x v="3"/>
    <s v="Чорноморськ"/>
    <x v="8"/>
    <s v="Товари для дому"/>
    <s v="Зубочистки"/>
    <x v="2"/>
    <x v="3"/>
    <x v="27"/>
    <n v="1913.3999999999999"/>
    <n v="2126"/>
  </r>
  <r>
    <x v="4"/>
    <s v="Чугуїв"/>
    <x v="9"/>
    <s v="Косметика"/>
    <s v="Шампунь"/>
    <x v="2"/>
    <x v="3"/>
    <x v="27"/>
    <n v="3967.9199999999996"/>
    <n v="4509"/>
  </r>
  <r>
    <x v="2"/>
    <s v="Ірпінь"/>
    <x v="10"/>
    <s v="Побутова хімія"/>
    <s v="Засоби для догляду за меблями"/>
    <x v="2"/>
    <x v="3"/>
    <x v="27"/>
    <n v="3027.5699999999997"/>
    <n v="3327"/>
  </r>
  <r>
    <x v="2"/>
    <s v="Київ"/>
    <x v="11"/>
    <s v="Товари для дому"/>
    <s v="Зубочистки"/>
    <x v="2"/>
    <x v="3"/>
    <x v="27"/>
    <n v="2721.3600000000006"/>
    <n v="3128"/>
  </r>
  <r>
    <x v="0"/>
    <s v="Житомир"/>
    <x v="0"/>
    <s v="Товари для дому"/>
    <s v="Зубочистки"/>
    <x v="2"/>
    <x v="4"/>
    <x v="28"/>
    <n v="2620.42"/>
    <n v="3047"/>
  </r>
  <r>
    <x v="0"/>
    <s v="Бердичів"/>
    <x v="1"/>
    <s v="Товари для дому"/>
    <s v="Зубочистки"/>
    <x v="2"/>
    <x v="4"/>
    <x v="28"/>
    <n v="1366.1999999999998"/>
    <n v="1518"/>
  </r>
  <r>
    <x v="0"/>
    <s v="Бердичів"/>
    <x v="1"/>
    <s v="Косметика"/>
    <s v="Дезодорант"/>
    <x v="2"/>
    <x v="4"/>
    <x v="28"/>
    <n v="4757.34"/>
    <n v="5061"/>
  </r>
  <r>
    <x v="0"/>
    <s v="Житомир"/>
    <x v="0"/>
    <s v="Косметика"/>
    <s v="Дезодорант"/>
    <x v="2"/>
    <x v="4"/>
    <x v="28"/>
    <n v="4487.119999999999"/>
    <n v="5099"/>
  </r>
  <r>
    <x v="0"/>
    <s v="Житомир"/>
    <x v="0"/>
    <s v="Побутова хімія"/>
    <s v="Засіб для миття посуду"/>
    <x v="2"/>
    <x v="4"/>
    <x v="28"/>
    <n v="4404.5999999999995"/>
    <n v="4894"/>
  </r>
  <r>
    <x v="1"/>
    <s v="Запоріжжя"/>
    <x v="2"/>
    <s v="Побутова хімія"/>
    <s v="Засіб для посудомийних машин"/>
    <x v="2"/>
    <x v="4"/>
    <x v="28"/>
    <n v="4123.37"/>
    <n v="4633"/>
  </r>
  <r>
    <x v="2"/>
    <s v="Бориспіль"/>
    <x v="3"/>
    <s v="Побутова хімія"/>
    <s v="Засоби для догляду за меблями"/>
    <x v="2"/>
    <x v="4"/>
    <x v="28"/>
    <n v="3406.1299999999997"/>
    <n v="3743"/>
  </r>
  <r>
    <x v="3"/>
    <s v="Одеса"/>
    <x v="4"/>
    <s v="Товари для дому"/>
    <s v="Серветки"/>
    <x v="2"/>
    <x v="4"/>
    <x v="28"/>
    <n v="2656.29"/>
    <n v="2919"/>
  </r>
  <r>
    <x v="4"/>
    <s v="Харків"/>
    <x v="5"/>
    <s v="Товари для дому"/>
    <s v="Зубочистки"/>
    <x v="2"/>
    <x v="4"/>
    <x v="28"/>
    <n v="1483.3500000000001"/>
    <n v="1705"/>
  </r>
  <r>
    <x v="0"/>
    <s v="Бердичів"/>
    <x v="1"/>
    <s v="Товари для дому"/>
    <s v="Одноразовий посуд"/>
    <x v="2"/>
    <x v="4"/>
    <x v="28"/>
    <n v="1130.0400000000002"/>
    <n v="1314"/>
  </r>
  <r>
    <x v="1"/>
    <s v="Бердянськ"/>
    <x v="6"/>
    <s v="Косметика"/>
    <s v="Шампунь"/>
    <x v="2"/>
    <x v="4"/>
    <x v="28"/>
    <n v="6089.6399999999994"/>
    <n v="6548"/>
  </r>
  <r>
    <x v="2"/>
    <s v="Біла Церква"/>
    <x v="7"/>
    <s v="Косметика"/>
    <s v="Дезодорант"/>
    <x v="2"/>
    <x v="4"/>
    <x v="28"/>
    <n v="3100.8"/>
    <n v="3648"/>
  </r>
  <r>
    <x v="3"/>
    <s v="Чорноморськ"/>
    <x v="8"/>
    <s v="Косметика"/>
    <s v="Мило"/>
    <x v="2"/>
    <x v="4"/>
    <x v="28"/>
    <n v="3300.55"/>
    <n v="3883"/>
  </r>
  <r>
    <x v="4"/>
    <s v="Чугуїв"/>
    <x v="9"/>
    <s v="Побутова хімія"/>
    <s v="Засіб для миття посуду"/>
    <x v="2"/>
    <x v="4"/>
    <x v="28"/>
    <n v="3883.6500000000005"/>
    <n v="4569"/>
  </r>
  <r>
    <x v="0"/>
    <s v="Житомир"/>
    <x v="0"/>
    <s v="Побутова хімія"/>
    <s v="Засіб для посудомийних машин"/>
    <x v="2"/>
    <x v="4"/>
    <x v="28"/>
    <n v="3894.8399999999997"/>
    <n v="4188"/>
  </r>
  <r>
    <x v="1"/>
    <s v="Запоріжжя"/>
    <x v="2"/>
    <s v="Побутова хімія"/>
    <s v="Засоби для догляду за меблями"/>
    <x v="2"/>
    <x v="4"/>
    <x v="28"/>
    <n v="3607.2"/>
    <n v="4008"/>
  </r>
  <r>
    <x v="2"/>
    <s v="Бориспіль"/>
    <x v="3"/>
    <s v="Товари для дому"/>
    <s v="Серветки"/>
    <x v="2"/>
    <x v="4"/>
    <x v="28"/>
    <n v="1736.9599999999998"/>
    <n v="1888"/>
  </r>
  <r>
    <x v="3"/>
    <s v="Одеса"/>
    <x v="4"/>
    <s v="Товари для дому"/>
    <s v="Зубочистки"/>
    <x v="2"/>
    <x v="4"/>
    <x v="28"/>
    <n v="2817.7500000000005"/>
    <n v="3315"/>
  </r>
  <r>
    <x v="4"/>
    <s v="Харків"/>
    <x v="5"/>
    <s v="Товари для дому"/>
    <s v="Одноразовий посуд"/>
    <x v="2"/>
    <x v="4"/>
    <x v="28"/>
    <n v="2490.4399999999996"/>
    <n v="2707"/>
  </r>
  <r>
    <x v="0"/>
    <s v="Бердичів"/>
    <x v="1"/>
    <s v="Косметика"/>
    <s v="Шампунь"/>
    <x v="2"/>
    <x v="4"/>
    <x v="28"/>
    <n v="6446.5199999999995"/>
    <n v="6858"/>
  </r>
  <r>
    <x v="1"/>
    <s v="Бердянськ"/>
    <x v="6"/>
    <s v="Косметика"/>
    <s v="Дезодорант"/>
    <x v="2"/>
    <x v="4"/>
    <x v="28"/>
    <n v="3898.4700000000003"/>
    <n v="4481"/>
  </r>
  <r>
    <x v="2"/>
    <s v="Біла Церква"/>
    <x v="7"/>
    <s v="Косметика"/>
    <s v="Мило"/>
    <x v="2"/>
    <x v="4"/>
    <x v="28"/>
    <n v="2604.9400000000005"/>
    <n v="3029"/>
  </r>
  <r>
    <x v="3"/>
    <s v="Чорноморськ"/>
    <x v="8"/>
    <s v="Побутова хімія"/>
    <s v="Засіб для миття посуду"/>
    <x v="2"/>
    <x v="4"/>
    <x v="28"/>
    <n v="3545.3599999999997"/>
    <n v="3896"/>
  </r>
  <r>
    <x v="4"/>
    <s v="Чугуїв"/>
    <x v="9"/>
    <s v="Побутова хімія"/>
    <s v="Засіб для посудомийних машин"/>
    <x v="2"/>
    <x v="4"/>
    <x v="28"/>
    <n v="4168.7599999999993"/>
    <n v="4684"/>
  </r>
  <r>
    <x v="0"/>
    <s v="Житомир"/>
    <x v="0"/>
    <s v="Побутова хімія"/>
    <s v="Засоби для догляду за меблями"/>
    <x v="2"/>
    <x v="4"/>
    <x v="28"/>
    <n v="2930.43"/>
    <n v="3151"/>
  </r>
  <r>
    <x v="1"/>
    <s v="Запоріжжя"/>
    <x v="2"/>
    <s v="Товари для дому"/>
    <s v="Серветки"/>
    <x v="2"/>
    <x v="4"/>
    <x v="28"/>
    <n v="2144.58"/>
    <n v="2306"/>
  </r>
  <r>
    <x v="2"/>
    <s v="Бориспіль"/>
    <x v="3"/>
    <s v="Товари для дому"/>
    <s v="Зубочистки"/>
    <x v="2"/>
    <x v="4"/>
    <x v="28"/>
    <n v="3045.7699999999995"/>
    <n v="3347"/>
  </r>
  <r>
    <x v="3"/>
    <s v="Одеса"/>
    <x v="4"/>
    <s v="Товари для дому"/>
    <s v="Одноразовий посуд"/>
    <x v="2"/>
    <x v="4"/>
    <x v="28"/>
    <n v="2374.52"/>
    <n v="2581"/>
  </r>
  <r>
    <x v="4"/>
    <s v="Харків"/>
    <x v="5"/>
    <s v="Косметика"/>
    <s v="Шампунь"/>
    <x v="2"/>
    <x v="4"/>
    <x v="28"/>
    <n v="5235.119999999999"/>
    <n v="5949"/>
  </r>
  <r>
    <x v="1"/>
    <s v="Запоріжжя"/>
    <x v="2"/>
    <s v="Косметика"/>
    <s v="Мило"/>
    <x v="2"/>
    <x v="4"/>
    <x v="28"/>
    <n v="3887.8399999999997"/>
    <n v="4418"/>
  </r>
  <r>
    <x v="2"/>
    <s v="Біла Церква"/>
    <x v="7"/>
    <s v="Побутова хімія"/>
    <s v="Засіб для миття посуду"/>
    <x v="2"/>
    <x v="4"/>
    <x v="28"/>
    <n v="4016.72"/>
    <n v="4366"/>
  </r>
  <r>
    <x v="3"/>
    <s v="Чорноморськ"/>
    <x v="8"/>
    <s v="Побутова хімія"/>
    <s v="Засіб для посудомийних машин"/>
    <x v="2"/>
    <x v="4"/>
    <x v="28"/>
    <n v="3766.4799999999996"/>
    <n v="4094"/>
  </r>
  <r>
    <x v="4"/>
    <s v="Чугуїв"/>
    <x v="9"/>
    <s v="Побутова хімія"/>
    <s v="Засоби для догляду за меблями"/>
    <x v="2"/>
    <x v="4"/>
    <x v="28"/>
    <n v="2909.2999999999997"/>
    <n v="3095"/>
  </r>
  <r>
    <x v="0"/>
    <s v="Житомир"/>
    <x v="0"/>
    <s v="Товари для дому"/>
    <s v="Серветки"/>
    <x v="2"/>
    <x v="4"/>
    <x v="28"/>
    <n v="1744.1599999999999"/>
    <n v="1982"/>
  </r>
  <r>
    <x v="1"/>
    <s v="Бердянськ"/>
    <x v="6"/>
    <s v="Товари для дому"/>
    <s v="Зубочистки"/>
    <x v="2"/>
    <x v="4"/>
    <x v="28"/>
    <n v="2786.6100000000006"/>
    <n v="3203"/>
  </r>
  <r>
    <x v="2"/>
    <s v="Бориспіль"/>
    <x v="3"/>
    <s v="Товари для дому"/>
    <s v="Одноразовий посуд"/>
    <x v="2"/>
    <x v="4"/>
    <x v="28"/>
    <n v="2138.08"/>
    <n v="2324"/>
  </r>
  <r>
    <x v="3"/>
    <s v="Одеса"/>
    <x v="4"/>
    <s v="Косметика"/>
    <s v="Шампунь"/>
    <x v="2"/>
    <x v="4"/>
    <x v="28"/>
    <n v="4650.5999999999995"/>
    <n v="5055"/>
  </r>
  <r>
    <x v="4"/>
    <s v="Харків"/>
    <x v="5"/>
    <s v="Косметика"/>
    <s v="Дезодорант"/>
    <x v="2"/>
    <x v="4"/>
    <x v="28"/>
    <n v="2883.7599999999998"/>
    <n v="3277"/>
  </r>
  <r>
    <x v="0"/>
    <s v="Бердичів"/>
    <x v="1"/>
    <s v="Косметика"/>
    <s v="Мило"/>
    <x v="2"/>
    <x v="4"/>
    <x v="28"/>
    <n v="2976"/>
    <n v="3200"/>
  </r>
  <r>
    <x v="1"/>
    <s v="Запоріжжя"/>
    <x v="2"/>
    <s v="Побутова хімія"/>
    <s v="Засіб для миття посуду"/>
    <x v="2"/>
    <x v="4"/>
    <x v="28"/>
    <n v="3957.3599999999997"/>
    <n v="4497"/>
  </r>
  <r>
    <x v="2"/>
    <s v="Біла Церква"/>
    <x v="7"/>
    <s v="Побутова хімія"/>
    <s v="Засіб для посудомийних машин"/>
    <x v="2"/>
    <x v="4"/>
    <x v="28"/>
    <n v="3629.08"/>
    <n v="3988"/>
  </r>
  <r>
    <x v="3"/>
    <s v="Чорноморськ"/>
    <x v="8"/>
    <s v="Побутова хімія"/>
    <s v="Засоби для догляду за меблями"/>
    <x v="2"/>
    <x v="4"/>
    <x v="28"/>
    <n v="3499.7599999999998"/>
    <n v="3977"/>
  </r>
  <r>
    <x v="4"/>
    <s v="Чугуїв"/>
    <x v="9"/>
    <s v="Товари для дому"/>
    <s v="Серветки"/>
    <x v="2"/>
    <x v="4"/>
    <x v="28"/>
    <n v="2325.0499999999997"/>
    <n v="2555"/>
  </r>
  <r>
    <x v="1"/>
    <s v="Запоріжжя"/>
    <x v="2"/>
    <s v="Товари для дому"/>
    <s v="Одноразовий посуд"/>
    <x v="2"/>
    <x v="4"/>
    <x v="28"/>
    <n v="2283.1000000000004"/>
    <n v="2686"/>
  </r>
  <r>
    <x v="2"/>
    <s v="Бориспіль"/>
    <x v="3"/>
    <s v="Косметика"/>
    <s v="Шампунь"/>
    <x v="2"/>
    <x v="4"/>
    <x v="28"/>
    <n v="5328.9"/>
    <n v="5730"/>
  </r>
  <r>
    <x v="3"/>
    <s v="Чорноморськ"/>
    <x v="8"/>
    <s v="Косметика"/>
    <s v="Дезодорант"/>
    <x v="2"/>
    <x v="4"/>
    <x v="28"/>
    <n v="4660.9299999999994"/>
    <n v="5237"/>
  </r>
  <r>
    <x v="4"/>
    <s v="Харків"/>
    <x v="5"/>
    <s v="Косметика"/>
    <s v="Мило"/>
    <x v="2"/>
    <x v="4"/>
    <x v="28"/>
    <n v="3903.6900000000005"/>
    <n v="4487"/>
  </r>
  <r>
    <x v="0"/>
    <s v="Бердичів"/>
    <x v="1"/>
    <s v="Побутова хімія"/>
    <s v="Засіб для миття посуду"/>
    <x v="2"/>
    <x v="4"/>
    <x v="28"/>
    <n v="3989.7"/>
    <n v="4433"/>
  </r>
  <r>
    <x v="0"/>
    <s v="Бердичів"/>
    <x v="1"/>
    <s v="Побутова хімія"/>
    <s v="Засіб для посудомийних машин"/>
    <x v="2"/>
    <x v="4"/>
    <x v="28"/>
    <n v="4331.5199999999995"/>
    <n v="4608"/>
  </r>
  <r>
    <x v="1"/>
    <s v="Бердянськ"/>
    <x v="6"/>
    <s v="Побутова хімія"/>
    <s v="Засоби для догляду за меблями"/>
    <x v="2"/>
    <x v="4"/>
    <x v="28"/>
    <n v="3008.4600000000005"/>
    <n v="3458"/>
  </r>
  <r>
    <x v="1"/>
    <s v="Бердянськ"/>
    <x v="6"/>
    <s v="Товари для дому"/>
    <s v="Серветки"/>
    <x v="2"/>
    <x v="4"/>
    <x v="28"/>
    <n v="2232.5599999999995"/>
    <n v="2537"/>
  </r>
  <r>
    <x v="2"/>
    <s v="Біла Церква"/>
    <x v="7"/>
    <s v="Товари для дому"/>
    <s v="Зубочистки"/>
    <x v="2"/>
    <x v="4"/>
    <x v="28"/>
    <n v="1753.1999999999998"/>
    <n v="1948"/>
  </r>
  <r>
    <x v="2"/>
    <s v="Біла Церква"/>
    <x v="7"/>
    <s v="Товари для дому"/>
    <s v="Одноразовий посуд"/>
    <x v="2"/>
    <x v="4"/>
    <x v="28"/>
    <n v="1546.1599999999999"/>
    <n v="1757"/>
  </r>
  <r>
    <x v="2"/>
    <s v="Бориспіль"/>
    <x v="3"/>
    <s v="Косметика"/>
    <s v="Дезодорант"/>
    <x v="2"/>
    <x v="4"/>
    <x v="28"/>
    <n v="3939.4799999999996"/>
    <n v="4236"/>
  </r>
  <r>
    <x v="0"/>
    <s v="Житомир"/>
    <x v="0"/>
    <s v="Косметика"/>
    <s v="Мило"/>
    <x v="2"/>
    <x v="4"/>
    <x v="28"/>
    <n v="2856.49"/>
    <n v="3139"/>
  </r>
  <r>
    <x v="2"/>
    <s v="Ірпінь"/>
    <x v="10"/>
    <s v="Товари для дому"/>
    <s v="Серветки"/>
    <x v="2"/>
    <x v="4"/>
    <x v="28"/>
    <n v="2423.4699999999998"/>
    <n v="2723"/>
  </r>
  <r>
    <x v="2"/>
    <s v="Ірпінь"/>
    <x v="10"/>
    <s v="Товари для дому"/>
    <s v="Зубочистки"/>
    <x v="2"/>
    <x v="4"/>
    <x v="28"/>
    <n v="1950.5"/>
    <n v="2075"/>
  </r>
  <r>
    <x v="2"/>
    <s v="Київ"/>
    <x v="11"/>
    <s v="Товари для дому"/>
    <s v="Одноразовий посуд"/>
    <x v="2"/>
    <x v="4"/>
    <x v="28"/>
    <n v="2007.4599999999998"/>
    <n v="2206"/>
  </r>
  <r>
    <x v="2"/>
    <s v="Київ"/>
    <x v="11"/>
    <s v="Косметика"/>
    <s v="Шампунь"/>
    <x v="2"/>
    <x v="4"/>
    <x v="28"/>
    <n v="4082.2599999999998"/>
    <n v="4486"/>
  </r>
  <r>
    <x v="3"/>
    <s v="Одеса"/>
    <x v="4"/>
    <s v="Косметика"/>
    <s v="Дезодорант"/>
    <x v="2"/>
    <x v="4"/>
    <x v="28"/>
    <n v="2649.4500000000003"/>
    <n v="3117"/>
  </r>
  <r>
    <x v="3"/>
    <s v="Одеса"/>
    <x v="4"/>
    <s v="Косметика"/>
    <s v="Мило"/>
    <x v="2"/>
    <x v="4"/>
    <x v="28"/>
    <n v="4365.6799999999994"/>
    <n v="4961"/>
  </r>
  <r>
    <x v="4"/>
    <s v="Харків"/>
    <x v="5"/>
    <s v="Побутова хімія"/>
    <s v="Засіб для миття посуду"/>
    <x v="2"/>
    <x v="4"/>
    <x v="28"/>
    <n v="3643.74"/>
    <n v="3918"/>
  </r>
  <r>
    <x v="4"/>
    <s v="Харків"/>
    <x v="5"/>
    <s v="Побутова хімія"/>
    <s v="Засіб для посудомийних машин"/>
    <x v="2"/>
    <x v="4"/>
    <x v="28"/>
    <n v="4256.9799999999996"/>
    <n v="4678"/>
  </r>
  <r>
    <x v="3"/>
    <s v="Чорноморськ"/>
    <x v="8"/>
    <s v="Товари для дому"/>
    <s v="Серветки"/>
    <x v="2"/>
    <x v="4"/>
    <x v="28"/>
    <n v="1889.3999999999999"/>
    <n v="2010"/>
  </r>
  <r>
    <x v="4"/>
    <s v="Чугуїв"/>
    <x v="9"/>
    <s v="Товари для дому"/>
    <s v="Зубочистки"/>
    <x v="2"/>
    <x v="4"/>
    <x v="28"/>
    <n v="3050.72"/>
    <n v="3316"/>
  </r>
  <r>
    <x v="4"/>
    <s v="Чугуїв"/>
    <x v="9"/>
    <s v="Товари для дому"/>
    <s v="Одноразовий посуд"/>
    <x v="2"/>
    <x v="4"/>
    <x v="28"/>
    <n v="2513.3599999999997"/>
    <n v="2824"/>
  </r>
  <r>
    <x v="2"/>
    <s v="Біла Церква"/>
    <x v="7"/>
    <s v="Косметика"/>
    <s v="Шампунь"/>
    <x v="2"/>
    <x v="4"/>
    <x v="28"/>
    <n v="4480.74"/>
    <n v="4818"/>
  </r>
  <r>
    <x v="1"/>
    <s v="Бердянськ"/>
    <x v="6"/>
    <s v="Побутова хімія"/>
    <s v="Засіб для посудомийних машин"/>
    <x v="2"/>
    <x v="4"/>
    <x v="28"/>
    <n v="3673.9200000000005"/>
    <n v="4272"/>
  </r>
  <r>
    <x v="0"/>
    <s v="Житомир"/>
    <x v="0"/>
    <s v="Товари для дому"/>
    <s v="Одноразовий посуд"/>
    <x v="2"/>
    <x v="4"/>
    <x v="28"/>
    <n v="1966.9"/>
    <n v="2314"/>
  </r>
  <r>
    <x v="0"/>
    <s v="Житомир"/>
    <x v="0"/>
    <s v="Косметика"/>
    <s v="Шампунь"/>
    <x v="2"/>
    <x v="4"/>
    <x v="28"/>
    <n v="4777.3"/>
    <n v="5555"/>
  </r>
  <r>
    <x v="1"/>
    <s v="Запоріжжя"/>
    <x v="2"/>
    <s v="Косметика"/>
    <s v="Дезодорант"/>
    <x v="2"/>
    <x v="4"/>
    <x v="28"/>
    <n v="2849.24"/>
    <n v="3097"/>
  </r>
  <r>
    <x v="2"/>
    <s v="Ірпінь"/>
    <x v="10"/>
    <s v="Побутова хімія"/>
    <s v="Засіб для миття посуду"/>
    <x v="2"/>
    <x v="4"/>
    <x v="28"/>
    <n v="3152.8399999999997"/>
    <n v="3427"/>
  </r>
  <r>
    <x v="2"/>
    <s v="Ірпінь"/>
    <x v="10"/>
    <s v="Побутова хімія"/>
    <s v="Засіб для посудомийних машин"/>
    <x v="2"/>
    <x v="4"/>
    <x v="28"/>
    <n v="3380.0799999999995"/>
    <n v="3841"/>
  </r>
  <r>
    <x v="2"/>
    <s v="Київ"/>
    <x v="11"/>
    <s v="Побутова хімія"/>
    <s v="Засоби для догляду за меблями"/>
    <x v="2"/>
    <x v="4"/>
    <x v="28"/>
    <n v="3283.2799999999997"/>
    <n v="3608"/>
  </r>
  <r>
    <x v="2"/>
    <s v="Київ"/>
    <x v="11"/>
    <s v="Товари для дому"/>
    <s v="Серветки"/>
    <x v="2"/>
    <x v="4"/>
    <x v="28"/>
    <n v="1692.9399999999998"/>
    <n v="1801"/>
  </r>
  <r>
    <x v="2"/>
    <s v="Біла Церква"/>
    <x v="7"/>
    <s v="Товари для дому"/>
    <s v="Серветки"/>
    <x v="2"/>
    <x v="4"/>
    <x v="28"/>
    <n v="1474.9"/>
    <n v="1715"/>
  </r>
  <r>
    <x v="1"/>
    <s v="Бердянськ"/>
    <x v="6"/>
    <s v="Косметика"/>
    <s v="Мило"/>
    <x v="2"/>
    <x v="4"/>
    <x v="28"/>
    <n v="2685.7599999999998"/>
    <n v="3052"/>
  </r>
  <r>
    <x v="2"/>
    <s v="Бориспіль"/>
    <x v="3"/>
    <s v="Побутова хімія"/>
    <s v="Засіб для миття посуду"/>
    <x v="2"/>
    <x v="4"/>
    <x v="28"/>
    <n v="2901.6400000000003"/>
    <n v="3374"/>
  </r>
  <r>
    <x v="2"/>
    <s v="Бориспіль"/>
    <x v="3"/>
    <s v="Побутова хімія"/>
    <s v="Засіб для посудомийних машин"/>
    <x v="2"/>
    <x v="4"/>
    <x v="28"/>
    <n v="2725.34"/>
    <n v="3169"/>
  </r>
  <r>
    <x v="1"/>
    <s v="Запоріжжя"/>
    <x v="2"/>
    <s v="Товари для дому"/>
    <s v="Зубочистки"/>
    <x v="2"/>
    <x v="4"/>
    <x v="28"/>
    <n v="2545.64"/>
    <n v="2767"/>
  </r>
  <r>
    <x v="2"/>
    <s v="Ірпінь"/>
    <x v="10"/>
    <s v="Косметика"/>
    <s v="Шампунь"/>
    <x v="2"/>
    <x v="4"/>
    <x v="28"/>
    <n v="6233.4999999999991"/>
    <n v="6850"/>
  </r>
  <r>
    <x v="2"/>
    <s v="Ірпінь"/>
    <x v="10"/>
    <s v="Косметика"/>
    <s v="Дезодорант"/>
    <x v="2"/>
    <x v="4"/>
    <x v="28"/>
    <n v="3808.6399999999994"/>
    <n v="4328"/>
  </r>
  <r>
    <x v="2"/>
    <s v="Київ"/>
    <x v="11"/>
    <s v="Косметика"/>
    <s v="Мило"/>
    <x v="2"/>
    <x v="4"/>
    <x v="28"/>
    <n v="3694.24"/>
    <n v="4198"/>
  </r>
  <r>
    <x v="2"/>
    <s v="Київ"/>
    <x v="11"/>
    <s v="Побутова хімія"/>
    <s v="Засіб для миття посуду"/>
    <x v="2"/>
    <x v="4"/>
    <x v="28"/>
    <n v="2859.12"/>
    <n v="3249"/>
  </r>
  <r>
    <x v="3"/>
    <s v="Одеса"/>
    <x v="4"/>
    <s v="Побутова хімія"/>
    <s v="Засіб для посудомийних машин"/>
    <x v="2"/>
    <x v="4"/>
    <x v="28"/>
    <n v="4689.3"/>
    <n v="5390"/>
  </r>
  <r>
    <x v="3"/>
    <s v="Одеса"/>
    <x v="4"/>
    <s v="Побутова хімія"/>
    <s v="Засоби для догляду за меблями"/>
    <x v="2"/>
    <x v="4"/>
    <x v="28"/>
    <n v="2976.7000000000003"/>
    <n v="3502"/>
  </r>
  <r>
    <x v="4"/>
    <s v="Харків"/>
    <x v="5"/>
    <s v="Товари для дому"/>
    <s v="Серветки"/>
    <x v="2"/>
    <x v="4"/>
    <x v="28"/>
    <n v="2076.0400000000004"/>
    <n v="2414"/>
  </r>
  <r>
    <x v="3"/>
    <s v="Чорноморськ"/>
    <x v="8"/>
    <s v="Товари для дому"/>
    <s v="Одноразовий посуд"/>
    <x v="2"/>
    <x v="4"/>
    <x v="28"/>
    <n v="1925.1"/>
    <n v="2139"/>
  </r>
  <r>
    <x v="3"/>
    <s v="Чорноморськ"/>
    <x v="8"/>
    <s v="Косметика"/>
    <s v="Шампунь"/>
    <x v="2"/>
    <x v="4"/>
    <x v="28"/>
    <n v="5497.8"/>
    <n v="6468"/>
  </r>
  <r>
    <x v="4"/>
    <s v="Чугуїв"/>
    <x v="9"/>
    <s v="Косметика"/>
    <s v="Дезодорант"/>
    <x v="2"/>
    <x v="4"/>
    <x v="28"/>
    <n v="4979.04"/>
    <n v="5412"/>
  </r>
  <r>
    <x v="4"/>
    <s v="Чугуїв"/>
    <x v="9"/>
    <s v="Косметика"/>
    <s v="Мило"/>
    <x v="2"/>
    <x v="4"/>
    <x v="28"/>
    <n v="1928.9800000000002"/>
    <n v="2243"/>
  </r>
  <r>
    <x v="0"/>
    <s v="Бердичів"/>
    <x v="1"/>
    <s v="Побутова хімія"/>
    <s v="Засоби для догляду за меблями"/>
    <x v="2"/>
    <x v="4"/>
    <x v="28"/>
    <n v="3341.3599999999997"/>
    <n v="3797"/>
  </r>
  <r>
    <x v="0"/>
    <s v="Бердичів"/>
    <x v="1"/>
    <s v="Товари для дому"/>
    <s v="Серветки"/>
    <x v="2"/>
    <x v="4"/>
    <x v="28"/>
    <n v="2096.9500000000003"/>
    <n v="2467"/>
  </r>
  <r>
    <x v="1"/>
    <s v="Бердянськ"/>
    <x v="6"/>
    <s v="Товари для дому"/>
    <s v="Одноразовий посуд"/>
    <x v="2"/>
    <x v="4"/>
    <x v="28"/>
    <n v="2032.05"/>
    <n v="2185"/>
  </r>
  <r>
    <x v="2"/>
    <s v="Ірпінь"/>
    <x v="10"/>
    <s v="Косметика"/>
    <s v="Мило"/>
    <x v="2"/>
    <x v="4"/>
    <x v="28"/>
    <n v="2155.7399999999998"/>
    <n v="2318"/>
  </r>
  <r>
    <x v="2"/>
    <s v="Київ"/>
    <x v="11"/>
    <s v="Побутова хімія"/>
    <s v="Засіб для посудомийних машин"/>
    <x v="2"/>
    <x v="4"/>
    <x v="28"/>
    <n v="3734.9100000000003"/>
    <n v="4293"/>
  </r>
  <r>
    <x v="2"/>
    <s v="Біла Церква"/>
    <x v="7"/>
    <s v="Побутова хімія"/>
    <s v="Засоби для догляду за меблями"/>
    <x v="2"/>
    <x v="4"/>
    <x v="28"/>
    <n v="3559.1700000000005"/>
    <n v="4091"/>
  </r>
  <r>
    <x v="2"/>
    <s v="Бориспіль"/>
    <x v="3"/>
    <s v="Косметика"/>
    <s v="Мило"/>
    <x v="2"/>
    <x v="4"/>
    <x v="28"/>
    <n v="3563.5599999999995"/>
    <n v="3916"/>
  </r>
  <r>
    <x v="2"/>
    <s v="Ірпінь"/>
    <x v="10"/>
    <s v="Товари для дому"/>
    <s v="Одноразовий посуд"/>
    <x v="2"/>
    <x v="4"/>
    <x v="28"/>
    <n v="1567.02"/>
    <n v="1722"/>
  </r>
  <r>
    <x v="2"/>
    <s v="Київ"/>
    <x v="11"/>
    <s v="Косметика"/>
    <s v="Дезодорант"/>
    <x v="2"/>
    <x v="4"/>
    <x v="28"/>
    <n v="2626.6"/>
    <n v="2855"/>
  </r>
  <r>
    <x v="3"/>
    <s v="Одеса"/>
    <x v="4"/>
    <s v="Побутова хімія"/>
    <s v="Засіб для миття посуду"/>
    <x v="2"/>
    <x v="4"/>
    <x v="28"/>
    <n v="3601.7999999999997"/>
    <n v="4002"/>
  </r>
  <r>
    <x v="4"/>
    <s v="Харків"/>
    <x v="5"/>
    <s v="Побутова хімія"/>
    <s v="Засоби для догляду за меблями"/>
    <x v="2"/>
    <x v="4"/>
    <x v="28"/>
    <n v="2840.6399999999994"/>
    <n v="3228"/>
  </r>
  <r>
    <x v="3"/>
    <s v="Чорноморськ"/>
    <x v="8"/>
    <s v="Товари для дому"/>
    <s v="Зубочистки"/>
    <x v="2"/>
    <x v="4"/>
    <x v="28"/>
    <n v="2877.09"/>
    <n v="3307"/>
  </r>
  <r>
    <x v="4"/>
    <s v="Чугуїв"/>
    <x v="9"/>
    <s v="Косметика"/>
    <s v="Шампунь"/>
    <x v="2"/>
    <x v="4"/>
    <x v="28"/>
    <n v="4090.1600000000003"/>
    <n v="4756"/>
  </r>
  <r>
    <x v="2"/>
    <s v="Ірпінь"/>
    <x v="10"/>
    <s v="Побутова хімія"/>
    <s v="Засоби для догляду за меблями"/>
    <x v="2"/>
    <x v="4"/>
    <x v="28"/>
    <n v="3114.4000000000005"/>
    <n v="3664"/>
  </r>
  <r>
    <x v="2"/>
    <s v="Київ"/>
    <x v="11"/>
    <s v="Товари для дому"/>
    <s v="Зубочистки"/>
    <x v="2"/>
    <x v="4"/>
    <x v="28"/>
    <n v="2866.72"/>
    <n v="3116"/>
  </r>
  <r>
    <x v="0"/>
    <s v="Житомир"/>
    <x v="0"/>
    <s v="Товари для дому"/>
    <s v="Зубочистки"/>
    <x v="2"/>
    <x v="5"/>
    <x v="29"/>
    <n v="2444.7000000000003"/>
    <n v="2810"/>
  </r>
  <r>
    <x v="0"/>
    <s v="Бердичів"/>
    <x v="1"/>
    <s v="Товари для дому"/>
    <s v="Зубочистки"/>
    <x v="2"/>
    <x v="5"/>
    <x v="29"/>
    <n v="2674.9500000000003"/>
    <n v="3147"/>
  </r>
  <r>
    <x v="0"/>
    <s v="Бердичів"/>
    <x v="1"/>
    <s v="Косметика"/>
    <s v="Дезодорант"/>
    <x v="2"/>
    <x v="5"/>
    <x v="29"/>
    <n v="3625.14"/>
    <n v="3898"/>
  </r>
  <r>
    <x v="0"/>
    <s v="Житомир"/>
    <x v="0"/>
    <s v="Косметика"/>
    <s v="Дезодорант"/>
    <x v="2"/>
    <x v="5"/>
    <x v="29"/>
    <n v="3035.7"/>
    <n v="3373"/>
  </r>
  <r>
    <x v="0"/>
    <s v="Житомир"/>
    <x v="0"/>
    <s v="Побутова хімія"/>
    <s v="Засіб для миття посуду"/>
    <x v="2"/>
    <x v="5"/>
    <x v="29"/>
    <n v="4542.04"/>
    <n v="4937"/>
  </r>
  <r>
    <x v="1"/>
    <s v="Запоріжжя"/>
    <x v="2"/>
    <s v="Побутова хімія"/>
    <s v="Засіб для посудомийних машин"/>
    <x v="2"/>
    <x v="5"/>
    <x v="29"/>
    <n v="4024.8"/>
    <n v="4680"/>
  </r>
  <r>
    <x v="2"/>
    <s v="Бориспіль"/>
    <x v="3"/>
    <s v="Побутова хімія"/>
    <s v="Засоби для догляду за меблями"/>
    <x v="2"/>
    <x v="5"/>
    <x v="29"/>
    <n v="2903.6000000000004"/>
    <n v="3416"/>
  </r>
  <r>
    <x v="3"/>
    <s v="Одеса"/>
    <x v="4"/>
    <s v="Товари для дому"/>
    <s v="Серветки"/>
    <x v="2"/>
    <x v="5"/>
    <x v="29"/>
    <n v="1532.6999999999998"/>
    <n v="1703"/>
  </r>
  <r>
    <x v="4"/>
    <s v="Харків"/>
    <x v="5"/>
    <s v="Товари для дому"/>
    <s v="Зубочистки"/>
    <x v="2"/>
    <x v="5"/>
    <x v="29"/>
    <n v="2719.52"/>
    <n v="2956"/>
  </r>
  <r>
    <x v="0"/>
    <s v="Бердичів"/>
    <x v="1"/>
    <s v="Товари для дому"/>
    <s v="Одноразовий посуд"/>
    <x v="2"/>
    <x v="5"/>
    <x v="29"/>
    <n v="2380.7499999999995"/>
    <n v="2675"/>
  </r>
  <r>
    <x v="1"/>
    <s v="Бердянськ"/>
    <x v="6"/>
    <s v="Косметика"/>
    <s v="Шампунь"/>
    <x v="2"/>
    <x v="5"/>
    <x v="29"/>
    <n v="5780.85"/>
    <n v="6801"/>
  </r>
  <r>
    <x v="2"/>
    <s v="Біла Церква"/>
    <x v="7"/>
    <s v="Косметика"/>
    <s v="Дезодорант"/>
    <x v="2"/>
    <x v="5"/>
    <x v="29"/>
    <n v="3128.5200000000004"/>
    <n v="3596"/>
  </r>
  <r>
    <x v="3"/>
    <s v="Чорноморськ"/>
    <x v="8"/>
    <s v="Косметика"/>
    <s v="Мило"/>
    <x v="2"/>
    <x v="5"/>
    <x v="29"/>
    <n v="2185.8199999999997"/>
    <n v="2402"/>
  </r>
  <r>
    <x v="4"/>
    <s v="Чугуїв"/>
    <x v="9"/>
    <s v="Побутова хімія"/>
    <s v="Засіб для миття посуду"/>
    <x v="2"/>
    <x v="5"/>
    <x v="29"/>
    <n v="3177.68"/>
    <n v="3454"/>
  </r>
  <r>
    <x v="0"/>
    <s v="Житомир"/>
    <x v="0"/>
    <s v="Побутова хімія"/>
    <s v="Засіб для посудомийних машин"/>
    <x v="2"/>
    <x v="5"/>
    <x v="29"/>
    <n v="3553.9599999999996"/>
    <n v="3863"/>
  </r>
  <r>
    <x v="1"/>
    <s v="Запоріжжя"/>
    <x v="2"/>
    <s v="Побутова хімія"/>
    <s v="Засоби для догляду за меблями"/>
    <x v="2"/>
    <x v="5"/>
    <x v="29"/>
    <n v="3178.1899999999996"/>
    <n v="3571"/>
  </r>
  <r>
    <x v="2"/>
    <s v="Бориспіль"/>
    <x v="3"/>
    <s v="Товари для дому"/>
    <s v="Серветки"/>
    <x v="2"/>
    <x v="5"/>
    <x v="29"/>
    <n v="2504.4599999999996"/>
    <n v="2814"/>
  </r>
  <r>
    <x v="3"/>
    <s v="Одеса"/>
    <x v="4"/>
    <s v="Товари для дому"/>
    <s v="Зубочистки"/>
    <x v="2"/>
    <x v="5"/>
    <x v="29"/>
    <n v="1888.2499999999998"/>
    <n v="2075"/>
  </r>
  <r>
    <x v="4"/>
    <s v="Харків"/>
    <x v="5"/>
    <s v="Товари для дому"/>
    <s v="Одноразовий посуд"/>
    <x v="2"/>
    <x v="5"/>
    <x v="29"/>
    <n v="1430.6"/>
    <n v="1555"/>
  </r>
  <r>
    <x v="0"/>
    <s v="Бердичів"/>
    <x v="1"/>
    <s v="Косметика"/>
    <s v="Шампунь"/>
    <x v="2"/>
    <x v="5"/>
    <x v="29"/>
    <n v="3918.2799999999997"/>
    <n v="4259"/>
  </r>
  <r>
    <x v="1"/>
    <s v="Бердянськ"/>
    <x v="6"/>
    <s v="Косметика"/>
    <s v="Дезодорант"/>
    <x v="2"/>
    <x v="5"/>
    <x v="29"/>
    <n v="2439.3599999999997"/>
    <n v="2772"/>
  </r>
  <r>
    <x v="2"/>
    <s v="Біла Церква"/>
    <x v="7"/>
    <s v="Косметика"/>
    <s v="Мило"/>
    <x v="2"/>
    <x v="5"/>
    <x v="29"/>
    <n v="4206.6500000000005"/>
    <n v="4949"/>
  </r>
  <r>
    <x v="3"/>
    <s v="Чорноморськ"/>
    <x v="8"/>
    <s v="Побутова хімія"/>
    <s v="Засіб для миття посуду"/>
    <x v="2"/>
    <x v="5"/>
    <x v="29"/>
    <n v="4447.33"/>
    <n v="4997"/>
  </r>
  <r>
    <x v="4"/>
    <s v="Чугуїв"/>
    <x v="9"/>
    <s v="Побутова хімія"/>
    <s v="Засіб для посудомийних машин"/>
    <x v="2"/>
    <x v="5"/>
    <x v="29"/>
    <n v="3496.22"/>
    <n v="3842"/>
  </r>
  <r>
    <x v="0"/>
    <s v="Житомир"/>
    <x v="0"/>
    <s v="Побутова хімія"/>
    <s v="Засоби для догляду за меблями"/>
    <x v="2"/>
    <x v="5"/>
    <x v="29"/>
    <n v="2680.4799999999996"/>
    <n v="3046"/>
  </r>
  <r>
    <x v="1"/>
    <s v="Запоріжжя"/>
    <x v="2"/>
    <s v="Товари для дому"/>
    <s v="Серветки"/>
    <x v="2"/>
    <x v="5"/>
    <x v="29"/>
    <n v="2253.1799999999998"/>
    <n v="2397"/>
  </r>
  <r>
    <x v="2"/>
    <s v="Бориспіль"/>
    <x v="3"/>
    <s v="Товари для дому"/>
    <s v="Зубочистки"/>
    <x v="2"/>
    <x v="5"/>
    <x v="29"/>
    <n v="1637.48"/>
    <n v="1742"/>
  </r>
  <r>
    <x v="3"/>
    <s v="Одеса"/>
    <x v="4"/>
    <s v="Товари для дому"/>
    <s v="Одноразовий посуд"/>
    <x v="2"/>
    <x v="5"/>
    <x v="29"/>
    <n v="1194.5100000000002"/>
    <n v="1373"/>
  </r>
  <r>
    <x v="4"/>
    <s v="Харків"/>
    <x v="5"/>
    <s v="Косметика"/>
    <s v="Шампунь"/>
    <x v="2"/>
    <x v="5"/>
    <x v="29"/>
    <n v="5056.32"/>
    <n v="5496"/>
  </r>
  <r>
    <x v="1"/>
    <s v="Запоріжжя"/>
    <x v="2"/>
    <s v="Косметика"/>
    <s v="Мило"/>
    <x v="2"/>
    <x v="5"/>
    <x v="29"/>
    <n v="1855.6499999999999"/>
    <n v="2085"/>
  </r>
  <r>
    <x v="2"/>
    <s v="Біла Церква"/>
    <x v="7"/>
    <s v="Побутова хімія"/>
    <s v="Засіб для миття посуду"/>
    <x v="2"/>
    <x v="5"/>
    <x v="29"/>
    <n v="3643.1000000000004"/>
    <n v="4286"/>
  </r>
  <r>
    <x v="3"/>
    <s v="Чорноморськ"/>
    <x v="8"/>
    <s v="Побутова хімія"/>
    <s v="Засіб для посудомийних машин"/>
    <x v="2"/>
    <x v="5"/>
    <x v="29"/>
    <n v="4426.12"/>
    <n v="4811"/>
  </r>
  <r>
    <x v="4"/>
    <s v="Чугуїв"/>
    <x v="9"/>
    <s v="Побутова хімія"/>
    <s v="Засоби для догляду за меблями"/>
    <x v="2"/>
    <x v="5"/>
    <x v="29"/>
    <n v="2794.62"/>
    <n v="2973"/>
  </r>
  <r>
    <x v="0"/>
    <s v="Житомир"/>
    <x v="0"/>
    <s v="Товари для дому"/>
    <s v="Серветки"/>
    <x v="2"/>
    <x v="5"/>
    <x v="29"/>
    <n v="2347.7999999999997"/>
    <n v="2580"/>
  </r>
  <r>
    <x v="1"/>
    <s v="Бердянськ"/>
    <x v="6"/>
    <s v="Товари для дому"/>
    <s v="Зубочистки"/>
    <x v="2"/>
    <x v="5"/>
    <x v="29"/>
    <n v="1589.2800000000002"/>
    <n v="1848"/>
  </r>
  <r>
    <x v="2"/>
    <s v="Бориспіль"/>
    <x v="3"/>
    <s v="Товари для дому"/>
    <s v="Одноразовий посуд"/>
    <x v="2"/>
    <x v="5"/>
    <x v="29"/>
    <n v="1515.6"/>
    <n v="1684"/>
  </r>
  <r>
    <x v="3"/>
    <s v="Одеса"/>
    <x v="4"/>
    <s v="Косметика"/>
    <s v="Шампунь"/>
    <x v="2"/>
    <x v="5"/>
    <x v="29"/>
    <n v="5668.2"/>
    <n v="6030"/>
  </r>
  <r>
    <x v="4"/>
    <s v="Харків"/>
    <x v="5"/>
    <s v="Косметика"/>
    <s v="Дезодорант"/>
    <x v="2"/>
    <x v="5"/>
    <x v="29"/>
    <n v="4527.8999999999996"/>
    <n v="5031"/>
  </r>
  <r>
    <x v="0"/>
    <s v="Бердичів"/>
    <x v="1"/>
    <s v="Косметика"/>
    <s v="Мило"/>
    <x v="2"/>
    <x v="5"/>
    <x v="29"/>
    <n v="4648.1399999999994"/>
    <n v="4998"/>
  </r>
  <r>
    <x v="1"/>
    <s v="Запоріжжя"/>
    <x v="2"/>
    <s v="Побутова хімія"/>
    <s v="Засіб для миття посуду"/>
    <x v="2"/>
    <x v="5"/>
    <x v="29"/>
    <n v="4541.1399999999994"/>
    <n v="4831"/>
  </r>
  <r>
    <x v="2"/>
    <s v="Біла Церква"/>
    <x v="7"/>
    <s v="Побутова хімія"/>
    <s v="Засіб для посудомийних машин"/>
    <x v="2"/>
    <x v="5"/>
    <x v="29"/>
    <n v="4182.2999999999993"/>
    <n v="4647"/>
  </r>
  <r>
    <x v="3"/>
    <s v="Чорноморськ"/>
    <x v="8"/>
    <s v="Побутова хімія"/>
    <s v="Засоби для догляду за меблями"/>
    <x v="2"/>
    <x v="5"/>
    <x v="29"/>
    <n v="3816.3999999999996"/>
    <n v="4060"/>
  </r>
  <r>
    <x v="4"/>
    <s v="Чугуїв"/>
    <x v="9"/>
    <s v="Товари для дому"/>
    <s v="Серветки"/>
    <x v="2"/>
    <x v="5"/>
    <x v="29"/>
    <n v="1690.4100000000003"/>
    <n v="1943"/>
  </r>
  <r>
    <x v="1"/>
    <s v="Запоріжжя"/>
    <x v="2"/>
    <s v="Товари для дому"/>
    <s v="Одноразовий посуд"/>
    <x v="2"/>
    <x v="5"/>
    <x v="29"/>
    <n v="1355.1599999999999"/>
    <n v="1473"/>
  </r>
  <r>
    <x v="2"/>
    <s v="Бориспіль"/>
    <x v="3"/>
    <s v="Косметика"/>
    <s v="Шампунь"/>
    <x v="2"/>
    <x v="5"/>
    <x v="29"/>
    <n v="5236.1399999999994"/>
    <n v="5754"/>
  </r>
  <r>
    <x v="3"/>
    <s v="Чорноморськ"/>
    <x v="8"/>
    <s v="Косметика"/>
    <s v="Дезодорант"/>
    <x v="2"/>
    <x v="5"/>
    <x v="29"/>
    <n v="2298.5599999999995"/>
    <n v="2612"/>
  </r>
  <r>
    <x v="4"/>
    <s v="Харків"/>
    <x v="5"/>
    <s v="Косметика"/>
    <s v="Мило"/>
    <x v="2"/>
    <x v="5"/>
    <x v="29"/>
    <n v="2120.87"/>
    <n v="2383"/>
  </r>
  <r>
    <x v="0"/>
    <s v="Бердичів"/>
    <x v="1"/>
    <s v="Побутова хімія"/>
    <s v="Засіб для миття посуду"/>
    <x v="2"/>
    <x v="5"/>
    <x v="29"/>
    <n v="3949.8799999999997"/>
    <n v="4202"/>
  </r>
  <r>
    <x v="0"/>
    <s v="Бердичів"/>
    <x v="1"/>
    <s v="Побутова хімія"/>
    <s v="Засіб для посудомийних машин"/>
    <x v="2"/>
    <x v="5"/>
    <x v="29"/>
    <n v="2400.33"/>
    <n v="2697"/>
  </r>
  <r>
    <x v="1"/>
    <s v="Бердянськ"/>
    <x v="6"/>
    <s v="Побутова хімія"/>
    <s v="Засоби для догляду за меблями"/>
    <x v="2"/>
    <x v="5"/>
    <x v="29"/>
    <n v="3051.24"/>
    <n v="3246"/>
  </r>
  <r>
    <x v="1"/>
    <s v="Бердянськ"/>
    <x v="6"/>
    <s v="Товари для дому"/>
    <s v="Серветки"/>
    <x v="2"/>
    <x v="5"/>
    <x v="29"/>
    <n v="1420.7200000000003"/>
    <n v="1652"/>
  </r>
  <r>
    <x v="2"/>
    <s v="Біла Церква"/>
    <x v="7"/>
    <s v="Товари для дому"/>
    <s v="Зубочистки"/>
    <x v="2"/>
    <x v="5"/>
    <x v="29"/>
    <n v="1660.04"/>
    <n v="1766"/>
  </r>
  <r>
    <x v="2"/>
    <s v="Біла Церква"/>
    <x v="7"/>
    <s v="Товари для дому"/>
    <s v="Одноразовий посуд"/>
    <x v="2"/>
    <x v="5"/>
    <x v="29"/>
    <n v="1874.8500000000004"/>
    <n v="2155"/>
  </r>
  <r>
    <x v="2"/>
    <s v="Бориспіль"/>
    <x v="3"/>
    <s v="Косметика"/>
    <s v="Дезодорант"/>
    <x v="2"/>
    <x v="5"/>
    <x v="29"/>
    <n v="4726.7999999999993"/>
    <n v="5252"/>
  </r>
  <r>
    <x v="0"/>
    <s v="Житомир"/>
    <x v="0"/>
    <s v="Косметика"/>
    <s v="Мило"/>
    <x v="2"/>
    <x v="5"/>
    <x v="29"/>
    <n v="3846.5699999999997"/>
    <n v="4227"/>
  </r>
  <r>
    <x v="2"/>
    <s v="Ірпінь"/>
    <x v="10"/>
    <s v="Товари для дому"/>
    <s v="Серветки"/>
    <x v="2"/>
    <x v="5"/>
    <x v="29"/>
    <n v="1649.6999999999998"/>
    <n v="1755"/>
  </r>
  <r>
    <x v="2"/>
    <s v="Ірпінь"/>
    <x v="10"/>
    <s v="Товари для дому"/>
    <s v="Зубочистки"/>
    <x v="2"/>
    <x v="5"/>
    <x v="29"/>
    <n v="2433.66"/>
    <n v="2589"/>
  </r>
  <r>
    <x v="2"/>
    <s v="Київ"/>
    <x v="11"/>
    <s v="Товари для дому"/>
    <s v="Одноразовий посуд"/>
    <x v="2"/>
    <x v="5"/>
    <x v="29"/>
    <n v="1336.2"/>
    <n v="1572"/>
  </r>
  <r>
    <x v="2"/>
    <s v="Київ"/>
    <x v="11"/>
    <s v="Косметика"/>
    <s v="Шампунь"/>
    <x v="2"/>
    <x v="5"/>
    <x v="29"/>
    <n v="5582.8000000000011"/>
    <n v="6568"/>
  </r>
  <r>
    <x v="3"/>
    <s v="Одеса"/>
    <x v="4"/>
    <s v="Косметика"/>
    <s v="Дезодорант"/>
    <x v="2"/>
    <x v="5"/>
    <x v="29"/>
    <n v="4049.7400000000007"/>
    <n v="4709"/>
  </r>
  <r>
    <x v="3"/>
    <s v="Одеса"/>
    <x v="4"/>
    <s v="Косметика"/>
    <s v="Мило"/>
    <x v="2"/>
    <x v="5"/>
    <x v="29"/>
    <n v="3917.6100000000006"/>
    <n v="4503"/>
  </r>
  <r>
    <x v="4"/>
    <s v="Харків"/>
    <x v="5"/>
    <s v="Побутова хімія"/>
    <s v="Засіб для миття посуду"/>
    <x v="2"/>
    <x v="5"/>
    <x v="29"/>
    <n v="3050.9999999999995"/>
    <n v="3390"/>
  </r>
  <r>
    <x v="4"/>
    <s v="Харків"/>
    <x v="5"/>
    <s v="Побутова хімія"/>
    <s v="Засіб для посудомийних машин"/>
    <x v="2"/>
    <x v="5"/>
    <x v="29"/>
    <n v="4256.9100000000008"/>
    <n v="4893"/>
  </r>
  <r>
    <x v="3"/>
    <s v="Чорноморськ"/>
    <x v="8"/>
    <s v="Товари для дому"/>
    <s v="Серветки"/>
    <x v="2"/>
    <x v="5"/>
    <x v="29"/>
    <n v="2482.8500000000004"/>
    <n v="2921"/>
  </r>
  <r>
    <x v="4"/>
    <s v="Чугуїв"/>
    <x v="9"/>
    <s v="Товари для дому"/>
    <s v="Зубочистки"/>
    <x v="2"/>
    <x v="5"/>
    <x v="29"/>
    <n v="1966.0099999999998"/>
    <n v="2209"/>
  </r>
  <r>
    <x v="4"/>
    <s v="Чугуїв"/>
    <x v="9"/>
    <s v="Товари для дому"/>
    <s v="Одноразовий посуд"/>
    <x v="2"/>
    <x v="5"/>
    <x v="29"/>
    <n v="1831.12"/>
    <n v="1948"/>
  </r>
  <r>
    <x v="2"/>
    <s v="Біла Церква"/>
    <x v="7"/>
    <s v="Косметика"/>
    <s v="Шампунь"/>
    <x v="2"/>
    <x v="5"/>
    <x v="29"/>
    <n v="4680.9500000000007"/>
    <n v="5507"/>
  </r>
  <r>
    <x v="1"/>
    <s v="Бердянськ"/>
    <x v="6"/>
    <s v="Побутова хімія"/>
    <s v="Засіб для посудомийних машин"/>
    <x v="2"/>
    <x v="5"/>
    <x v="29"/>
    <n v="2763.3500000000004"/>
    <n v="3251"/>
  </r>
  <r>
    <x v="0"/>
    <s v="Житомир"/>
    <x v="0"/>
    <s v="Товари для дому"/>
    <s v="Одноразовий посуд"/>
    <x v="2"/>
    <x v="5"/>
    <x v="29"/>
    <n v="1801.04"/>
    <n v="1916"/>
  </r>
  <r>
    <x v="0"/>
    <s v="Житомир"/>
    <x v="0"/>
    <s v="Косметика"/>
    <s v="Шампунь"/>
    <x v="2"/>
    <x v="5"/>
    <x v="29"/>
    <n v="5122.5599999999995"/>
    <n v="5568"/>
  </r>
  <r>
    <x v="1"/>
    <s v="Запоріжжя"/>
    <x v="2"/>
    <s v="Косметика"/>
    <s v="Дезодорант"/>
    <x v="2"/>
    <x v="5"/>
    <x v="29"/>
    <n v="3604.0000000000005"/>
    <n v="4240"/>
  </r>
  <r>
    <x v="2"/>
    <s v="Ірпінь"/>
    <x v="10"/>
    <s v="Побутова хімія"/>
    <s v="Засіб для миття посуду"/>
    <x v="2"/>
    <x v="5"/>
    <x v="29"/>
    <n v="3811.2799999999997"/>
    <n v="4331"/>
  </r>
  <r>
    <x v="2"/>
    <s v="Ірпінь"/>
    <x v="10"/>
    <s v="Побутова хімія"/>
    <s v="Засіб для посудомийних машин"/>
    <x v="2"/>
    <x v="5"/>
    <x v="29"/>
    <n v="3516.3899999999994"/>
    <n v="3951"/>
  </r>
  <r>
    <x v="2"/>
    <s v="Київ"/>
    <x v="11"/>
    <s v="Побутова хімія"/>
    <s v="Засоби для догляду за меблями"/>
    <x v="2"/>
    <x v="5"/>
    <x v="29"/>
    <n v="3290.3500000000004"/>
    <n v="3871"/>
  </r>
  <r>
    <x v="2"/>
    <s v="Київ"/>
    <x v="11"/>
    <s v="Товари для дому"/>
    <s v="Серветки"/>
    <x v="2"/>
    <x v="5"/>
    <x v="29"/>
    <n v="2032.7599999999998"/>
    <n v="2284"/>
  </r>
  <r>
    <x v="2"/>
    <s v="Біла Церква"/>
    <x v="7"/>
    <s v="Товари для дому"/>
    <s v="Серветки"/>
    <x v="2"/>
    <x v="5"/>
    <x v="29"/>
    <n v="2478.4499999999998"/>
    <n v="2665"/>
  </r>
  <r>
    <x v="1"/>
    <s v="Бердянськ"/>
    <x v="6"/>
    <s v="Косметика"/>
    <s v="Мило"/>
    <x v="2"/>
    <x v="5"/>
    <x v="29"/>
    <n v="2319.42"/>
    <n v="2494"/>
  </r>
  <r>
    <x v="2"/>
    <s v="Бориспіль"/>
    <x v="3"/>
    <s v="Побутова хімія"/>
    <s v="Засіб для миття посуду"/>
    <x v="2"/>
    <x v="5"/>
    <x v="29"/>
    <n v="3019.4999999999995"/>
    <n v="3355"/>
  </r>
  <r>
    <x v="2"/>
    <s v="Бориспіль"/>
    <x v="3"/>
    <s v="Побутова хімія"/>
    <s v="Засіб для посудомийних машин"/>
    <x v="2"/>
    <x v="5"/>
    <x v="29"/>
    <n v="2430.7800000000002"/>
    <n v="2794"/>
  </r>
  <r>
    <x v="1"/>
    <s v="Запоріжжя"/>
    <x v="2"/>
    <s v="Товари для дому"/>
    <s v="Зубочистки"/>
    <x v="2"/>
    <x v="5"/>
    <x v="29"/>
    <n v="1343.3200000000002"/>
    <n v="1562"/>
  </r>
  <r>
    <x v="2"/>
    <s v="Ірпінь"/>
    <x v="10"/>
    <s v="Косметика"/>
    <s v="Шампунь"/>
    <x v="2"/>
    <x v="5"/>
    <x v="29"/>
    <n v="5487.2999999999993"/>
    <n v="6097"/>
  </r>
  <r>
    <x v="2"/>
    <s v="Ірпінь"/>
    <x v="10"/>
    <s v="Косметика"/>
    <s v="Дезодорант"/>
    <x v="2"/>
    <x v="5"/>
    <x v="29"/>
    <n v="4227.1799999999994"/>
    <n v="4497"/>
  </r>
  <r>
    <x v="2"/>
    <s v="Київ"/>
    <x v="11"/>
    <s v="Косметика"/>
    <s v="Мило"/>
    <x v="2"/>
    <x v="5"/>
    <x v="29"/>
    <n v="4182.6399999999994"/>
    <n v="4753"/>
  </r>
  <r>
    <x v="2"/>
    <s v="Київ"/>
    <x v="11"/>
    <s v="Побутова хімія"/>
    <s v="Засіб для миття посуду"/>
    <x v="2"/>
    <x v="5"/>
    <x v="29"/>
    <n v="2870.13"/>
    <n v="3299"/>
  </r>
  <r>
    <x v="3"/>
    <s v="Одеса"/>
    <x v="4"/>
    <s v="Побутова хімія"/>
    <s v="Засіб для посудомийних машин"/>
    <x v="2"/>
    <x v="5"/>
    <x v="29"/>
    <n v="3442.64"/>
    <n v="3742"/>
  </r>
  <r>
    <x v="3"/>
    <s v="Одеса"/>
    <x v="4"/>
    <s v="Побутова хімія"/>
    <s v="Засоби для догляду за меблями"/>
    <x v="2"/>
    <x v="5"/>
    <x v="29"/>
    <n v="3412.6399999999994"/>
    <n v="3878"/>
  </r>
  <r>
    <x v="4"/>
    <s v="Харків"/>
    <x v="5"/>
    <s v="Товари для дому"/>
    <s v="Серветки"/>
    <x v="2"/>
    <x v="5"/>
    <x v="29"/>
    <n v="1829.6999999999998"/>
    <n v="2033"/>
  </r>
  <r>
    <x v="3"/>
    <s v="Чорноморськ"/>
    <x v="8"/>
    <s v="Товари для дому"/>
    <s v="Одноразовий посуд"/>
    <x v="2"/>
    <x v="5"/>
    <x v="29"/>
    <n v="1479.1799999999998"/>
    <n v="1662"/>
  </r>
  <r>
    <x v="3"/>
    <s v="Чорноморськ"/>
    <x v="8"/>
    <s v="Косметика"/>
    <s v="Шампунь"/>
    <x v="2"/>
    <x v="5"/>
    <x v="29"/>
    <n v="3893.7499999999995"/>
    <n v="4375"/>
  </r>
  <r>
    <x v="4"/>
    <s v="Чугуїв"/>
    <x v="9"/>
    <s v="Косметика"/>
    <s v="Дезодорант"/>
    <x v="2"/>
    <x v="5"/>
    <x v="29"/>
    <n v="4798.4299999999994"/>
    <n v="5273"/>
  </r>
  <r>
    <x v="4"/>
    <s v="Чугуїв"/>
    <x v="9"/>
    <s v="Косметика"/>
    <s v="Мило"/>
    <x v="2"/>
    <x v="5"/>
    <x v="29"/>
    <n v="4208.75"/>
    <n v="4625"/>
  </r>
  <r>
    <x v="0"/>
    <s v="Бердичів"/>
    <x v="1"/>
    <s v="Побутова хімія"/>
    <s v="Засоби для догляду за меблями"/>
    <x v="2"/>
    <x v="5"/>
    <x v="29"/>
    <n v="2649.0099999999998"/>
    <n v="2911"/>
  </r>
  <r>
    <x v="0"/>
    <s v="Бердичів"/>
    <x v="1"/>
    <s v="Товари для дому"/>
    <s v="Серветки"/>
    <x v="2"/>
    <x v="5"/>
    <x v="29"/>
    <n v="2368.08"/>
    <n v="2691"/>
  </r>
  <r>
    <x v="1"/>
    <s v="Бердянськ"/>
    <x v="6"/>
    <s v="Товари для дому"/>
    <s v="Одноразовий посуд"/>
    <x v="2"/>
    <x v="5"/>
    <x v="29"/>
    <n v="1255.8"/>
    <n v="1380"/>
  </r>
  <r>
    <x v="2"/>
    <s v="Ірпінь"/>
    <x v="10"/>
    <s v="Косметика"/>
    <s v="Мило"/>
    <x v="2"/>
    <x v="5"/>
    <x v="29"/>
    <n v="2097.6"/>
    <n v="2280"/>
  </r>
  <r>
    <x v="2"/>
    <s v="Київ"/>
    <x v="11"/>
    <s v="Побутова хімія"/>
    <s v="Засіб для посудомийних машин"/>
    <x v="2"/>
    <x v="5"/>
    <x v="29"/>
    <n v="3907.5399999999995"/>
    <n v="4294"/>
  </r>
  <r>
    <x v="2"/>
    <s v="Біла Церква"/>
    <x v="7"/>
    <s v="Побутова хімія"/>
    <s v="Засоби для догляду за меблями"/>
    <x v="2"/>
    <x v="5"/>
    <x v="29"/>
    <n v="3647.7999999999997"/>
    <n v="3965"/>
  </r>
  <r>
    <x v="2"/>
    <s v="Бориспіль"/>
    <x v="3"/>
    <s v="Косметика"/>
    <s v="Мило"/>
    <x v="2"/>
    <x v="5"/>
    <x v="29"/>
    <n v="3822.7800000000007"/>
    <n v="4394"/>
  </r>
  <r>
    <x v="2"/>
    <s v="Ірпінь"/>
    <x v="10"/>
    <s v="Товари для дому"/>
    <s v="Одноразовий посуд"/>
    <x v="2"/>
    <x v="5"/>
    <x v="29"/>
    <n v="2021.88"/>
    <n v="2324"/>
  </r>
  <r>
    <x v="2"/>
    <s v="Київ"/>
    <x v="11"/>
    <s v="Косметика"/>
    <s v="Дезодорант"/>
    <x v="2"/>
    <x v="5"/>
    <x v="29"/>
    <n v="3598.1699999999996"/>
    <n v="3869"/>
  </r>
  <r>
    <x v="3"/>
    <s v="Одеса"/>
    <x v="4"/>
    <s v="Побутова хімія"/>
    <s v="Засіб для миття посуду"/>
    <x v="2"/>
    <x v="5"/>
    <x v="29"/>
    <n v="4261.5"/>
    <n v="4735"/>
  </r>
  <r>
    <x v="4"/>
    <s v="Харків"/>
    <x v="5"/>
    <s v="Побутова хімія"/>
    <s v="Засоби для догляду за меблями"/>
    <x v="2"/>
    <x v="5"/>
    <x v="29"/>
    <n v="3003.7499999999995"/>
    <n v="3375"/>
  </r>
  <r>
    <x v="3"/>
    <s v="Чорноморськ"/>
    <x v="8"/>
    <s v="Товари для дому"/>
    <s v="Зубочистки"/>
    <x v="2"/>
    <x v="5"/>
    <x v="29"/>
    <n v="1862.1"/>
    <n v="2069"/>
  </r>
  <r>
    <x v="4"/>
    <s v="Чугуїв"/>
    <x v="9"/>
    <s v="Косметика"/>
    <s v="Шампунь"/>
    <x v="2"/>
    <x v="5"/>
    <x v="29"/>
    <n v="4921.7"/>
    <n v="5530"/>
  </r>
  <r>
    <x v="2"/>
    <s v="Ірпінь"/>
    <x v="10"/>
    <s v="Побутова хімія"/>
    <s v="Засоби для догляду за меблями"/>
    <x v="2"/>
    <x v="5"/>
    <x v="29"/>
    <n v="2563.6600000000003"/>
    <n v="2981"/>
  </r>
  <r>
    <x v="2"/>
    <s v="Київ"/>
    <x v="11"/>
    <s v="Товари для дому"/>
    <s v="Зубочистки"/>
    <x v="2"/>
    <x v="5"/>
    <x v="29"/>
    <n v="2220.5499999999997"/>
    <n v="2495"/>
  </r>
  <r>
    <x v="0"/>
    <s v="Житомир"/>
    <x v="0"/>
    <s v="Товари для дому"/>
    <s v="Зубочистки"/>
    <x v="2"/>
    <x v="6"/>
    <x v="30"/>
    <n v="1529.9099999999999"/>
    <n v="1719"/>
  </r>
  <r>
    <x v="0"/>
    <s v="Бердичів"/>
    <x v="1"/>
    <s v="Товари для дому"/>
    <s v="Зубочистки"/>
    <x v="2"/>
    <x v="6"/>
    <x v="30"/>
    <n v="1479.1799999999998"/>
    <n v="1662"/>
  </r>
  <r>
    <x v="0"/>
    <s v="Бердичів"/>
    <x v="1"/>
    <s v="Косметика"/>
    <s v="Дезодорант"/>
    <x v="2"/>
    <x v="6"/>
    <x v="30"/>
    <n v="3410.76"/>
    <n v="3966"/>
  </r>
  <r>
    <x v="0"/>
    <s v="Житомир"/>
    <x v="0"/>
    <s v="Косметика"/>
    <s v="Дезодорант"/>
    <x v="2"/>
    <x v="6"/>
    <x v="30"/>
    <n v="4342.3099999999995"/>
    <n v="4879"/>
  </r>
  <r>
    <x v="0"/>
    <s v="Житомир"/>
    <x v="0"/>
    <s v="Побутова хімія"/>
    <s v="Засіб для миття посуду"/>
    <x v="2"/>
    <x v="6"/>
    <x v="30"/>
    <n v="3323.7"/>
    <n v="3693"/>
  </r>
  <r>
    <x v="1"/>
    <s v="Запоріжжя"/>
    <x v="2"/>
    <s v="Побутова хімія"/>
    <s v="Засіб для посудомийних машин"/>
    <x v="2"/>
    <x v="6"/>
    <x v="30"/>
    <n v="3138.12"/>
    <n v="3411"/>
  </r>
  <r>
    <x v="2"/>
    <s v="Бориспіль"/>
    <x v="3"/>
    <s v="Побутова хімія"/>
    <s v="Засоби для догляду за меблями"/>
    <x v="2"/>
    <x v="6"/>
    <x v="30"/>
    <n v="3365.1800000000003"/>
    <n v="3913"/>
  </r>
  <r>
    <x v="3"/>
    <s v="Одеса"/>
    <x v="4"/>
    <s v="Товари для дому"/>
    <s v="Серветки"/>
    <x v="2"/>
    <x v="6"/>
    <x v="30"/>
    <n v="1940.3999999999999"/>
    <n v="2156"/>
  </r>
  <r>
    <x v="4"/>
    <s v="Харків"/>
    <x v="5"/>
    <s v="Товари для дому"/>
    <s v="Зубочистки"/>
    <x v="2"/>
    <x v="6"/>
    <x v="30"/>
    <n v="1655.1"/>
    <n v="1839"/>
  </r>
  <r>
    <x v="0"/>
    <s v="Бердичів"/>
    <x v="1"/>
    <s v="Товари для дому"/>
    <s v="Одноразовий посуд"/>
    <x v="2"/>
    <x v="6"/>
    <x v="30"/>
    <n v="2022.7500000000002"/>
    <n v="2325"/>
  </r>
  <r>
    <x v="1"/>
    <s v="Бердянськ"/>
    <x v="6"/>
    <s v="Косметика"/>
    <s v="Шампунь"/>
    <x v="2"/>
    <x v="6"/>
    <x v="30"/>
    <n v="5029.6399999999994"/>
    <n v="5467"/>
  </r>
  <r>
    <x v="2"/>
    <s v="Біла Церква"/>
    <x v="7"/>
    <s v="Косметика"/>
    <s v="Дезодорант"/>
    <x v="2"/>
    <x v="6"/>
    <x v="30"/>
    <n v="2888.58"/>
    <n v="3106"/>
  </r>
  <r>
    <x v="3"/>
    <s v="Чорноморськ"/>
    <x v="8"/>
    <s v="Косметика"/>
    <s v="Мило"/>
    <x v="2"/>
    <x v="6"/>
    <x v="30"/>
    <n v="1708.5000000000002"/>
    <n v="2010"/>
  </r>
  <r>
    <x v="4"/>
    <s v="Чугуїв"/>
    <x v="9"/>
    <s v="Побутова хімія"/>
    <s v="Засіб для миття посуду"/>
    <x v="2"/>
    <x v="6"/>
    <x v="30"/>
    <n v="3899.3400000000006"/>
    <n v="4482"/>
  </r>
  <r>
    <x v="0"/>
    <s v="Житомир"/>
    <x v="0"/>
    <s v="Побутова хімія"/>
    <s v="Засіб для посудомийних машин"/>
    <x v="2"/>
    <x v="6"/>
    <x v="30"/>
    <n v="3448.7999999999997"/>
    <n v="3832"/>
  </r>
  <r>
    <x v="1"/>
    <s v="Запоріжжя"/>
    <x v="2"/>
    <s v="Побутова хімія"/>
    <s v="Засоби для догляду за меблями"/>
    <x v="2"/>
    <x v="6"/>
    <x v="30"/>
    <n v="2612.9"/>
    <n v="3074"/>
  </r>
  <r>
    <x v="2"/>
    <s v="Бориспіль"/>
    <x v="3"/>
    <s v="Товари для дому"/>
    <s v="Серветки"/>
    <x v="2"/>
    <x v="6"/>
    <x v="30"/>
    <n v="1660.04"/>
    <n v="1766"/>
  </r>
  <r>
    <x v="3"/>
    <s v="Одеса"/>
    <x v="4"/>
    <s v="Товари для дому"/>
    <s v="Зубочистки"/>
    <x v="2"/>
    <x v="6"/>
    <x v="30"/>
    <n v="2762.5000000000005"/>
    <n v="3250"/>
  </r>
  <r>
    <x v="4"/>
    <s v="Харків"/>
    <x v="5"/>
    <s v="Товари для дому"/>
    <s v="Одноразовий посуд"/>
    <x v="2"/>
    <x v="6"/>
    <x v="30"/>
    <n v="1617.74"/>
    <n v="1721"/>
  </r>
  <r>
    <x v="0"/>
    <s v="Бердичів"/>
    <x v="1"/>
    <s v="Косметика"/>
    <s v="Шампунь"/>
    <x v="2"/>
    <x v="6"/>
    <x v="30"/>
    <n v="3924.5"/>
    <n v="4175"/>
  </r>
  <r>
    <x v="1"/>
    <s v="Бердянськ"/>
    <x v="6"/>
    <s v="Косметика"/>
    <s v="Дезодорант"/>
    <x v="2"/>
    <x v="6"/>
    <x v="30"/>
    <n v="3852.8"/>
    <n v="4480"/>
  </r>
  <r>
    <x v="2"/>
    <s v="Біла Церква"/>
    <x v="7"/>
    <s v="Косметика"/>
    <s v="Мило"/>
    <x v="2"/>
    <x v="6"/>
    <x v="30"/>
    <n v="3770.5800000000004"/>
    <n v="4334"/>
  </r>
  <r>
    <x v="3"/>
    <s v="Чорноморськ"/>
    <x v="8"/>
    <s v="Побутова хімія"/>
    <s v="Засіб для миття посуду"/>
    <x v="2"/>
    <x v="6"/>
    <x v="30"/>
    <n v="3219.8"/>
    <n v="3788"/>
  </r>
  <r>
    <x v="4"/>
    <s v="Чугуїв"/>
    <x v="9"/>
    <s v="Побутова хімія"/>
    <s v="Засіб для посудомийних машин"/>
    <x v="2"/>
    <x v="6"/>
    <x v="30"/>
    <n v="4377.3599999999997"/>
    <n v="4758"/>
  </r>
  <r>
    <x v="0"/>
    <s v="Житомир"/>
    <x v="0"/>
    <s v="Побутова хімія"/>
    <s v="Засоби для догляду за меблями"/>
    <x v="2"/>
    <x v="6"/>
    <x v="30"/>
    <n v="2757.02"/>
    <n v="2933"/>
  </r>
  <r>
    <x v="1"/>
    <s v="Запоріжжя"/>
    <x v="2"/>
    <s v="Товари для дому"/>
    <s v="Серветки"/>
    <x v="2"/>
    <x v="6"/>
    <x v="30"/>
    <n v="1440.7200000000003"/>
    <n v="1656"/>
  </r>
  <r>
    <x v="2"/>
    <s v="Бориспіль"/>
    <x v="3"/>
    <s v="Товари для дому"/>
    <s v="Зубочистки"/>
    <x v="2"/>
    <x v="6"/>
    <x v="30"/>
    <n v="2360.7199999999998"/>
    <n v="2566"/>
  </r>
  <r>
    <x v="3"/>
    <s v="Одеса"/>
    <x v="4"/>
    <s v="Товари для дому"/>
    <s v="Одноразовий посуд"/>
    <x v="2"/>
    <x v="6"/>
    <x v="30"/>
    <n v="1041.46"/>
    <n v="1211"/>
  </r>
  <r>
    <x v="4"/>
    <s v="Харків"/>
    <x v="5"/>
    <s v="Косметика"/>
    <s v="Шампунь"/>
    <x v="2"/>
    <x v="6"/>
    <x v="30"/>
    <n v="5379.12"/>
    <n v="5784"/>
  </r>
  <r>
    <x v="1"/>
    <s v="Запоріжжя"/>
    <x v="2"/>
    <s v="Косметика"/>
    <s v="Мило"/>
    <x v="2"/>
    <x v="6"/>
    <x v="30"/>
    <n v="3362.45"/>
    <n v="3695"/>
  </r>
  <r>
    <x v="2"/>
    <s v="Біла Церква"/>
    <x v="7"/>
    <s v="Побутова хімія"/>
    <s v="Засіб для миття посуду"/>
    <x v="2"/>
    <x v="6"/>
    <x v="30"/>
    <n v="3040.6500000000005"/>
    <n v="3495"/>
  </r>
  <r>
    <x v="3"/>
    <s v="Чорноморськ"/>
    <x v="8"/>
    <s v="Побутова хімія"/>
    <s v="Засіб для посудомийних машин"/>
    <x v="2"/>
    <x v="6"/>
    <x v="30"/>
    <n v="3346.26"/>
    <n v="3891"/>
  </r>
  <r>
    <x v="4"/>
    <s v="Чугуїв"/>
    <x v="9"/>
    <s v="Побутова хімія"/>
    <s v="Засоби для догляду за меблями"/>
    <x v="2"/>
    <x v="6"/>
    <x v="30"/>
    <n v="2691.9500000000003"/>
    <n v="3167"/>
  </r>
  <r>
    <x v="0"/>
    <s v="Житомир"/>
    <x v="0"/>
    <s v="Товари для дому"/>
    <s v="Серветки"/>
    <x v="2"/>
    <x v="6"/>
    <x v="30"/>
    <n v="1676.9599999999998"/>
    <n v="1784"/>
  </r>
  <r>
    <x v="1"/>
    <s v="Бердянськ"/>
    <x v="6"/>
    <s v="Товари для дому"/>
    <s v="Зубочистки"/>
    <x v="2"/>
    <x v="6"/>
    <x v="30"/>
    <n v="2181.9500000000003"/>
    <n v="2567"/>
  </r>
  <r>
    <x v="2"/>
    <s v="Бориспіль"/>
    <x v="3"/>
    <s v="Товари для дому"/>
    <s v="Одноразовий посуд"/>
    <x v="2"/>
    <x v="6"/>
    <x v="30"/>
    <n v="2688.3999999999996"/>
    <n v="2860"/>
  </r>
  <r>
    <x v="3"/>
    <s v="Одеса"/>
    <x v="4"/>
    <s v="Косметика"/>
    <s v="Шампунь"/>
    <x v="2"/>
    <x v="6"/>
    <x v="30"/>
    <n v="5476.6500000000005"/>
    <n v="6295"/>
  </r>
  <r>
    <x v="4"/>
    <s v="Харків"/>
    <x v="5"/>
    <s v="Косметика"/>
    <s v="Дезодорант"/>
    <x v="2"/>
    <x v="6"/>
    <x v="30"/>
    <n v="3750.4599999999996"/>
    <n v="4214"/>
  </r>
  <r>
    <x v="0"/>
    <s v="Бердичів"/>
    <x v="1"/>
    <s v="Косметика"/>
    <s v="Мило"/>
    <x v="2"/>
    <x v="6"/>
    <x v="30"/>
    <n v="4578.8399999999992"/>
    <n v="4977"/>
  </r>
  <r>
    <x v="1"/>
    <s v="Запоріжжя"/>
    <x v="2"/>
    <s v="Побутова хімія"/>
    <s v="Засіб для миття посуду"/>
    <x v="2"/>
    <x v="6"/>
    <x v="30"/>
    <n v="3100.6800000000003"/>
    <n v="3564"/>
  </r>
  <r>
    <x v="2"/>
    <s v="Біла Церква"/>
    <x v="7"/>
    <s v="Побутова хімія"/>
    <s v="Засіб для посудомийних машин"/>
    <x v="2"/>
    <x v="6"/>
    <x v="30"/>
    <n v="2661.9999999999995"/>
    <n v="3025"/>
  </r>
  <r>
    <x v="3"/>
    <s v="Чорноморськ"/>
    <x v="8"/>
    <s v="Побутова хімія"/>
    <s v="Засоби для догляду за меблями"/>
    <x v="2"/>
    <x v="6"/>
    <x v="30"/>
    <n v="2892.55"/>
    <n v="3403"/>
  </r>
  <r>
    <x v="4"/>
    <s v="Чугуїв"/>
    <x v="9"/>
    <s v="Товари для дому"/>
    <s v="Серветки"/>
    <x v="2"/>
    <x v="6"/>
    <x v="30"/>
    <n v="1637.1000000000001"/>
    <n v="1926"/>
  </r>
  <r>
    <x v="1"/>
    <s v="Запоріжжя"/>
    <x v="2"/>
    <s v="Товари для дому"/>
    <s v="Одноразовий посуд"/>
    <x v="2"/>
    <x v="6"/>
    <x v="30"/>
    <n v="1747.7999999999997"/>
    <n v="1942"/>
  </r>
  <r>
    <x v="2"/>
    <s v="Бориспіль"/>
    <x v="3"/>
    <s v="Косметика"/>
    <s v="Шампунь"/>
    <x v="2"/>
    <x v="6"/>
    <x v="30"/>
    <n v="3888.4099999999994"/>
    <n v="4369"/>
  </r>
  <r>
    <x v="3"/>
    <s v="Чорноморськ"/>
    <x v="8"/>
    <s v="Косметика"/>
    <s v="Дезодорант"/>
    <x v="2"/>
    <x v="6"/>
    <x v="30"/>
    <n v="2420.0400000000004"/>
    <n v="2814"/>
  </r>
  <r>
    <x v="4"/>
    <s v="Харків"/>
    <x v="5"/>
    <s v="Косметика"/>
    <s v="Мило"/>
    <x v="2"/>
    <x v="6"/>
    <x v="30"/>
    <n v="2542.1600000000003"/>
    <n v="2956"/>
  </r>
  <r>
    <x v="0"/>
    <s v="Бердичів"/>
    <x v="1"/>
    <s v="Побутова хімія"/>
    <s v="Засіб для миття посуду"/>
    <x v="2"/>
    <x v="6"/>
    <x v="30"/>
    <n v="2868.3900000000003"/>
    <n v="3297"/>
  </r>
  <r>
    <x v="0"/>
    <s v="Бердичів"/>
    <x v="1"/>
    <s v="Побутова хімія"/>
    <s v="Засіб для посудомийних машин"/>
    <x v="2"/>
    <x v="6"/>
    <x v="30"/>
    <n v="2870.5599999999995"/>
    <n v="3262"/>
  </r>
  <r>
    <x v="1"/>
    <s v="Бердянськ"/>
    <x v="6"/>
    <s v="Побутова хімія"/>
    <s v="Засоби для догляду за меблями"/>
    <x v="2"/>
    <x v="6"/>
    <x v="30"/>
    <n v="3483.7799999999997"/>
    <n v="3746"/>
  </r>
  <r>
    <x v="1"/>
    <s v="Бердянськ"/>
    <x v="6"/>
    <s v="Товари для дому"/>
    <s v="Серветки"/>
    <x v="2"/>
    <x v="6"/>
    <x v="30"/>
    <n v="1501.1000000000001"/>
    <n v="1766"/>
  </r>
  <r>
    <x v="2"/>
    <s v="Біла Церква"/>
    <x v="7"/>
    <s v="Товари для дому"/>
    <s v="Зубочистки"/>
    <x v="2"/>
    <x v="6"/>
    <x v="30"/>
    <n v="1670.7199999999998"/>
    <n v="1816"/>
  </r>
  <r>
    <x v="2"/>
    <s v="Біла Церква"/>
    <x v="7"/>
    <s v="Товари для дому"/>
    <s v="Одноразовий посуд"/>
    <x v="2"/>
    <x v="6"/>
    <x v="30"/>
    <n v="2051.96"/>
    <n v="2386"/>
  </r>
  <r>
    <x v="2"/>
    <s v="Бориспіль"/>
    <x v="3"/>
    <s v="Косметика"/>
    <s v="Дезодорант"/>
    <x v="2"/>
    <x v="6"/>
    <x v="30"/>
    <n v="4694.7599999999993"/>
    <n v="5103"/>
  </r>
  <r>
    <x v="0"/>
    <s v="Житомир"/>
    <x v="0"/>
    <s v="Косметика"/>
    <s v="Мило"/>
    <x v="2"/>
    <x v="6"/>
    <x v="30"/>
    <n v="1928.2899999999997"/>
    <n v="2119"/>
  </r>
  <r>
    <x v="2"/>
    <s v="Ірпінь"/>
    <x v="10"/>
    <s v="Товари для дому"/>
    <s v="Серветки"/>
    <x v="2"/>
    <x v="6"/>
    <x v="30"/>
    <n v="1978.6999999999998"/>
    <n v="2105"/>
  </r>
  <r>
    <x v="2"/>
    <s v="Ірпінь"/>
    <x v="10"/>
    <s v="Товари для дому"/>
    <s v="Зубочистки"/>
    <x v="2"/>
    <x v="6"/>
    <x v="30"/>
    <n v="1689.12"/>
    <n v="1836"/>
  </r>
  <r>
    <x v="2"/>
    <s v="Київ"/>
    <x v="11"/>
    <s v="Товари для дому"/>
    <s v="Одноразовий посуд"/>
    <x v="2"/>
    <x v="6"/>
    <x v="30"/>
    <n v="2584.3999999999996"/>
    <n v="2840"/>
  </r>
  <r>
    <x v="2"/>
    <s v="Київ"/>
    <x v="11"/>
    <s v="Косметика"/>
    <s v="Шампунь"/>
    <x v="2"/>
    <x v="6"/>
    <x v="30"/>
    <n v="6369.57"/>
    <n v="6849"/>
  </r>
  <r>
    <x v="3"/>
    <s v="Одеса"/>
    <x v="4"/>
    <s v="Косметика"/>
    <s v="Дезодорант"/>
    <x v="2"/>
    <x v="6"/>
    <x v="30"/>
    <n v="3178.5600000000004"/>
    <n v="3696"/>
  </r>
  <r>
    <x v="3"/>
    <s v="Одеса"/>
    <x v="4"/>
    <s v="Косметика"/>
    <s v="Мило"/>
    <x v="2"/>
    <x v="6"/>
    <x v="30"/>
    <n v="3942.3999999999996"/>
    <n v="4480"/>
  </r>
  <r>
    <x v="4"/>
    <s v="Харків"/>
    <x v="5"/>
    <s v="Побутова хімія"/>
    <s v="Засіб для миття посуду"/>
    <x v="2"/>
    <x v="6"/>
    <x v="30"/>
    <n v="2948.8799999999997"/>
    <n v="3351"/>
  </r>
  <r>
    <x v="4"/>
    <s v="Харків"/>
    <x v="5"/>
    <s v="Побутова хімія"/>
    <s v="Засіб для посудомийних машин"/>
    <x v="2"/>
    <x v="6"/>
    <x v="30"/>
    <n v="2270.7000000000003"/>
    <n v="2610"/>
  </r>
  <r>
    <x v="3"/>
    <s v="Чорноморськ"/>
    <x v="8"/>
    <s v="Товари для дому"/>
    <s v="Серветки"/>
    <x v="2"/>
    <x v="6"/>
    <x v="30"/>
    <n v="1684.48"/>
    <n v="1792"/>
  </r>
  <r>
    <x v="4"/>
    <s v="Чугуїв"/>
    <x v="9"/>
    <s v="Товари для дому"/>
    <s v="Зубочистки"/>
    <x v="2"/>
    <x v="6"/>
    <x v="30"/>
    <n v="2744.26"/>
    <n v="3191"/>
  </r>
  <r>
    <x v="4"/>
    <s v="Чугуїв"/>
    <x v="9"/>
    <s v="Товари для дому"/>
    <s v="Одноразовий посуд"/>
    <x v="2"/>
    <x v="6"/>
    <x v="30"/>
    <n v="1219.23"/>
    <n v="1311"/>
  </r>
  <r>
    <x v="2"/>
    <s v="Біла Церква"/>
    <x v="7"/>
    <s v="Косметика"/>
    <s v="Шампунь"/>
    <x v="2"/>
    <x v="6"/>
    <x v="30"/>
    <n v="3626.6200000000003"/>
    <n v="4217"/>
  </r>
  <r>
    <x v="1"/>
    <s v="Бердянськ"/>
    <x v="6"/>
    <s v="Побутова хімія"/>
    <s v="Засіб для посудомийних машин"/>
    <x v="2"/>
    <x v="6"/>
    <x v="30"/>
    <n v="3477.3500000000004"/>
    <n v="4091"/>
  </r>
  <r>
    <x v="0"/>
    <s v="Житомир"/>
    <x v="0"/>
    <s v="Товари для дому"/>
    <s v="Одноразовий посуд"/>
    <x v="2"/>
    <x v="6"/>
    <x v="30"/>
    <n v="2290.75"/>
    <n v="2695"/>
  </r>
  <r>
    <x v="0"/>
    <s v="Житомир"/>
    <x v="0"/>
    <s v="Косметика"/>
    <s v="Шампунь"/>
    <x v="2"/>
    <x v="6"/>
    <x v="30"/>
    <n v="5037.3999999999996"/>
    <n v="5660"/>
  </r>
  <r>
    <x v="1"/>
    <s v="Запоріжжя"/>
    <x v="2"/>
    <s v="Косметика"/>
    <s v="Дезодорант"/>
    <x v="2"/>
    <x v="6"/>
    <x v="30"/>
    <n v="3035.3500000000004"/>
    <n v="3571"/>
  </r>
  <r>
    <x v="2"/>
    <s v="Ірпінь"/>
    <x v="10"/>
    <s v="Побутова хімія"/>
    <s v="Засіб для миття посуду"/>
    <x v="2"/>
    <x v="6"/>
    <x v="30"/>
    <n v="2989.4500000000003"/>
    <n v="3517"/>
  </r>
  <r>
    <x v="2"/>
    <s v="Ірпінь"/>
    <x v="10"/>
    <s v="Побутова хімія"/>
    <s v="Засіб для посудомийних машин"/>
    <x v="2"/>
    <x v="6"/>
    <x v="30"/>
    <n v="4005.8800000000006"/>
    <n v="4658"/>
  </r>
  <r>
    <x v="2"/>
    <s v="Київ"/>
    <x v="11"/>
    <s v="Побутова хімія"/>
    <s v="Засоби для догляду за меблями"/>
    <x v="2"/>
    <x v="6"/>
    <x v="30"/>
    <n v="3309.2800000000007"/>
    <n v="3848"/>
  </r>
  <r>
    <x v="2"/>
    <s v="Київ"/>
    <x v="11"/>
    <s v="Товари для дому"/>
    <s v="Серветки"/>
    <x v="2"/>
    <x v="6"/>
    <x v="30"/>
    <n v="2377.83"/>
    <n v="2613"/>
  </r>
  <r>
    <x v="2"/>
    <s v="Біла Церква"/>
    <x v="7"/>
    <s v="Товари для дому"/>
    <s v="Серветки"/>
    <x v="2"/>
    <x v="6"/>
    <x v="30"/>
    <n v="1685.32"/>
    <n v="1852"/>
  </r>
  <r>
    <x v="1"/>
    <s v="Бердянськ"/>
    <x v="6"/>
    <s v="Косметика"/>
    <s v="Мило"/>
    <x v="2"/>
    <x v="6"/>
    <x v="30"/>
    <n v="4414.16"/>
    <n v="4798"/>
  </r>
  <r>
    <x v="2"/>
    <s v="Бориспіль"/>
    <x v="3"/>
    <s v="Побутова хімія"/>
    <s v="Засіб для миття посуду"/>
    <x v="2"/>
    <x v="6"/>
    <x v="30"/>
    <n v="4287.3599999999997"/>
    <n v="4872"/>
  </r>
  <r>
    <x v="2"/>
    <s v="Бориспіль"/>
    <x v="3"/>
    <s v="Побутова хімія"/>
    <s v="Засіб для посудомийних машин"/>
    <x v="2"/>
    <x v="6"/>
    <x v="30"/>
    <n v="3205.3500000000004"/>
    <n v="3771"/>
  </r>
  <r>
    <x v="1"/>
    <s v="Запоріжжя"/>
    <x v="2"/>
    <s v="Товари для дому"/>
    <s v="Зубочистки"/>
    <x v="2"/>
    <x v="6"/>
    <x v="30"/>
    <n v="2327.6"/>
    <n v="2530"/>
  </r>
  <r>
    <x v="2"/>
    <s v="Ірпінь"/>
    <x v="10"/>
    <s v="Косметика"/>
    <s v="Шампунь"/>
    <x v="2"/>
    <x v="6"/>
    <x v="30"/>
    <n v="4215.5999999999995"/>
    <n v="4684"/>
  </r>
  <r>
    <x v="2"/>
    <s v="Ірпінь"/>
    <x v="10"/>
    <s v="Косметика"/>
    <s v="Дезодорант"/>
    <x v="2"/>
    <x v="6"/>
    <x v="30"/>
    <n v="4772.1400000000003"/>
    <n v="5549"/>
  </r>
  <r>
    <x v="2"/>
    <s v="Київ"/>
    <x v="11"/>
    <s v="Косметика"/>
    <s v="Мило"/>
    <x v="2"/>
    <x v="6"/>
    <x v="30"/>
    <n v="2169.2000000000003"/>
    <n v="2552"/>
  </r>
  <r>
    <x v="2"/>
    <s v="Київ"/>
    <x v="11"/>
    <s v="Побутова хімія"/>
    <s v="Засіб для миття посуду"/>
    <x v="2"/>
    <x v="6"/>
    <x v="30"/>
    <n v="4189.6799999999994"/>
    <n v="4761"/>
  </r>
  <r>
    <x v="3"/>
    <s v="Одеса"/>
    <x v="4"/>
    <s v="Побутова хімія"/>
    <s v="Засіб для посудомийних машин"/>
    <x v="2"/>
    <x v="6"/>
    <x v="30"/>
    <n v="2366.91"/>
    <n v="2601"/>
  </r>
  <r>
    <x v="3"/>
    <s v="Одеса"/>
    <x v="4"/>
    <s v="Побутова хімія"/>
    <s v="Засоби для догляду за меблями"/>
    <x v="2"/>
    <x v="6"/>
    <x v="30"/>
    <n v="2537.39"/>
    <n v="2851"/>
  </r>
  <r>
    <x v="4"/>
    <s v="Харків"/>
    <x v="5"/>
    <s v="Товари для дому"/>
    <s v="Серветки"/>
    <x v="2"/>
    <x v="6"/>
    <x v="30"/>
    <n v="1601.4599999999998"/>
    <n v="1722"/>
  </r>
  <r>
    <x v="3"/>
    <s v="Чорноморськ"/>
    <x v="8"/>
    <s v="Товари для дому"/>
    <s v="Одноразовий посуд"/>
    <x v="2"/>
    <x v="6"/>
    <x v="30"/>
    <n v="1893.9199999999998"/>
    <n v="2128"/>
  </r>
  <r>
    <x v="3"/>
    <s v="Чорноморськ"/>
    <x v="8"/>
    <s v="Косметика"/>
    <s v="Шампунь"/>
    <x v="2"/>
    <x v="6"/>
    <x v="30"/>
    <n v="4609.55"/>
    <n v="5423"/>
  </r>
  <r>
    <x v="4"/>
    <s v="Чугуїв"/>
    <x v="9"/>
    <s v="Косметика"/>
    <s v="Дезодорант"/>
    <x v="2"/>
    <x v="6"/>
    <x v="30"/>
    <n v="2524.02"/>
    <n v="2714"/>
  </r>
  <r>
    <x v="4"/>
    <s v="Чугуїв"/>
    <x v="9"/>
    <s v="Косметика"/>
    <s v="Мило"/>
    <x v="2"/>
    <x v="6"/>
    <x v="30"/>
    <n v="2353.8200000000002"/>
    <n v="2737"/>
  </r>
  <r>
    <x v="0"/>
    <s v="Бердичів"/>
    <x v="1"/>
    <s v="Побутова хімія"/>
    <s v="Засоби для догляду за меблями"/>
    <x v="2"/>
    <x v="6"/>
    <x v="30"/>
    <n v="3545.5199999999995"/>
    <n v="4029"/>
  </r>
  <r>
    <x v="0"/>
    <s v="Бердичів"/>
    <x v="1"/>
    <s v="Товари для дому"/>
    <s v="Серветки"/>
    <x v="2"/>
    <x v="6"/>
    <x v="30"/>
    <n v="1794.2399999999998"/>
    <n v="2016"/>
  </r>
  <r>
    <x v="1"/>
    <s v="Бердянськ"/>
    <x v="6"/>
    <s v="Товари для дому"/>
    <s v="Одноразовий посуд"/>
    <x v="2"/>
    <x v="6"/>
    <x v="30"/>
    <n v="1871.1599999999999"/>
    <n v="2012"/>
  </r>
  <r>
    <x v="2"/>
    <s v="Ірпінь"/>
    <x v="10"/>
    <s v="Косметика"/>
    <s v="Мило"/>
    <x v="2"/>
    <x v="6"/>
    <x v="30"/>
    <n v="2357.9"/>
    <n v="2774"/>
  </r>
  <r>
    <x v="2"/>
    <s v="Київ"/>
    <x v="11"/>
    <s v="Побутова хімія"/>
    <s v="Засіб для посудомийних машин"/>
    <x v="2"/>
    <x v="6"/>
    <x v="30"/>
    <n v="4036.9599999999996"/>
    <n v="4388"/>
  </r>
  <r>
    <x v="2"/>
    <s v="Біла Церква"/>
    <x v="7"/>
    <s v="Побутова хімія"/>
    <s v="Засоби для догляду за меблями"/>
    <x v="2"/>
    <x v="6"/>
    <x v="30"/>
    <n v="3381.9199999999996"/>
    <n v="3676"/>
  </r>
  <r>
    <x v="2"/>
    <s v="Бориспіль"/>
    <x v="3"/>
    <s v="Косметика"/>
    <s v="Мило"/>
    <x v="2"/>
    <x v="6"/>
    <x v="30"/>
    <n v="3727.3199999999997"/>
    <n v="4188"/>
  </r>
  <r>
    <x v="2"/>
    <s v="Ірпінь"/>
    <x v="10"/>
    <s v="Товари для дому"/>
    <s v="Одноразовий посуд"/>
    <x v="2"/>
    <x v="6"/>
    <x v="30"/>
    <n v="1186.2399999999998"/>
    <n v="1348"/>
  </r>
  <r>
    <x v="2"/>
    <s v="Київ"/>
    <x v="11"/>
    <s v="Косметика"/>
    <s v="Дезодорант"/>
    <x v="2"/>
    <x v="6"/>
    <x v="30"/>
    <n v="5221.7"/>
    <n v="5555"/>
  </r>
  <r>
    <x v="3"/>
    <s v="Одеса"/>
    <x v="4"/>
    <s v="Побутова хімія"/>
    <s v="Засіб для миття посуду"/>
    <x v="2"/>
    <x v="6"/>
    <x v="30"/>
    <n v="3047.4399999999996"/>
    <n v="3463"/>
  </r>
  <r>
    <x v="4"/>
    <s v="Харків"/>
    <x v="5"/>
    <s v="Побутова хімія"/>
    <s v="Засоби для догляду за меблями"/>
    <x v="2"/>
    <x v="6"/>
    <x v="30"/>
    <n v="3539.1600000000003"/>
    <n v="4068"/>
  </r>
  <r>
    <x v="3"/>
    <s v="Чорноморськ"/>
    <x v="8"/>
    <s v="Товари для дому"/>
    <s v="Зубочистки"/>
    <x v="2"/>
    <x v="6"/>
    <x v="30"/>
    <n v="2913.6800000000003"/>
    <n v="3388"/>
  </r>
  <r>
    <x v="4"/>
    <s v="Чугуїв"/>
    <x v="9"/>
    <s v="Косметика"/>
    <s v="Шампунь"/>
    <x v="2"/>
    <x v="6"/>
    <x v="30"/>
    <n v="6121.2799999999988"/>
    <n v="6956"/>
  </r>
  <r>
    <x v="2"/>
    <s v="Ірпінь"/>
    <x v="10"/>
    <s v="Побутова хімія"/>
    <s v="Засоби для догляду за меблями"/>
    <x v="2"/>
    <x v="6"/>
    <x v="30"/>
    <n v="2546.1"/>
    <n v="2829"/>
  </r>
  <r>
    <x v="2"/>
    <s v="Київ"/>
    <x v="11"/>
    <s v="Товари для дому"/>
    <s v="Зубочистки"/>
    <x v="2"/>
    <x v="6"/>
    <x v="30"/>
    <n v="1638.8999999999999"/>
    <n v="1821"/>
  </r>
  <r>
    <x v="0"/>
    <s v="Житомир"/>
    <x v="0"/>
    <s v="Товари для дому"/>
    <s v="Зубочистки"/>
    <x v="2"/>
    <x v="7"/>
    <x v="31"/>
    <n v="2258.8199999999997"/>
    <n v="2403"/>
  </r>
  <r>
    <x v="0"/>
    <s v="Бердичів"/>
    <x v="1"/>
    <s v="Товари для дому"/>
    <s v="Зубочистки"/>
    <x v="2"/>
    <x v="7"/>
    <x v="31"/>
    <n v="1413.7500000000002"/>
    <n v="1625"/>
  </r>
  <r>
    <x v="0"/>
    <s v="Бердичів"/>
    <x v="1"/>
    <s v="Косметика"/>
    <s v="Дезодорант"/>
    <x v="2"/>
    <x v="7"/>
    <x v="31"/>
    <n v="4510.7599999999993"/>
    <n v="4903"/>
  </r>
  <r>
    <x v="0"/>
    <s v="Житомир"/>
    <x v="0"/>
    <s v="Косметика"/>
    <s v="Дезодорант"/>
    <x v="2"/>
    <x v="7"/>
    <x v="31"/>
    <n v="2733.2799999999997"/>
    <n v="3106"/>
  </r>
  <r>
    <x v="0"/>
    <s v="Житомир"/>
    <x v="0"/>
    <s v="Побутова хімія"/>
    <s v="Засіб для миття посуду"/>
    <x v="2"/>
    <x v="7"/>
    <x v="31"/>
    <n v="3028.4799999999996"/>
    <n v="3328"/>
  </r>
  <r>
    <x v="1"/>
    <s v="Запоріжжя"/>
    <x v="2"/>
    <s v="Побутова хімія"/>
    <s v="Засіб для посудомийних машин"/>
    <x v="2"/>
    <x v="7"/>
    <x v="31"/>
    <n v="3972.3199999999997"/>
    <n v="4514"/>
  </r>
  <r>
    <x v="2"/>
    <s v="Бориспіль"/>
    <x v="3"/>
    <s v="Побутова хімія"/>
    <s v="Засоби для догляду за меблями"/>
    <x v="2"/>
    <x v="7"/>
    <x v="31"/>
    <n v="2780.7999999999997"/>
    <n v="3160"/>
  </r>
  <r>
    <x v="3"/>
    <s v="Одеса"/>
    <x v="4"/>
    <s v="Товари для дому"/>
    <s v="Серветки"/>
    <x v="2"/>
    <x v="7"/>
    <x v="31"/>
    <n v="1643.4300000000003"/>
    <n v="1889"/>
  </r>
  <r>
    <x v="4"/>
    <s v="Харків"/>
    <x v="5"/>
    <s v="Товари для дому"/>
    <s v="Зубочистки"/>
    <x v="2"/>
    <x v="7"/>
    <x v="31"/>
    <n v="2326.7199999999998"/>
    <n v="2644"/>
  </r>
  <r>
    <x v="0"/>
    <s v="Бердичів"/>
    <x v="1"/>
    <s v="Товари для дому"/>
    <s v="Одноразовий посуд"/>
    <x v="2"/>
    <x v="7"/>
    <x v="31"/>
    <n v="1653.2999999999997"/>
    <n v="1837"/>
  </r>
  <r>
    <x v="1"/>
    <s v="Бердянськ"/>
    <x v="6"/>
    <s v="Косметика"/>
    <s v="Шампунь"/>
    <x v="2"/>
    <x v="7"/>
    <x v="31"/>
    <n v="5624.5500000000011"/>
    <n v="6465"/>
  </r>
  <r>
    <x v="2"/>
    <s v="Біла Церква"/>
    <x v="7"/>
    <s v="Косметика"/>
    <s v="Дезодорант"/>
    <x v="2"/>
    <x v="7"/>
    <x v="31"/>
    <n v="3724.1599999999994"/>
    <n v="4232"/>
  </r>
  <r>
    <x v="3"/>
    <s v="Чорноморськ"/>
    <x v="8"/>
    <s v="Косметика"/>
    <s v="Мило"/>
    <x v="2"/>
    <x v="7"/>
    <x v="31"/>
    <n v="3756.7199999999993"/>
    <n v="4269"/>
  </r>
  <r>
    <x v="4"/>
    <s v="Чугуїв"/>
    <x v="9"/>
    <s v="Побутова хімія"/>
    <s v="Засіб для миття посуду"/>
    <x v="2"/>
    <x v="7"/>
    <x v="31"/>
    <n v="3669.8799999999997"/>
    <n v="3989"/>
  </r>
  <r>
    <x v="0"/>
    <s v="Житомир"/>
    <x v="0"/>
    <s v="Побутова хімія"/>
    <s v="Засіб для посудомийних машин"/>
    <x v="2"/>
    <x v="7"/>
    <x v="31"/>
    <n v="3622.7000000000003"/>
    <n v="4262"/>
  </r>
  <r>
    <x v="1"/>
    <s v="Запоріжжя"/>
    <x v="2"/>
    <s v="Побутова хімія"/>
    <s v="Засоби для догляду за меблями"/>
    <x v="2"/>
    <x v="7"/>
    <x v="31"/>
    <n v="2863.5199999999995"/>
    <n v="3254"/>
  </r>
  <r>
    <x v="2"/>
    <s v="Бориспіль"/>
    <x v="3"/>
    <s v="Товари для дому"/>
    <s v="Серветки"/>
    <x v="2"/>
    <x v="7"/>
    <x v="31"/>
    <n v="2046.9999999999998"/>
    <n v="2225"/>
  </r>
  <r>
    <x v="3"/>
    <s v="Одеса"/>
    <x v="4"/>
    <s v="Товари для дому"/>
    <s v="Зубочистки"/>
    <x v="2"/>
    <x v="7"/>
    <x v="31"/>
    <n v="2746.4799999999996"/>
    <n v="3121"/>
  </r>
  <r>
    <x v="4"/>
    <s v="Харків"/>
    <x v="5"/>
    <s v="Товари для дому"/>
    <s v="Одноразовий посуд"/>
    <x v="2"/>
    <x v="7"/>
    <x v="31"/>
    <n v="1233.7599999999998"/>
    <n v="1402"/>
  </r>
  <r>
    <x v="0"/>
    <s v="Бердичів"/>
    <x v="1"/>
    <s v="Косметика"/>
    <s v="Шампунь"/>
    <x v="2"/>
    <x v="7"/>
    <x v="31"/>
    <n v="4776.1500000000005"/>
    <n v="5619"/>
  </r>
  <r>
    <x v="1"/>
    <s v="Бердянськ"/>
    <x v="6"/>
    <s v="Косметика"/>
    <s v="Дезодорант"/>
    <x v="2"/>
    <x v="7"/>
    <x v="31"/>
    <n v="3319.14"/>
    <n v="3531"/>
  </r>
  <r>
    <x v="2"/>
    <s v="Біла Церква"/>
    <x v="7"/>
    <s v="Косметика"/>
    <s v="Мило"/>
    <x v="2"/>
    <x v="7"/>
    <x v="31"/>
    <n v="2047.8899999999999"/>
    <n v="2301"/>
  </r>
  <r>
    <x v="3"/>
    <s v="Чорноморськ"/>
    <x v="8"/>
    <s v="Побутова хімія"/>
    <s v="Засіб для миття посуду"/>
    <x v="2"/>
    <x v="7"/>
    <x v="31"/>
    <n v="4282.9599999999991"/>
    <n v="4867"/>
  </r>
  <r>
    <x v="4"/>
    <s v="Чугуїв"/>
    <x v="9"/>
    <s v="Побутова хімія"/>
    <s v="Засіб для посудомийних машин"/>
    <x v="2"/>
    <x v="7"/>
    <x v="31"/>
    <n v="4611.96"/>
    <n v="5013"/>
  </r>
  <r>
    <x v="0"/>
    <s v="Житомир"/>
    <x v="0"/>
    <s v="Побутова хімія"/>
    <s v="Засоби для догляду за меблями"/>
    <x v="2"/>
    <x v="7"/>
    <x v="31"/>
    <n v="2464.7600000000002"/>
    <n v="2866"/>
  </r>
  <r>
    <x v="1"/>
    <s v="Запоріжжя"/>
    <x v="2"/>
    <s v="Товари для дому"/>
    <s v="Серветки"/>
    <x v="2"/>
    <x v="7"/>
    <x v="31"/>
    <n v="2309.1000000000004"/>
    <n v="2685"/>
  </r>
  <r>
    <x v="2"/>
    <s v="Бориспіль"/>
    <x v="3"/>
    <s v="Товари для дому"/>
    <s v="Зубочистки"/>
    <x v="2"/>
    <x v="7"/>
    <x v="31"/>
    <n v="2567.14"/>
    <n v="2731"/>
  </r>
  <r>
    <x v="3"/>
    <s v="Одеса"/>
    <x v="4"/>
    <s v="Товари для дому"/>
    <s v="Одноразовий посуд"/>
    <x v="2"/>
    <x v="7"/>
    <x v="31"/>
    <n v="1901.9299999999998"/>
    <n v="2137"/>
  </r>
  <r>
    <x v="4"/>
    <s v="Харків"/>
    <x v="5"/>
    <s v="Косметика"/>
    <s v="Шампунь"/>
    <x v="2"/>
    <x v="7"/>
    <x v="31"/>
    <n v="4955.8599999999997"/>
    <n v="5446"/>
  </r>
  <r>
    <x v="1"/>
    <s v="Запоріжжя"/>
    <x v="2"/>
    <s v="Косметика"/>
    <s v="Мило"/>
    <x v="2"/>
    <x v="7"/>
    <x v="31"/>
    <n v="3889.7999999999997"/>
    <n v="4322"/>
  </r>
  <r>
    <x v="2"/>
    <s v="Біла Церква"/>
    <x v="7"/>
    <s v="Побутова хімія"/>
    <s v="Засіб для миття посуду"/>
    <x v="2"/>
    <x v="7"/>
    <x v="31"/>
    <n v="4580.0999999999995"/>
    <n v="5089"/>
  </r>
  <r>
    <x v="3"/>
    <s v="Чорноморськ"/>
    <x v="8"/>
    <s v="Побутова хімія"/>
    <s v="Засіб для посудомийних машин"/>
    <x v="2"/>
    <x v="7"/>
    <x v="31"/>
    <n v="3714.2999999999997"/>
    <n v="4127"/>
  </r>
  <r>
    <x v="4"/>
    <s v="Чугуїв"/>
    <x v="9"/>
    <s v="Побутова хімія"/>
    <s v="Засоби для догляду за меблями"/>
    <x v="2"/>
    <x v="7"/>
    <x v="31"/>
    <n v="2755.4399999999996"/>
    <n v="3096"/>
  </r>
  <r>
    <x v="0"/>
    <s v="Житомир"/>
    <x v="0"/>
    <s v="Товари для дому"/>
    <s v="Серветки"/>
    <x v="2"/>
    <x v="7"/>
    <x v="31"/>
    <n v="2354.6800000000003"/>
    <n v="2738"/>
  </r>
  <r>
    <x v="1"/>
    <s v="Бердянськ"/>
    <x v="6"/>
    <s v="Товари для дому"/>
    <s v="Зубочистки"/>
    <x v="2"/>
    <x v="7"/>
    <x v="31"/>
    <n v="1565.9999999999998"/>
    <n v="1740"/>
  </r>
  <r>
    <x v="2"/>
    <s v="Бориспіль"/>
    <x v="3"/>
    <s v="Товари для дому"/>
    <s v="Одноразовий посуд"/>
    <x v="2"/>
    <x v="7"/>
    <x v="31"/>
    <n v="2371.5"/>
    <n v="2635"/>
  </r>
  <r>
    <x v="3"/>
    <s v="Одеса"/>
    <x v="4"/>
    <s v="Косметика"/>
    <s v="Шампунь"/>
    <x v="2"/>
    <x v="7"/>
    <x v="31"/>
    <n v="3795.6099999999997"/>
    <n v="4171"/>
  </r>
  <r>
    <x v="4"/>
    <s v="Харків"/>
    <x v="5"/>
    <s v="Косметика"/>
    <s v="Дезодорант"/>
    <x v="2"/>
    <x v="7"/>
    <x v="31"/>
    <n v="4839.82"/>
    <n v="5438"/>
  </r>
  <r>
    <x v="0"/>
    <s v="Бердичів"/>
    <x v="1"/>
    <s v="Косметика"/>
    <s v="Мило"/>
    <x v="2"/>
    <x v="7"/>
    <x v="31"/>
    <n v="3450.74"/>
    <n v="3671"/>
  </r>
  <r>
    <x v="1"/>
    <s v="Запоріжжя"/>
    <x v="2"/>
    <s v="Побутова хімія"/>
    <s v="Засіб для миття посуду"/>
    <x v="2"/>
    <x v="7"/>
    <x v="31"/>
    <n v="3359.9400000000005"/>
    <n v="3862"/>
  </r>
  <r>
    <x v="2"/>
    <s v="Біла Церква"/>
    <x v="7"/>
    <s v="Побутова хімія"/>
    <s v="Засіб для посудомийних машин"/>
    <x v="2"/>
    <x v="7"/>
    <x v="31"/>
    <n v="3732.0899999999997"/>
    <n v="4013"/>
  </r>
  <r>
    <x v="3"/>
    <s v="Чорноморськ"/>
    <x v="8"/>
    <s v="Побутова хімія"/>
    <s v="Засоби для догляду за меблями"/>
    <x v="2"/>
    <x v="7"/>
    <x v="31"/>
    <n v="3577.7999999999997"/>
    <n v="4020"/>
  </r>
  <r>
    <x v="4"/>
    <s v="Чугуїв"/>
    <x v="9"/>
    <s v="Товари для дому"/>
    <s v="Серветки"/>
    <x v="2"/>
    <x v="7"/>
    <x v="31"/>
    <n v="2369"/>
    <n v="2575"/>
  </r>
  <r>
    <x v="1"/>
    <s v="Запоріжжя"/>
    <x v="2"/>
    <s v="Товари для дому"/>
    <s v="Одноразовий посуд"/>
    <x v="2"/>
    <x v="7"/>
    <x v="31"/>
    <n v="1231.5200000000002"/>
    <n v="1432"/>
  </r>
  <r>
    <x v="2"/>
    <s v="Бориспіль"/>
    <x v="3"/>
    <s v="Косметика"/>
    <s v="Шампунь"/>
    <x v="2"/>
    <x v="7"/>
    <x v="31"/>
    <n v="6338.15"/>
    <n v="6965"/>
  </r>
  <r>
    <x v="3"/>
    <s v="Чорноморськ"/>
    <x v="8"/>
    <s v="Косметика"/>
    <s v="Дезодорант"/>
    <x v="2"/>
    <x v="7"/>
    <x v="31"/>
    <n v="3196"/>
    <n v="3400"/>
  </r>
  <r>
    <x v="4"/>
    <s v="Харків"/>
    <x v="5"/>
    <s v="Косметика"/>
    <s v="Мило"/>
    <x v="2"/>
    <x v="7"/>
    <x v="31"/>
    <n v="4193.0999999999995"/>
    <n v="4659"/>
  </r>
  <r>
    <x v="0"/>
    <s v="Бердичів"/>
    <x v="1"/>
    <s v="Побутова хімія"/>
    <s v="Засіб для миття посуду"/>
    <x v="2"/>
    <x v="7"/>
    <x v="31"/>
    <n v="3950.8"/>
    <n v="4648"/>
  </r>
  <r>
    <x v="0"/>
    <s v="Бердичів"/>
    <x v="1"/>
    <s v="Побутова хімія"/>
    <s v="Засіб для посудомийних машин"/>
    <x v="2"/>
    <x v="7"/>
    <x v="31"/>
    <n v="4627.7999999999993"/>
    <n v="5142"/>
  </r>
  <r>
    <x v="1"/>
    <s v="Бердянськ"/>
    <x v="6"/>
    <s v="Побутова хімія"/>
    <s v="Засоби для догляду за меблями"/>
    <x v="2"/>
    <x v="7"/>
    <x v="31"/>
    <n v="3243"/>
    <n v="3450"/>
  </r>
  <r>
    <x v="1"/>
    <s v="Бердянськ"/>
    <x v="6"/>
    <s v="Товари для дому"/>
    <s v="Серветки"/>
    <x v="2"/>
    <x v="7"/>
    <x v="31"/>
    <n v="2188.6799999999998"/>
    <n v="2379"/>
  </r>
  <r>
    <x v="2"/>
    <s v="Біла Церква"/>
    <x v="7"/>
    <s v="Товари для дому"/>
    <s v="Зубочистки"/>
    <x v="2"/>
    <x v="7"/>
    <x v="31"/>
    <n v="2841.0199999999995"/>
    <n v="3122"/>
  </r>
  <r>
    <x v="2"/>
    <s v="Біла Церква"/>
    <x v="7"/>
    <s v="Товари для дому"/>
    <s v="Одноразовий посуд"/>
    <x v="2"/>
    <x v="7"/>
    <x v="31"/>
    <n v="1578.2099999999998"/>
    <n v="1697"/>
  </r>
  <r>
    <x v="2"/>
    <s v="Бориспіль"/>
    <x v="3"/>
    <s v="Косметика"/>
    <s v="Дезодорант"/>
    <x v="2"/>
    <x v="7"/>
    <x v="31"/>
    <n v="4958.7599999999993"/>
    <n v="5332"/>
  </r>
  <r>
    <x v="0"/>
    <s v="Житомир"/>
    <x v="0"/>
    <s v="Косметика"/>
    <s v="Мило"/>
    <x v="2"/>
    <x v="7"/>
    <x v="31"/>
    <n v="4367.4399999999996"/>
    <n v="4963"/>
  </r>
  <r>
    <x v="2"/>
    <s v="Ірпінь"/>
    <x v="10"/>
    <s v="Товари для дому"/>
    <s v="Серветки"/>
    <x v="2"/>
    <x v="7"/>
    <x v="31"/>
    <n v="1659.6799999999998"/>
    <n v="1886"/>
  </r>
  <r>
    <x v="2"/>
    <s v="Ірпінь"/>
    <x v="10"/>
    <s v="Товари для дому"/>
    <s v="Зубочистки"/>
    <x v="2"/>
    <x v="7"/>
    <x v="31"/>
    <n v="2051.46"/>
    <n v="2358"/>
  </r>
  <r>
    <x v="2"/>
    <s v="Київ"/>
    <x v="11"/>
    <s v="Товари для дому"/>
    <s v="Одноразовий посуд"/>
    <x v="2"/>
    <x v="7"/>
    <x v="31"/>
    <n v="1589.3999999999999"/>
    <n v="1766"/>
  </r>
  <r>
    <x v="2"/>
    <s v="Київ"/>
    <x v="11"/>
    <s v="Косметика"/>
    <s v="Шампунь"/>
    <x v="2"/>
    <x v="7"/>
    <x v="31"/>
    <n v="4003.5000000000005"/>
    <n v="4710"/>
  </r>
  <r>
    <x v="3"/>
    <s v="Одеса"/>
    <x v="4"/>
    <s v="Косметика"/>
    <s v="Дезодорант"/>
    <x v="2"/>
    <x v="7"/>
    <x v="31"/>
    <n v="2300.9500000000003"/>
    <n v="2707"/>
  </r>
  <r>
    <x v="3"/>
    <s v="Одеса"/>
    <x v="4"/>
    <s v="Косметика"/>
    <s v="Мило"/>
    <x v="2"/>
    <x v="7"/>
    <x v="31"/>
    <n v="3381.8399999999997"/>
    <n v="3843"/>
  </r>
  <r>
    <x v="4"/>
    <s v="Харків"/>
    <x v="5"/>
    <s v="Побутова хімія"/>
    <s v="Засіб для миття посуду"/>
    <x v="2"/>
    <x v="7"/>
    <x v="31"/>
    <n v="4003.2199999999993"/>
    <n v="4498"/>
  </r>
  <r>
    <x v="4"/>
    <s v="Харків"/>
    <x v="5"/>
    <s v="Побутова хімія"/>
    <s v="Засіб для посудомийних машин"/>
    <x v="2"/>
    <x v="7"/>
    <x v="31"/>
    <n v="3569.6100000000006"/>
    <n v="4103"/>
  </r>
  <r>
    <x v="3"/>
    <s v="Чорноморськ"/>
    <x v="8"/>
    <s v="Товари для дому"/>
    <s v="Серветки"/>
    <x v="2"/>
    <x v="7"/>
    <x v="31"/>
    <n v="2331.9999999999995"/>
    <n v="2650"/>
  </r>
  <r>
    <x v="4"/>
    <s v="Чугуїв"/>
    <x v="9"/>
    <s v="Товари для дому"/>
    <s v="Зубочистки"/>
    <x v="2"/>
    <x v="7"/>
    <x v="31"/>
    <n v="2862.3"/>
    <n v="3290"/>
  </r>
  <r>
    <x v="4"/>
    <s v="Чугуїв"/>
    <x v="9"/>
    <s v="Товари для дому"/>
    <s v="Одноразовий посуд"/>
    <x v="2"/>
    <x v="7"/>
    <x v="31"/>
    <n v="2252.46"/>
    <n v="2422"/>
  </r>
  <r>
    <x v="2"/>
    <s v="Біла Церква"/>
    <x v="7"/>
    <s v="Косметика"/>
    <s v="Шампунь"/>
    <x v="2"/>
    <x v="7"/>
    <x v="31"/>
    <n v="4996.6000000000004"/>
    <n v="5810"/>
  </r>
  <r>
    <x v="1"/>
    <s v="Бердянськ"/>
    <x v="6"/>
    <s v="Побутова хімія"/>
    <s v="Засіб для посудомийних машин"/>
    <x v="2"/>
    <x v="7"/>
    <x v="31"/>
    <n v="4439.3200000000006"/>
    <n v="5162"/>
  </r>
  <r>
    <x v="0"/>
    <s v="Житомир"/>
    <x v="0"/>
    <s v="Товари для дому"/>
    <s v="Одноразовий посуд"/>
    <x v="2"/>
    <x v="7"/>
    <x v="31"/>
    <n v="1496.48"/>
    <n v="1592"/>
  </r>
  <r>
    <x v="0"/>
    <s v="Житомир"/>
    <x v="0"/>
    <s v="Косметика"/>
    <s v="Шампунь"/>
    <x v="2"/>
    <x v="7"/>
    <x v="31"/>
    <n v="5495.16"/>
    <n v="5973"/>
  </r>
  <r>
    <x v="1"/>
    <s v="Запоріжжя"/>
    <x v="2"/>
    <s v="Косметика"/>
    <s v="Дезодорант"/>
    <x v="2"/>
    <x v="7"/>
    <x v="31"/>
    <n v="3995.8500000000004"/>
    <n v="4701"/>
  </r>
  <r>
    <x v="2"/>
    <s v="Ірпінь"/>
    <x v="10"/>
    <s v="Побутова хімія"/>
    <s v="Засіб для миття посуду"/>
    <x v="2"/>
    <x v="7"/>
    <x v="31"/>
    <n v="3190.4599999999996"/>
    <n v="3506"/>
  </r>
  <r>
    <x v="2"/>
    <s v="Ірпінь"/>
    <x v="10"/>
    <s v="Побутова хімія"/>
    <s v="Засіб для посудомийних машин"/>
    <x v="2"/>
    <x v="7"/>
    <x v="31"/>
    <n v="3685.9600000000005"/>
    <n v="4286"/>
  </r>
  <r>
    <x v="2"/>
    <s v="Київ"/>
    <x v="11"/>
    <s v="Побутова хімія"/>
    <s v="Засоби для догляду за меблями"/>
    <x v="2"/>
    <x v="7"/>
    <x v="31"/>
    <n v="3211.39"/>
    <n v="3529"/>
  </r>
  <r>
    <x v="2"/>
    <s v="Київ"/>
    <x v="11"/>
    <s v="Товари для дому"/>
    <s v="Серветки"/>
    <x v="2"/>
    <x v="7"/>
    <x v="31"/>
    <n v="2358.5700000000002"/>
    <n v="2711"/>
  </r>
  <r>
    <x v="2"/>
    <s v="Біла Церква"/>
    <x v="7"/>
    <s v="Товари для дому"/>
    <s v="Серветки"/>
    <x v="2"/>
    <x v="7"/>
    <x v="31"/>
    <n v="1784.6399999999999"/>
    <n v="2028"/>
  </r>
  <r>
    <x v="1"/>
    <s v="Бердянськ"/>
    <x v="6"/>
    <s v="Косметика"/>
    <s v="Мило"/>
    <x v="2"/>
    <x v="7"/>
    <x v="31"/>
    <n v="4552.3499999999995"/>
    <n v="4895"/>
  </r>
  <r>
    <x v="2"/>
    <s v="Бориспіль"/>
    <x v="3"/>
    <s v="Побутова хімія"/>
    <s v="Засіб для миття посуду"/>
    <x v="2"/>
    <x v="7"/>
    <x v="31"/>
    <n v="3912.55"/>
    <n v="4603"/>
  </r>
  <r>
    <x v="2"/>
    <s v="Бориспіль"/>
    <x v="3"/>
    <s v="Побутова хімія"/>
    <s v="Засіб для посудомийних машин"/>
    <x v="2"/>
    <x v="7"/>
    <x v="31"/>
    <n v="3641.4000000000005"/>
    <n v="4284"/>
  </r>
  <r>
    <x v="1"/>
    <s v="Запоріжжя"/>
    <x v="2"/>
    <s v="Товари для дому"/>
    <s v="Зубочистки"/>
    <x v="2"/>
    <x v="7"/>
    <x v="31"/>
    <n v="1431.9"/>
    <n v="1665"/>
  </r>
  <r>
    <x v="2"/>
    <s v="Ірпінь"/>
    <x v="10"/>
    <s v="Косметика"/>
    <s v="Шампунь"/>
    <x v="2"/>
    <x v="7"/>
    <x v="31"/>
    <n v="5055.32"/>
    <n v="5378"/>
  </r>
  <r>
    <x v="2"/>
    <s v="Ірпінь"/>
    <x v="10"/>
    <s v="Косметика"/>
    <s v="Дезодорант"/>
    <x v="2"/>
    <x v="7"/>
    <x v="31"/>
    <n v="4714.2"/>
    <n v="5238"/>
  </r>
  <r>
    <x v="2"/>
    <s v="Київ"/>
    <x v="11"/>
    <s v="Косметика"/>
    <s v="Мило"/>
    <x v="2"/>
    <x v="7"/>
    <x v="31"/>
    <n v="3966.1599999999994"/>
    <n v="4507"/>
  </r>
  <r>
    <x v="2"/>
    <s v="Київ"/>
    <x v="11"/>
    <s v="Побутова хімія"/>
    <s v="Засіб для миття посуду"/>
    <x v="2"/>
    <x v="7"/>
    <x v="31"/>
    <n v="3373.7800000000007"/>
    <n v="3923"/>
  </r>
  <r>
    <x v="3"/>
    <s v="Одеса"/>
    <x v="4"/>
    <s v="Побутова хімія"/>
    <s v="Засіб для посудомийних машин"/>
    <x v="2"/>
    <x v="7"/>
    <x v="31"/>
    <n v="3564.7000000000003"/>
    <n v="4145"/>
  </r>
  <r>
    <x v="3"/>
    <s v="Одеса"/>
    <x v="4"/>
    <s v="Побутова хімія"/>
    <s v="Засоби для догляду за меблями"/>
    <x v="2"/>
    <x v="7"/>
    <x v="31"/>
    <n v="2735.16"/>
    <n v="2973"/>
  </r>
  <r>
    <x v="4"/>
    <s v="Харків"/>
    <x v="5"/>
    <s v="Товари для дому"/>
    <s v="Серветки"/>
    <x v="2"/>
    <x v="7"/>
    <x v="31"/>
    <n v="1682.1"/>
    <n v="1890"/>
  </r>
  <r>
    <x v="3"/>
    <s v="Чорноморськ"/>
    <x v="8"/>
    <s v="Товари для дому"/>
    <s v="Одноразовий посуд"/>
    <x v="2"/>
    <x v="7"/>
    <x v="31"/>
    <n v="1414.04"/>
    <n v="1537"/>
  </r>
  <r>
    <x v="3"/>
    <s v="Чорноморськ"/>
    <x v="8"/>
    <s v="Косметика"/>
    <s v="Шампунь"/>
    <x v="2"/>
    <x v="7"/>
    <x v="31"/>
    <n v="5804.48"/>
    <n v="6596"/>
  </r>
  <r>
    <x v="4"/>
    <s v="Чугуїв"/>
    <x v="9"/>
    <s v="Косметика"/>
    <s v="Дезодорант"/>
    <x v="2"/>
    <x v="7"/>
    <x v="31"/>
    <n v="5178.46"/>
    <n v="5509"/>
  </r>
  <r>
    <x v="4"/>
    <s v="Чугуїв"/>
    <x v="9"/>
    <s v="Косметика"/>
    <s v="Мило"/>
    <x v="2"/>
    <x v="7"/>
    <x v="31"/>
    <n v="2702.04"/>
    <n v="2937"/>
  </r>
  <r>
    <x v="0"/>
    <s v="Бердичів"/>
    <x v="1"/>
    <s v="Побутова хімія"/>
    <s v="Засоби для догляду за меблями"/>
    <x v="2"/>
    <x v="7"/>
    <x v="31"/>
    <n v="2942.0299999999997"/>
    <n v="3233"/>
  </r>
  <r>
    <x v="0"/>
    <s v="Бердичів"/>
    <x v="1"/>
    <s v="Товари для дому"/>
    <s v="Серветки"/>
    <x v="2"/>
    <x v="7"/>
    <x v="31"/>
    <n v="1837.6999999999998"/>
    <n v="1955"/>
  </r>
  <r>
    <x v="1"/>
    <s v="Бердянськ"/>
    <x v="6"/>
    <s v="Товари для дому"/>
    <s v="Одноразовий посуд"/>
    <x v="2"/>
    <x v="7"/>
    <x v="31"/>
    <n v="2168.7599999999998"/>
    <n v="2332"/>
  </r>
  <r>
    <x v="2"/>
    <s v="Ірпінь"/>
    <x v="10"/>
    <s v="Косметика"/>
    <s v="Мило"/>
    <x v="2"/>
    <x v="7"/>
    <x v="31"/>
    <n v="2147.1000000000004"/>
    <n v="2526"/>
  </r>
  <r>
    <x v="2"/>
    <s v="Київ"/>
    <x v="11"/>
    <s v="Побутова хімія"/>
    <s v="Засіб для посудомийних машин"/>
    <x v="2"/>
    <x v="7"/>
    <x v="31"/>
    <n v="2816.12"/>
    <n v="3061"/>
  </r>
  <r>
    <x v="2"/>
    <s v="Біла Церква"/>
    <x v="7"/>
    <s v="Побутова хімія"/>
    <s v="Засоби для догляду за меблями"/>
    <x v="2"/>
    <x v="7"/>
    <x v="31"/>
    <n v="3266.2999999999997"/>
    <n v="3670"/>
  </r>
  <r>
    <x v="2"/>
    <s v="Бориспіль"/>
    <x v="3"/>
    <s v="Косметика"/>
    <s v="Мило"/>
    <x v="2"/>
    <x v="7"/>
    <x v="31"/>
    <n v="3954.7199999999993"/>
    <n v="4494"/>
  </r>
  <r>
    <x v="2"/>
    <s v="Ірпінь"/>
    <x v="10"/>
    <s v="Товари для дому"/>
    <s v="Одноразовий посуд"/>
    <x v="2"/>
    <x v="7"/>
    <x v="31"/>
    <n v="1767.8400000000001"/>
    <n v="2032"/>
  </r>
  <r>
    <x v="2"/>
    <s v="Київ"/>
    <x v="11"/>
    <s v="Косметика"/>
    <s v="Дезодорант"/>
    <x v="2"/>
    <x v="7"/>
    <x v="31"/>
    <n v="2620.16"/>
    <n v="2848"/>
  </r>
  <r>
    <x v="3"/>
    <s v="Одеса"/>
    <x v="4"/>
    <s v="Побутова хімія"/>
    <s v="Засіб для миття посуду"/>
    <x v="2"/>
    <x v="7"/>
    <x v="31"/>
    <n v="4000.5499999999997"/>
    <n v="4495"/>
  </r>
  <r>
    <x v="4"/>
    <s v="Харків"/>
    <x v="5"/>
    <s v="Побутова хімія"/>
    <s v="Засоби для догляду за меблями"/>
    <x v="2"/>
    <x v="7"/>
    <x v="31"/>
    <n v="2692.16"/>
    <n v="2864"/>
  </r>
  <r>
    <x v="3"/>
    <s v="Чорноморськ"/>
    <x v="8"/>
    <s v="Товари для дому"/>
    <s v="Зубочистки"/>
    <x v="2"/>
    <x v="7"/>
    <x v="31"/>
    <n v="1649.6999999999998"/>
    <n v="1755"/>
  </r>
  <r>
    <x v="4"/>
    <s v="Чугуїв"/>
    <x v="9"/>
    <s v="Косметика"/>
    <s v="Шампунь"/>
    <x v="2"/>
    <x v="7"/>
    <x v="31"/>
    <n v="4600.7999999999993"/>
    <n v="5112"/>
  </r>
  <r>
    <x v="2"/>
    <s v="Ірпінь"/>
    <x v="10"/>
    <s v="Побутова хімія"/>
    <s v="Засоби для догляду за меблями"/>
    <x v="2"/>
    <x v="7"/>
    <x v="31"/>
    <n v="3131.1300000000006"/>
    <n v="3599"/>
  </r>
  <r>
    <x v="2"/>
    <s v="Київ"/>
    <x v="11"/>
    <s v="Товари для дому"/>
    <s v="Зубочистки"/>
    <x v="2"/>
    <x v="7"/>
    <x v="31"/>
    <n v="1741.4999999999998"/>
    <n v="1935"/>
  </r>
  <r>
    <x v="0"/>
    <s v="Житомир"/>
    <x v="0"/>
    <s v="Товари для дому"/>
    <s v="Зубочистки"/>
    <x v="2"/>
    <x v="8"/>
    <x v="32"/>
    <n v="1976.2499999999998"/>
    <n v="2125"/>
  </r>
  <r>
    <x v="0"/>
    <s v="Бердичів"/>
    <x v="1"/>
    <s v="Товари для дому"/>
    <s v="Зубочистки"/>
    <x v="2"/>
    <x v="8"/>
    <x v="32"/>
    <n v="1361.5500000000002"/>
    <n v="1565"/>
  </r>
  <r>
    <x v="0"/>
    <s v="Бердичів"/>
    <x v="1"/>
    <s v="Косметика"/>
    <s v="Дезодорант"/>
    <x v="2"/>
    <x v="8"/>
    <x v="32"/>
    <n v="3983.0699999999997"/>
    <n v="4377"/>
  </r>
  <r>
    <x v="0"/>
    <s v="Житомир"/>
    <x v="0"/>
    <s v="Косметика"/>
    <s v="Дезодорант"/>
    <x v="2"/>
    <x v="8"/>
    <x v="32"/>
    <n v="3280.7700000000004"/>
    <n v="3771"/>
  </r>
  <r>
    <x v="0"/>
    <s v="Житомир"/>
    <x v="0"/>
    <s v="Побутова хімія"/>
    <s v="Засіб для миття посуду"/>
    <x v="2"/>
    <x v="8"/>
    <x v="32"/>
    <n v="4692.78"/>
    <n v="5046"/>
  </r>
  <r>
    <x v="1"/>
    <s v="Запоріжжя"/>
    <x v="2"/>
    <s v="Побутова хімія"/>
    <s v="Засіб для посудомийних машин"/>
    <x v="2"/>
    <x v="8"/>
    <x v="32"/>
    <n v="2811.54"/>
    <n v="2991"/>
  </r>
  <r>
    <x v="2"/>
    <s v="Бориспіль"/>
    <x v="3"/>
    <s v="Побутова хімія"/>
    <s v="Засоби для догляду за меблями"/>
    <x v="2"/>
    <x v="8"/>
    <x v="32"/>
    <n v="3251.5999999999995"/>
    <n v="3695"/>
  </r>
  <r>
    <x v="3"/>
    <s v="Одеса"/>
    <x v="4"/>
    <s v="Товари для дому"/>
    <s v="Серветки"/>
    <x v="2"/>
    <x v="8"/>
    <x v="32"/>
    <n v="2459.04"/>
    <n v="2616"/>
  </r>
  <r>
    <x v="4"/>
    <s v="Харків"/>
    <x v="5"/>
    <s v="Товари для дому"/>
    <s v="Зубочистки"/>
    <x v="2"/>
    <x v="8"/>
    <x v="32"/>
    <n v="1731.3000000000002"/>
    <n v="1990"/>
  </r>
  <r>
    <x v="0"/>
    <s v="Бердичів"/>
    <x v="1"/>
    <s v="Товари для дому"/>
    <s v="Одноразовий посуд"/>
    <x v="2"/>
    <x v="8"/>
    <x v="32"/>
    <n v="1153.6200000000001"/>
    <n v="1326"/>
  </r>
  <r>
    <x v="1"/>
    <s v="Бердянськ"/>
    <x v="6"/>
    <s v="Косметика"/>
    <s v="Шампунь"/>
    <x v="2"/>
    <x v="8"/>
    <x v="32"/>
    <n v="3729.5999999999995"/>
    <n v="4144"/>
  </r>
  <r>
    <x v="2"/>
    <s v="Біла Церква"/>
    <x v="7"/>
    <s v="Косметика"/>
    <s v="Дезодорант"/>
    <x v="2"/>
    <x v="8"/>
    <x v="32"/>
    <n v="4234.7"/>
    <n v="4505"/>
  </r>
  <r>
    <x v="3"/>
    <s v="Чорноморськ"/>
    <x v="8"/>
    <s v="Косметика"/>
    <s v="Мило"/>
    <x v="2"/>
    <x v="8"/>
    <x v="32"/>
    <n v="4094.4500000000003"/>
    <n v="4817"/>
  </r>
  <r>
    <x v="4"/>
    <s v="Чугуїв"/>
    <x v="9"/>
    <s v="Побутова хімія"/>
    <s v="Засіб для миття посуду"/>
    <x v="2"/>
    <x v="8"/>
    <x v="32"/>
    <n v="2860.5600000000004"/>
    <n v="3288"/>
  </r>
  <r>
    <x v="0"/>
    <s v="Житомир"/>
    <x v="0"/>
    <s v="Побутова хімія"/>
    <s v="Засіб для посудомийних машин"/>
    <x v="2"/>
    <x v="8"/>
    <x v="32"/>
    <n v="2992.8"/>
    <n v="3440"/>
  </r>
  <r>
    <x v="1"/>
    <s v="Запоріжжя"/>
    <x v="2"/>
    <s v="Побутова хімія"/>
    <s v="Засоби для догляду за меблями"/>
    <x v="2"/>
    <x v="8"/>
    <x v="32"/>
    <n v="2958.8500000000004"/>
    <n v="3481"/>
  </r>
  <r>
    <x v="2"/>
    <s v="Бориспіль"/>
    <x v="3"/>
    <s v="Товари для дому"/>
    <s v="Серветки"/>
    <x v="2"/>
    <x v="8"/>
    <x v="32"/>
    <n v="1423.3000000000002"/>
    <n v="1655"/>
  </r>
  <r>
    <x v="3"/>
    <s v="Одеса"/>
    <x v="4"/>
    <s v="Товари для дому"/>
    <s v="Зубочистки"/>
    <x v="2"/>
    <x v="8"/>
    <x v="32"/>
    <n v="2311.6800000000003"/>
    <n v="2688"/>
  </r>
  <r>
    <x v="4"/>
    <s v="Харків"/>
    <x v="5"/>
    <s v="Товари для дому"/>
    <s v="Одноразовий посуд"/>
    <x v="2"/>
    <x v="8"/>
    <x v="32"/>
    <n v="2217.6"/>
    <n v="2520"/>
  </r>
  <r>
    <x v="0"/>
    <s v="Бердичів"/>
    <x v="1"/>
    <s v="Косметика"/>
    <s v="Шампунь"/>
    <x v="2"/>
    <x v="8"/>
    <x v="32"/>
    <n v="4501.5599999999995"/>
    <n v="4893"/>
  </r>
  <r>
    <x v="1"/>
    <s v="Бердянськ"/>
    <x v="6"/>
    <s v="Косметика"/>
    <s v="Дезодорант"/>
    <x v="2"/>
    <x v="8"/>
    <x v="32"/>
    <n v="3943.9399999999996"/>
    <n v="4334"/>
  </r>
  <r>
    <x v="2"/>
    <s v="Біла Церква"/>
    <x v="7"/>
    <s v="Косметика"/>
    <s v="Мило"/>
    <x v="2"/>
    <x v="8"/>
    <x v="32"/>
    <n v="3788.3999999999996"/>
    <n v="4305"/>
  </r>
  <r>
    <x v="3"/>
    <s v="Чорноморськ"/>
    <x v="8"/>
    <s v="Побутова хімія"/>
    <s v="Засіб для миття посуду"/>
    <x v="2"/>
    <x v="8"/>
    <x v="32"/>
    <n v="3495.9999999999995"/>
    <n v="3800"/>
  </r>
  <r>
    <x v="4"/>
    <s v="Чугуїв"/>
    <x v="9"/>
    <s v="Побутова хімія"/>
    <s v="Засіб для посудомийних машин"/>
    <x v="2"/>
    <x v="8"/>
    <x v="32"/>
    <n v="3890.2499999999995"/>
    <n v="4275"/>
  </r>
  <r>
    <x v="0"/>
    <s v="Житомир"/>
    <x v="0"/>
    <s v="Побутова хімія"/>
    <s v="Засоби для догляду за меблями"/>
    <x v="2"/>
    <x v="8"/>
    <x v="32"/>
    <n v="3760"/>
    <n v="4000"/>
  </r>
  <r>
    <x v="1"/>
    <s v="Запоріжжя"/>
    <x v="2"/>
    <s v="Товари для дому"/>
    <s v="Серветки"/>
    <x v="2"/>
    <x v="8"/>
    <x v="32"/>
    <n v="1748.11"/>
    <n v="1921"/>
  </r>
  <r>
    <x v="2"/>
    <s v="Бориспіль"/>
    <x v="3"/>
    <s v="Товари для дому"/>
    <s v="Зубочистки"/>
    <x v="2"/>
    <x v="8"/>
    <x v="32"/>
    <n v="2636.4799999999996"/>
    <n v="2996"/>
  </r>
  <r>
    <x v="3"/>
    <s v="Одеса"/>
    <x v="4"/>
    <s v="Товари для дому"/>
    <s v="Одноразовий посуд"/>
    <x v="2"/>
    <x v="8"/>
    <x v="32"/>
    <n v="1707.4799999999998"/>
    <n v="1836"/>
  </r>
  <r>
    <x v="4"/>
    <s v="Харків"/>
    <x v="5"/>
    <s v="Косметика"/>
    <s v="Шампунь"/>
    <x v="2"/>
    <x v="8"/>
    <x v="32"/>
    <n v="6171.36"/>
    <n v="6708"/>
  </r>
  <r>
    <x v="1"/>
    <s v="Запоріжжя"/>
    <x v="2"/>
    <s v="Косметика"/>
    <s v="Мило"/>
    <x v="2"/>
    <x v="8"/>
    <x v="32"/>
    <n v="2282.85"/>
    <n v="2565"/>
  </r>
  <r>
    <x v="2"/>
    <s v="Біла Церква"/>
    <x v="7"/>
    <s v="Побутова хімія"/>
    <s v="Засіб для миття посуду"/>
    <x v="2"/>
    <x v="8"/>
    <x v="32"/>
    <n v="3124.3199999999997"/>
    <n v="3396"/>
  </r>
  <r>
    <x v="3"/>
    <s v="Чорноморськ"/>
    <x v="8"/>
    <s v="Побутова хімія"/>
    <s v="Засіб для посудомийних машин"/>
    <x v="2"/>
    <x v="8"/>
    <x v="32"/>
    <n v="5201.0199999999995"/>
    <n v="5533"/>
  </r>
  <r>
    <x v="4"/>
    <s v="Чугуїв"/>
    <x v="9"/>
    <s v="Побутова хімія"/>
    <s v="Засоби для догляду за меблями"/>
    <x v="2"/>
    <x v="8"/>
    <x v="32"/>
    <n v="2870.5599999999995"/>
    <n v="3262"/>
  </r>
  <r>
    <x v="0"/>
    <s v="Житомир"/>
    <x v="0"/>
    <s v="Товари для дому"/>
    <s v="Серветки"/>
    <x v="2"/>
    <x v="8"/>
    <x v="32"/>
    <n v="2692.6899999999996"/>
    <n v="2959"/>
  </r>
  <r>
    <x v="1"/>
    <s v="Бердянськ"/>
    <x v="6"/>
    <s v="Товари для дому"/>
    <s v="Зубочистки"/>
    <x v="2"/>
    <x v="8"/>
    <x v="32"/>
    <n v="1480.5"/>
    <n v="1575"/>
  </r>
  <r>
    <x v="2"/>
    <s v="Бориспіль"/>
    <x v="3"/>
    <s v="Товари для дому"/>
    <s v="Одноразовий посуд"/>
    <x v="2"/>
    <x v="8"/>
    <x v="32"/>
    <n v="1727.1799999999998"/>
    <n v="1898"/>
  </r>
  <r>
    <x v="3"/>
    <s v="Одеса"/>
    <x v="4"/>
    <s v="Косметика"/>
    <s v="Шампунь"/>
    <x v="2"/>
    <x v="8"/>
    <x v="32"/>
    <n v="4290.2999999999993"/>
    <n v="4767"/>
  </r>
  <r>
    <x v="4"/>
    <s v="Харків"/>
    <x v="5"/>
    <s v="Косметика"/>
    <s v="Дезодорант"/>
    <x v="2"/>
    <x v="8"/>
    <x v="32"/>
    <n v="4761.8200000000006"/>
    <n v="5537"/>
  </r>
  <r>
    <x v="0"/>
    <s v="Бердичів"/>
    <x v="1"/>
    <s v="Косметика"/>
    <s v="Мило"/>
    <x v="2"/>
    <x v="8"/>
    <x v="32"/>
    <n v="2798.16"/>
    <n v="3144"/>
  </r>
  <r>
    <x v="1"/>
    <s v="Запоріжжя"/>
    <x v="2"/>
    <s v="Побутова хімія"/>
    <s v="Засіб для миття посуду"/>
    <x v="2"/>
    <x v="8"/>
    <x v="32"/>
    <n v="4103.16"/>
    <n v="4412"/>
  </r>
  <r>
    <x v="2"/>
    <s v="Біла Церква"/>
    <x v="7"/>
    <s v="Побутова хімія"/>
    <s v="Засіб для посудомийних машин"/>
    <x v="2"/>
    <x v="8"/>
    <x v="32"/>
    <n v="4190.7900000000009"/>
    <n v="4817"/>
  </r>
  <r>
    <x v="3"/>
    <s v="Чорноморськ"/>
    <x v="8"/>
    <s v="Побутова хімія"/>
    <s v="Засоби для догляду за меблями"/>
    <x v="2"/>
    <x v="8"/>
    <x v="32"/>
    <n v="2760.2999999999997"/>
    <n v="3067"/>
  </r>
  <r>
    <x v="4"/>
    <s v="Чугуїв"/>
    <x v="9"/>
    <s v="Товари для дому"/>
    <s v="Серветки"/>
    <x v="2"/>
    <x v="8"/>
    <x v="32"/>
    <n v="2050.1999999999998"/>
    <n v="2278"/>
  </r>
  <r>
    <x v="1"/>
    <s v="Запоріжжя"/>
    <x v="2"/>
    <s v="Товари для дому"/>
    <s v="Одноразовий посуд"/>
    <x v="2"/>
    <x v="8"/>
    <x v="32"/>
    <n v="1038.0200000000002"/>
    <n v="1207"/>
  </r>
  <r>
    <x v="2"/>
    <s v="Бориспіль"/>
    <x v="3"/>
    <s v="Косметика"/>
    <s v="Шампунь"/>
    <x v="2"/>
    <x v="8"/>
    <x v="32"/>
    <n v="3808.9400000000005"/>
    <n v="4429"/>
  </r>
  <r>
    <x v="3"/>
    <s v="Чорноморськ"/>
    <x v="8"/>
    <s v="Косметика"/>
    <s v="Дезодорант"/>
    <x v="2"/>
    <x v="8"/>
    <x v="32"/>
    <n v="4380.58"/>
    <n v="4922"/>
  </r>
  <r>
    <x v="4"/>
    <s v="Харків"/>
    <x v="5"/>
    <s v="Косметика"/>
    <s v="Мило"/>
    <x v="2"/>
    <x v="8"/>
    <x v="32"/>
    <n v="4042.9399999999996"/>
    <n v="4301"/>
  </r>
  <r>
    <x v="0"/>
    <s v="Бердичів"/>
    <x v="1"/>
    <s v="Побутова хімія"/>
    <s v="Засіб для миття посуду"/>
    <x v="2"/>
    <x v="8"/>
    <x v="32"/>
    <n v="4419.87"/>
    <n v="4857"/>
  </r>
  <r>
    <x v="0"/>
    <s v="Бердичів"/>
    <x v="1"/>
    <s v="Побутова хімія"/>
    <s v="Засіб для посудомийних машин"/>
    <x v="2"/>
    <x v="8"/>
    <x v="32"/>
    <n v="2716.1400000000003"/>
    <n v="3122"/>
  </r>
  <r>
    <x v="1"/>
    <s v="Бердянськ"/>
    <x v="6"/>
    <s v="Побутова хімія"/>
    <s v="Засоби для догляду за меблями"/>
    <x v="2"/>
    <x v="8"/>
    <x v="32"/>
    <n v="2694.3900000000003"/>
    <n v="3097"/>
  </r>
  <r>
    <x v="1"/>
    <s v="Бердянськ"/>
    <x v="6"/>
    <s v="Товари для дому"/>
    <s v="Серветки"/>
    <x v="2"/>
    <x v="8"/>
    <x v="32"/>
    <n v="2401.2000000000003"/>
    <n v="2760"/>
  </r>
  <r>
    <x v="2"/>
    <s v="Біла Церква"/>
    <x v="7"/>
    <s v="Товари для дому"/>
    <s v="Зубочистки"/>
    <x v="2"/>
    <x v="8"/>
    <x v="32"/>
    <n v="2317.77"/>
    <n v="2547"/>
  </r>
  <r>
    <x v="2"/>
    <s v="Біла Церква"/>
    <x v="7"/>
    <s v="Товари для дому"/>
    <s v="Одноразовий посуд"/>
    <x v="2"/>
    <x v="8"/>
    <x v="32"/>
    <n v="1747.1999999999998"/>
    <n v="1920"/>
  </r>
  <r>
    <x v="2"/>
    <s v="Бориспіль"/>
    <x v="3"/>
    <s v="Косметика"/>
    <s v="Дезодорант"/>
    <x v="2"/>
    <x v="8"/>
    <x v="32"/>
    <n v="3035.52"/>
    <n v="3264"/>
  </r>
  <r>
    <x v="0"/>
    <s v="Житомир"/>
    <x v="0"/>
    <s v="Косметика"/>
    <s v="Мило"/>
    <x v="2"/>
    <x v="8"/>
    <x v="32"/>
    <n v="4539.08"/>
    <n v="4988"/>
  </r>
  <r>
    <x v="2"/>
    <s v="Ірпінь"/>
    <x v="10"/>
    <s v="Товари для дому"/>
    <s v="Серветки"/>
    <x v="2"/>
    <x v="8"/>
    <x v="32"/>
    <n v="2413.16"/>
    <n v="2623"/>
  </r>
  <r>
    <x v="2"/>
    <s v="Ірпінь"/>
    <x v="10"/>
    <s v="Товари для дому"/>
    <s v="Зубочистки"/>
    <x v="2"/>
    <x v="8"/>
    <x v="32"/>
    <n v="2735.1299999999997"/>
    <n v="2941"/>
  </r>
  <r>
    <x v="2"/>
    <s v="Київ"/>
    <x v="11"/>
    <s v="Товари для дому"/>
    <s v="Одноразовий посуд"/>
    <x v="2"/>
    <x v="8"/>
    <x v="32"/>
    <n v="1764.4899999999998"/>
    <n v="1939"/>
  </r>
  <r>
    <x v="2"/>
    <s v="Київ"/>
    <x v="11"/>
    <s v="Косметика"/>
    <s v="Шампунь"/>
    <x v="2"/>
    <x v="8"/>
    <x v="32"/>
    <n v="4804.2199999999993"/>
    <n v="5398"/>
  </r>
  <r>
    <x v="3"/>
    <s v="Одеса"/>
    <x v="4"/>
    <s v="Косметика"/>
    <s v="Дезодорант"/>
    <x v="2"/>
    <x v="8"/>
    <x v="32"/>
    <n v="2708.9999999999995"/>
    <n v="3010"/>
  </r>
  <r>
    <x v="3"/>
    <s v="Одеса"/>
    <x v="4"/>
    <s v="Косметика"/>
    <s v="Мило"/>
    <x v="2"/>
    <x v="8"/>
    <x v="32"/>
    <n v="3325.2000000000003"/>
    <n v="3912"/>
  </r>
  <r>
    <x v="4"/>
    <s v="Харків"/>
    <x v="5"/>
    <s v="Побутова хімія"/>
    <s v="Засіб для миття посуду"/>
    <x v="2"/>
    <x v="8"/>
    <x v="32"/>
    <n v="3019.71"/>
    <n v="3247"/>
  </r>
  <r>
    <x v="4"/>
    <s v="Харків"/>
    <x v="5"/>
    <s v="Побутова хімія"/>
    <s v="Засіб для посудомийних машин"/>
    <x v="2"/>
    <x v="8"/>
    <x v="32"/>
    <n v="3859.3099999999995"/>
    <n v="4241"/>
  </r>
  <r>
    <x v="3"/>
    <s v="Чорноморськ"/>
    <x v="8"/>
    <s v="Товари для дому"/>
    <s v="Серветки"/>
    <x v="2"/>
    <x v="8"/>
    <x v="32"/>
    <n v="2580.7599999999998"/>
    <n v="2836"/>
  </r>
  <r>
    <x v="4"/>
    <s v="Чугуїв"/>
    <x v="9"/>
    <s v="Товари для дому"/>
    <s v="Зубочистки"/>
    <x v="2"/>
    <x v="8"/>
    <x v="32"/>
    <n v="2637.0699999999997"/>
    <n v="2963"/>
  </r>
  <r>
    <x v="4"/>
    <s v="Чугуїв"/>
    <x v="9"/>
    <s v="Товари для дому"/>
    <s v="Одноразовий посуд"/>
    <x v="2"/>
    <x v="8"/>
    <x v="32"/>
    <n v="1948.35"/>
    <n v="2095"/>
  </r>
  <r>
    <x v="2"/>
    <s v="Біла Церква"/>
    <x v="7"/>
    <s v="Косметика"/>
    <s v="Шампунь"/>
    <x v="2"/>
    <x v="8"/>
    <x v="32"/>
    <n v="5489.3"/>
    <n v="6458"/>
  </r>
  <r>
    <x v="1"/>
    <s v="Бердянськ"/>
    <x v="6"/>
    <s v="Побутова хімія"/>
    <s v="Засіб для посудомийних машин"/>
    <x v="2"/>
    <x v="8"/>
    <x v="32"/>
    <n v="2687.46"/>
    <n v="2859"/>
  </r>
  <r>
    <x v="0"/>
    <s v="Житомир"/>
    <x v="0"/>
    <s v="Товари для дому"/>
    <s v="Одноразовий посуд"/>
    <x v="2"/>
    <x v="8"/>
    <x v="32"/>
    <n v="1858.3999999999999"/>
    <n v="2020"/>
  </r>
  <r>
    <x v="0"/>
    <s v="Житомир"/>
    <x v="0"/>
    <s v="Косметика"/>
    <s v="Шампунь"/>
    <x v="2"/>
    <x v="8"/>
    <x v="32"/>
    <n v="5405.31"/>
    <n v="6213"/>
  </r>
  <r>
    <x v="1"/>
    <s v="Запоріжжя"/>
    <x v="2"/>
    <s v="Косметика"/>
    <s v="Дезодорант"/>
    <x v="2"/>
    <x v="8"/>
    <x v="32"/>
    <n v="2802.6099999999997"/>
    <n v="3149"/>
  </r>
  <r>
    <x v="2"/>
    <s v="Ірпінь"/>
    <x v="10"/>
    <s v="Побутова хімія"/>
    <s v="Засіб для миття посуду"/>
    <x v="2"/>
    <x v="8"/>
    <x v="32"/>
    <n v="3400.8500000000004"/>
    <n v="4001"/>
  </r>
  <r>
    <x v="2"/>
    <s v="Ірпінь"/>
    <x v="10"/>
    <s v="Побутова хімія"/>
    <s v="Засіб для посудомийних машин"/>
    <x v="2"/>
    <x v="8"/>
    <x v="32"/>
    <n v="4460.4900000000007"/>
    <n v="5127"/>
  </r>
  <r>
    <x v="2"/>
    <s v="Київ"/>
    <x v="11"/>
    <s v="Побутова хімія"/>
    <s v="Засоби для догляду за меблями"/>
    <x v="2"/>
    <x v="8"/>
    <x v="32"/>
    <n v="2565"/>
    <n v="2850"/>
  </r>
  <r>
    <x v="2"/>
    <s v="Київ"/>
    <x v="11"/>
    <s v="Товари для дому"/>
    <s v="Серветки"/>
    <x v="2"/>
    <x v="8"/>
    <x v="32"/>
    <n v="2458.1"/>
    <n v="2615"/>
  </r>
  <r>
    <x v="2"/>
    <s v="Біла Церква"/>
    <x v="7"/>
    <s v="Товари для дому"/>
    <s v="Серветки"/>
    <x v="2"/>
    <x v="8"/>
    <x v="32"/>
    <n v="1524.27"/>
    <n v="1639"/>
  </r>
  <r>
    <x v="1"/>
    <s v="Бердянськ"/>
    <x v="6"/>
    <s v="Косметика"/>
    <s v="Мило"/>
    <x v="2"/>
    <x v="8"/>
    <x v="32"/>
    <n v="3147.12"/>
    <n v="3348"/>
  </r>
  <r>
    <x v="2"/>
    <s v="Бориспіль"/>
    <x v="3"/>
    <s v="Побутова хімія"/>
    <s v="Засіб для миття посуду"/>
    <x v="2"/>
    <x v="8"/>
    <x v="32"/>
    <n v="4517.9399999999996"/>
    <n v="4858"/>
  </r>
  <r>
    <x v="2"/>
    <s v="Бориспіль"/>
    <x v="3"/>
    <s v="Побутова хімія"/>
    <s v="Засіб для посудомийних машин"/>
    <x v="2"/>
    <x v="8"/>
    <x v="32"/>
    <n v="4478.76"/>
    <n v="5148"/>
  </r>
  <r>
    <x v="1"/>
    <s v="Запоріжжя"/>
    <x v="2"/>
    <s v="Товари для дому"/>
    <s v="Зубочистки"/>
    <x v="2"/>
    <x v="8"/>
    <x v="32"/>
    <n v="1788.8000000000002"/>
    <n v="2080"/>
  </r>
  <r>
    <x v="2"/>
    <s v="Ірпінь"/>
    <x v="10"/>
    <s v="Косметика"/>
    <s v="Шампунь"/>
    <x v="2"/>
    <x v="8"/>
    <x v="32"/>
    <n v="5022.4000000000005"/>
    <n v="5840"/>
  </r>
  <r>
    <x v="2"/>
    <s v="Ірпінь"/>
    <x v="10"/>
    <s v="Косметика"/>
    <s v="Дезодорант"/>
    <x v="2"/>
    <x v="8"/>
    <x v="32"/>
    <n v="2758.8999999999996"/>
    <n v="2935"/>
  </r>
  <r>
    <x v="2"/>
    <s v="Київ"/>
    <x v="11"/>
    <s v="Косметика"/>
    <s v="Мило"/>
    <x v="2"/>
    <x v="8"/>
    <x v="32"/>
    <n v="4272"/>
    <n v="4800"/>
  </r>
  <r>
    <x v="2"/>
    <s v="Київ"/>
    <x v="11"/>
    <s v="Побутова хімія"/>
    <s v="Засіб для миття посуду"/>
    <x v="2"/>
    <x v="8"/>
    <x v="32"/>
    <n v="4077.9199999999996"/>
    <n v="4634"/>
  </r>
  <r>
    <x v="3"/>
    <s v="Одеса"/>
    <x v="4"/>
    <s v="Побутова хімія"/>
    <s v="Засіб для посудомийних машин"/>
    <x v="2"/>
    <x v="8"/>
    <x v="32"/>
    <n v="2488.6799999999998"/>
    <n v="2676"/>
  </r>
  <r>
    <x v="3"/>
    <s v="Одеса"/>
    <x v="4"/>
    <s v="Побутова хімія"/>
    <s v="Засоби для догляду за меблями"/>
    <x v="2"/>
    <x v="8"/>
    <x v="32"/>
    <n v="2785.7599999999998"/>
    <n v="3028"/>
  </r>
  <r>
    <x v="4"/>
    <s v="Харків"/>
    <x v="5"/>
    <s v="Товари для дому"/>
    <s v="Серветки"/>
    <x v="2"/>
    <x v="8"/>
    <x v="32"/>
    <n v="2161.0800000000004"/>
    <n v="2484"/>
  </r>
  <r>
    <x v="3"/>
    <s v="Чорноморськ"/>
    <x v="8"/>
    <s v="Товари для дому"/>
    <s v="Одноразовий посуд"/>
    <x v="2"/>
    <x v="8"/>
    <x v="32"/>
    <n v="1865.4399999999998"/>
    <n v="2096"/>
  </r>
  <r>
    <x v="3"/>
    <s v="Чорноморськ"/>
    <x v="8"/>
    <s v="Косметика"/>
    <s v="Шампунь"/>
    <x v="2"/>
    <x v="8"/>
    <x v="32"/>
    <n v="4106.8799999999992"/>
    <n v="4464"/>
  </r>
  <r>
    <x v="4"/>
    <s v="Чугуїв"/>
    <x v="9"/>
    <s v="Косметика"/>
    <s v="Дезодорант"/>
    <x v="2"/>
    <x v="8"/>
    <x v="32"/>
    <n v="3577.2"/>
    <n v="4065"/>
  </r>
  <r>
    <x v="4"/>
    <s v="Чугуїв"/>
    <x v="9"/>
    <s v="Косметика"/>
    <s v="Мило"/>
    <x v="2"/>
    <x v="8"/>
    <x v="32"/>
    <n v="2063.6400000000003"/>
    <n v="2372"/>
  </r>
  <r>
    <x v="0"/>
    <s v="Бердичів"/>
    <x v="1"/>
    <s v="Побутова хімія"/>
    <s v="Засоби для догляду за меблями"/>
    <x v="2"/>
    <x v="8"/>
    <x v="32"/>
    <n v="2476.8000000000002"/>
    <n v="2880"/>
  </r>
  <r>
    <x v="0"/>
    <s v="Бердичів"/>
    <x v="1"/>
    <s v="Товари для дому"/>
    <s v="Серветки"/>
    <x v="2"/>
    <x v="8"/>
    <x v="32"/>
    <n v="2041.1999999999998"/>
    <n v="2268"/>
  </r>
  <r>
    <x v="1"/>
    <s v="Бердянськ"/>
    <x v="6"/>
    <s v="Товари для дому"/>
    <s v="Одноразовий посуд"/>
    <x v="2"/>
    <x v="8"/>
    <x v="32"/>
    <n v="1574.2000000000003"/>
    <n v="1852"/>
  </r>
  <r>
    <x v="2"/>
    <s v="Ірпінь"/>
    <x v="10"/>
    <s v="Косметика"/>
    <s v="Мило"/>
    <x v="2"/>
    <x v="8"/>
    <x v="32"/>
    <n v="2444.3999999999996"/>
    <n v="2716"/>
  </r>
  <r>
    <x v="2"/>
    <s v="Київ"/>
    <x v="11"/>
    <s v="Побутова хімія"/>
    <s v="Засіб для посудомийних машин"/>
    <x v="2"/>
    <x v="8"/>
    <x v="32"/>
    <n v="4729.1399999999994"/>
    <n v="5031"/>
  </r>
  <r>
    <x v="2"/>
    <s v="Біла Церква"/>
    <x v="7"/>
    <s v="Побутова хімія"/>
    <s v="Засоби для догляду за меблями"/>
    <x v="2"/>
    <x v="8"/>
    <x v="32"/>
    <n v="2737.2799999999997"/>
    <n v="3008"/>
  </r>
  <r>
    <x v="2"/>
    <s v="Бориспіль"/>
    <x v="3"/>
    <s v="Косметика"/>
    <s v="Мило"/>
    <x v="2"/>
    <x v="8"/>
    <x v="32"/>
    <n v="2067.2000000000003"/>
    <n v="2432"/>
  </r>
  <r>
    <x v="2"/>
    <s v="Ірпінь"/>
    <x v="10"/>
    <s v="Товари для дому"/>
    <s v="Одноразовий посуд"/>
    <x v="2"/>
    <x v="8"/>
    <x v="32"/>
    <n v="2094.3599999999997"/>
    <n v="2252"/>
  </r>
  <r>
    <x v="2"/>
    <s v="Київ"/>
    <x v="11"/>
    <s v="Косметика"/>
    <s v="Дезодорант"/>
    <x v="2"/>
    <x v="8"/>
    <x v="32"/>
    <n v="3589.7999999999997"/>
    <n v="3860"/>
  </r>
  <r>
    <x v="3"/>
    <s v="Одеса"/>
    <x v="4"/>
    <s v="Побутова хімія"/>
    <s v="Засіб для миття посуду"/>
    <x v="2"/>
    <x v="8"/>
    <x v="32"/>
    <n v="3520.7999999999997"/>
    <n v="3912"/>
  </r>
  <r>
    <x v="4"/>
    <s v="Харків"/>
    <x v="5"/>
    <s v="Побутова хімія"/>
    <s v="Засоби для догляду за меблями"/>
    <x v="2"/>
    <x v="8"/>
    <x v="32"/>
    <n v="2894.76"/>
    <n v="3366"/>
  </r>
  <r>
    <x v="3"/>
    <s v="Чорноморськ"/>
    <x v="8"/>
    <s v="Товари для дому"/>
    <s v="Зубочистки"/>
    <x v="2"/>
    <x v="8"/>
    <x v="32"/>
    <n v="2881.1"/>
    <n v="3065"/>
  </r>
  <r>
    <x v="4"/>
    <s v="Чугуїв"/>
    <x v="9"/>
    <s v="Косметика"/>
    <s v="Шампунь"/>
    <x v="2"/>
    <x v="8"/>
    <x v="32"/>
    <n v="5477.52"/>
    <n v="6296"/>
  </r>
  <r>
    <x v="2"/>
    <s v="Ірпінь"/>
    <x v="10"/>
    <s v="Побутова хімія"/>
    <s v="Засоби для догляду за меблями"/>
    <x v="2"/>
    <x v="8"/>
    <x v="32"/>
    <n v="2992.8799999999997"/>
    <n v="3401"/>
  </r>
  <r>
    <x v="2"/>
    <s v="Київ"/>
    <x v="11"/>
    <s v="Товари для дому"/>
    <s v="Зубочистки"/>
    <x v="2"/>
    <x v="8"/>
    <x v="32"/>
    <n v="1408.4500000000003"/>
    <n v="1657"/>
  </r>
  <r>
    <x v="0"/>
    <s v="Житомир"/>
    <x v="0"/>
    <s v="Товари для дому"/>
    <s v="Зубочистки"/>
    <x v="2"/>
    <x v="9"/>
    <x v="33"/>
    <n v="2794.4400000000005"/>
    <n v="3212"/>
  </r>
  <r>
    <x v="0"/>
    <s v="Бердичів"/>
    <x v="1"/>
    <s v="Товари для дому"/>
    <s v="Зубочистки"/>
    <x v="2"/>
    <x v="9"/>
    <x v="33"/>
    <n v="1573.3500000000001"/>
    <n v="1851"/>
  </r>
  <r>
    <x v="0"/>
    <s v="Бердичів"/>
    <x v="1"/>
    <s v="Косметика"/>
    <s v="Дезодорант"/>
    <x v="2"/>
    <x v="9"/>
    <x v="33"/>
    <n v="3231.3599999999997"/>
    <n v="3672"/>
  </r>
  <r>
    <x v="0"/>
    <s v="Житомир"/>
    <x v="0"/>
    <s v="Косметика"/>
    <s v="Дезодорант"/>
    <x v="2"/>
    <x v="9"/>
    <x v="33"/>
    <n v="3171.5999999999995"/>
    <n v="3524"/>
  </r>
  <r>
    <x v="0"/>
    <s v="Житомир"/>
    <x v="0"/>
    <s v="Побутова хімія"/>
    <s v="Засіб для миття посуду"/>
    <x v="2"/>
    <x v="9"/>
    <x v="33"/>
    <n v="3954.8599999999997"/>
    <n v="4346"/>
  </r>
  <r>
    <x v="1"/>
    <s v="Запоріжжя"/>
    <x v="2"/>
    <s v="Побутова хімія"/>
    <s v="Засіб для посудомийних машин"/>
    <x v="2"/>
    <x v="9"/>
    <x v="33"/>
    <n v="4631.38"/>
    <n v="4927"/>
  </r>
  <r>
    <x v="2"/>
    <s v="Бориспіль"/>
    <x v="3"/>
    <s v="Побутова хімія"/>
    <s v="Засоби для догляду за меблями"/>
    <x v="2"/>
    <x v="9"/>
    <x v="33"/>
    <n v="2910.4000000000005"/>
    <n v="3424"/>
  </r>
  <r>
    <x v="3"/>
    <s v="Одеса"/>
    <x v="4"/>
    <s v="Товари для дому"/>
    <s v="Серветки"/>
    <x v="2"/>
    <x v="9"/>
    <x v="33"/>
    <n v="2182.5"/>
    <n v="2425"/>
  </r>
  <r>
    <x v="4"/>
    <s v="Харків"/>
    <x v="5"/>
    <s v="Товари для дому"/>
    <s v="Зубочистки"/>
    <x v="2"/>
    <x v="9"/>
    <x v="33"/>
    <n v="1392.8700000000001"/>
    <n v="1601"/>
  </r>
  <r>
    <x v="0"/>
    <s v="Бердичів"/>
    <x v="1"/>
    <s v="Товари для дому"/>
    <s v="Одноразовий посуд"/>
    <x v="2"/>
    <x v="9"/>
    <x v="33"/>
    <n v="2551.9199999999996"/>
    <n v="2744"/>
  </r>
  <r>
    <x v="1"/>
    <s v="Бердянськ"/>
    <x v="6"/>
    <s v="Косметика"/>
    <s v="Шампунь"/>
    <x v="2"/>
    <x v="9"/>
    <x v="33"/>
    <n v="5551.35"/>
    <n v="6531"/>
  </r>
  <r>
    <x v="2"/>
    <s v="Біла Церква"/>
    <x v="7"/>
    <s v="Косметика"/>
    <s v="Дезодорант"/>
    <x v="2"/>
    <x v="9"/>
    <x v="33"/>
    <n v="2975.8500000000004"/>
    <n v="3501"/>
  </r>
  <r>
    <x v="3"/>
    <s v="Чорноморськ"/>
    <x v="8"/>
    <s v="Косметика"/>
    <s v="Мило"/>
    <x v="2"/>
    <x v="9"/>
    <x v="33"/>
    <n v="1902.7799999999997"/>
    <n v="2046"/>
  </r>
  <r>
    <x v="4"/>
    <s v="Чугуїв"/>
    <x v="9"/>
    <s v="Побутова хімія"/>
    <s v="Засіб для миття посуду"/>
    <x v="2"/>
    <x v="9"/>
    <x v="33"/>
    <n v="3091.4399999999996"/>
    <n v="3513"/>
  </r>
  <r>
    <x v="0"/>
    <s v="Житомир"/>
    <x v="0"/>
    <s v="Побутова хімія"/>
    <s v="Засіб для посудомийних машин"/>
    <x v="2"/>
    <x v="9"/>
    <x v="33"/>
    <n v="2534.42"/>
    <n v="2947"/>
  </r>
  <r>
    <x v="1"/>
    <s v="Запоріжжя"/>
    <x v="2"/>
    <s v="Побутова хімія"/>
    <s v="Засоби для догляду за меблями"/>
    <x v="2"/>
    <x v="9"/>
    <x v="33"/>
    <n v="3744.02"/>
    <n v="3983"/>
  </r>
  <r>
    <x v="2"/>
    <s v="Бориспіль"/>
    <x v="3"/>
    <s v="Товари для дому"/>
    <s v="Серветки"/>
    <x v="2"/>
    <x v="9"/>
    <x v="33"/>
    <n v="2692.7999999999997"/>
    <n v="2992"/>
  </r>
  <r>
    <x v="3"/>
    <s v="Одеса"/>
    <x v="4"/>
    <s v="Товари для дому"/>
    <s v="Зубочистки"/>
    <x v="2"/>
    <x v="9"/>
    <x v="33"/>
    <n v="1886.58"/>
    <n v="2007"/>
  </r>
  <r>
    <x v="4"/>
    <s v="Харків"/>
    <x v="5"/>
    <s v="Товари для дому"/>
    <s v="Одноразовий посуд"/>
    <x v="2"/>
    <x v="9"/>
    <x v="33"/>
    <n v="1640.3199999999997"/>
    <n v="1864"/>
  </r>
  <r>
    <x v="0"/>
    <s v="Бердичів"/>
    <x v="1"/>
    <s v="Косметика"/>
    <s v="Шампунь"/>
    <x v="2"/>
    <x v="9"/>
    <x v="33"/>
    <n v="5999.52"/>
    <n v="6896"/>
  </r>
  <r>
    <x v="1"/>
    <s v="Бердянськ"/>
    <x v="6"/>
    <s v="Косметика"/>
    <s v="Дезодорант"/>
    <x v="2"/>
    <x v="9"/>
    <x v="33"/>
    <n v="3091.7000000000003"/>
    <n v="3595"/>
  </r>
  <r>
    <x v="2"/>
    <s v="Біла Церква"/>
    <x v="7"/>
    <s v="Косметика"/>
    <s v="Мило"/>
    <x v="2"/>
    <x v="9"/>
    <x v="33"/>
    <n v="3048.4999999999995"/>
    <n v="3350"/>
  </r>
  <r>
    <x v="3"/>
    <s v="Чорноморськ"/>
    <x v="8"/>
    <s v="Побутова хімія"/>
    <s v="Засіб для миття посуду"/>
    <x v="2"/>
    <x v="9"/>
    <x v="33"/>
    <n v="4088.6299999999997"/>
    <n v="4493"/>
  </r>
  <r>
    <x v="4"/>
    <s v="Чугуїв"/>
    <x v="9"/>
    <s v="Побутова хімія"/>
    <s v="Засіб для посудомийних машин"/>
    <x v="2"/>
    <x v="9"/>
    <x v="33"/>
    <n v="4200.8599999999997"/>
    <n v="4469"/>
  </r>
  <r>
    <x v="0"/>
    <s v="Житомир"/>
    <x v="0"/>
    <s v="Побутова хімія"/>
    <s v="Засоби для догляду за меблями"/>
    <x v="2"/>
    <x v="9"/>
    <x v="33"/>
    <n v="3069.43"/>
    <n v="3373"/>
  </r>
  <r>
    <x v="1"/>
    <s v="Запоріжжя"/>
    <x v="2"/>
    <s v="Товари для дому"/>
    <s v="Серветки"/>
    <x v="2"/>
    <x v="9"/>
    <x v="33"/>
    <n v="1549.4899999999998"/>
    <n v="1741"/>
  </r>
  <r>
    <x v="2"/>
    <s v="Бориспіль"/>
    <x v="3"/>
    <s v="Товари для дому"/>
    <s v="Зубочистки"/>
    <x v="2"/>
    <x v="9"/>
    <x v="33"/>
    <n v="2006.38"/>
    <n v="2333"/>
  </r>
  <r>
    <x v="3"/>
    <s v="Одеса"/>
    <x v="4"/>
    <s v="Товари для дому"/>
    <s v="Одноразовий посуд"/>
    <x v="2"/>
    <x v="9"/>
    <x v="33"/>
    <n v="1130.82"/>
    <n v="1203"/>
  </r>
  <r>
    <x v="4"/>
    <s v="Харків"/>
    <x v="5"/>
    <s v="Косметика"/>
    <s v="Шампунь"/>
    <x v="2"/>
    <x v="9"/>
    <x v="33"/>
    <n v="5968.1599999999989"/>
    <n v="6782"/>
  </r>
  <r>
    <x v="1"/>
    <s v="Запоріжжя"/>
    <x v="2"/>
    <s v="Косметика"/>
    <s v="Мило"/>
    <x v="2"/>
    <x v="9"/>
    <x v="33"/>
    <n v="3654.3399999999997"/>
    <n v="4106"/>
  </r>
  <r>
    <x v="2"/>
    <s v="Біла Церква"/>
    <x v="7"/>
    <s v="Побутова хімія"/>
    <s v="Засіб для миття посуду"/>
    <x v="2"/>
    <x v="9"/>
    <x v="33"/>
    <n v="3598.05"/>
    <n v="4233"/>
  </r>
  <r>
    <x v="3"/>
    <s v="Чорноморськ"/>
    <x v="8"/>
    <s v="Побутова хімія"/>
    <s v="Засіб для посудомийних машин"/>
    <x v="2"/>
    <x v="9"/>
    <x v="33"/>
    <n v="2872.87"/>
    <n v="3157"/>
  </r>
  <r>
    <x v="4"/>
    <s v="Чугуїв"/>
    <x v="9"/>
    <s v="Побутова хімія"/>
    <s v="Засоби для догляду за меблями"/>
    <x v="2"/>
    <x v="9"/>
    <x v="33"/>
    <n v="2795.56"/>
    <n v="2974"/>
  </r>
  <r>
    <x v="0"/>
    <s v="Житомир"/>
    <x v="0"/>
    <s v="Товари для дому"/>
    <s v="Серветки"/>
    <x v="2"/>
    <x v="9"/>
    <x v="33"/>
    <n v="1576.7999999999997"/>
    <n v="1752"/>
  </r>
  <r>
    <x v="1"/>
    <s v="Бердянськ"/>
    <x v="6"/>
    <s v="Товари для дому"/>
    <s v="Зубочистки"/>
    <x v="2"/>
    <x v="9"/>
    <x v="33"/>
    <n v="1417.7699999999998"/>
    <n v="1593"/>
  </r>
  <r>
    <x v="2"/>
    <s v="Бориспіль"/>
    <x v="3"/>
    <s v="Товари для дому"/>
    <s v="Одноразовий посуд"/>
    <x v="2"/>
    <x v="9"/>
    <x v="33"/>
    <n v="2427.2999999999997"/>
    <n v="2610"/>
  </r>
  <r>
    <x v="3"/>
    <s v="Одеса"/>
    <x v="4"/>
    <s v="Косметика"/>
    <s v="Шампунь"/>
    <x v="2"/>
    <x v="9"/>
    <x v="33"/>
    <n v="3929.3499999999995"/>
    <n v="4415"/>
  </r>
  <r>
    <x v="4"/>
    <s v="Харків"/>
    <x v="5"/>
    <s v="Косметика"/>
    <s v="Дезодорант"/>
    <x v="2"/>
    <x v="9"/>
    <x v="33"/>
    <n v="4042.4799999999996"/>
    <n v="4394"/>
  </r>
  <r>
    <x v="0"/>
    <s v="Бердичів"/>
    <x v="1"/>
    <s v="Косметика"/>
    <s v="Мило"/>
    <x v="2"/>
    <x v="9"/>
    <x v="33"/>
    <n v="1897.1999999999998"/>
    <n v="2108"/>
  </r>
  <r>
    <x v="1"/>
    <s v="Запоріжжя"/>
    <x v="2"/>
    <s v="Побутова хімія"/>
    <s v="Засіб для миття посуду"/>
    <x v="2"/>
    <x v="9"/>
    <x v="33"/>
    <n v="3710.55"/>
    <n v="4265"/>
  </r>
  <r>
    <x v="2"/>
    <s v="Біла Церква"/>
    <x v="7"/>
    <s v="Побутова хімія"/>
    <s v="Засіб для посудомийних машин"/>
    <x v="2"/>
    <x v="9"/>
    <x v="33"/>
    <n v="2621.9399999999996"/>
    <n v="2946"/>
  </r>
  <r>
    <x v="3"/>
    <s v="Чорноморськ"/>
    <x v="8"/>
    <s v="Побутова хімія"/>
    <s v="Засоби для догляду за меблями"/>
    <x v="2"/>
    <x v="9"/>
    <x v="33"/>
    <n v="2870.9999999999995"/>
    <n v="3190"/>
  </r>
  <r>
    <x v="4"/>
    <s v="Чугуїв"/>
    <x v="9"/>
    <s v="Товари для дому"/>
    <s v="Серветки"/>
    <x v="2"/>
    <x v="9"/>
    <x v="33"/>
    <n v="1443.1999999999998"/>
    <n v="1640"/>
  </r>
  <r>
    <x v="1"/>
    <s v="Запоріжжя"/>
    <x v="2"/>
    <s v="Товари для дому"/>
    <s v="Одноразовий посуд"/>
    <x v="2"/>
    <x v="9"/>
    <x v="33"/>
    <n v="2532.5299999999997"/>
    <n v="2783"/>
  </r>
  <r>
    <x v="2"/>
    <s v="Бориспіль"/>
    <x v="3"/>
    <s v="Косметика"/>
    <s v="Шампунь"/>
    <x v="2"/>
    <x v="9"/>
    <x v="33"/>
    <n v="6309.94"/>
    <n v="6934"/>
  </r>
  <r>
    <x v="3"/>
    <s v="Чорноморськ"/>
    <x v="8"/>
    <s v="Косметика"/>
    <s v="Дезодорант"/>
    <x v="2"/>
    <x v="9"/>
    <x v="33"/>
    <n v="3643.4399999999996"/>
    <n v="3876"/>
  </r>
  <r>
    <x v="4"/>
    <s v="Харків"/>
    <x v="5"/>
    <s v="Косметика"/>
    <s v="Мило"/>
    <x v="2"/>
    <x v="9"/>
    <x v="33"/>
    <n v="4011.2799999999997"/>
    <n v="4408"/>
  </r>
  <r>
    <x v="0"/>
    <s v="Бердичів"/>
    <x v="1"/>
    <s v="Побутова хімія"/>
    <s v="Засіб для миття посуду"/>
    <x v="2"/>
    <x v="9"/>
    <x v="33"/>
    <n v="2972.7"/>
    <n v="3303"/>
  </r>
  <r>
    <x v="0"/>
    <s v="Бердичів"/>
    <x v="1"/>
    <s v="Побутова хімія"/>
    <s v="Засіб для посудомийних машин"/>
    <x v="2"/>
    <x v="9"/>
    <x v="33"/>
    <n v="3887.5199999999995"/>
    <n v="4272"/>
  </r>
  <r>
    <x v="1"/>
    <s v="Бердянськ"/>
    <x v="6"/>
    <s v="Побутова хімія"/>
    <s v="Засоби для догляду за меблями"/>
    <x v="2"/>
    <x v="9"/>
    <x v="33"/>
    <n v="2923.6499999999996"/>
    <n v="3285"/>
  </r>
  <r>
    <x v="1"/>
    <s v="Бердянськ"/>
    <x v="6"/>
    <s v="Товари для дому"/>
    <s v="Серветки"/>
    <x v="2"/>
    <x v="9"/>
    <x v="33"/>
    <n v="2057"/>
    <n v="2420"/>
  </r>
  <r>
    <x v="2"/>
    <s v="Біла Церква"/>
    <x v="7"/>
    <s v="Товари для дому"/>
    <s v="Зубочистки"/>
    <x v="2"/>
    <x v="9"/>
    <x v="33"/>
    <n v="1298.6000000000001"/>
    <n v="1510"/>
  </r>
  <r>
    <x v="2"/>
    <s v="Біла Церква"/>
    <x v="7"/>
    <s v="Товари для дому"/>
    <s v="Одноразовий посуд"/>
    <x v="2"/>
    <x v="9"/>
    <x v="33"/>
    <n v="1259.4399999999998"/>
    <n v="1384"/>
  </r>
  <r>
    <x v="2"/>
    <s v="Бориспіль"/>
    <x v="3"/>
    <s v="Косметика"/>
    <s v="Дезодорант"/>
    <x v="2"/>
    <x v="9"/>
    <x v="33"/>
    <n v="3917.6500000000005"/>
    <n v="4609"/>
  </r>
  <r>
    <x v="0"/>
    <s v="Житомир"/>
    <x v="0"/>
    <s v="Косметика"/>
    <s v="Мило"/>
    <x v="2"/>
    <x v="9"/>
    <x v="33"/>
    <n v="4348.8899999999994"/>
    <n v="4779"/>
  </r>
  <r>
    <x v="2"/>
    <s v="Ірпінь"/>
    <x v="10"/>
    <s v="Товари для дому"/>
    <s v="Серветки"/>
    <x v="2"/>
    <x v="9"/>
    <x v="33"/>
    <n v="1410.15"/>
    <n v="1659"/>
  </r>
  <r>
    <x v="2"/>
    <s v="Ірпінь"/>
    <x v="10"/>
    <s v="Товари для дому"/>
    <s v="Зубочистки"/>
    <x v="2"/>
    <x v="9"/>
    <x v="33"/>
    <n v="2339.4300000000003"/>
    <n v="2689"/>
  </r>
  <r>
    <x v="2"/>
    <s v="Київ"/>
    <x v="11"/>
    <s v="Товари для дому"/>
    <s v="Одноразовий посуд"/>
    <x v="2"/>
    <x v="9"/>
    <x v="33"/>
    <n v="2454.8000000000002"/>
    <n v="2888"/>
  </r>
  <r>
    <x v="2"/>
    <s v="Київ"/>
    <x v="11"/>
    <s v="Косметика"/>
    <s v="Шампунь"/>
    <x v="2"/>
    <x v="9"/>
    <x v="33"/>
    <n v="5882.0000000000009"/>
    <n v="6920"/>
  </r>
  <r>
    <x v="3"/>
    <s v="Одеса"/>
    <x v="4"/>
    <s v="Косметика"/>
    <s v="Дезодорант"/>
    <x v="2"/>
    <x v="9"/>
    <x v="33"/>
    <n v="3246.84"/>
    <n v="3732"/>
  </r>
  <r>
    <x v="3"/>
    <s v="Одеса"/>
    <x v="4"/>
    <s v="Косметика"/>
    <s v="Мило"/>
    <x v="2"/>
    <x v="9"/>
    <x v="33"/>
    <n v="1853.6699999999998"/>
    <n v="2037"/>
  </r>
  <r>
    <x v="4"/>
    <s v="Харків"/>
    <x v="5"/>
    <s v="Побутова хімія"/>
    <s v="Засіб для миття посуду"/>
    <x v="2"/>
    <x v="9"/>
    <x v="33"/>
    <n v="4444.32"/>
    <n v="4728"/>
  </r>
  <r>
    <x v="4"/>
    <s v="Харків"/>
    <x v="5"/>
    <s v="Побутова хімія"/>
    <s v="Засіб для посудомийних машин"/>
    <x v="2"/>
    <x v="9"/>
    <x v="33"/>
    <n v="4155.41"/>
    <n v="4669"/>
  </r>
  <r>
    <x v="3"/>
    <s v="Чорноморськ"/>
    <x v="8"/>
    <s v="Товари для дому"/>
    <s v="Серветки"/>
    <x v="2"/>
    <x v="9"/>
    <x v="33"/>
    <n v="1532.4399999999998"/>
    <n v="1684"/>
  </r>
  <r>
    <x v="4"/>
    <s v="Чугуїв"/>
    <x v="9"/>
    <s v="Товари для дому"/>
    <s v="Зубочистки"/>
    <x v="2"/>
    <x v="9"/>
    <x v="33"/>
    <n v="1648.9199999999998"/>
    <n v="1812"/>
  </r>
  <r>
    <x v="4"/>
    <s v="Чугуїв"/>
    <x v="9"/>
    <s v="Товари для дому"/>
    <s v="Одноразовий посуд"/>
    <x v="2"/>
    <x v="9"/>
    <x v="33"/>
    <n v="1988.3200000000002"/>
    <n v="2312"/>
  </r>
  <r>
    <x v="2"/>
    <s v="Біла Церква"/>
    <x v="7"/>
    <s v="Косметика"/>
    <s v="Шампунь"/>
    <x v="2"/>
    <x v="9"/>
    <x v="33"/>
    <n v="5420.04"/>
    <n v="5828"/>
  </r>
  <r>
    <x v="1"/>
    <s v="Бердянськ"/>
    <x v="6"/>
    <s v="Побутова хімія"/>
    <s v="Засіб для посудомийних машин"/>
    <x v="2"/>
    <x v="9"/>
    <x v="33"/>
    <n v="4148.2199999999993"/>
    <n v="4413"/>
  </r>
  <r>
    <x v="0"/>
    <s v="Житомир"/>
    <x v="0"/>
    <s v="Товари для дому"/>
    <s v="Одноразовий посуд"/>
    <x v="2"/>
    <x v="9"/>
    <x v="33"/>
    <n v="1185.3"/>
    <n v="1317"/>
  </r>
  <r>
    <x v="0"/>
    <s v="Житомир"/>
    <x v="0"/>
    <s v="Косметика"/>
    <s v="Шампунь"/>
    <x v="2"/>
    <x v="9"/>
    <x v="33"/>
    <n v="4134.4000000000005"/>
    <n v="4864"/>
  </r>
  <r>
    <x v="1"/>
    <s v="Запоріжжя"/>
    <x v="2"/>
    <s v="Косметика"/>
    <s v="Дезодорант"/>
    <x v="2"/>
    <x v="9"/>
    <x v="33"/>
    <n v="2895.9500000000003"/>
    <n v="3407"/>
  </r>
  <r>
    <x v="2"/>
    <s v="Ірпінь"/>
    <x v="10"/>
    <s v="Побутова хімія"/>
    <s v="Засіб для миття посуду"/>
    <x v="2"/>
    <x v="9"/>
    <x v="33"/>
    <n v="3515.4999999999995"/>
    <n v="3950"/>
  </r>
  <r>
    <x v="2"/>
    <s v="Ірпінь"/>
    <x v="10"/>
    <s v="Побутова хімія"/>
    <s v="Засіб для посудомийних машин"/>
    <x v="2"/>
    <x v="9"/>
    <x v="33"/>
    <n v="5139.1799999999994"/>
    <n v="5526"/>
  </r>
  <r>
    <x v="2"/>
    <s v="Київ"/>
    <x v="11"/>
    <s v="Побутова хімія"/>
    <s v="Засоби для догляду за меблями"/>
    <x v="2"/>
    <x v="9"/>
    <x v="33"/>
    <n v="2541.8399999999997"/>
    <n v="2856"/>
  </r>
  <r>
    <x v="2"/>
    <s v="Київ"/>
    <x v="11"/>
    <s v="Товари для дому"/>
    <s v="Серветки"/>
    <x v="2"/>
    <x v="9"/>
    <x v="33"/>
    <n v="1805.4"/>
    <n v="2124"/>
  </r>
  <r>
    <x v="2"/>
    <s v="Біла Церква"/>
    <x v="7"/>
    <s v="Товари для дому"/>
    <s v="Серветки"/>
    <x v="2"/>
    <x v="9"/>
    <x v="33"/>
    <n v="2373.3599999999997"/>
    <n v="2552"/>
  </r>
  <r>
    <x v="1"/>
    <s v="Бердянськ"/>
    <x v="6"/>
    <s v="Косметика"/>
    <s v="Мило"/>
    <x v="2"/>
    <x v="9"/>
    <x v="33"/>
    <n v="2753.7200000000003"/>
    <n v="3202"/>
  </r>
  <r>
    <x v="2"/>
    <s v="Бориспіль"/>
    <x v="3"/>
    <s v="Побутова хімія"/>
    <s v="Засіб для миття посуду"/>
    <x v="2"/>
    <x v="9"/>
    <x v="33"/>
    <n v="3096.8999999999996"/>
    <n v="3441"/>
  </r>
  <r>
    <x v="2"/>
    <s v="Бориспіль"/>
    <x v="3"/>
    <s v="Побутова хімія"/>
    <s v="Засіб для посудомийних машин"/>
    <x v="2"/>
    <x v="9"/>
    <x v="33"/>
    <n v="3815.8200000000006"/>
    <n v="4437"/>
  </r>
  <r>
    <x v="1"/>
    <s v="Запоріжжя"/>
    <x v="2"/>
    <s v="Товари для дому"/>
    <s v="Зубочистки"/>
    <x v="2"/>
    <x v="9"/>
    <x v="33"/>
    <n v="2008.36"/>
    <n v="2183"/>
  </r>
  <r>
    <x v="2"/>
    <s v="Ірпінь"/>
    <x v="10"/>
    <s v="Косметика"/>
    <s v="Шампунь"/>
    <x v="2"/>
    <x v="9"/>
    <x v="33"/>
    <n v="4379.2"/>
    <n v="4760"/>
  </r>
  <r>
    <x v="2"/>
    <s v="Ірпінь"/>
    <x v="10"/>
    <s v="Косметика"/>
    <s v="Дезодорант"/>
    <x v="2"/>
    <x v="9"/>
    <x v="33"/>
    <n v="2709.16"/>
    <n v="3044"/>
  </r>
  <r>
    <x v="2"/>
    <s v="Київ"/>
    <x v="11"/>
    <s v="Косметика"/>
    <s v="Мило"/>
    <x v="2"/>
    <x v="9"/>
    <x v="33"/>
    <n v="4042.8900000000003"/>
    <n v="4647"/>
  </r>
  <r>
    <x v="2"/>
    <s v="Київ"/>
    <x v="11"/>
    <s v="Побутова хімія"/>
    <s v="Засіб для миття посуду"/>
    <x v="2"/>
    <x v="9"/>
    <x v="33"/>
    <n v="4287.2999999999993"/>
    <n v="4610"/>
  </r>
  <r>
    <x v="3"/>
    <s v="Одеса"/>
    <x v="4"/>
    <s v="Побутова хімія"/>
    <s v="Засіб для посудомийних машин"/>
    <x v="2"/>
    <x v="9"/>
    <x v="33"/>
    <n v="3298.7099999999996"/>
    <n v="3547"/>
  </r>
  <r>
    <x v="3"/>
    <s v="Одеса"/>
    <x v="4"/>
    <s v="Побутова хімія"/>
    <s v="Засоби для догляду за меблями"/>
    <x v="2"/>
    <x v="9"/>
    <x v="33"/>
    <n v="3326.6099999999997"/>
    <n v="3577"/>
  </r>
  <r>
    <x v="4"/>
    <s v="Харків"/>
    <x v="5"/>
    <s v="Товари для дому"/>
    <s v="Серветки"/>
    <x v="2"/>
    <x v="9"/>
    <x v="33"/>
    <n v="2464.41"/>
    <n v="2769"/>
  </r>
  <r>
    <x v="3"/>
    <s v="Чорноморськ"/>
    <x v="8"/>
    <s v="Товари для дому"/>
    <s v="Одноразовий посуд"/>
    <x v="2"/>
    <x v="9"/>
    <x v="33"/>
    <n v="1686.36"/>
    <n v="1833"/>
  </r>
  <r>
    <x v="3"/>
    <s v="Чорноморськ"/>
    <x v="8"/>
    <s v="Косметика"/>
    <s v="Шампунь"/>
    <x v="2"/>
    <x v="9"/>
    <x v="33"/>
    <n v="4881.55"/>
    <n v="5743"/>
  </r>
  <r>
    <x v="4"/>
    <s v="Чугуїв"/>
    <x v="9"/>
    <s v="Косметика"/>
    <s v="Дезодорант"/>
    <x v="2"/>
    <x v="9"/>
    <x v="33"/>
    <n v="4381.2"/>
    <n v="4868"/>
  </r>
  <r>
    <x v="4"/>
    <s v="Чугуїв"/>
    <x v="9"/>
    <s v="Косметика"/>
    <s v="Мило"/>
    <x v="2"/>
    <x v="9"/>
    <x v="33"/>
    <n v="2075.04"/>
    <n v="2358"/>
  </r>
  <r>
    <x v="0"/>
    <s v="Бердичів"/>
    <x v="1"/>
    <s v="Побутова хімія"/>
    <s v="Засоби для догляду за меблями"/>
    <x v="2"/>
    <x v="9"/>
    <x v="33"/>
    <n v="2692.16"/>
    <n v="2864"/>
  </r>
  <r>
    <x v="0"/>
    <s v="Бердичів"/>
    <x v="1"/>
    <s v="Товари для дому"/>
    <s v="Серветки"/>
    <x v="2"/>
    <x v="9"/>
    <x v="33"/>
    <n v="1809.5"/>
    <n v="1925"/>
  </r>
  <r>
    <x v="1"/>
    <s v="Бердянськ"/>
    <x v="6"/>
    <s v="Товари для дому"/>
    <s v="Одноразовий посуд"/>
    <x v="2"/>
    <x v="9"/>
    <x v="33"/>
    <n v="1240.8"/>
    <n v="1320"/>
  </r>
  <r>
    <x v="2"/>
    <s v="Ірпінь"/>
    <x v="10"/>
    <s v="Косметика"/>
    <s v="Мило"/>
    <x v="2"/>
    <x v="9"/>
    <x v="33"/>
    <n v="3948.2500000000005"/>
    <n v="4645"/>
  </r>
  <r>
    <x v="2"/>
    <s v="Київ"/>
    <x v="11"/>
    <s v="Побутова хімія"/>
    <s v="Засіб для посудомийних машин"/>
    <x v="2"/>
    <x v="9"/>
    <x v="33"/>
    <n v="3810.5999999999995"/>
    <n v="4234"/>
  </r>
  <r>
    <x v="2"/>
    <s v="Біла Церква"/>
    <x v="7"/>
    <s v="Побутова хімія"/>
    <s v="Засоби для догляду за меблями"/>
    <x v="2"/>
    <x v="9"/>
    <x v="33"/>
    <n v="2892.1800000000003"/>
    <n v="3363"/>
  </r>
  <r>
    <x v="2"/>
    <s v="Бориспіль"/>
    <x v="3"/>
    <s v="Косметика"/>
    <s v="Мило"/>
    <x v="2"/>
    <x v="9"/>
    <x v="33"/>
    <n v="3521.7000000000003"/>
    <n v="4095"/>
  </r>
  <r>
    <x v="2"/>
    <s v="Ірпінь"/>
    <x v="10"/>
    <s v="Товари для дому"/>
    <s v="Одноразовий посуд"/>
    <x v="2"/>
    <x v="9"/>
    <x v="33"/>
    <n v="1270.9199999999998"/>
    <n v="1428"/>
  </r>
  <r>
    <x v="2"/>
    <s v="Київ"/>
    <x v="11"/>
    <s v="Косметика"/>
    <s v="Дезодорант"/>
    <x v="2"/>
    <x v="9"/>
    <x v="33"/>
    <n v="2808.9599999999996"/>
    <n v="3192"/>
  </r>
  <r>
    <x v="3"/>
    <s v="Одеса"/>
    <x v="4"/>
    <s v="Побутова хімія"/>
    <s v="Засіб для миття посуду"/>
    <x v="2"/>
    <x v="9"/>
    <x v="33"/>
    <n v="3008.5499999999997"/>
    <n v="3235"/>
  </r>
  <r>
    <x v="4"/>
    <s v="Харків"/>
    <x v="5"/>
    <s v="Побутова хімія"/>
    <s v="Засоби для догляду за меблями"/>
    <x v="2"/>
    <x v="9"/>
    <x v="33"/>
    <n v="2493.0399999999995"/>
    <n v="2833"/>
  </r>
  <r>
    <x v="3"/>
    <s v="Чорноморськ"/>
    <x v="8"/>
    <s v="Товари для дому"/>
    <s v="Зубочистки"/>
    <x v="2"/>
    <x v="9"/>
    <x v="33"/>
    <n v="2039.2800000000002"/>
    <n v="2344"/>
  </r>
  <r>
    <x v="4"/>
    <s v="Чугуїв"/>
    <x v="9"/>
    <s v="Косметика"/>
    <s v="Шампунь"/>
    <x v="2"/>
    <x v="9"/>
    <x v="33"/>
    <n v="4650.1799999999994"/>
    <n v="4947"/>
  </r>
  <r>
    <x v="2"/>
    <s v="Ірпінь"/>
    <x v="10"/>
    <s v="Побутова хімія"/>
    <s v="Засоби для догляду за меблями"/>
    <x v="2"/>
    <x v="9"/>
    <x v="33"/>
    <n v="3194.3999999999996"/>
    <n v="3630"/>
  </r>
  <r>
    <x v="2"/>
    <s v="Київ"/>
    <x v="11"/>
    <s v="Товари для дому"/>
    <s v="Зубочистки"/>
    <x v="2"/>
    <x v="9"/>
    <x v="33"/>
    <n v="2475.4399999999996"/>
    <n v="2813"/>
  </r>
  <r>
    <x v="0"/>
    <s v="Житомир"/>
    <x v="0"/>
    <s v="Товари для дому"/>
    <s v="Зубочистки"/>
    <x v="2"/>
    <x v="10"/>
    <x v="34"/>
    <n v="2135.7599999999998"/>
    <n v="2427"/>
  </r>
  <r>
    <x v="0"/>
    <s v="Бердичів"/>
    <x v="1"/>
    <s v="Товари для дому"/>
    <s v="Зубочистки"/>
    <x v="2"/>
    <x v="10"/>
    <x v="34"/>
    <n v="1522.4299999999998"/>
    <n v="1673"/>
  </r>
  <r>
    <x v="0"/>
    <s v="Бердичів"/>
    <x v="1"/>
    <s v="Косметика"/>
    <s v="Дезодорант"/>
    <x v="2"/>
    <x v="10"/>
    <x v="34"/>
    <n v="5065.5199999999995"/>
    <n v="5506"/>
  </r>
  <r>
    <x v="0"/>
    <s v="Житомир"/>
    <x v="0"/>
    <s v="Косметика"/>
    <s v="Дезодорант"/>
    <x v="2"/>
    <x v="10"/>
    <x v="34"/>
    <n v="4403.7"/>
    <n v="4893"/>
  </r>
  <r>
    <x v="0"/>
    <s v="Житомир"/>
    <x v="0"/>
    <s v="Побутова хімія"/>
    <s v="Засіб для миття посуду"/>
    <x v="2"/>
    <x v="10"/>
    <x v="34"/>
    <n v="3186.8799999999997"/>
    <n v="3464"/>
  </r>
  <r>
    <x v="1"/>
    <s v="Запоріжжя"/>
    <x v="2"/>
    <s v="Побутова хімія"/>
    <s v="Засіб для посудомийних машин"/>
    <x v="2"/>
    <x v="10"/>
    <x v="34"/>
    <n v="3850.24"/>
    <n v="4096"/>
  </r>
  <r>
    <x v="2"/>
    <s v="Бориспіль"/>
    <x v="3"/>
    <s v="Побутова хімія"/>
    <s v="Засоби для догляду за меблями"/>
    <x v="2"/>
    <x v="10"/>
    <x v="34"/>
    <n v="3232.7999999999997"/>
    <n v="3592"/>
  </r>
  <r>
    <x v="3"/>
    <s v="Одеса"/>
    <x v="4"/>
    <s v="Товари для дому"/>
    <s v="Серветки"/>
    <x v="2"/>
    <x v="10"/>
    <x v="34"/>
    <n v="2092.08"/>
    <n v="2274"/>
  </r>
  <r>
    <x v="4"/>
    <s v="Харків"/>
    <x v="5"/>
    <s v="Товари для дому"/>
    <s v="Зубочистки"/>
    <x v="2"/>
    <x v="10"/>
    <x v="34"/>
    <n v="2380.04"/>
    <n v="2587"/>
  </r>
  <r>
    <x v="0"/>
    <s v="Бердичів"/>
    <x v="1"/>
    <s v="Товари для дому"/>
    <s v="Одноразовий посуд"/>
    <x v="2"/>
    <x v="10"/>
    <x v="34"/>
    <n v="1580.3999999999999"/>
    <n v="1756"/>
  </r>
  <r>
    <x v="1"/>
    <s v="Бердянськ"/>
    <x v="6"/>
    <s v="Косметика"/>
    <s v="Шампунь"/>
    <x v="2"/>
    <x v="10"/>
    <x v="34"/>
    <n v="5975.1999999999989"/>
    <n v="6790"/>
  </r>
  <r>
    <x v="2"/>
    <s v="Біла Церква"/>
    <x v="7"/>
    <s v="Косметика"/>
    <s v="Дезодорант"/>
    <x v="2"/>
    <x v="10"/>
    <x v="34"/>
    <n v="2408.3999999999996"/>
    <n v="2676"/>
  </r>
  <r>
    <x v="3"/>
    <s v="Чорноморськ"/>
    <x v="8"/>
    <s v="Косметика"/>
    <s v="Мило"/>
    <x v="2"/>
    <x v="10"/>
    <x v="34"/>
    <n v="2175.8000000000002"/>
    <n v="2530"/>
  </r>
  <r>
    <x v="4"/>
    <s v="Чугуїв"/>
    <x v="9"/>
    <s v="Побутова хімія"/>
    <s v="Засіб для миття посуду"/>
    <x v="2"/>
    <x v="10"/>
    <x v="34"/>
    <n v="3065.01"/>
    <n v="3523"/>
  </r>
  <r>
    <x v="0"/>
    <s v="Житомир"/>
    <x v="0"/>
    <s v="Побутова хімія"/>
    <s v="Засіб для посудомийних машин"/>
    <x v="2"/>
    <x v="10"/>
    <x v="34"/>
    <n v="3237.5199999999995"/>
    <n v="3679"/>
  </r>
  <r>
    <x v="1"/>
    <s v="Запоріжжя"/>
    <x v="2"/>
    <s v="Побутова хімія"/>
    <s v="Засоби для догляду за меблями"/>
    <x v="2"/>
    <x v="10"/>
    <x v="34"/>
    <n v="3464.34"/>
    <n v="3982"/>
  </r>
  <r>
    <x v="2"/>
    <s v="Бориспіль"/>
    <x v="3"/>
    <s v="Товари для дому"/>
    <s v="Серветки"/>
    <x v="2"/>
    <x v="10"/>
    <x v="34"/>
    <n v="1637.9999999999998"/>
    <n v="1800"/>
  </r>
  <r>
    <x v="3"/>
    <s v="Одеса"/>
    <x v="4"/>
    <s v="Товари для дому"/>
    <s v="Зубочистки"/>
    <x v="2"/>
    <x v="10"/>
    <x v="34"/>
    <n v="2439.8200000000002"/>
    <n v="2837"/>
  </r>
  <r>
    <x v="4"/>
    <s v="Харків"/>
    <x v="5"/>
    <s v="Товари для дому"/>
    <s v="Одноразовий посуд"/>
    <x v="2"/>
    <x v="10"/>
    <x v="34"/>
    <n v="1658.6999999999998"/>
    <n v="1843"/>
  </r>
  <r>
    <x v="0"/>
    <s v="Бердичів"/>
    <x v="1"/>
    <s v="Косметика"/>
    <s v="Шампунь"/>
    <x v="2"/>
    <x v="10"/>
    <x v="34"/>
    <n v="4195.6000000000004"/>
    <n v="4936"/>
  </r>
  <r>
    <x v="1"/>
    <s v="Бердянськ"/>
    <x v="6"/>
    <s v="Косметика"/>
    <s v="Дезодорант"/>
    <x v="2"/>
    <x v="10"/>
    <x v="34"/>
    <n v="2571.2500000000005"/>
    <n v="3025"/>
  </r>
  <r>
    <x v="2"/>
    <s v="Біла Церква"/>
    <x v="7"/>
    <s v="Косметика"/>
    <s v="Мило"/>
    <x v="2"/>
    <x v="10"/>
    <x v="34"/>
    <n v="4152.8799999999992"/>
    <n v="4514"/>
  </r>
  <r>
    <x v="3"/>
    <s v="Чорноморськ"/>
    <x v="8"/>
    <s v="Побутова хімія"/>
    <s v="Засіб для миття посуду"/>
    <x v="2"/>
    <x v="10"/>
    <x v="34"/>
    <n v="3480.8199999999997"/>
    <n v="3703"/>
  </r>
  <r>
    <x v="4"/>
    <s v="Чугуїв"/>
    <x v="9"/>
    <s v="Побутова хімія"/>
    <s v="Засіб для посудомийних машин"/>
    <x v="2"/>
    <x v="10"/>
    <x v="34"/>
    <n v="4505.1799999999994"/>
    <n v="5062"/>
  </r>
  <r>
    <x v="0"/>
    <s v="Житомир"/>
    <x v="0"/>
    <s v="Побутова хімія"/>
    <s v="Засоби для догляду за меблями"/>
    <x v="2"/>
    <x v="10"/>
    <x v="34"/>
    <n v="2884.6399999999994"/>
    <n v="3278"/>
  </r>
  <r>
    <x v="1"/>
    <s v="Запоріжжя"/>
    <x v="2"/>
    <s v="Товари для дому"/>
    <s v="Серветки"/>
    <x v="2"/>
    <x v="10"/>
    <x v="34"/>
    <n v="1422.8999999999999"/>
    <n v="1581"/>
  </r>
  <r>
    <x v="2"/>
    <s v="Бориспіль"/>
    <x v="3"/>
    <s v="Товари для дому"/>
    <s v="Зубочистки"/>
    <x v="2"/>
    <x v="10"/>
    <x v="34"/>
    <n v="1583.3999999999999"/>
    <n v="1740"/>
  </r>
  <r>
    <x v="3"/>
    <s v="Одеса"/>
    <x v="4"/>
    <s v="Товари для дому"/>
    <s v="Одноразовий посуд"/>
    <x v="2"/>
    <x v="10"/>
    <x v="34"/>
    <n v="1325.7199999999998"/>
    <n v="1441"/>
  </r>
  <r>
    <x v="4"/>
    <s v="Харків"/>
    <x v="5"/>
    <s v="Косметика"/>
    <s v="Шампунь"/>
    <x v="2"/>
    <x v="10"/>
    <x v="34"/>
    <n v="5783.5000000000009"/>
    <n v="6725"/>
  </r>
  <r>
    <x v="1"/>
    <s v="Запоріжжя"/>
    <x v="2"/>
    <s v="Косметика"/>
    <s v="Мило"/>
    <x v="2"/>
    <x v="10"/>
    <x v="34"/>
    <n v="2350.1099999999997"/>
    <n v="2527"/>
  </r>
  <r>
    <x v="2"/>
    <s v="Біла Церква"/>
    <x v="7"/>
    <s v="Побутова хімія"/>
    <s v="Засіб для миття посуду"/>
    <x v="2"/>
    <x v="10"/>
    <x v="34"/>
    <n v="4107.3600000000006"/>
    <n v="4776"/>
  </r>
  <r>
    <x v="3"/>
    <s v="Чорноморськ"/>
    <x v="8"/>
    <s v="Побутова хімія"/>
    <s v="Засіб для посудомийних машин"/>
    <x v="2"/>
    <x v="10"/>
    <x v="34"/>
    <n v="2727.65"/>
    <n v="3209"/>
  </r>
  <r>
    <x v="4"/>
    <s v="Чугуїв"/>
    <x v="9"/>
    <s v="Побутова хімія"/>
    <s v="Засоби для догляду за меблями"/>
    <x v="2"/>
    <x v="10"/>
    <x v="34"/>
    <n v="3210.38"/>
    <n v="3733"/>
  </r>
  <r>
    <x v="0"/>
    <s v="Житомир"/>
    <x v="0"/>
    <s v="Товари для дому"/>
    <s v="Серветки"/>
    <x v="2"/>
    <x v="10"/>
    <x v="34"/>
    <n v="1730.7299999999998"/>
    <n v="1861"/>
  </r>
  <r>
    <x v="1"/>
    <s v="Бердянськ"/>
    <x v="6"/>
    <s v="Товари для дому"/>
    <s v="Зубочистки"/>
    <x v="2"/>
    <x v="10"/>
    <x v="34"/>
    <n v="1498.77"/>
    <n v="1647"/>
  </r>
  <r>
    <x v="2"/>
    <s v="Бориспіль"/>
    <x v="3"/>
    <s v="Товари для дому"/>
    <s v="Одноразовий посуд"/>
    <x v="2"/>
    <x v="10"/>
    <x v="34"/>
    <n v="1110.1999999999998"/>
    <n v="1220"/>
  </r>
  <r>
    <x v="3"/>
    <s v="Одеса"/>
    <x v="4"/>
    <s v="Косметика"/>
    <s v="Шампунь"/>
    <x v="2"/>
    <x v="10"/>
    <x v="34"/>
    <n v="3494.1800000000003"/>
    <n v="4063"/>
  </r>
  <r>
    <x v="4"/>
    <s v="Харків"/>
    <x v="5"/>
    <s v="Косметика"/>
    <s v="Дезодорант"/>
    <x v="2"/>
    <x v="10"/>
    <x v="34"/>
    <n v="4291.5599999999995"/>
    <n v="4716"/>
  </r>
  <r>
    <x v="0"/>
    <s v="Бердичів"/>
    <x v="1"/>
    <s v="Косметика"/>
    <s v="Мило"/>
    <x v="2"/>
    <x v="10"/>
    <x v="34"/>
    <n v="2227.3199999999997"/>
    <n v="2421"/>
  </r>
  <r>
    <x v="1"/>
    <s v="Запоріжжя"/>
    <x v="2"/>
    <s v="Побутова хімія"/>
    <s v="Засіб для миття посуду"/>
    <x v="2"/>
    <x v="10"/>
    <x v="34"/>
    <n v="3982.6600000000003"/>
    <n v="4631"/>
  </r>
  <r>
    <x v="2"/>
    <s v="Біла Церква"/>
    <x v="7"/>
    <s v="Побутова хімія"/>
    <s v="Засіб для посудомийних машин"/>
    <x v="2"/>
    <x v="10"/>
    <x v="34"/>
    <n v="3477.3900000000003"/>
    <n v="3997"/>
  </r>
  <r>
    <x v="3"/>
    <s v="Чорноморськ"/>
    <x v="8"/>
    <s v="Побутова хімія"/>
    <s v="Засоби для догляду за меблями"/>
    <x v="2"/>
    <x v="10"/>
    <x v="34"/>
    <n v="2591.64"/>
    <n v="2817"/>
  </r>
  <r>
    <x v="4"/>
    <s v="Чугуїв"/>
    <x v="9"/>
    <s v="Товари для дому"/>
    <s v="Серветки"/>
    <x v="2"/>
    <x v="10"/>
    <x v="34"/>
    <n v="2438.96"/>
    <n v="2836"/>
  </r>
  <r>
    <x v="1"/>
    <s v="Запоріжжя"/>
    <x v="2"/>
    <s v="Товари для дому"/>
    <s v="Одноразовий посуд"/>
    <x v="2"/>
    <x v="10"/>
    <x v="34"/>
    <n v="1700.8500000000001"/>
    <n v="1955"/>
  </r>
  <r>
    <x v="2"/>
    <s v="Бориспіль"/>
    <x v="3"/>
    <s v="Косметика"/>
    <s v="Шампунь"/>
    <x v="2"/>
    <x v="10"/>
    <x v="34"/>
    <n v="3692.7799999999997"/>
    <n v="4058"/>
  </r>
  <r>
    <x v="3"/>
    <s v="Чорноморськ"/>
    <x v="8"/>
    <s v="Косметика"/>
    <s v="Дезодорант"/>
    <x v="2"/>
    <x v="10"/>
    <x v="34"/>
    <n v="3673.7000000000003"/>
    <n v="4322"/>
  </r>
  <r>
    <x v="4"/>
    <s v="Харків"/>
    <x v="5"/>
    <s v="Косметика"/>
    <s v="Мило"/>
    <x v="2"/>
    <x v="10"/>
    <x v="34"/>
    <n v="1964.6"/>
    <n v="2090"/>
  </r>
  <r>
    <x v="0"/>
    <s v="Бердичів"/>
    <x v="1"/>
    <s v="Побутова хімія"/>
    <s v="Засіб для миття посуду"/>
    <x v="2"/>
    <x v="10"/>
    <x v="34"/>
    <n v="3684.2400000000007"/>
    <n v="4284"/>
  </r>
  <r>
    <x v="0"/>
    <s v="Бердичів"/>
    <x v="1"/>
    <s v="Побутова хімія"/>
    <s v="Засіб для посудомийних машин"/>
    <x v="2"/>
    <x v="10"/>
    <x v="34"/>
    <n v="4132.24"/>
    <n v="4396"/>
  </r>
  <r>
    <x v="1"/>
    <s v="Бердянськ"/>
    <x v="6"/>
    <s v="Побутова хімія"/>
    <s v="Засоби для догляду за меблями"/>
    <x v="2"/>
    <x v="10"/>
    <x v="34"/>
    <n v="3588.4799999999996"/>
    <n v="4032"/>
  </r>
  <r>
    <x v="1"/>
    <s v="Бердянськ"/>
    <x v="6"/>
    <s v="Товари для дому"/>
    <s v="Серветки"/>
    <x v="2"/>
    <x v="10"/>
    <x v="34"/>
    <n v="2254.5"/>
    <n v="2505"/>
  </r>
  <r>
    <x v="2"/>
    <s v="Біла Церква"/>
    <x v="7"/>
    <s v="Товари для дому"/>
    <s v="Зубочистки"/>
    <x v="2"/>
    <x v="10"/>
    <x v="34"/>
    <n v="3099.18"/>
    <n v="3297"/>
  </r>
  <r>
    <x v="2"/>
    <s v="Біла Церква"/>
    <x v="7"/>
    <s v="Товари для дому"/>
    <s v="Одноразовий посуд"/>
    <x v="2"/>
    <x v="10"/>
    <x v="34"/>
    <n v="1751.3999999999999"/>
    <n v="1946"/>
  </r>
  <r>
    <x v="2"/>
    <s v="Бориспіль"/>
    <x v="3"/>
    <s v="Косметика"/>
    <s v="Дезодорант"/>
    <x v="2"/>
    <x v="10"/>
    <x v="34"/>
    <n v="3869.0999999999995"/>
    <n v="4299"/>
  </r>
  <r>
    <x v="0"/>
    <s v="Житомир"/>
    <x v="0"/>
    <s v="Косметика"/>
    <s v="Мило"/>
    <x v="2"/>
    <x v="10"/>
    <x v="34"/>
    <n v="4376.7"/>
    <n v="4863"/>
  </r>
  <r>
    <x v="2"/>
    <s v="Ірпінь"/>
    <x v="10"/>
    <s v="Товари для дому"/>
    <s v="Серветки"/>
    <x v="2"/>
    <x v="10"/>
    <x v="34"/>
    <n v="2214.64"/>
    <n v="2356"/>
  </r>
  <r>
    <x v="2"/>
    <s v="Ірпінь"/>
    <x v="10"/>
    <s v="Товари для дому"/>
    <s v="Зубочистки"/>
    <x v="2"/>
    <x v="10"/>
    <x v="34"/>
    <n v="2814.24"/>
    <n v="3198"/>
  </r>
  <r>
    <x v="2"/>
    <s v="Київ"/>
    <x v="11"/>
    <s v="Товари для дому"/>
    <s v="Одноразовий посуд"/>
    <x v="2"/>
    <x v="10"/>
    <x v="34"/>
    <n v="1456.3799999999999"/>
    <n v="1566"/>
  </r>
  <r>
    <x v="2"/>
    <s v="Київ"/>
    <x v="11"/>
    <s v="Косметика"/>
    <s v="Шампунь"/>
    <x v="2"/>
    <x v="10"/>
    <x v="34"/>
    <n v="5974.57"/>
    <n v="6713"/>
  </r>
  <r>
    <x v="3"/>
    <s v="Одеса"/>
    <x v="4"/>
    <s v="Косметика"/>
    <s v="Дезодорант"/>
    <x v="2"/>
    <x v="10"/>
    <x v="34"/>
    <n v="4319.8499999999995"/>
    <n v="4645"/>
  </r>
  <r>
    <x v="3"/>
    <s v="Одеса"/>
    <x v="4"/>
    <s v="Косметика"/>
    <s v="Мило"/>
    <x v="2"/>
    <x v="10"/>
    <x v="34"/>
    <n v="1995.6299999999999"/>
    <n v="2193"/>
  </r>
  <r>
    <x v="4"/>
    <s v="Харків"/>
    <x v="5"/>
    <s v="Побутова хімія"/>
    <s v="Засіб для миття посуду"/>
    <x v="2"/>
    <x v="10"/>
    <x v="34"/>
    <n v="3807.1500000000005"/>
    <n v="4479"/>
  </r>
  <r>
    <x v="4"/>
    <s v="Харків"/>
    <x v="5"/>
    <s v="Побутова хімія"/>
    <s v="Засіб для посудомийних машин"/>
    <x v="2"/>
    <x v="10"/>
    <x v="34"/>
    <n v="4347.3"/>
    <n v="5055"/>
  </r>
  <r>
    <x v="3"/>
    <s v="Чорноморськ"/>
    <x v="8"/>
    <s v="Товари для дому"/>
    <s v="Серветки"/>
    <x v="2"/>
    <x v="10"/>
    <x v="34"/>
    <n v="1818.0400000000002"/>
    <n v="2114"/>
  </r>
  <r>
    <x v="4"/>
    <s v="Чугуїв"/>
    <x v="9"/>
    <s v="Товари для дому"/>
    <s v="Зубочистки"/>
    <x v="2"/>
    <x v="10"/>
    <x v="34"/>
    <n v="2602.7999999999997"/>
    <n v="2892"/>
  </r>
  <r>
    <x v="4"/>
    <s v="Чугуїв"/>
    <x v="9"/>
    <s v="Товари для дому"/>
    <s v="Одноразовий посуд"/>
    <x v="2"/>
    <x v="10"/>
    <x v="34"/>
    <n v="2649.5699999999997"/>
    <n v="2849"/>
  </r>
  <r>
    <x v="2"/>
    <s v="Біла Церква"/>
    <x v="7"/>
    <s v="Косметика"/>
    <s v="Шампунь"/>
    <x v="2"/>
    <x v="10"/>
    <x v="34"/>
    <n v="5929.920000000001"/>
    <n v="6816"/>
  </r>
  <r>
    <x v="1"/>
    <s v="Бердянськ"/>
    <x v="6"/>
    <s v="Побутова хімія"/>
    <s v="Засіб для посудомийних машин"/>
    <x v="2"/>
    <x v="10"/>
    <x v="34"/>
    <n v="3728.37"/>
    <n v="4009"/>
  </r>
  <r>
    <x v="0"/>
    <s v="Житомир"/>
    <x v="0"/>
    <s v="Товари для дому"/>
    <s v="Одноразовий посуд"/>
    <x v="2"/>
    <x v="10"/>
    <x v="34"/>
    <n v="2194.9199999999996"/>
    <n v="2412"/>
  </r>
  <r>
    <x v="0"/>
    <s v="Житомир"/>
    <x v="0"/>
    <s v="Косметика"/>
    <s v="Шампунь"/>
    <x v="2"/>
    <x v="10"/>
    <x v="34"/>
    <n v="4392.8999999999996"/>
    <n v="4881"/>
  </r>
  <r>
    <x v="1"/>
    <s v="Запоріжжя"/>
    <x v="2"/>
    <s v="Косметика"/>
    <s v="Дезодорант"/>
    <x v="2"/>
    <x v="10"/>
    <x v="34"/>
    <n v="3930.18"/>
    <n v="4226"/>
  </r>
  <r>
    <x v="2"/>
    <s v="Ірпінь"/>
    <x v="10"/>
    <s v="Побутова хімія"/>
    <s v="Засіб для миття посуду"/>
    <x v="2"/>
    <x v="10"/>
    <x v="34"/>
    <n v="4396.5"/>
    <n v="4885"/>
  </r>
  <r>
    <x v="2"/>
    <s v="Ірпінь"/>
    <x v="10"/>
    <s v="Побутова хімія"/>
    <s v="Засіб для посудомийних машин"/>
    <x v="2"/>
    <x v="10"/>
    <x v="34"/>
    <n v="4936.83"/>
    <n v="5547"/>
  </r>
  <r>
    <x v="2"/>
    <s v="Київ"/>
    <x v="11"/>
    <s v="Побутова хімія"/>
    <s v="Засоби для догляду за меблями"/>
    <x v="2"/>
    <x v="10"/>
    <x v="34"/>
    <n v="3188.0200000000004"/>
    <n v="3707"/>
  </r>
  <r>
    <x v="2"/>
    <s v="Київ"/>
    <x v="11"/>
    <s v="Товари для дому"/>
    <s v="Серветки"/>
    <x v="2"/>
    <x v="10"/>
    <x v="34"/>
    <n v="2264.16"/>
    <n v="2544"/>
  </r>
  <r>
    <x v="2"/>
    <s v="Біла Церква"/>
    <x v="7"/>
    <s v="Товари для дому"/>
    <s v="Серветки"/>
    <x v="2"/>
    <x v="10"/>
    <x v="34"/>
    <n v="1889.7599999999998"/>
    <n v="2032"/>
  </r>
  <r>
    <x v="1"/>
    <s v="Бердянськ"/>
    <x v="6"/>
    <s v="Косметика"/>
    <s v="Мило"/>
    <x v="2"/>
    <x v="10"/>
    <x v="34"/>
    <n v="2101.2000000000003"/>
    <n v="2472"/>
  </r>
  <r>
    <x v="2"/>
    <s v="Бориспіль"/>
    <x v="3"/>
    <s v="Побутова хімія"/>
    <s v="Засіб для миття посуду"/>
    <x v="2"/>
    <x v="10"/>
    <x v="34"/>
    <n v="3891.5999999999995"/>
    <n v="4324"/>
  </r>
  <r>
    <x v="2"/>
    <s v="Бориспіль"/>
    <x v="3"/>
    <s v="Побутова хімія"/>
    <s v="Засіб для посудомийних машин"/>
    <x v="2"/>
    <x v="10"/>
    <x v="34"/>
    <n v="3859.3999999999996"/>
    <n v="4195"/>
  </r>
  <r>
    <x v="1"/>
    <s v="Запоріжжя"/>
    <x v="2"/>
    <s v="Товари для дому"/>
    <s v="Зубочистки"/>
    <x v="2"/>
    <x v="10"/>
    <x v="34"/>
    <n v="2027.6799999999998"/>
    <n v="2204"/>
  </r>
  <r>
    <x v="2"/>
    <s v="Ірпінь"/>
    <x v="10"/>
    <s v="Косметика"/>
    <s v="Шампунь"/>
    <x v="2"/>
    <x v="10"/>
    <x v="34"/>
    <n v="5986.4700000000012"/>
    <n v="6881"/>
  </r>
  <r>
    <x v="2"/>
    <s v="Ірпінь"/>
    <x v="10"/>
    <s v="Косметика"/>
    <s v="Дезодорант"/>
    <x v="2"/>
    <x v="10"/>
    <x v="34"/>
    <n v="2333.7599999999998"/>
    <n v="2652"/>
  </r>
  <r>
    <x v="2"/>
    <s v="Київ"/>
    <x v="11"/>
    <s v="Косметика"/>
    <s v="Мило"/>
    <x v="2"/>
    <x v="10"/>
    <x v="34"/>
    <n v="2622.1800000000003"/>
    <n v="3014"/>
  </r>
  <r>
    <x v="2"/>
    <s v="Київ"/>
    <x v="11"/>
    <s v="Побутова хімія"/>
    <s v="Засіб для миття посуду"/>
    <x v="2"/>
    <x v="10"/>
    <x v="34"/>
    <n v="4485.3899999999994"/>
    <n v="4929"/>
  </r>
  <r>
    <x v="3"/>
    <s v="Одеса"/>
    <x v="4"/>
    <s v="Побутова хімія"/>
    <s v="Засіб для посудомийних машин"/>
    <x v="2"/>
    <x v="10"/>
    <x v="34"/>
    <n v="3556.4000000000005"/>
    <n v="4184"/>
  </r>
  <r>
    <x v="3"/>
    <s v="Одеса"/>
    <x v="4"/>
    <s v="Побутова хімія"/>
    <s v="Засоби для догляду за меблями"/>
    <x v="2"/>
    <x v="10"/>
    <x v="34"/>
    <n v="2662.2000000000003"/>
    <n v="3060"/>
  </r>
  <r>
    <x v="4"/>
    <s v="Харків"/>
    <x v="5"/>
    <s v="Товари для дому"/>
    <s v="Серветки"/>
    <x v="2"/>
    <x v="10"/>
    <x v="34"/>
    <n v="1370.1599999999999"/>
    <n v="1557"/>
  </r>
  <r>
    <x v="3"/>
    <s v="Чорноморськ"/>
    <x v="8"/>
    <s v="Товари для дому"/>
    <s v="Одноразовий посуд"/>
    <x v="2"/>
    <x v="10"/>
    <x v="34"/>
    <n v="2013.2600000000002"/>
    <n v="2341"/>
  </r>
  <r>
    <x v="3"/>
    <s v="Чорноморськ"/>
    <x v="8"/>
    <s v="Косметика"/>
    <s v="Шампунь"/>
    <x v="2"/>
    <x v="10"/>
    <x v="34"/>
    <n v="5558.079999999999"/>
    <n v="6316"/>
  </r>
  <r>
    <x v="4"/>
    <s v="Чугуїв"/>
    <x v="9"/>
    <s v="Косметика"/>
    <s v="Дезодорант"/>
    <x v="2"/>
    <x v="10"/>
    <x v="34"/>
    <n v="3788.8199999999997"/>
    <n v="4074"/>
  </r>
  <r>
    <x v="4"/>
    <s v="Чугуїв"/>
    <x v="9"/>
    <s v="Косметика"/>
    <s v="Мило"/>
    <x v="2"/>
    <x v="10"/>
    <x v="34"/>
    <n v="2177.12"/>
    <n v="2474"/>
  </r>
  <r>
    <x v="0"/>
    <s v="Бердичів"/>
    <x v="1"/>
    <s v="Побутова хімія"/>
    <s v="Засоби для догляду за меблями"/>
    <x v="2"/>
    <x v="10"/>
    <x v="34"/>
    <n v="2955.04"/>
    <n v="3212"/>
  </r>
  <r>
    <x v="0"/>
    <s v="Бердичів"/>
    <x v="1"/>
    <s v="Товари для дому"/>
    <s v="Серветки"/>
    <x v="2"/>
    <x v="10"/>
    <x v="34"/>
    <n v="2457.8399999999997"/>
    <n v="2793"/>
  </r>
  <r>
    <x v="1"/>
    <s v="Бердянськ"/>
    <x v="6"/>
    <s v="Товари для дому"/>
    <s v="Одноразовий посуд"/>
    <x v="2"/>
    <x v="10"/>
    <x v="34"/>
    <n v="2482.2099999999996"/>
    <n v="2789"/>
  </r>
  <r>
    <x v="2"/>
    <s v="Ірпінь"/>
    <x v="10"/>
    <s v="Косметика"/>
    <s v="Мило"/>
    <x v="2"/>
    <x v="10"/>
    <x v="34"/>
    <n v="2884.9200000000005"/>
    <n v="3316"/>
  </r>
  <r>
    <x v="2"/>
    <s v="Київ"/>
    <x v="11"/>
    <s v="Побутова хімія"/>
    <s v="Засіб для посудомийних машин"/>
    <x v="2"/>
    <x v="10"/>
    <x v="34"/>
    <n v="4615.59"/>
    <n v="4963"/>
  </r>
  <r>
    <x v="2"/>
    <s v="Біла Церква"/>
    <x v="7"/>
    <s v="Побутова хімія"/>
    <s v="Засоби для догляду за меблями"/>
    <x v="2"/>
    <x v="10"/>
    <x v="34"/>
    <n v="2906.74"/>
    <n v="3266"/>
  </r>
  <r>
    <x v="2"/>
    <s v="Бориспіль"/>
    <x v="3"/>
    <s v="Косметика"/>
    <s v="Мило"/>
    <x v="2"/>
    <x v="10"/>
    <x v="34"/>
    <n v="3660.1000000000004"/>
    <n v="4306"/>
  </r>
  <r>
    <x v="2"/>
    <s v="Ірпінь"/>
    <x v="10"/>
    <s v="Товари для дому"/>
    <s v="Одноразовий посуд"/>
    <x v="2"/>
    <x v="10"/>
    <x v="34"/>
    <n v="1186.6799999999998"/>
    <n v="1276"/>
  </r>
  <r>
    <x v="2"/>
    <s v="Київ"/>
    <x v="11"/>
    <s v="Косметика"/>
    <s v="Дезодорант"/>
    <x v="2"/>
    <x v="10"/>
    <x v="34"/>
    <n v="2871.4399999999996"/>
    <n v="3263"/>
  </r>
  <r>
    <x v="3"/>
    <s v="Одеса"/>
    <x v="4"/>
    <s v="Побутова хімія"/>
    <s v="Засіб для миття посуду"/>
    <x v="2"/>
    <x v="10"/>
    <x v="34"/>
    <n v="3268.0799999999995"/>
    <n v="3672"/>
  </r>
  <r>
    <x v="4"/>
    <s v="Харків"/>
    <x v="5"/>
    <s v="Побутова хімія"/>
    <s v="Засоби для догляду за меблями"/>
    <x v="2"/>
    <x v="10"/>
    <x v="34"/>
    <n v="3109.4999999999995"/>
    <n v="3455"/>
  </r>
  <r>
    <x v="3"/>
    <s v="Чорноморськ"/>
    <x v="8"/>
    <s v="Товари для дому"/>
    <s v="Зубочистки"/>
    <x v="2"/>
    <x v="10"/>
    <x v="34"/>
    <n v="1708.4099999999999"/>
    <n v="1837"/>
  </r>
  <r>
    <x v="4"/>
    <s v="Чугуїв"/>
    <x v="9"/>
    <s v="Косметика"/>
    <s v="Шампунь"/>
    <x v="2"/>
    <x v="10"/>
    <x v="34"/>
    <n v="3928.4599999999996"/>
    <n v="4414"/>
  </r>
  <r>
    <x v="2"/>
    <s v="Ірпінь"/>
    <x v="10"/>
    <s v="Побутова хімія"/>
    <s v="Засоби для догляду за меблями"/>
    <x v="2"/>
    <x v="10"/>
    <x v="34"/>
    <n v="3152.7"/>
    <n v="3503"/>
  </r>
  <r>
    <x v="2"/>
    <s v="Київ"/>
    <x v="11"/>
    <s v="Товари для дому"/>
    <s v="Зубочистки"/>
    <x v="2"/>
    <x v="10"/>
    <x v="34"/>
    <n v="1292.5800000000002"/>
    <n v="1503"/>
  </r>
  <r>
    <x v="0"/>
    <s v="Житомир"/>
    <x v="0"/>
    <s v="Товари для дому"/>
    <s v="Зубочистки"/>
    <x v="2"/>
    <x v="11"/>
    <x v="35"/>
    <n v="1990.1699999999998"/>
    <n v="2187"/>
  </r>
  <r>
    <x v="0"/>
    <s v="Бердичів"/>
    <x v="1"/>
    <s v="Товари для дому"/>
    <s v="Зубочистки"/>
    <x v="2"/>
    <x v="11"/>
    <x v="35"/>
    <n v="1848.7500000000002"/>
    <n v="2125"/>
  </r>
  <r>
    <x v="0"/>
    <s v="Бердичів"/>
    <x v="1"/>
    <s v="Косметика"/>
    <s v="Дезодорант"/>
    <x v="2"/>
    <x v="11"/>
    <x v="35"/>
    <n v="3690.0499999999997"/>
    <n v="4055"/>
  </r>
  <r>
    <x v="0"/>
    <s v="Житомир"/>
    <x v="0"/>
    <s v="Косметика"/>
    <s v="Дезодорант"/>
    <x v="2"/>
    <x v="11"/>
    <x v="35"/>
    <n v="2800.1600000000003"/>
    <n v="3256"/>
  </r>
  <r>
    <x v="0"/>
    <s v="Житомир"/>
    <x v="0"/>
    <s v="Побутова хімія"/>
    <s v="Засіб для миття посуду"/>
    <x v="2"/>
    <x v="11"/>
    <x v="35"/>
    <n v="3860.7000000000003"/>
    <n v="4542"/>
  </r>
  <r>
    <x v="1"/>
    <s v="Запоріжжя"/>
    <x v="2"/>
    <s v="Побутова хімія"/>
    <s v="Засіб для посудомийних машин"/>
    <x v="2"/>
    <x v="11"/>
    <x v="35"/>
    <n v="4402.2000000000007"/>
    <n v="5060"/>
  </r>
  <r>
    <x v="2"/>
    <s v="Бориспіль"/>
    <x v="3"/>
    <s v="Побутова хімія"/>
    <s v="Засоби для догляду за меблями"/>
    <x v="2"/>
    <x v="11"/>
    <x v="35"/>
    <n v="2988.4399999999996"/>
    <n v="3284"/>
  </r>
  <r>
    <x v="3"/>
    <s v="Одеса"/>
    <x v="4"/>
    <s v="Товари для дому"/>
    <s v="Серветки"/>
    <x v="2"/>
    <x v="11"/>
    <x v="35"/>
    <n v="2607.1499999999996"/>
    <n v="2865"/>
  </r>
  <r>
    <x v="4"/>
    <s v="Харків"/>
    <x v="5"/>
    <s v="Товари для дому"/>
    <s v="Зубочистки"/>
    <x v="2"/>
    <x v="11"/>
    <x v="35"/>
    <n v="2387.36"/>
    <n v="2776"/>
  </r>
  <r>
    <x v="0"/>
    <s v="Бердичів"/>
    <x v="1"/>
    <s v="Товари для дому"/>
    <s v="Одноразовий посуд"/>
    <x v="2"/>
    <x v="11"/>
    <x v="35"/>
    <n v="1636.7099999999998"/>
    <n v="1839"/>
  </r>
  <r>
    <x v="1"/>
    <s v="Бердянськ"/>
    <x v="6"/>
    <s v="Косметика"/>
    <s v="Шампунь"/>
    <x v="2"/>
    <x v="11"/>
    <x v="35"/>
    <n v="4804.7999999999993"/>
    <n v="5460"/>
  </r>
  <r>
    <x v="2"/>
    <s v="Біла Церква"/>
    <x v="7"/>
    <s v="Косметика"/>
    <s v="Дезодорант"/>
    <x v="2"/>
    <x v="11"/>
    <x v="35"/>
    <n v="2989.95"/>
    <n v="3215"/>
  </r>
  <r>
    <x v="3"/>
    <s v="Чорноморськ"/>
    <x v="8"/>
    <s v="Косметика"/>
    <s v="Мило"/>
    <x v="2"/>
    <x v="11"/>
    <x v="35"/>
    <n v="3757.5300000000007"/>
    <n v="4319"/>
  </r>
  <r>
    <x v="4"/>
    <s v="Чугуїв"/>
    <x v="9"/>
    <s v="Побутова хімія"/>
    <s v="Засіб для миття посуду"/>
    <x v="2"/>
    <x v="11"/>
    <x v="35"/>
    <n v="3600.8799999999997"/>
    <n v="3914"/>
  </r>
  <r>
    <x v="0"/>
    <s v="Житомир"/>
    <x v="0"/>
    <s v="Побутова хімія"/>
    <s v="Засіб для посудомийних машин"/>
    <x v="2"/>
    <x v="11"/>
    <x v="35"/>
    <n v="4331.5199999999995"/>
    <n v="4608"/>
  </r>
  <r>
    <x v="1"/>
    <s v="Запоріжжя"/>
    <x v="2"/>
    <s v="Побутова хімія"/>
    <s v="Засоби для догляду за меблями"/>
    <x v="2"/>
    <x v="11"/>
    <x v="35"/>
    <n v="2549.1000000000004"/>
    <n v="2930"/>
  </r>
  <r>
    <x v="2"/>
    <s v="Бориспіль"/>
    <x v="3"/>
    <s v="Товари для дому"/>
    <s v="Серветки"/>
    <x v="2"/>
    <x v="11"/>
    <x v="35"/>
    <n v="2024.7599999999998"/>
    <n v="2154"/>
  </r>
  <r>
    <x v="3"/>
    <s v="Одеса"/>
    <x v="4"/>
    <s v="Товари для дому"/>
    <s v="Зубочистки"/>
    <x v="2"/>
    <x v="11"/>
    <x v="35"/>
    <n v="1348.1000000000001"/>
    <n v="1586"/>
  </r>
  <r>
    <x v="4"/>
    <s v="Харків"/>
    <x v="5"/>
    <s v="Товари для дому"/>
    <s v="Одноразовий посуд"/>
    <x v="2"/>
    <x v="11"/>
    <x v="35"/>
    <n v="2618.9799999999996"/>
    <n v="2878"/>
  </r>
  <r>
    <x v="0"/>
    <s v="Бердичів"/>
    <x v="1"/>
    <s v="Косметика"/>
    <s v="Шампунь"/>
    <x v="2"/>
    <x v="11"/>
    <x v="35"/>
    <n v="3871.9999999999995"/>
    <n v="4400"/>
  </r>
  <r>
    <x v="1"/>
    <s v="Бердянськ"/>
    <x v="6"/>
    <s v="Косметика"/>
    <s v="Дезодорант"/>
    <x v="2"/>
    <x v="11"/>
    <x v="35"/>
    <n v="4304.76"/>
    <n v="4948"/>
  </r>
  <r>
    <x v="2"/>
    <s v="Біла Церква"/>
    <x v="7"/>
    <s v="Косметика"/>
    <s v="Мило"/>
    <x v="2"/>
    <x v="11"/>
    <x v="35"/>
    <n v="3566.6000000000004"/>
    <n v="4196"/>
  </r>
  <r>
    <x v="3"/>
    <s v="Чорноморськ"/>
    <x v="8"/>
    <s v="Побутова хімія"/>
    <s v="Засіб для миття посуду"/>
    <x v="2"/>
    <x v="11"/>
    <x v="35"/>
    <n v="4434.3900000000003"/>
    <n v="5097"/>
  </r>
  <r>
    <x v="4"/>
    <s v="Чугуїв"/>
    <x v="9"/>
    <s v="Побутова хімія"/>
    <s v="Засіб для посудомийних машин"/>
    <x v="2"/>
    <x v="11"/>
    <x v="35"/>
    <n v="5039.67"/>
    <n v="5419"/>
  </r>
  <r>
    <x v="0"/>
    <s v="Житомир"/>
    <x v="0"/>
    <s v="Побутова хімія"/>
    <s v="Засоби для догляду за меблями"/>
    <x v="2"/>
    <x v="11"/>
    <x v="35"/>
    <n v="3207.5999999999995"/>
    <n v="3645"/>
  </r>
  <r>
    <x v="1"/>
    <s v="Запоріжжя"/>
    <x v="2"/>
    <s v="Товари для дому"/>
    <s v="Серветки"/>
    <x v="2"/>
    <x v="11"/>
    <x v="35"/>
    <n v="1867.92"/>
    <n v="2172"/>
  </r>
  <r>
    <x v="2"/>
    <s v="Бориспіль"/>
    <x v="3"/>
    <s v="Товари для дому"/>
    <s v="Зубочистки"/>
    <x v="2"/>
    <x v="11"/>
    <x v="35"/>
    <n v="2120.64"/>
    <n v="2256"/>
  </r>
  <r>
    <x v="3"/>
    <s v="Одеса"/>
    <x v="4"/>
    <s v="Товари для дому"/>
    <s v="Одноразовий посуд"/>
    <x v="2"/>
    <x v="11"/>
    <x v="35"/>
    <n v="2549.1299999999997"/>
    <n v="2741"/>
  </r>
  <r>
    <x v="4"/>
    <s v="Харків"/>
    <x v="5"/>
    <s v="Косметика"/>
    <s v="Шампунь"/>
    <x v="2"/>
    <x v="11"/>
    <x v="35"/>
    <n v="4726.04"/>
    <n v="5137"/>
  </r>
  <r>
    <x v="1"/>
    <s v="Запоріжжя"/>
    <x v="2"/>
    <s v="Косметика"/>
    <s v="Мило"/>
    <x v="2"/>
    <x v="11"/>
    <x v="35"/>
    <n v="2304.6"/>
    <n v="2505"/>
  </r>
  <r>
    <x v="2"/>
    <s v="Біла Церква"/>
    <x v="7"/>
    <s v="Побутова хімія"/>
    <s v="Засіб для миття посуду"/>
    <x v="2"/>
    <x v="11"/>
    <x v="35"/>
    <n v="3024.9599999999996"/>
    <n v="3288"/>
  </r>
  <r>
    <x v="3"/>
    <s v="Чорноморськ"/>
    <x v="8"/>
    <s v="Побутова хімія"/>
    <s v="Засіб для посудомийних машин"/>
    <x v="2"/>
    <x v="11"/>
    <x v="35"/>
    <n v="2937.4799999999996"/>
    <n v="3228"/>
  </r>
  <r>
    <x v="4"/>
    <s v="Чугуїв"/>
    <x v="9"/>
    <s v="Побутова хімія"/>
    <s v="Засоби для догляду за меблями"/>
    <x v="2"/>
    <x v="11"/>
    <x v="35"/>
    <n v="3373.99"/>
    <n v="3791"/>
  </r>
  <r>
    <x v="0"/>
    <s v="Житомир"/>
    <x v="0"/>
    <s v="Товари для дому"/>
    <s v="Серветки"/>
    <x v="2"/>
    <x v="11"/>
    <x v="35"/>
    <n v="2251.2999999999997"/>
    <n v="2395"/>
  </r>
  <r>
    <x v="1"/>
    <s v="Бердянськ"/>
    <x v="6"/>
    <s v="Товари для дому"/>
    <s v="Зубочистки"/>
    <x v="2"/>
    <x v="11"/>
    <x v="35"/>
    <n v="2035.7999999999997"/>
    <n v="2262"/>
  </r>
  <r>
    <x v="2"/>
    <s v="Бориспіль"/>
    <x v="3"/>
    <s v="Товари для дому"/>
    <s v="Одноразовий посуд"/>
    <x v="2"/>
    <x v="11"/>
    <x v="35"/>
    <n v="2115"/>
    <n v="2350"/>
  </r>
  <r>
    <x v="3"/>
    <s v="Одеса"/>
    <x v="4"/>
    <s v="Косметика"/>
    <s v="Шампунь"/>
    <x v="2"/>
    <x v="11"/>
    <x v="35"/>
    <n v="3987.8200000000006"/>
    <n v="4637"/>
  </r>
  <r>
    <x v="4"/>
    <s v="Харків"/>
    <x v="5"/>
    <s v="Косметика"/>
    <s v="Дезодорант"/>
    <x v="2"/>
    <x v="11"/>
    <x v="35"/>
    <n v="4765.32"/>
    <n v="5124"/>
  </r>
  <r>
    <x v="0"/>
    <s v="Бердичів"/>
    <x v="1"/>
    <s v="Косметика"/>
    <s v="Мило"/>
    <x v="2"/>
    <x v="11"/>
    <x v="35"/>
    <n v="4250.6399999999994"/>
    <n v="4776"/>
  </r>
  <r>
    <x v="1"/>
    <s v="Запоріжжя"/>
    <x v="2"/>
    <s v="Побутова хімія"/>
    <s v="Засіб для миття посуду"/>
    <x v="2"/>
    <x v="11"/>
    <x v="35"/>
    <n v="3178.1899999999996"/>
    <n v="3571"/>
  </r>
  <r>
    <x v="2"/>
    <s v="Біла Церква"/>
    <x v="7"/>
    <s v="Побутова хімія"/>
    <s v="Засіб для посудомийних машин"/>
    <x v="2"/>
    <x v="11"/>
    <x v="35"/>
    <n v="3140.7200000000003"/>
    <n v="3652"/>
  </r>
  <r>
    <x v="3"/>
    <s v="Чорноморськ"/>
    <x v="8"/>
    <s v="Побутова хімія"/>
    <s v="Засоби для догляду за меблями"/>
    <x v="2"/>
    <x v="11"/>
    <x v="35"/>
    <n v="2845.5699999999997"/>
    <n v="3127"/>
  </r>
  <r>
    <x v="4"/>
    <s v="Чугуїв"/>
    <x v="9"/>
    <s v="Товари для дому"/>
    <s v="Серветки"/>
    <x v="2"/>
    <x v="11"/>
    <x v="35"/>
    <n v="2493"/>
    <n v="2770"/>
  </r>
  <r>
    <x v="1"/>
    <s v="Запоріжжя"/>
    <x v="2"/>
    <s v="Товари для дому"/>
    <s v="Одноразовий посуд"/>
    <x v="2"/>
    <x v="11"/>
    <x v="35"/>
    <n v="2051.1"/>
    <n v="2279"/>
  </r>
  <r>
    <x v="2"/>
    <s v="Бориспіль"/>
    <x v="3"/>
    <s v="Косметика"/>
    <s v="Шампунь"/>
    <x v="2"/>
    <x v="11"/>
    <x v="35"/>
    <n v="3689.6700000000005"/>
    <n v="4241"/>
  </r>
  <r>
    <x v="3"/>
    <s v="Чорноморськ"/>
    <x v="8"/>
    <s v="Косметика"/>
    <s v="Дезодорант"/>
    <x v="2"/>
    <x v="11"/>
    <x v="35"/>
    <n v="3472.4799999999996"/>
    <n v="3946"/>
  </r>
  <r>
    <x v="4"/>
    <s v="Харків"/>
    <x v="5"/>
    <s v="Косметика"/>
    <s v="Мило"/>
    <x v="2"/>
    <x v="11"/>
    <x v="35"/>
    <n v="3968.3099999999995"/>
    <n v="4267"/>
  </r>
  <r>
    <x v="0"/>
    <s v="Бердичів"/>
    <x v="1"/>
    <s v="Побутова хімія"/>
    <s v="Засіб для миття посуду"/>
    <x v="2"/>
    <x v="11"/>
    <x v="35"/>
    <n v="4028.7599999999998"/>
    <n v="4332"/>
  </r>
  <r>
    <x v="0"/>
    <s v="Бердичів"/>
    <x v="1"/>
    <s v="Побутова хімія"/>
    <s v="Засіб для посудомийних машин"/>
    <x v="2"/>
    <x v="11"/>
    <x v="35"/>
    <n v="2687.7999999999997"/>
    <n v="3020"/>
  </r>
  <r>
    <x v="1"/>
    <s v="Бердянськ"/>
    <x v="6"/>
    <s v="Побутова хімія"/>
    <s v="Засоби для догляду за меблями"/>
    <x v="2"/>
    <x v="11"/>
    <x v="35"/>
    <n v="3041.9999999999995"/>
    <n v="3380"/>
  </r>
  <r>
    <x v="1"/>
    <s v="Бердянськ"/>
    <x v="6"/>
    <s v="Товари для дому"/>
    <s v="Серветки"/>
    <x v="2"/>
    <x v="11"/>
    <x v="35"/>
    <n v="2579.3999999999996"/>
    <n v="2866"/>
  </r>
  <r>
    <x v="2"/>
    <s v="Біла Церква"/>
    <x v="7"/>
    <s v="Товари для дому"/>
    <s v="Зубочистки"/>
    <x v="2"/>
    <x v="11"/>
    <x v="35"/>
    <n v="2019.3999999999999"/>
    <n v="2195"/>
  </r>
  <r>
    <x v="2"/>
    <s v="Біла Церква"/>
    <x v="7"/>
    <s v="Товари для дому"/>
    <s v="Одноразовий посуд"/>
    <x v="2"/>
    <x v="11"/>
    <x v="35"/>
    <n v="1443.0800000000002"/>
    <n v="1678"/>
  </r>
  <r>
    <x v="2"/>
    <s v="Бориспіль"/>
    <x v="3"/>
    <s v="Косметика"/>
    <s v="Дезодорант"/>
    <x v="2"/>
    <x v="11"/>
    <x v="35"/>
    <n v="4957.8799999999992"/>
    <n v="5389"/>
  </r>
  <r>
    <x v="0"/>
    <s v="Житомир"/>
    <x v="0"/>
    <s v="Косметика"/>
    <s v="Мило"/>
    <x v="2"/>
    <x v="11"/>
    <x v="35"/>
    <n v="2557.7999999999997"/>
    <n v="2842"/>
  </r>
  <r>
    <x v="2"/>
    <s v="Ірпінь"/>
    <x v="10"/>
    <s v="Товари для дому"/>
    <s v="Серветки"/>
    <x v="2"/>
    <x v="11"/>
    <x v="35"/>
    <n v="1563.2199999999998"/>
    <n v="1663"/>
  </r>
  <r>
    <x v="2"/>
    <s v="Ірпінь"/>
    <x v="10"/>
    <s v="Товари для дому"/>
    <s v="Зубочистки"/>
    <x v="2"/>
    <x v="11"/>
    <x v="35"/>
    <n v="2313.8999999999996"/>
    <n v="2571"/>
  </r>
  <r>
    <x v="2"/>
    <s v="Київ"/>
    <x v="11"/>
    <s v="Товари для дому"/>
    <s v="Одноразовий посуд"/>
    <x v="2"/>
    <x v="11"/>
    <x v="35"/>
    <n v="2368.08"/>
    <n v="2574"/>
  </r>
  <r>
    <x v="2"/>
    <s v="Київ"/>
    <x v="11"/>
    <s v="Косметика"/>
    <s v="Шампунь"/>
    <x v="2"/>
    <x v="11"/>
    <x v="35"/>
    <n v="4169.7"/>
    <n v="4633"/>
  </r>
  <r>
    <x v="3"/>
    <s v="Одеса"/>
    <x v="4"/>
    <s v="Косметика"/>
    <s v="Дезодорант"/>
    <x v="2"/>
    <x v="11"/>
    <x v="35"/>
    <n v="3065.8800000000006"/>
    <n v="3524"/>
  </r>
  <r>
    <x v="3"/>
    <s v="Одеса"/>
    <x v="4"/>
    <s v="Косметика"/>
    <s v="Мило"/>
    <x v="2"/>
    <x v="11"/>
    <x v="35"/>
    <n v="1964.4600000000003"/>
    <n v="2258"/>
  </r>
  <r>
    <x v="4"/>
    <s v="Харків"/>
    <x v="5"/>
    <s v="Побутова хімія"/>
    <s v="Засіб для миття посуду"/>
    <x v="2"/>
    <x v="11"/>
    <x v="35"/>
    <n v="3350.64"/>
    <n v="3642"/>
  </r>
  <r>
    <x v="4"/>
    <s v="Харків"/>
    <x v="5"/>
    <s v="Побутова хімія"/>
    <s v="Засіб для посудомийних машин"/>
    <x v="2"/>
    <x v="11"/>
    <x v="35"/>
    <n v="2664.8999999999996"/>
    <n v="2961"/>
  </r>
  <r>
    <x v="3"/>
    <s v="Чорноморськ"/>
    <x v="8"/>
    <s v="Товари для дому"/>
    <s v="Серветки"/>
    <x v="2"/>
    <x v="11"/>
    <x v="35"/>
    <n v="1470.33"/>
    <n v="1581"/>
  </r>
  <r>
    <x v="4"/>
    <s v="Чугуїв"/>
    <x v="9"/>
    <s v="Товари для дому"/>
    <s v="Зубочистки"/>
    <x v="2"/>
    <x v="11"/>
    <x v="35"/>
    <n v="1944.8999999999999"/>
    <n v="2161"/>
  </r>
  <r>
    <x v="4"/>
    <s v="Чугуїв"/>
    <x v="9"/>
    <s v="Товари для дому"/>
    <s v="Одноразовий посуд"/>
    <x v="2"/>
    <x v="11"/>
    <x v="35"/>
    <n v="1785.3399999999997"/>
    <n v="2006"/>
  </r>
  <r>
    <x v="2"/>
    <s v="Біла Церква"/>
    <x v="7"/>
    <s v="Косметика"/>
    <s v="Шампунь"/>
    <x v="2"/>
    <x v="11"/>
    <x v="35"/>
    <n v="5151.5099999999993"/>
    <n v="5661"/>
  </r>
  <r>
    <x v="1"/>
    <s v="Бердянськ"/>
    <x v="6"/>
    <s v="Побутова хімія"/>
    <s v="Засіб для посудомийних машин"/>
    <x v="2"/>
    <x v="11"/>
    <x v="35"/>
    <n v="2939.2"/>
    <n v="3340"/>
  </r>
  <r>
    <x v="0"/>
    <s v="Житомир"/>
    <x v="0"/>
    <s v="Товари для дому"/>
    <s v="Одноразовий посуд"/>
    <x v="2"/>
    <x v="11"/>
    <x v="35"/>
    <n v="1312.3600000000001"/>
    <n v="1526"/>
  </r>
  <r>
    <x v="0"/>
    <s v="Житомир"/>
    <x v="0"/>
    <s v="Косметика"/>
    <s v="Шампунь"/>
    <x v="2"/>
    <x v="11"/>
    <x v="35"/>
    <n v="3451.8500000000004"/>
    <n v="4061"/>
  </r>
  <r>
    <x v="1"/>
    <s v="Запоріжжя"/>
    <x v="2"/>
    <s v="Косметика"/>
    <s v="Дезодорант"/>
    <x v="2"/>
    <x v="11"/>
    <x v="35"/>
    <n v="2883.2000000000003"/>
    <n v="3392"/>
  </r>
  <r>
    <x v="2"/>
    <s v="Ірпінь"/>
    <x v="10"/>
    <s v="Побутова хімія"/>
    <s v="Засіб для миття посуду"/>
    <x v="2"/>
    <x v="11"/>
    <x v="35"/>
    <n v="3517.4000000000005"/>
    <n v="4090"/>
  </r>
  <r>
    <x v="2"/>
    <s v="Ірпінь"/>
    <x v="10"/>
    <s v="Побутова хімія"/>
    <s v="Засіб для посудомийних машин"/>
    <x v="2"/>
    <x v="11"/>
    <x v="35"/>
    <n v="2873.8099999999995"/>
    <n v="3229"/>
  </r>
  <r>
    <x v="2"/>
    <s v="Київ"/>
    <x v="11"/>
    <s v="Побутова хімія"/>
    <s v="Засоби для догляду за меблями"/>
    <x v="2"/>
    <x v="11"/>
    <x v="35"/>
    <n v="2414.0200000000004"/>
    <n v="2807"/>
  </r>
  <r>
    <x v="2"/>
    <s v="Київ"/>
    <x v="11"/>
    <s v="Товари для дому"/>
    <s v="Серветки"/>
    <x v="2"/>
    <x v="11"/>
    <x v="35"/>
    <n v="2431.9499999999998"/>
    <n v="2615"/>
  </r>
  <r>
    <x v="2"/>
    <s v="Біла Церква"/>
    <x v="7"/>
    <s v="Товари для дому"/>
    <s v="Серветки"/>
    <x v="2"/>
    <x v="11"/>
    <x v="35"/>
    <n v="2585.94"/>
    <n v="2751"/>
  </r>
  <r>
    <x v="1"/>
    <s v="Бердянськ"/>
    <x v="6"/>
    <s v="Косметика"/>
    <s v="Мило"/>
    <x v="2"/>
    <x v="11"/>
    <x v="35"/>
    <n v="2106.6499999999996"/>
    <n v="2315"/>
  </r>
  <r>
    <x v="2"/>
    <s v="Бориспіль"/>
    <x v="3"/>
    <s v="Побутова хімія"/>
    <s v="Засіб для миття посуду"/>
    <x v="2"/>
    <x v="11"/>
    <x v="35"/>
    <n v="3877.5099999999998"/>
    <n v="4261"/>
  </r>
  <r>
    <x v="2"/>
    <s v="Бориспіль"/>
    <x v="3"/>
    <s v="Побутова хімія"/>
    <s v="Засіб для посудомийних машин"/>
    <x v="2"/>
    <x v="11"/>
    <x v="35"/>
    <n v="4232.92"/>
    <n v="4601"/>
  </r>
  <r>
    <x v="1"/>
    <s v="Запоріжжя"/>
    <x v="2"/>
    <s v="Товари для дому"/>
    <s v="Зубочистки"/>
    <x v="2"/>
    <x v="11"/>
    <x v="35"/>
    <n v="2625.65"/>
    <n v="3089"/>
  </r>
  <r>
    <x v="2"/>
    <s v="Ірпінь"/>
    <x v="10"/>
    <s v="Косметика"/>
    <s v="Шампунь"/>
    <x v="2"/>
    <x v="11"/>
    <x v="35"/>
    <n v="4175.2000000000007"/>
    <n v="4912"/>
  </r>
  <r>
    <x v="2"/>
    <s v="Ірпінь"/>
    <x v="10"/>
    <s v="Косметика"/>
    <s v="Дезодорант"/>
    <x v="2"/>
    <x v="11"/>
    <x v="35"/>
    <n v="3392.7000000000003"/>
    <n v="3945"/>
  </r>
  <r>
    <x v="2"/>
    <s v="Київ"/>
    <x v="11"/>
    <s v="Косметика"/>
    <s v="Мило"/>
    <x v="2"/>
    <x v="11"/>
    <x v="35"/>
    <n v="2800.0699999999997"/>
    <n v="3077"/>
  </r>
  <r>
    <x v="2"/>
    <s v="Київ"/>
    <x v="11"/>
    <s v="Побутова хімія"/>
    <s v="Засіб для миття посуду"/>
    <x v="2"/>
    <x v="11"/>
    <x v="35"/>
    <n v="4291.6500000000005"/>
    <n v="5049"/>
  </r>
  <r>
    <x v="3"/>
    <s v="Одеса"/>
    <x v="4"/>
    <s v="Побутова хімія"/>
    <s v="Засіб для посудомийних машин"/>
    <x v="2"/>
    <x v="11"/>
    <x v="35"/>
    <n v="3845.4000000000005"/>
    <n v="4524"/>
  </r>
  <r>
    <x v="3"/>
    <s v="Одеса"/>
    <x v="4"/>
    <s v="Побутова хімія"/>
    <s v="Засоби для догляду за меблями"/>
    <x v="2"/>
    <x v="11"/>
    <x v="35"/>
    <n v="2726.94"/>
    <n v="2901"/>
  </r>
  <r>
    <x v="4"/>
    <s v="Харків"/>
    <x v="5"/>
    <s v="Товари для дому"/>
    <s v="Серветки"/>
    <x v="2"/>
    <x v="11"/>
    <x v="35"/>
    <n v="2594.2399999999998"/>
    <n v="2948"/>
  </r>
  <r>
    <x v="3"/>
    <s v="Чорноморськ"/>
    <x v="8"/>
    <s v="Товари для дому"/>
    <s v="Одноразовий посуд"/>
    <x v="2"/>
    <x v="11"/>
    <x v="35"/>
    <n v="1351.8"/>
    <n v="1502"/>
  </r>
  <r>
    <x v="3"/>
    <s v="Чорноморськ"/>
    <x v="8"/>
    <s v="Косметика"/>
    <s v="Шампунь"/>
    <x v="2"/>
    <x v="11"/>
    <x v="35"/>
    <n v="6034.4999999999991"/>
    <n v="6705"/>
  </r>
  <r>
    <x v="4"/>
    <s v="Чугуїв"/>
    <x v="9"/>
    <s v="Косметика"/>
    <s v="Дезодорант"/>
    <x v="2"/>
    <x v="11"/>
    <x v="35"/>
    <n v="2927.2099999999996"/>
    <n v="3289"/>
  </r>
  <r>
    <x v="4"/>
    <s v="Чугуїв"/>
    <x v="9"/>
    <s v="Косметика"/>
    <s v="Мило"/>
    <x v="2"/>
    <x v="11"/>
    <x v="35"/>
    <n v="3000.18"/>
    <n v="3226"/>
  </r>
  <r>
    <x v="0"/>
    <s v="Бердичів"/>
    <x v="1"/>
    <s v="Побутова хімія"/>
    <s v="Засоби для догляду за меблями"/>
    <x v="2"/>
    <x v="11"/>
    <x v="35"/>
    <n v="3556.02"/>
    <n v="3783"/>
  </r>
  <r>
    <x v="0"/>
    <s v="Бердичів"/>
    <x v="1"/>
    <s v="Товари для дому"/>
    <s v="Серветки"/>
    <x v="2"/>
    <x v="11"/>
    <x v="35"/>
    <n v="2648.64"/>
    <n v="2848"/>
  </r>
  <r>
    <x v="1"/>
    <s v="Бердянськ"/>
    <x v="6"/>
    <s v="Товари для дому"/>
    <s v="Одноразовий посуд"/>
    <x v="2"/>
    <x v="11"/>
    <x v="35"/>
    <n v="2444.64"/>
    <n v="2778"/>
  </r>
  <r>
    <x v="2"/>
    <s v="Ірпінь"/>
    <x v="10"/>
    <s v="Косметика"/>
    <s v="Мило"/>
    <x v="2"/>
    <x v="11"/>
    <x v="35"/>
    <n v="3595.5999999999995"/>
    <n v="4040"/>
  </r>
  <r>
    <x v="2"/>
    <s v="Київ"/>
    <x v="11"/>
    <s v="Побутова хімія"/>
    <s v="Засіб для посудомийних машин"/>
    <x v="2"/>
    <x v="11"/>
    <x v="35"/>
    <n v="3145.87"/>
    <n v="3457"/>
  </r>
  <r>
    <x v="2"/>
    <s v="Біла Церква"/>
    <x v="7"/>
    <s v="Побутова хімія"/>
    <s v="Засоби для догляду за меблями"/>
    <x v="2"/>
    <x v="11"/>
    <x v="35"/>
    <n v="3551.2"/>
    <n v="3860"/>
  </r>
  <r>
    <x v="2"/>
    <s v="Бориспіль"/>
    <x v="3"/>
    <s v="Косметика"/>
    <s v="Мило"/>
    <x v="2"/>
    <x v="11"/>
    <x v="35"/>
    <n v="3166.6499999999996"/>
    <n v="3405"/>
  </r>
  <r>
    <x v="2"/>
    <s v="Ірпінь"/>
    <x v="10"/>
    <s v="Товари для дому"/>
    <s v="Одноразовий посуд"/>
    <x v="2"/>
    <x v="11"/>
    <x v="35"/>
    <n v="2152.5800000000004"/>
    <n v="2503"/>
  </r>
  <r>
    <x v="2"/>
    <s v="Київ"/>
    <x v="11"/>
    <s v="Косметика"/>
    <s v="Дезодорант"/>
    <x v="2"/>
    <x v="11"/>
    <x v="35"/>
    <n v="2632.62"/>
    <n v="2958"/>
  </r>
  <r>
    <x v="3"/>
    <s v="Одеса"/>
    <x v="4"/>
    <s v="Побутова хімія"/>
    <s v="Засіб для миття посуду"/>
    <x v="2"/>
    <x v="11"/>
    <x v="35"/>
    <n v="2836.28"/>
    <n v="3298"/>
  </r>
  <r>
    <x v="4"/>
    <s v="Харків"/>
    <x v="5"/>
    <s v="Побутова хімія"/>
    <s v="Засоби для догляду за меблями"/>
    <x v="2"/>
    <x v="11"/>
    <x v="35"/>
    <n v="3346.9799999999996"/>
    <n v="3678"/>
  </r>
  <r>
    <x v="3"/>
    <s v="Чорноморськ"/>
    <x v="8"/>
    <s v="Товари для дому"/>
    <s v="Зубочистки"/>
    <x v="2"/>
    <x v="11"/>
    <x v="35"/>
    <n v="1449"/>
    <n v="1575"/>
  </r>
  <r>
    <x v="4"/>
    <s v="Чугуїв"/>
    <x v="9"/>
    <s v="Косметика"/>
    <s v="Шампунь"/>
    <x v="2"/>
    <x v="11"/>
    <x v="35"/>
    <n v="6074.7599999999993"/>
    <n v="6532"/>
  </r>
  <r>
    <x v="2"/>
    <s v="Ірпінь"/>
    <x v="10"/>
    <s v="Побутова хімія"/>
    <s v="Засоби для догляду за меблями"/>
    <x v="2"/>
    <x v="11"/>
    <x v="35"/>
    <n v="3455.2699999999995"/>
    <n v="3797"/>
  </r>
  <r>
    <x v="2"/>
    <s v="Київ"/>
    <x v="11"/>
    <s v="Товари для дому"/>
    <s v="Зубочистки"/>
    <x v="2"/>
    <x v="11"/>
    <x v="35"/>
    <n v="2742.92"/>
    <n v="2918"/>
  </r>
  <r>
    <x v="5"/>
    <m/>
    <x v="12"/>
    <m/>
    <m/>
    <x v="3"/>
    <x v="12"/>
    <x v="3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4E781-FF29-49AA-9555-3B47360B1097}" name="Зведена таблиця2" cacheId="1" applyNumberFormats="0" applyBorderFormats="0" applyFontFormats="0" applyPatternFormats="0" applyAlignmentFormats="0" applyWidthHeightFormats="1" dataCaption="Значення" updatedVersion="8" minRefreshableVersion="3" useAutoFormatting="1" colGrandTotals="0" itemPrintTitles="1" createdVersion="8" indent="0" compact="0" compactData="0" multipleFieldFilters="0" chartFormat="1">
  <location ref="A3:J19" firstHeaderRow="1" firstDataRow="4" firstDataCol="2" rowPageCount="1" colPageCount="1"/>
  <pivotFields count="14"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axis="axisRow" compact="0" outline="0" showAll="0" defaultSubtotal="0">
      <items count="13">
        <item x="11"/>
        <item x="0"/>
        <item x="7"/>
        <item x="4"/>
        <item x="5"/>
        <item x="8"/>
        <item x="2"/>
        <item x="9"/>
        <item x="10"/>
        <item x="6"/>
        <item x="1"/>
        <item x="3"/>
        <item x="12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2"/>
        <item x="1"/>
        <item x="0"/>
        <item h="1" x="3"/>
      </items>
    </pivotField>
    <pivotField name="місяці" axis="axisCol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 defaultSubtotal="0">
      <items count="37"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36"/>
      </items>
    </pivotField>
    <pivotField compact="0" outline="0" showAll="0" defaultSubtotal="0"/>
    <pivotField dataField="1" compact="0" outline="0" showAll="0" defaultSubtotal="0"/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ubtotalTop="0" showAll="0" defaultSubtotal="0">
      <items count="5">
        <item sd="0" x="0"/>
        <item sd="0" x="1"/>
        <item sd="0" x="2"/>
        <item x="3"/>
        <item sd="0" x="4"/>
      </items>
    </pivotField>
    <pivotField name="Квартали" axis="axisCol" compact="0" outline="0" subtotalTop="0" showAll="0" defaultSubtotal="0">
      <items count="5">
        <item n="1 квартал" sd="0" x="1"/>
        <item n="2 квартал" sd="0" x="2"/>
        <item n="3 квартал" sd="0" x="3"/>
        <item n="4 квартал" sd="0" x="4"/>
        <item x="0"/>
      </items>
    </pivotField>
  </pivotFields>
  <rowFields count="2">
    <field x="0"/>
    <field x="2"/>
  </rowFields>
  <rowItems count="13">
    <i>
      <x/>
      <x v="1"/>
    </i>
    <i r="1">
      <x v="10"/>
    </i>
    <i>
      <x v="1"/>
      <x v="6"/>
    </i>
    <i r="1">
      <x v="9"/>
    </i>
    <i>
      <x v="2"/>
      <x/>
    </i>
    <i r="1">
      <x v="2"/>
    </i>
    <i r="1">
      <x v="8"/>
    </i>
    <i r="1">
      <x v="11"/>
    </i>
    <i>
      <x v="3"/>
      <x v="3"/>
    </i>
    <i r="1">
      <x v="5"/>
    </i>
    <i>
      <x v="4"/>
      <x v="4"/>
    </i>
    <i r="1">
      <x v="7"/>
    </i>
    <i t="grand">
      <x/>
    </i>
  </rowItems>
  <colFields count="3">
    <field x="13"/>
    <field x="6"/>
    <field x="-2"/>
  </colFields>
  <colItems count="8">
    <i>
      <x/>
      <x v="1048832"/>
      <x/>
    </i>
    <i r="2" i="1">
      <x v="1"/>
    </i>
    <i>
      <x v="1"/>
      <x v="1048832"/>
      <x/>
    </i>
    <i r="2" i="1">
      <x v="1"/>
    </i>
    <i>
      <x v="2"/>
      <x v="1048832"/>
      <x/>
    </i>
    <i r="2" i="1">
      <x v="1"/>
    </i>
    <i>
      <x v="3"/>
      <x v="1048832"/>
      <x/>
    </i>
    <i r="2" i="1">
      <x v="1"/>
    </i>
  </colItems>
  <pageFields count="1">
    <pageField fld="5" hier="-1"/>
  </pageFields>
  <dataFields count="2">
    <dataField name="Відпускні ціни " fld="9" baseField="0" baseItem="0"/>
    <dataField name="Частка" fld="9" showDataAs="percentOfCol" baseField="2" baseItem="1" numFmtId="10"/>
  </dataFields>
  <formats count="39">
    <format dxfId="98">
      <pivotArea outline="0" collapsedLevelsAreSubtotals="1" fieldPosition="0"/>
    </format>
    <format dxfId="97">
      <pivotArea field="0" type="button" dataOnly="0" labelOnly="1" outline="0" axis="axisRow" fieldPosition="0"/>
    </format>
    <format dxfId="96">
      <pivotArea field="2" type="button" dataOnly="0" labelOnly="1" outline="0" axis="axisRow" fieldPosition="1"/>
    </format>
    <format dxfId="95">
      <pivotArea dataOnly="0" labelOnly="1" outline="0" fieldPosition="0">
        <references count="2">
          <reference field="4294967294" count="2">
            <x v="0"/>
            <x v="1"/>
          </reference>
          <reference field="13" count="1" selected="0">
            <x v="0"/>
          </reference>
        </references>
      </pivotArea>
    </format>
    <format dxfId="94">
      <pivotArea dataOnly="0" labelOnly="1" outline="0" fieldPosition="0">
        <references count="2">
          <reference field="4294967294" count="2">
            <x v="0"/>
            <x v="1"/>
          </reference>
          <reference field="13" count="1" selected="0">
            <x v="1"/>
          </reference>
        </references>
      </pivotArea>
    </format>
    <format dxfId="93">
      <pivotArea dataOnly="0" labelOnly="1" outline="0" fieldPosition="0">
        <references count="2">
          <reference field="4294967294" count="2">
            <x v="0"/>
            <x v="1"/>
          </reference>
          <reference field="13" count="1" selected="0">
            <x v="2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3" count="1" selected="0">
            <x v="3"/>
          </reference>
        </references>
      </pivotArea>
    </format>
    <format dxfId="91">
      <pivotArea outline="0" fieldPosition="0">
        <references count="2">
          <reference field="0" count="0" selected="0"/>
          <reference field="2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90">
      <pivotArea dataOnly="0" labelOnly="1" outline="0" fieldPosition="0">
        <references count="1">
          <reference field="0" count="0"/>
        </references>
      </pivotArea>
    </format>
    <format dxfId="89">
      <pivotArea dataOnly="0" labelOnly="1" outline="0" fieldPosition="0">
        <references count="2">
          <reference field="0" count="1" selected="0">
            <x v="0"/>
          </reference>
          <reference field="2" count="2">
            <x v="1"/>
            <x v="10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1"/>
          </reference>
          <reference field="2" count="2">
            <x v="6"/>
            <x v="9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2"/>
          </reference>
          <reference field="2" count="4">
            <x v="0"/>
            <x v="2"/>
            <x v="8"/>
            <x v="11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3"/>
          </reference>
          <reference field="2" count="2">
            <x v="3"/>
            <x v="5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4"/>
          </reference>
          <reference field="2" count="2">
            <x v="4"/>
            <x v="7"/>
          </reference>
        </references>
      </pivotArea>
    </format>
    <format dxfId="84">
      <pivotArea field="0" type="button" dataOnly="0" labelOnly="1" outline="0" axis="axisRow" fieldPosition="0"/>
    </format>
    <format dxfId="83">
      <pivotArea field="2" type="button" dataOnly="0" labelOnly="1" outline="0" axis="axisRow" fieldPosition="1"/>
    </format>
    <format dxfId="82">
      <pivotArea dataOnly="0" labelOnly="1" outline="0" fieldPosition="0">
        <references count="2">
          <reference field="4294967294" count="2">
            <x v="0"/>
            <x v="1"/>
          </reference>
          <reference field="13" count="1" selected="0">
            <x v="0"/>
          </reference>
        </references>
      </pivotArea>
    </format>
    <format dxfId="81">
      <pivotArea dataOnly="0" labelOnly="1" outline="0" fieldPosition="0">
        <references count="2">
          <reference field="4294967294" count="2">
            <x v="0"/>
            <x v="1"/>
          </reference>
          <reference field="13" count="1" selected="0">
            <x v="1"/>
          </reference>
        </references>
      </pivotArea>
    </format>
    <format dxfId="80">
      <pivotArea dataOnly="0" labelOnly="1" outline="0" fieldPosition="0">
        <references count="2">
          <reference field="4294967294" count="2">
            <x v="0"/>
            <x v="1"/>
          </reference>
          <reference field="13" count="1" selected="0">
            <x v="2"/>
          </reference>
        </references>
      </pivotArea>
    </format>
    <format dxfId="79">
      <pivotArea dataOnly="0" labelOnly="1" outline="0" fieldPosition="0">
        <references count="2">
          <reference field="4294967294" count="2">
            <x v="0"/>
            <x v="1"/>
          </reference>
          <reference field="13" count="1" selected="0">
            <x v="3"/>
          </reference>
        </references>
      </pivotArea>
    </format>
    <format dxfId="78">
      <pivotArea grandRow="1" outline="0" collapsedLevelsAreSubtotals="1" fieldPosition="0"/>
    </format>
    <format dxfId="77">
      <pivotArea dataOnly="0" labelOnly="1" grandRow="1" outline="0" fieldPosition="0"/>
    </format>
    <format dxfId="76">
      <pivotArea type="origin" dataOnly="0" labelOnly="1" outline="0" fieldPosition="0"/>
    </format>
    <format dxfId="75">
      <pivotArea field="13" type="button" dataOnly="0" labelOnly="1" outline="0" axis="axisCol" fieldPosition="0"/>
    </format>
    <format dxfId="74">
      <pivotArea field="6" type="button" dataOnly="0" labelOnly="1" outline="0" axis="axisCol" fieldPosition="1"/>
    </format>
    <format dxfId="73">
      <pivotArea field="-2" type="button" dataOnly="0" labelOnly="1" outline="0" axis="axisCol" fieldPosition="2"/>
    </format>
    <format dxfId="72">
      <pivotArea type="topRight" dataOnly="0" labelOnly="1" outline="0" fieldPosition="0"/>
    </format>
    <format dxfId="71">
      <pivotArea field="0" type="button" dataOnly="0" labelOnly="1" outline="0" axis="axisRow" fieldPosition="0"/>
    </format>
    <format dxfId="70">
      <pivotArea field="2" type="button" dataOnly="0" labelOnly="1" outline="0" axis="axisRow" fieldPosition="1"/>
    </format>
    <format dxfId="69">
      <pivotArea dataOnly="0" labelOnly="1" outline="0" fieldPosition="0">
        <references count="1">
          <reference field="13" count="4">
            <x v="0"/>
            <x v="1"/>
            <x v="2"/>
            <x v="3"/>
          </reference>
        </references>
      </pivotArea>
    </format>
    <format dxfId="68">
      <pivotArea dataOnly="0" labelOnly="1" outline="0" fieldPosition="0">
        <references count="2">
          <reference field="6" count="1">
            <x v="1048832"/>
          </reference>
          <reference field="13" count="1" selected="0">
            <x v="0"/>
          </reference>
        </references>
      </pivotArea>
    </format>
    <format dxfId="67">
      <pivotArea dataOnly="0" labelOnly="1" outline="0" fieldPosition="0">
        <references count="2">
          <reference field="4294967294" count="2">
            <x v="0"/>
            <x v="1"/>
          </reference>
          <reference field="13" count="1" selected="0">
            <x v="0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3" count="1" selected="0">
            <x v="1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3" count="1" selected="0">
            <x v="2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3" count="1" selected="0">
            <x v="3"/>
          </reference>
        </references>
      </pivotArea>
    </format>
    <format dxfId="63">
      <pivotArea dataOnly="0" labelOnly="1" outline="0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62">
      <pivotArea dataOnly="0" labelOnly="1" outline="0" offset="IV1" fieldPosition="0">
        <references count="1">
          <reference field="0" count="1">
            <x v="4"/>
          </reference>
        </references>
      </pivotArea>
    </format>
    <format dxfId="61">
      <pivotArea grandRow="1" outline="0" collapsedLevelsAreSubtotals="1" fieldPosition="0"/>
    </format>
    <format dxfId="60">
      <pivotArea dataOnly="0" labelOnly="1" grandRow="1" outline="0" fieldPosition="0"/>
    </format>
  </formats>
  <conditionalFormats count="4">
    <conditionalFormat priority="12">
      <pivotAreas count="1">
        <pivotArea type="data" outline="0" collapsedLevelsAreSubtotals="1" fieldPosition="0">
          <references count="5">
            <reference field="4294967294" count="1" selected="0">
              <x v="1"/>
            </reference>
            <reference field="0" count="5" selected="0">
              <x v="0"/>
              <x v="1"/>
              <x v="2"/>
              <x v="3"/>
              <x v="4"/>
            </reference>
            <reference field="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6" count="1" selected="0">
              <x v="1048832"/>
            </reference>
            <reference field="13" count="1" selected="0">
              <x v="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5">
            <reference field="4294967294" count="1" selected="0">
              <x v="1"/>
            </reference>
            <reference field="0" count="5" selected="0">
              <x v="0"/>
              <x v="1"/>
              <x v="2"/>
              <x v="3"/>
              <x v="4"/>
            </reference>
            <reference field="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6" count="1" selected="0">
              <x v="1048832"/>
            </reference>
            <reference field="13" count="1" selected="0">
              <x v="2"/>
            </reference>
          </references>
        </pivotArea>
      </pivotAreas>
    </conditionalFormat>
    <conditionalFormat priority="14">
      <pivotAreas count="1">
        <pivotArea type="data" outline="0" collapsedLevelsAreSubtotals="1" fieldPosition="0">
          <references count="5">
            <reference field="4294967294" count="1" selected="0">
              <x v="1"/>
            </reference>
            <reference field="0" count="5" selected="0">
              <x v="0"/>
              <x v="1"/>
              <x v="2"/>
              <x v="3"/>
              <x v="4"/>
            </reference>
            <reference field="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6" count="1" selected="0">
              <x v="1048832"/>
            </reference>
            <reference field="13" count="1" selected="0">
              <x v="1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5">
            <reference field="4294967294" count="1" selected="0">
              <x v="1"/>
            </reference>
            <reference field="0" count="5" selected="0">
              <x v="0"/>
              <x v="1"/>
              <x v="2"/>
              <x v="3"/>
              <x v="4"/>
            </reference>
            <reference field="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6" count="1" selected="0">
              <x v="1048832"/>
            </reference>
            <reference field="13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CEAF7-20F5-4292-8E95-A6B139A6720C}" name="Зведена таблиця2" cacheId="0" applyNumberFormats="0" applyBorderFormats="0" applyFontFormats="0" applyPatternFormats="0" applyAlignmentFormats="0" applyWidthHeightFormats="1" dataCaption="Значення" grandTotalCaption="Підсумок" updatedVersion="8" minRefreshableVersion="3" useAutoFormatting="1" itemPrintTitles="1" createdVersion="8" indent="0" outline="1" outlineData="1" multipleFieldFilters="0" chartFormat="5" rowHeaderCaption="Рік">
  <location ref="A10:B16" firstHeaderRow="1" firstDataRow="1" firstDataCol="1"/>
  <pivotFields count="9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numFmtId="14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Продажі" fld="8" baseField="0" baseItem="0" numFmtId="3"/>
  </dataFields>
  <formats count="10">
    <format dxfId="13">
      <pivotArea outline="0" collapsedLevelsAreSubtotals="1" fieldPosition="0"/>
    </format>
    <format dxfId="12">
      <pivotArea dataOnly="0" labelOnly="1" grandRow="1" outline="0" fieldPosition="0"/>
    </format>
    <format dxfId="11">
      <pivotArea field="5" type="button" dataOnly="0" labelOnly="1" outline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33CFF-30BE-4DBC-BD13-9F6CAB7F2BBD}" name="Зведена таблиця7" cacheId="0" applyNumberFormats="0" applyBorderFormats="0" applyFontFormats="0" applyPatternFormats="0" applyAlignmentFormats="0" applyWidthHeightFormats="1" dataCaption="Значення" grandTotalCaption="Підсумок" updatedVersion="8" minRefreshableVersion="3" useAutoFormatting="1" itemPrintTitles="1" createdVersion="8" indent="0" outline="1" outlineData="1" multipleFieldFilters="0" chartFormat="12" rowHeaderCaption="Рік">
  <location ref="E16:F29" firstHeaderRow="1" firstDataRow="1" firstDataCol="1"/>
  <pivotFields count="9">
    <pivotField showAll="0">
      <items count="6">
        <item x="0"/>
        <item x="1"/>
        <item x="2"/>
        <item x="3"/>
        <item x="4"/>
        <item t="default"/>
      </items>
    </pivotField>
    <pivotField axis="axisRow" showAll="0" sortType="ascending">
      <items count="13">
        <item x="1"/>
        <item x="6"/>
        <item x="7"/>
        <item x="3"/>
        <item x="0"/>
        <item x="2"/>
        <item x="10"/>
        <item x="11"/>
        <item x="4"/>
        <item x="5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numFmtId="14" showAll="0"/>
    <pivotField dataField="1" showAll="0"/>
  </pivotFields>
  <rowFields count="1">
    <field x="1"/>
  </rowFields>
  <rowItems count="13">
    <i>
      <x v="5"/>
    </i>
    <i>
      <x v="1"/>
    </i>
    <i>
      <x v="8"/>
    </i>
    <i>
      <x v="4"/>
    </i>
    <i>
      <x v="11"/>
    </i>
    <i>
      <x/>
    </i>
    <i>
      <x v="10"/>
    </i>
    <i>
      <x v="2"/>
    </i>
    <i>
      <x v="6"/>
    </i>
    <i>
      <x v="7"/>
    </i>
    <i>
      <x v="9"/>
    </i>
    <i>
      <x v="3"/>
    </i>
    <i t="grand">
      <x/>
    </i>
  </rowItems>
  <colItems count="1">
    <i/>
  </colItems>
  <dataFields count="1">
    <dataField name="Продажі" fld="8" baseField="0" baseItem="0" numFmtId="3"/>
  </dataFields>
  <formats count="5">
    <format dxfId="18">
      <pivotArea outline="0" collapsedLevelsAreSubtotals="1" fieldPosition="0"/>
    </format>
    <format dxfId="17">
      <pivotArea dataOnly="0" labelOnly="1" grandRow="1" outline="0" fieldPosition="0"/>
    </format>
    <format dxfId="16">
      <pivotArea field="5" type="button" dataOnly="0" labelOnly="1" outline="0"/>
    </format>
    <format dxfId="15">
      <pivotArea dataOnly="0" labelOnly="1" outline="0" axis="axisValues" fieldPosition="0"/>
    </format>
    <format dxfId="14">
      <pivotArea outline="0" collapsedLevelsAreSubtotals="1" fieldPosition="0"/>
    </format>
  </formats>
  <chartFormats count="6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5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6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0323C-E0E4-4DEE-BEAF-CCF42F5E38C6}" name="Зведена таблиця9" cacheId="0" applyNumberFormats="0" applyBorderFormats="0" applyFontFormats="0" applyPatternFormats="0" applyAlignmentFormats="0" applyWidthHeightFormats="1" dataCaption="Значення" grandTotalCaption="Підсумок" updatedVersion="8" minRefreshableVersion="3" useAutoFormatting="1" itemPrintTitles="1" createdVersion="8" indent="0" outline="1" outlineData="1" multipleFieldFilters="0" chartFormat="12" rowHeaderCaption="Рік">
  <location ref="A46:B50" firstHeaderRow="1" firstDataRow="1" firstDataCol="1"/>
  <pivotFields count="9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Продажі" fld="8" baseField="0" baseItem="0" numFmtId="3"/>
  </dataFields>
  <formats count="9">
    <format dxfId="27">
      <pivotArea outline="0" collapsedLevelsAreSubtotals="1" fieldPosition="0"/>
    </format>
    <format dxfId="26">
      <pivotArea dataOnly="0" labelOnly="1" grandRow="1" outline="0" fieldPosition="0"/>
    </format>
    <format dxfId="25">
      <pivotArea field="5" type="button" dataOnly="0" labelOnly="1" outline="0" axis="axisRow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field="3" type="button" dataOnly="0" labelOnly="1" outline="0"/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89201-56E5-45DC-8618-089E5F963CD0}" name="Зведена таблиця5" cacheId="0" applyNumberFormats="0" applyBorderFormats="0" applyFontFormats="0" applyPatternFormats="0" applyAlignmentFormats="0" applyWidthHeightFormats="1" dataCaption="Значення" grandTotalCaption="Підсумок" updatedVersion="8" minRefreshableVersion="3" useAutoFormatting="1" itemPrintTitles="1" createdVersion="8" indent="0" outline="1" outlineData="1" multipleFieldFilters="0" chartFormat="15" rowHeaderCaption="Менеджер">
  <location ref="A29:B42" firstHeaderRow="1" firstDataRow="1" firstDataCol="1"/>
  <pivotFields count="9"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 sortType="ascending">
      <items count="13">
        <item x="11"/>
        <item x="0"/>
        <item x="7"/>
        <item x="4"/>
        <item x="5"/>
        <item x="8"/>
        <item x="2"/>
        <item x="9"/>
        <item x="10"/>
        <item x="6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2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numFmtId="14" showAll="0"/>
    <pivotField dataField="1" showAll="0"/>
  </pivotFields>
  <rowFields count="1">
    <field x="2"/>
  </rowFields>
  <rowItems count="13">
    <i>
      <x v="6"/>
    </i>
    <i>
      <x v="9"/>
    </i>
    <i>
      <x v="3"/>
    </i>
    <i>
      <x v="1"/>
    </i>
    <i>
      <x v="7"/>
    </i>
    <i>
      <x v="10"/>
    </i>
    <i>
      <x v="5"/>
    </i>
    <i>
      <x v="2"/>
    </i>
    <i>
      <x v="8"/>
    </i>
    <i>
      <x/>
    </i>
    <i>
      <x v="4"/>
    </i>
    <i>
      <x v="11"/>
    </i>
    <i t="grand">
      <x/>
    </i>
  </rowItems>
  <colItems count="1">
    <i/>
  </colItems>
  <dataFields count="1">
    <dataField name="Продажі" fld="8" baseField="0" baseItem="0" numFmtId="3"/>
  </dataFields>
  <formats count="5">
    <format dxfId="32">
      <pivotArea outline="0" collapsedLevelsAreSubtotals="1" fieldPosition="0"/>
    </format>
    <format dxfId="31">
      <pivotArea dataOnly="0" labelOnly="1" grandRow="1" outline="0" fieldPosition="0"/>
    </format>
    <format dxfId="30">
      <pivotArea field="5" type="button" dataOnly="0" labelOnly="1" outline="0"/>
    </format>
    <format dxfId="29">
      <pivotArea dataOnly="0" labelOnly="1" outline="0" axis="axisValues" fieldPosition="0"/>
    </format>
    <format dxfId="28">
      <pivotArea outline="0" collapsedLevelsAreSubtotals="1" fieldPosition="0"/>
    </format>
  </formats>
  <chartFormats count="3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4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4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4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5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5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5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2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11C51-95D7-4A20-A2DF-47BF42763FA7}" name="Зведена таблиця3" cacheId="0" applyNumberFormats="0" applyBorderFormats="0" applyFontFormats="0" applyPatternFormats="0" applyAlignmentFormats="0" applyWidthHeightFormats="1" dataCaption="Значення" grandTotalCaption="Підсумок" updatedVersion="8" minRefreshableVersion="3" useAutoFormatting="1" itemPrintTitles="1" createdVersion="8" indent="0" outline="1" outlineData="1" multipleFieldFilters="0" chartFormat="9" rowHeaderCaption="Рік">
  <location ref="A18:B22" firstHeaderRow="1" firstDataRow="1" firstDataCol="1"/>
  <pivotFields count="9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numFmtId="14"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Продажі" fld="8" baseField="0" baseItem="0" numFmtId="3"/>
  </dataFields>
  <formats count="10">
    <format dxfId="42">
      <pivotArea outline="0" collapsedLevelsAreSubtotals="1" fieldPosition="0"/>
    </format>
    <format dxfId="41">
      <pivotArea dataOnly="0" labelOnly="1" grandRow="1" outline="0" fieldPosition="0"/>
    </format>
    <format dxfId="40">
      <pivotArea field="5" type="button" dataOnly="0" labelOnly="1" outline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10CC9-B2CE-4B3A-97AF-8A67397E0EC5}" name="Зведена таблиця6" cacheId="0" applyNumberFormats="0" applyBorderFormats="0" applyFontFormats="0" applyPatternFormats="0" applyAlignmentFormats="0" applyWidthHeightFormats="1" dataCaption="Значення" grandTotalCaption="Підсумок" updatedVersion="8" minRefreshableVersion="3" useAutoFormatting="1" itemPrintTitles="1" createdVersion="8" indent="0" outline="1" outlineData="1" multipleFieldFilters="0" chartFormat="32" rowHeaderCaption="Рік">
  <location ref="E3:F13" firstHeaderRow="1" firstDataRow="1" firstDataCol="1"/>
  <pivotFields count="9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axis="axisRow" showAll="0" sortType="ascending">
      <items count="10">
        <item x="1"/>
        <item x="2"/>
        <item x="3"/>
        <item x="4"/>
        <item x="0"/>
        <item x="8"/>
        <item x="6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1"/>
        <item x="0"/>
        <item t="default"/>
      </items>
    </pivotField>
    <pivotField showAll="0"/>
    <pivotField numFmtId="14" showAll="0"/>
    <pivotField dataField="1" showAll="0"/>
  </pivotFields>
  <rowFields count="1">
    <field x="4"/>
  </rowFields>
  <rowItems count="10">
    <i>
      <x v="6"/>
    </i>
    <i>
      <x v="7"/>
    </i>
    <i>
      <x v="4"/>
    </i>
    <i>
      <x v="3"/>
    </i>
    <i>
      <x v="5"/>
    </i>
    <i>
      <x v="1"/>
    </i>
    <i>
      <x/>
    </i>
    <i>
      <x v="2"/>
    </i>
    <i>
      <x v="8"/>
    </i>
    <i t="grand">
      <x/>
    </i>
  </rowItems>
  <colItems count="1">
    <i/>
  </colItems>
  <dataFields count="1">
    <dataField name="Сума з Продаж" fld="8" baseField="0" baseItem="0"/>
  </dataFields>
  <formats count="4">
    <format dxfId="46">
      <pivotArea outline="0" collapsedLevelsAreSubtotals="1" fieldPosition="0"/>
    </format>
    <format dxfId="45">
      <pivotArea dataOnly="0" labelOnly="1" grandRow="1" outline="0" fieldPosition="0"/>
    </format>
    <format dxfId="44">
      <pivotArea field="5" type="button" dataOnly="0" labelOnly="1" outline="0"/>
    </format>
    <format dxfId="43">
      <pivotArea dataOnly="0" labelOnly="1" outline="0" axis="axisValues" fieldPosition="0"/>
    </format>
  </formats>
  <chartFormats count="34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8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8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8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8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8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8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8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8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1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1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1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1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1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1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1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1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1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59FD6-22F5-4314-B383-F63F08B86B89}" name="Зведена таблиця4" cacheId="0" applyNumberFormats="0" applyBorderFormats="0" applyFontFormats="0" applyPatternFormats="0" applyAlignmentFormats="0" applyWidthHeightFormats="1" dataCaption="Значення" grandTotalCaption="Підсумок" updatedVersion="8" minRefreshableVersion="3" useAutoFormatting="1" itemPrintTitles="1" createdVersion="8" indent="0" outline="1" outlineData="1" multipleFieldFilters="0" rowHeaderCaption="Рік">
  <location ref="A25:A26" firstHeaderRow="1" firstDataRow="1" firstDataCol="0"/>
  <pivotFields count="9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numFmtId="14" showAll="0"/>
    <pivotField dataField="1" showAll="0"/>
  </pivotFields>
  <rowItems count="1">
    <i/>
  </rowItems>
  <colItems count="1">
    <i/>
  </colItems>
  <dataFields count="1">
    <dataField name="Продажі" fld="8" baseField="0" baseItem="0" numFmtId="3"/>
  </dataFields>
  <formats count="5">
    <format dxfId="51">
      <pivotArea outline="0" collapsedLevelsAreSubtotals="1" fieldPosition="0"/>
    </format>
    <format dxfId="50">
      <pivotArea dataOnly="0" labelOnly="1" grandRow="1" outline="0" fieldPosition="0"/>
    </format>
    <format dxfId="49">
      <pivotArea field="5" type="button" dataOnly="0" labelOnly="1" outline="0"/>
    </format>
    <format dxfId="48">
      <pivotArea dataOnly="0" labelOnly="1" outline="0" axis="axisValues" fieldPosition="0"/>
    </format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B9508-7770-48A4-A1C2-CB7ED943FC53}" name="Зведена таблиця1" cacheId="0" applyNumberFormats="0" applyBorderFormats="0" applyFontFormats="0" applyPatternFormats="0" applyAlignmentFormats="0" applyWidthHeightFormats="1" dataCaption="Значення" grandTotalCaption="Підсумок" updatedVersion="8" minRefreshableVersion="5" useAutoFormatting="1" itemPrintTitles="1" createdVersion="8" indent="0" outline="1" outlineData="1" multipleFieldFilters="0" chartFormat="13" rowHeaderCaption="Рік">
  <location ref="A3:B7" firstHeaderRow="1" firstDataRow="1" firstDataCol="1"/>
  <pivotFields count="9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>
      <items count="37"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Продажі" fld="8" baseField="0" baseItem="0" numFmtId="3"/>
  </dataFields>
  <formats count="8">
    <format dxfId="59">
      <pivotArea outline="0" collapsedLevelsAreSubtotals="1" fieldPosition="0"/>
    </format>
    <format dxfId="58">
      <pivotArea dataOnly="0" labelOnly="1" grandRow="1" outline="0" fieldPosition="0"/>
    </format>
    <format dxfId="57">
      <pivotArea field="5" type="button" dataOnly="0" labelOnly="1" outline="0" axis="axisRow" fieldPosition="0"/>
    </format>
    <format dxfId="56">
      <pivotArea dataOnly="0" labelOnly="1" outline="0" axis="axisValues" fieldPosition="0"/>
    </format>
    <format dxfId="55">
      <pivotArea outline="0" collapsedLevelsAreSubtotals="1" fieldPosition="0"/>
    </format>
    <format dxfId="54">
      <pivotArea dataOnly="0" labelOnly="1" fieldPosition="0">
        <references count="1">
          <reference field="5" count="0"/>
        </references>
      </pivotArea>
    </format>
    <format dxfId="53">
      <pivotArea dataOnly="0" labelOnly="1" grandRow="1" outline="0" fieldPosition="0"/>
    </format>
    <format dxfId="5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рік1" xr10:uid="{1C549221-0C61-46CF-BBB1-6C7BBC374E98}" sourceName="рік">
  <pivotTables>
    <pivotTable tabId="40" name="Зведена таблиця1"/>
    <pivotTable tabId="40" name="Зведена таблиця2"/>
    <pivotTable tabId="40" name="Зведена таблиця3"/>
    <pivotTable tabId="40" name="Зведена таблиця4"/>
    <pivotTable tabId="40" name="Зведена таблиця5"/>
    <pivotTable tabId="40" name="Зведена таблиця6"/>
    <pivotTable tabId="40" name="Зведена таблиця7"/>
    <pivotTable tabId="40" name="Зведена таблиця9"/>
  </pivotTables>
  <data>
    <tabular pivotCacheId="813931972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область" xr10:uid="{77F80160-CCDD-4BF7-90A9-EB3E4121B708}" sourceName="область">
  <pivotTables>
    <pivotTable tabId="40" name="Зведена таблиця1"/>
    <pivotTable tabId="40" name="Зведена таблиця2"/>
    <pivotTable tabId="40" name="Зведена таблиця5"/>
    <pivotTable tabId="40" name="Зведена таблиця6"/>
    <pivotTable tabId="40" name="Зведена таблиця7"/>
    <pivotTable tabId="40" name="Зведена таблиця3"/>
    <pivotTable tabId="40" name="Зведена таблиця4"/>
    <pivotTable tabId="40" name="Зведена таблиця9"/>
  </pivotTables>
  <data>
    <tabular pivotCacheId="813931972">
      <items count="5">
        <i x="0" s="1"/>
        <i x="1" s="1"/>
        <i x="2" s="1"/>
        <i x="3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категорія1" xr10:uid="{3817A215-FF0B-4BDB-AF21-6745F2857170}" sourceName="категорія">
  <pivotTables>
    <pivotTable tabId="40" name="Зведена таблиця3"/>
    <pivotTable tabId="40" name="Зведена таблиця1"/>
    <pivotTable tabId="40" name="Зведена таблиця2"/>
    <pivotTable tabId="40" name="Зведена таблиця4"/>
    <pivotTable tabId="40" name="Зведена таблиця5"/>
    <pivotTable tabId="40" name="Зведена таблиця6"/>
    <pivotTable tabId="40" name="Зведена таблиця7"/>
    <pivotTable tabId="40" name="Зведена таблиця9"/>
  </pivotTables>
  <data>
    <tabular pivotCacheId="813931972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рік 1" xr10:uid="{B9E5DAB8-ED47-4E6A-986C-16FEE7491FE7}" cache="Роздільник_рік1" caption="рік" rowHeight="241300"/>
  <slicer name="область" xr10:uid="{4A24E6FE-A79E-487A-9A83-6CF8B0AEDE8A}" cache="Роздільник_область" caption="область" columnCount="5" rowHeight="241300"/>
  <slicer name="категорія" xr10:uid="{D639EDC5-DAE4-4170-A862-54BEC2F8FDB5}" cache="Роздільник_категорія1" caption="категорія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рік 3" xr10:uid="{2A73A853-053C-4352-A1C8-E44D365BCA40}" cache="Роздільник_рік1" caption="рік" rowHeight="241300"/>
  <slicer name="область 1" xr10:uid="{5303908F-54E8-4116-9580-ECC97C8ED49A}" cache="Роздільник_область" caption="область" columnCount="5" rowHeight="241300"/>
  <slicer name="категорія 2" xr10:uid="{3C4B0DAD-C35E-4E86-AB60-BB7B21D41957}" cache="Роздільник_категорія1" caption="категорія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7042F4-CBD0-4990-B1BA-C15EC6CA762F}" name="Таблица2" displayName="Таблица2" ref="O2:X3818" totalsRowShown="0" headerRowDxfId="3">
  <tableColumns count="10">
    <tableColumn id="1" xr3:uid="{780896BF-D0A9-488B-98FA-796CE93E749F}" name="область"/>
    <tableColumn id="2" xr3:uid="{D9FFF9E0-0854-4573-98A8-7452F5545FBD}" name="місто"/>
    <tableColumn id="3" xr3:uid="{A3209983-9195-472D-A07B-0B67920861E4}" name="менеджер"/>
    <tableColumn id="4" xr3:uid="{B333CD4A-B0ED-44C7-BC07-7DD51C3CDC48}" name="категорія"/>
    <tableColumn id="5" xr3:uid="{518BF066-BD34-446C-AD72-847EA7F14184}" name="найменування"/>
    <tableColumn id="6" xr3:uid="{CEA94F80-B3DC-4C1A-8D51-C6AE53541BF3}" name="рік"/>
    <tableColumn id="7" xr3:uid="{7366FF1C-7D64-4A03-8E43-11366C37C218}" name="місяць"/>
    <tableColumn id="8" xr3:uid="{2E03DEEE-1072-44D1-98C9-456D46C45794}" name="дата" dataDxfId="2"/>
    <tableColumn id="9" xr3:uid="{EDF48561-DE9A-4F6B-AC25-8C9B25A00534}" name="закупівельні ціни" dataDxfId="1"/>
    <tableColumn id="10" xr3:uid="{DA72D6FB-6D7A-430A-A574-5E9129059D7A}" name="відпускні цін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ласна_часова_шкала_дата" xr10:uid="{A3E79FB7-B113-446F-A592-33104690D538}" sourceName="дата">
  <pivotTables>
    <pivotTable tabId="40" name="Зведена таблиця1"/>
  </pivotTables>
  <state minimalRefreshVersion="6" lastRefreshVersion="6" pivotCacheId="813931972" filterType="unknown">
    <bounds startDate="2015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" xr10:uid="{3AEC7300-A9BD-456A-AC6B-646F4CF28A27}" cache="Власна_часова_шкала_дата" caption="дата" showSelectionLabel="0" showTimeLevel="0" showHorizontalScrollbar="0" level="1" selectionLevel="1" scrollPosition="2015-01-01T00:00:00"/>
</timeline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microsoft.com/office/2011/relationships/timeline" Target="../timelines/timeline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microsoft.com/office/2007/relationships/slicer" Target="../slicers/slicer1.xml"/><Relationship Id="rId5" Type="http://schemas.openxmlformats.org/officeDocument/2006/relationships/pivotTable" Target="../pivotTables/pivotTable6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5.xm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7CBE-0CF9-4846-958D-838D54B15F47}">
  <dimension ref="B2:Z46"/>
  <sheetViews>
    <sheetView topLeftCell="A17" zoomScale="86" zoomScaleNormal="86" workbookViewId="0">
      <selection activeCell="AB17" sqref="AB17"/>
    </sheetView>
  </sheetViews>
  <sheetFormatPr defaultRowHeight="14.5" outlineLevelRow="1" outlineLevelCol="1" x14ac:dyDescent="0.35"/>
  <cols>
    <col min="2" max="2" width="10.26953125" bestFit="1" customWidth="1"/>
    <col min="3" max="3" width="21.26953125" bestFit="1" customWidth="1"/>
    <col min="4" max="6" width="8.1796875" hidden="1" customWidth="1" outlineLevel="1"/>
    <col min="7" max="7" width="8.7265625" customWidth="1" collapsed="1"/>
    <col min="9" max="11" width="8.7265625" hidden="1" customWidth="1" outlineLevel="1"/>
    <col min="12" max="12" width="8.7265625" customWidth="1" collapsed="1"/>
    <col min="14" max="16" width="8.7265625" hidden="1" customWidth="1" outlineLevel="1"/>
    <col min="17" max="17" width="8.7265625" customWidth="1" collapsed="1"/>
    <col min="19" max="21" width="8.7265625" hidden="1" customWidth="1" outlineLevel="1"/>
    <col min="22" max="22" width="8.7265625" customWidth="1" collapsed="1"/>
    <col min="25" max="25" width="9.1796875" bestFit="1" customWidth="1"/>
    <col min="28" max="28" width="8.81640625" customWidth="1"/>
  </cols>
  <sheetData>
    <row r="2" spans="2:26" x14ac:dyDescent="0.35">
      <c r="B2" s="18" t="s">
        <v>54</v>
      </c>
      <c r="C2" s="19" t="s">
        <v>76</v>
      </c>
    </row>
    <row r="3" spans="2:26" x14ac:dyDescent="0.35">
      <c r="B3" s="18" t="s">
        <v>55</v>
      </c>
      <c r="C3" s="19" t="s">
        <v>23</v>
      </c>
    </row>
    <row r="7" spans="2:26" hidden="1" x14ac:dyDescent="0.35">
      <c r="D7" s="14">
        <v>1</v>
      </c>
      <c r="E7" s="14">
        <v>2</v>
      </c>
      <c r="F7" s="14">
        <v>3</v>
      </c>
      <c r="G7" s="14"/>
      <c r="I7" s="14">
        <v>4</v>
      </c>
      <c r="J7" s="14">
        <v>5</v>
      </c>
      <c r="K7" s="14">
        <v>6</v>
      </c>
      <c r="L7" s="14"/>
      <c r="N7" s="14">
        <v>7</v>
      </c>
      <c r="O7" s="14">
        <v>8</v>
      </c>
      <c r="P7" s="14">
        <v>9</v>
      </c>
      <c r="Q7" s="14"/>
      <c r="S7" s="14">
        <v>10</v>
      </c>
      <c r="T7" s="14">
        <v>11</v>
      </c>
      <c r="U7" s="14">
        <v>12</v>
      </c>
      <c r="V7" s="14"/>
    </row>
    <row r="8" spans="2:26" x14ac:dyDescent="0.35">
      <c r="B8" s="41" t="s">
        <v>56</v>
      </c>
      <c r="C8" s="42" t="s">
        <v>57</v>
      </c>
      <c r="D8" s="42" t="s">
        <v>58</v>
      </c>
      <c r="E8" s="42" t="s">
        <v>59</v>
      </c>
      <c r="F8" s="42" t="s">
        <v>60</v>
      </c>
      <c r="G8" s="43" t="str">
        <f>IF($C$2="&lt;&gt;0","Всього 
1 кв.",CONCATENATE($C$2,"
 1 кв. "))</f>
        <v>Всього 
1 кв.</v>
      </c>
      <c r="H8" s="43"/>
      <c r="I8" s="42" t="s">
        <v>61</v>
      </c>
      <c r="J8" s="42" t="s">
        <v>62</v>
      </c>
      <c r="K8" s="42" t="s">
        <v>63</v>
      </c>
      <c r="L8" s="43" t="str">
        <f>IF($C$2="&lt;&gt;0","Всього 
2 кв.",CONCATENATE($C$2,"
 2 кв. "))</f>
        <v>Всього 
2 кв.</v>
      </c>
      <c r="M8" s="43"/>
      <c r="N8" s="42" t="s">
        <v>64</v>
      </c>
      <c r="O8" s="42" t="s">
        <v>65</v>
      </c>
      <c r="P8" s="42" t="s">
        <v>66</v>
      </c>
      <c r="Q8" s="43" t="str">
        <f>IF($C$2="&lt;&gt;0","Всього 
3 кв.",CONCATENATE($C$2,"
 3 кв. "))</f>
        <v>Всього 
3 кв.</v>
      </c>
      <c r="R8" s="43"/>
      <c r="S8" s="42" t="s">
        <v>67</v>
      </c>
      <c r="T8" s="42" t="s">
        <v>68</v>
      </c>
      <c r="U8" s="42" t="s">
        <v>69</v>
      </c>
      <c r="V8" s="44" t="str">
        <f>IF($C$2="&lt;&gt;0","Всього 
4 кв.",CONCATENATE($C$2,"
 4 кв. "))</f>
        <v>Всього 
4 кв.</v>
      </c>
      <c r="W8" s="45"/>
      <c r="Y8" s="46" t="s">
        <v>50</v>
      </c>
      <c r="Z8" s="46" t="s">
        <v>75</v>
      </c>
    </row>
    <row r="10" spans="2:26" x14ac:dyDescent="0.35">
      <c r="B10" s="28" t="s">
        <v>50</v>
      </c>
      <c r="C10" s="29"/>
      <c r="D10" s="29">
        <f>SUM(D12,D15,D18,D23,D26)</f>
        <v>251178</v>
      </c>
      <c r="E10" s="29">
        <f>SUM(E12,E15,E18,E23,E26)</f>
        <v>238428</v>
      </c>
      <c r="F10" s="29">
        <f t="shared" ref="F10:U10" si="0">SUM(F12,F15,F18,F23,F26)</f>
        <v>247494</v>
      </c>
      <c r="G10" s="29"/>
      <c r="H10" s="29">
        <f>SUM(D10:F10)</f>
        <v>737100</v>
      </c>
      <c r="I10" s="29">
        <f t="shared" si="0"/>
        <v>241950</v>
      </c>
      <c r="J10" s="29">
        <f t="shared" si="0"/>
        <v>257316</v>
      </c>
      <c r="K10" s="29">
        <f t="shared" si="0"/>
        <v>236822</v>
      </c>
      <c r="L10" s="29"/>
      <c r="M10" s="29">
        <f>SUM(I10:K10)</f>
        <v>736088</v>
      </c>
      <c r="N10" s="29">
        <f t="shared" si="0"/>
        <v>234945</v>
      </c>
      <c r="O10" s="29">
        <f t="shared" si="0"/>
        <v>242437</v>
      </c>
      <c r="P10" s="29">
        <f t="shared" si="0"/>
        <v>235247</v>
      </c>
      <c r="Q10" s="29"/>
      <c r="R10" s="29">
        <f>SUM(N10:P10)</f>
        <v>712629</v>
      </c>
      <c r="S10" s="29">
        <f t="shared" si="0"/>
        <v>237397</v>
      </c>
      <c r="T10" s="29">
        <f t="shared" si="0"/>
        <v>238499</v>
      </c>
      <c r="U10" s="29">
        <f t="shared" si="0"/>
        <v>248324</v>
      </c>
      <c r="V10" s="29"/>
      <c r="W10" s="30">
        <f>SUM(S10:U10)</f>
        <v>724220</v>
      </c>
      <c r="Y10" s="31">
        <f>SUM(H10,M10,R10,W10)</f>
        <v>2910037</v>
      </c>
      <c r="Z10" s="31"/>
    </row>
    <row r="12" spans="2:26" x14ac:dyDescent="0.35">
      <c r="B12" s="32" t="s">
        <v>3</v>
      </c>
      <c r="C12" s="33"/>
      <c r="D12" s="33">
        <f>SUM(D13:D14)</f>
        <v>42920</v>
      </c>
      <c r="E12" s="33">
        <f>SUM(E13:E14)</f>
        <v>38814</v>
      </c>
      <c r="F12" s="33">
        <f t="shared" ref="F12:U12" si="1">SUM(F13:F14)</f>
        <v>41331</v>
      </c>
      <c r="G12" s="33"/>
      <c r="H12" s="33">
        <f t="shared" ref="H12:H28" si="2">SUM(D12:F12)</f>
        <v>123065</v>
      </c>
      <c r="I12" s="33">
        <f t="shared" si="1"/>
        <v>38687</v>
      </c>
      <c r="J12" s="33">
        <f t="shared" si="1"/>
        <v>41513</v>
      </c>
      <c r="K12" s="33">
        <f t="shared" si="1"/>
        <v>41467</v>
      </c>
      <c r="L12" s="33"/>
      <c r="M12" s="33">
        <f t="shared" ref="M12:M28" si="3">SUM(I12:K12)</f>
        <v>121667</v>
      </c>
      <c r="N12" s="33">
        <f t="shared" si="1"/>
        <v>38630</v>
      </c>
      <c r="O12" s="33">
        <f t="shared" si="1"/>
        <v>41649</v>
      </c>
      <c r="P12" s="33">
        <f t="shared" si="1"/>
        <v>38007</v>
      </c>
      <c r="Q12" s="33"/>
      <c r="R12" s="33">
        <f t="shared" ref="R12:R28" si="4">SUM(N12:P12)</f>
        <v>118286</v>
      </c>
      <c r="S12" s="33">
        <f t="shared" si="1"/>
        <v>42035</v>
      </c>
      <c r="T12" s="33">
        <f t="shared" si="1"/>
        <v>40507</v>
      </c>
      <c r="U12" s="33">
        <f t="shared" si="1"/>
        <v>38840</v>
      </c>
      <c r="V12" s="33"/>
      <c r="W12" s="34">
        <f t="shared" ref="W12:W28" si="5">SUM(S12:U12)</f>
        <v>121382</v>
      </c>
      <c r="Y12" s="32">
        <f t="shared" ref="Y12:Y28" si="6">SUM(H12,M12,R12,W12)</f>
        <v>484400</v>
      </c>
      <c r="Z12" s="34"/>
    </row>
    <row r="13" spans="2:26" outlineLevel="1" x14ac:dyDescent="0.35">
      <c r="B13" s="20"/>
      <c r="C13" s="21" t="s">
        <v>5</v>
      </c>
      <c r="D13">
        <f>SUMIFS(
тех!$J:$J,
тех!$G:$G,'Інтерактивна таблиця'!$C$2,
тех!$H:$H,'Інтерактивна таблиця'!D$7,
тех!$E:$E,'Інтерактивна таблиця'!$C$3,
тех!$B:$B,'Інтерактивна таблиця'!$B$12,
тех!$D:$D,'Інтерактивна таблиця'!$C13
)</f>
        <v>20632</v>
      </c>
      <c r="E13">
        <f>SUMIFS(
тех!$J:$J,
тех!$G:$G,'Інтерактивна таблиця'!$C$2,
тех!$H:$H,'Інтерактивна таблиця'!E$7,
тех!$E:$E,'Інтерактивна таблиця'!$C$3,
тех!$B:$B,'Інтерактивна таблиця'!$B$12,
тех!$D:$D,'Інтерактивна таблиця'!$C13
)</f>
        <v>17918</v>
      </c>
      <c r="F13">
        <f>SUMIFS(
тех!$J:$J,
тех!$G:$G,'Інтерактивна таблиця'!$C$2,
тех!$H:$H,'Інтерактивна таблиця'!F$7,
тех!$E:$E,'Інтерактивна таблиця'!$C$3,
тех!$B:$B,'Інтерактивна таблиця'!$B$12,
тех!$D:$D,'Інтерактивна таблиця'!$C13
)</f>
        <v>20003</v>
      </c>
      <c r="G13" s="22"/>
      <c r="H13" s="22">
        <f t="shared" si="2"/>
        <v>58553</v>
      </c>
      <c r="I13" s="22">
        <f>SUMIFS(
тех!$J:$J,
тех!$G:$G,'Інтерактивна таблиця'!$C$2,
тех!$H:$H,'Інтерактивна таблиця'!I$7,
тех!$E:$E,'Інтерактивна таблиця'!$C$3,
тех!$B:$B,'Інтерактивна таблиця'!$B$12,
тех!$D:$D,'Інтерактивна таблиця'!$C13
)</f>
        <v>20646</v>
      </c>
      <c r="J13" s="22">
        <f>SUMIFS(
тех!$J:$J,
тех!$G:$G,'Інтерактивна таблиця'!$C$2,
тех!$H:$H,'Інтерактивна таблиця'!J$7,
тех!$E:$E,'Інтерактивна таблиця'!$C$3,
тех!$B:$B,'Інтерактивна таблиця'!$B$12,
тех!$D:$D,'Інтерактивна таблиця'!$C13
)</f>
        <v>21845</v>
      </c>
      <c r="K13" s="22">
        <f>SUMIFS(
тех!$J:$J,
тех!$G:$G,'Інтерактивна таблиця'!$C$2,
тех!$H:$H,'Інтерактивна таблиця'!K$7,
тех!$E:$E,'Інтерактивна таблиця'!$C$3,
тех!$B:$B,'Інтерактивна таблиця'!$B$12,
тех!$D:$D,'Інтерактивна таблиця'!$C13
)</f>
        <v>19672</v>
      </c>
      <c r="L13" s="22"/>
      <c r="M13" s="22">
        <f t="shared" si="3"/>
        <v>62163</v>
      </c>
      <c r="N13" s="22">
        <f>SUMIFS(
тех!$J:$J,
тех!$G:$G,'Інтерактивна таблиця'!$C$2,
тех!$H:$H,'Інтерактивна таблиця'!N$7,
тех!$E:$E,'Інтерактивна таблиця'!$C$3,
тех!$B:$B,'Інтерактивна таблиця'!$B$12,
тех!$D:$D,'Інтерактивна таблиця'!$C13
)</f>
        <v>19837</v>
      </c>
      <c r="O13" s="22">
        <f>SUMIFS(
тех!$J:$J,
тех!$G:$G,'Інтерактивна таблиця'!$C$2,
тех!$H:$H,'Інтерактивна таблиця'!O$7,
тех!$E:$E,'Інтерактивна таблиця'!$C$3,
тех!$B:$B,'Інтерактивна таблиця'!$B$12,
тех!$D:$D,'Інтерактивна таблиця'!$C13
)</f>
        <v>21263</v>
      </c>
      <c r="P13" s="22">
        <f>SUMIFS(
тех!$J:$J,
тех!$G:$G,'Інтерактивна таблиця'!$C$2,
тех!$H:$H,'Інтерактивна таблиця'!P$7,
тех!$E:$E,'Інтерактивна таблиця'!$C$3,
тех!$B:$B,'Інтерактивна таблиця'!$B$12,
тех!$D:$D,'Інтерактивна таблиця'!$C13
)</f>
        <v>19961</v>
      </c>
      <c r="Q13" s="22"/>
      <c r="R13" s="22">
        <f t="shared" si="4"/>
        <v>61061</v>
      </c>
      <c r="S13" s="22">
        <f>SUMIFS(
тех!$J:$J,
тех!$G:$G,'Інтерактивна таблиця'!$C$2,
тех!$H:$H,'Інтерактивна таблиця'!S$7,
тех!$E:$E,'Інтерактивна таблиця'!$C$3,
тех!$B:$B,'Інтерактивна таблиця'!$B$12,
тех!$D:$D,'Інтерактивна таблиця'!$C13
)</f>
        <v>20454</v>
      </c>
      <c r="T13" s="22">
        <f>SUMIFS(
тех!$J:$J,
тех!$G:$G,'Інтерактивна таблиця'!$C$2,
тех!$H:$H,'Інтерактивна таблиця'!T$7,
тех!$E:$E,'Інтерактивна таблиця'!$C$3,
тех!$B:$B,'Інтерактивна таблиця'!$B$12,
тех!$D:$D,'Інтерактивна таблиця'!$C13
)</f>
        <v>20479</v>
      </c>
      <c r="U13" s="22">
        <f>SUMIFS(
тех!$J:$J,
тех!$G:$G,'Інтерактивна таблиця'!$C$2,
тех!$H:$H,'Інтерактивна таблиця'!U$7,
тех!$E:$E,'Інтерактивна таблиця'!$C$3,
тех!$B:$B,'Інтерактивна таблиця'!$B$12,
тех!$D:$D,'Інтерактивна таблиця'!$C13
)</f>
        <v>19274</v>
      </c>
      <c r="V13" s="22"/>
      <c r="W13" s="23">
        <f t="shared" si="5"/>
        <v>60207</v>
      </c>
      <c r="Y13" s="20">
        <f t="shared" si="6"/>
        <v>241984</v>
      </c>
      <c r="Z13" s="16">
        <f>Y13/$Y$10</f>
        <v>8.3154956449007347E-2</v>
      </c>
    </row>
    <row r="14" spans="2:26" outlineLevel="1" x14ac:dyDescent="0.35">
      <c r="B14" s="20"/>
      <c r="C14" s="21" t="s">
        <v>4</v>
      </c>
      <c r="D14">
        <f>SUMIFS(
тех!$J:$J,
тех!$G:$G,'Інтерактивна таблиця'!$C$2,
тех!$H:$H,'Інтерактивна таблиця'!D$7,
тех!$E:$E,'Інтерактивна таблиця'!$C$3,
тех!$B:$B,'Інтерактивна таблиця'!$B$12,
тех!$D:$D,'Інтерактивна таблиця'!$C14
)</f>
        <v>22288</v>
      </c>
      <c r="E14">
        <f>SUMIFS(
тех!$J:$J,
тех!$G:$G,'Інтерактивна таблиця'!$C$2,
тех!$H:$H,'Інтерактивна таблиця'!E$7,
тех!$E:$E,'Інтерактивна таблиця'!$C$3,
тех!$B:$B,'Інтерактивна таблиця'!$B$12,
тех!$D:$D,'Інтерактивна таблиця'!$C14
)</f>
        <v>20896</v>
      </c>
      <c r="F14">
        <f>SUMIFS(
тех!$J:$J,
тех!$G:$G,'Інтерактивна таблиця'!$C$2,
тех!$H:$H,'Інтерактивна таблиця'!F$7,
тех!$E:$E,'Інтерактивна таблиця'!$C$3,
тех!$B:$B,'Інтерактивна таблиця'!$B$12,
тех!$D:$D,'Інтерактивна таблиця'!$C14
)</f>
        <v>21328</v>
      </c>
      <c r="G14" s="22"/>
      <c r="H14" s="22">
        <f t="shared" si="2"/>
        <v>64512</v>
      </c>
      <c r="I14" s="22">
        <f>SUMIFS(
тех!$J:$J,
тех!$G:$G,'Інтерактивна таблиця'!$C$2,
тех!$H:$H,'Інтерактивна таблиця'!I$7,
тех!$E:$E,'Інтерактивна таблиця'!$C$3,
тех!$B:$B,'Інтерактивна таблиця'!$B$12,
тех!$D:$D,'Інтерактивна таблиця'!$C14
)</f>
        <v>18041</v>
      </c>
      <c r="J14" s="22">
        <f>SUMIFS(
тех!$J:$J,
тех!$G:$G,'Інтерактивна таблиця'!$C$2,
тех!$H:$H,'Інтерактивна таблиця'!J$7,
тех!$E:$E,'Інтерактивна таблиця'!$C$3,
тех!$B:$B,'Інтерактивна таблиця'!$B$12,
тех!$D:$D,'Інтерактивна таблиця'!$C14
)</f>
        <v>19668</v>
      </c>
      <c r="K14" s="22">
        <f>SUMIFS(
тех!$J:$J,
тех!$G:$G,'Інтерактивна таблиця'!$C$2,
тех!$H:$H,'Інтерактивна таблиця'!K$7,
тех!$E:$E,'Інтерактивна таблиця'!$C$3,
тех!$B:$B,'Інтерактивна таблиця'!$B$12,
тех!$D:$D,'Інтерактивна таблиця'!$C14
)</f>
        <v>21795</v>
      </c>
      <c r="L14" s="22"/>
      <c r="M14" s="22">
        <f t="shared" si="3"/>
        <v>59504</v>
      </c>
      <c r="N14" s="22">
        <f>SUMIFS(
тех!$J:$J,
тех!$G:$G,'Інтерактивна таблиця'!$C$2,
тех!$H:$H,'Інтерактивна таблиця'!N$7,
тех!$E:$E,'Інтерактивна таблиця'!$C$3,
тех!$B:$B,'Інтерактивна таблиця'!$B$12,
тех!$D:$D,'Інтерактивна таблиця'!$C14
)</f>
        <v>18793</v>
      </c>
      <c r="O14" s="22">
        <f>SUMIFS(
тех!$J:$J,
тех!$G:$G,'Інтерактивна таблиця'!$C$2,
тех!$H:$H,'Інтерактивна таблиця'!O$7,
тех!$E:$E,'Інтерактивна таблиця'!$C$3,
тех!$B:$B,'Інтерактивна таблиця'!$B$12,
тех!$D:$D,'Інтерактивна таблиця'!$C14
)</f>
        <v>20386</v>
      </c>
      <c r="P14" s="22">
        <f>SUMIFS(
тех!$J:$J,
тех!$G:$G,'Інтерактивна таблиця'!$C$2,
тех!$H:$H,'Інтерактивна таблиця'!P$7,
тех!$E:$E,'Інтерактивна таблиця'!$C$3,
тех!$B:$B,'Інтерактивна таблиця'!$B$12,
тех!$D:$D,'Інтерактивна таблиця'!$C14
)</f>
        <v>18046</v>
      </c>
      <c r="Q14" s="22"/>
      <c r="R14" s="22">
        <f t="shared" si="4"/>
        <v>57225</v>
      </c>
      <c r="S14" s="22">
        <f>SUMIFS(
тех!$J:$J,
тех!$G:$G,'Інтерактивна таблиця'!$C$2,
тех!$H:$H,'Інтерактивна таблиця'!S$7,
тех!$E:$E,'Інтерактивна таблиця'!$C$3,
тех!$B:$B,'Інтерактивна таблиця'!$B$12,
тех!$D:$D,'Інтерактивна таблиця'!$C14
)</f>
        <v>21581</v>
      </c>
      <c r="T14" s="22">
        <f>SUMIFS(
тех!$J:$J,
тех!$G:$G,'Інтерактивна таблиця'!$C$2,
тех!$H:$H,'Інтерактивна таблиця'!T$7,
тех!$E:$E,'Інтерактивна таблиця'!$C$3,
тех!$B:$B,'Інтерактивна таблиця'!$B$12,
тех!$D:$D,'Інтерактивна таблиця'!$C14
)</f>
        <v>20028</v>
      </c>
      <c r="U14" s="22">
        <f>SUMIFS(
тех!$J:$J,
тех!$G:$G,'Інтерактивна таблиця'!$C$2,
тех!$H:$H,'Інтерактивна таблиця'!U$7,
тех!$E:$E,'Інтерактивна таблиця'!$C$3,
тех!$B:$B,'Інтерактивна таблиця'!$B$12,
тех!$D:$D,'Інтерактивна таблиця'!$C14
)</f>
        <v>19566</v>
      </c>
      <c r="V14" s="22"/>
      <c r="W14" s="23">
        <f t="shared" si="5"/>
        <v>61175</v>
      </c>
      <c r="Y14" s="20">
        <f t="shared" si="6"/>
        <v>242416</v>
      </c>
      <c r="Z14" s="16">
        <f t="shared" ref="Z14:Z28" si="7">Y14/$Y$10</f>
        <v>8.33034081697243E-2</v>
      </c>
    </row>
    <row r="15" spans="2:26" x14ac:dyDescent="0.35">
      <c r="B15" s="35" t="s">
        <v>6</v>
      </c>
      <c r="C15" s="36"/>
      <c r="D15" s="37">
        <f>SUM(D16:D17)</f>
        <v>42251</v>
      </c>
      <c r="E15" s="37">
        <f>SUM(E16:E17)</f>
        <v>40075</v>
      </c>
      <c r="F15" s="37">
        <f t="shared" ref="F15:U15" si="8">SUM(F16:F17)</f>
        <v>40791</v>
      </c>
      <c r="G15" s="37"/>
      <c r="H15" s="37">
        <f t="shared" si="2"/>
        <v>123117</v>
      </c>
      <c r="I15" s="37">
        <f t="shared" si="8"/>
        <v>38358</v>
      </c>
      <c r="J15" s="37">
        <f t="shared" si="8"/>
        <v>47696</v>
      </c>
      <c r="K15" s="37">
        <f t="shared" si="8"/>
        <v>35670</v>
      </c>
      <c r="L15" s="37"/>
      <c r="M15" s="37">
        <f t="shared" si="3"/>
        <v>121724</v>
      </c>
      <c r="N15" s="37">
        <f t="shared" si="8"/>
        <v>39754</v>
      </c>
      <c r="O15" s="37">
        <f t="shared" si="8"/>
        <v>40648</v>
      </c>
      <c r="P15" s="37">
        <f t="shared" si="8"/>
        <v>35231</v>
      </c>
      <c r="Q15" s="37"/>
      <c r="R15" s="37">
        <f t="shared" si="4"/>
        <v>115633</v>
      </c>
      <c r="S15" s="37">
        <f t="shared" si="8"/>
        <v>38242</v>
      </c>
      <c r="T15" s="37">
        <f t="shared" si="8"/>
        <v>36864</v>
      </c>
      <c r="U15" s="37">
        <f t="shared" si="8"/>
        <v>42704</v>
      </c>
      <c r="V15" s="37"/>
      <c r="W15" s="38">
        <f t="shared" si="5"/>
        <v>117810</v>
      </c>
      <c r="Y15" s="39">
        <f t="shared" si="6"/>
        <v>478284</v>
      </c>
      <c r="Z15" s="40"/>
    </row>
    <row r="16" spans="2:26" outlineLevel="1" x14ac:dyDescent="0.35">
      <c r="B16" s="20"/>
      <c r="C16" s="21" t="s">
        <v>30</v>
      </c>
      <c r="D16">
        <f>SUMIFS(
тех!$J:$J,
тех!$G:$G,'Інтерактивна таблиця'!$C$2,
тех!$H:$H,'Інтерактивна таблиця'!D$7,
тех!$E:$E,'Інтерактивна таблиця'!$C$3,
тех!$B:$B,'Інтерактивна таблиця'!$B$15,
тех!$D:$D,'Інтерактивна таблиця'!$C16
)</f>
        <v>20578</v>
      </c>
      <c r="E16">
        <f>SUMIFS(
тех!$J:$J,
тех!$G:$G,'Інтерактивна таблиця'!$C$2,
тех!$H:$H,'Інтерактивна таблиця'!E$7,
тех!$E:$E,'Інтерактивна таблиця'!$C$3,
тех!$B:$B,'Інтерактивна таблиця'!$B$15,
тех!$D:$D,'Інтерактивна таблиця'!$C16
)</f>
        <v>19764</v>
      </c>
      <c r="F16">
        <f>SUMIFS(
тех!$J:$J,
тех!$G:$G,'Інтерактивна таблиця'!$C$2,
тех!$H:$H,'Інтерактивна таблиця'!F$7,
тех!$E:$E,'Інтерактивна таблиця'!$C$3,
тех!$B:$B,'Інтерактивна таблиця'!$B$15,
тех!$D:$D,'Інтерактивна таблиця'!$C16
)</f>
        <v>20791</v>
      </c>
      <c r="G16" s="22"/>
      <c r="H16" s="22">
        <f t="shared" si="2"/>
        <v>61133</v>
      </c>
      <c r="I16" s="22">
        <f>SUMIFS(
тех!$J:$J,
тех!$G:$G,'Інтерактивна таблиця'!$C$2,
тех!$H:$H,'Інтерактивна таблиця'!I$7,
тех!$E:$E,'Інтерактивна таблиця'!$C$3,
тех!$B:$B,'Інтерактивна таблиця'!$B$15,
тех!$D:$D,'Інтерактивна таблиця'!$C16
)</f>
        <v>18564</v>
      </c>
      <c r="J16" s="22">
        <f>SUMIFS(
тех!$J:$J,
тех!$G:$G,'Інтерактивна таблиця'!$C$2,
тех!$H:$H,'Інтерактивна таблиця'!J$7,
тех!$E:$E,'Інтерактивна таблиця'!$C$3,
тех!$B:$B,'Інтерактивна таблиця'!$B$15,
тех!$D:$D,'Інтерактивна таблиця'!$C16
)</f>
        <v>24110</v>
      </c>
      <c r="K16" s="22">
        <f>SUMIFS(
тех!$J:$J,
тех!$G:$G,'Інтерактивна таблиця'!$C$2,
тех!$H:$H,'Інтерактивна таблиця'!K$7,
тех!$E:$E,'Інтерактивна таблиця'!$C$3,
тех!$B:$B,'Інтерактивна таблиця'!$B$15,
тех!$D:$D,'Інтерактивна таблиця'!$C16
)</f>
        <v>18666</v>
      </c>
      <c r="L16" s="22"/>
      <c r="M16" s="22">
        <f t="shared" si="3"/>
        <v>61340</v>
      </c>
      <c r="N16" s="22">
        <f>SUMIFS(
тех!$J:$J,
тех!$G:$G,'Інтерактивна таблиця'!$C$2,
тех!$H:$H,'Інтерактивна таблиця'!N$7,
тех!$E:$E,'Інтерактивна таблиця'!$C$3,
тех!$B:$B,'Інтерактивна таблиця'!$B$15,
тех!$D:$D,'Інтерактивна таблиця'!$C16
)</f>
        <v>19710</v>
      </c>
      <c r="O16" s="22">
        <f>SUMIFS(
тех!$J:$J,
тех!$G:$G,'Інтерактивна таблиця'!$C$2,
тех!$H:$H,'Інтерактивна таблиця'!O$7,
тех!$E:$E,'Інтерактивна таблиця'!$C$3,
тех!$B:$B,'Інтерактивна таблиця'!$B$15,
тех!$D:$D,'Інтерактивна таблиця'!$C16
)</f>
        <v>21535</v>
      </c>
      <c r="P16" s="22">
        <f>SUMIFS(
тех!$J:$J,
тех!$G:$G,'Інтерактивна таблиця'!$C$2,
тех!$H:$H,'Інтерактивна таблиця'!P$7,
тех!$E:$E,'Інтерактивна таблиця'!$C$3,
тех!$B:$B,'Інтерактивна таблиця'!$B$15,
тех!$D:$D,'Інтерактивна таблиця'!$C16
)</f>
        <v>15686</v>
      </c>
      <c r="Q16" s="22"/>
      <c r="R16" s="22">
        <f t="shared" si="4"/>
        <v>56931</v>
      </c>
      <c r="S16" s="22">
        <f>SUMIFS(
тех!$J:$J,
тех!$G:$G,'Інтерактивна таблиця'!$C$2,
тех!$H:$H,'Інтерактивна таблиця'!S$7,
тех!$E:$E,'Інтерактивна таблиця'!$C$3,
тех!$B:$B,'Інтерактивна таблиця'!$B$15,
тех!$D:$D,'Інтерактивна таблиця'!$C16
)</f>
        <v>19603</v>
      </c>
      <c r="T16" s="22">
        <f>SUMIFS(
тех!$J:$J,
тех!$G:$G,'Інтерактивна таблиця'!$C$2,
тех!$H:$H,'Інтерактивна таблиця'!T$7,
тех!$E:$E,'Інтерактивна таблиця'!$C$3,
тех!$B:$B,'Інтерактивна таблиця'!$B$15,
тех!$D:$D,'Інтерактивна таблиця'!$C16
)</f>
        <v>17323</v>
      </c>
      <c r="U16" s="22">
        <f>SUMIFS(
тех!$J:$J,
тех!$G:$G,'Інтерактивна таблиця'!$C$2,
тех!$H:$H,'Інтерактивна таблиця'!U$7,
тех!$E:$E,'Інтерактивна таблиця'!$C$3,
тех!$B:$B,'Інтерактивна таблиця'!$B$15,
тех!$D:$D,'Інтерактивна таблиця'!$C16
)</f>
        <v>21111</v>
      </c>
      <c r="V16" s="22"/>
      <c r="W16" s="23">
        <f t="shared" si="5"/>
        <v>58037</v>
      </c>
      <c r="Y16" s="20">
        <f t="shared" si="6"/>
        <v>237441</v>
      </c>
      <c r="Z16" s="16">
        <f t="shared" si="7"/>
        <v>8.159380791378254E-2</v>
      </c>
    </row>
    <row r="17" spans="2:26" outlineLevel="1" x14ac:dyDescent="0.35">
      <c r="B17" s="20"/>
      <c r="C17" s="21" t="s">
        <v>41</v>
      </c>
      <c r="D17">
        <f>SUMIFS(
тех!$J:$J,
тех!$G:$G,'Інтерактивна таблиця'!$C$2,
тех!$H:$H,'Інтерактивна таблиця'!D$7,
тех!$E:$E,'Інтерактивна таблиця'!$C$3,
тех!$B:$B,'Інтерактивна таблиця'!$B$15,
тех!$D:$D,'Інтерактивна таблиця'!$C17
)</f>
        <v>21673</v>
      </c>
      <c r="E17">
        <f>SUMIFS(
тех!$J:$J,
тех!$G:$G,'Інтерактивна таблиця'!$C$2,
тех!$H:$H,'Інтерактивна таблиця'!E$7,
тех!$E:$E,'Інтерактивна таблиця'!$C$3,
тех!$B:$B,'Інтерактивна таблиця'!$B$15,
тех!$D:$D,'Інтерактивна таблиця'!$C17
)</f>
        <v>20311</v>
      </c>
      <c r="F17">
        <f>SUMIFS(
тех!$J:$J,
тех!$G:$G,'Інтерактивна таблиця'!$C$2,
тех!$H:$H,'Інтерактивна таблиця'!F$7,
тех!$E:$E,'Інтерактивна таблиця'!$C$3,
тех!$B:$B,'Інтерактивна таблиця'!$B$15,
тех!$D:$D,'Інтерактивна таблиця'!$C17
)</f>
        <v>20000</v>
      </c>
      <c r="G17" s="22"/>
      <c r="H17" s="22">
        <f t="shared" si="2"/>
        <v>61984</v>
      </c>
      <c r="I17" s="22">
        <f>SUMIFS(
тех!$J:$J,
тех!$G:$G,'Інтерактивна таблиця'!$C$2,
тех!$H:$H,'Інтерактивна таблиця'!I$7,
тех!$E:$E,'Інтерактивна таблиця'!$C$3,
тех!$B:$B,'Інтерактивна таблиця'!$B$15,
тех!$D:$D,'Інтерактивна таблиця'!$C17
)</f>
        <v>19794</v>
      </c>
      <c r="J17" s="22">
        <f>SUMIFS(
тех!$J:$J,
тех!$G:$G,'Інтерактивна таблиця'!$C$2,
тех!$H:$H,'Інтерактивна таблиця'!J$7,
тех!$E:$E,'Інтерактивна таблиця'!$C$3,
тех!$B:$B,'Інтерактивна таблиця'!$B$15,
тех!$D:$D,'Інтерактивна таблиця'!$C17
)</f>
        <v>23586</v>
      </c>
      <c r="K17" s="22">
        <f>SUMIFS(
тех!$J:$J,
тех!$G:$G,'Інтерактивна таблиця'!$C$2,
тех!$H:$H,'Інтерактивна таблиця'!K$7,
тех!$E:$E,'Інтерактивна таблиця'!$C$3,
тех!$B:$B,'Інтерактивна таблиця'!$B$15,
тех!$D:$D,'Інтерактивна таблиця'!$C17
)</f>
        <v>17004</v>
      </c>
      <c r="L17" s="22"/>
      <c r="M17" s="22">
        <f t="shared" si="3"/>
        <v>60384</v>
      </c>
      <c r="N17" s="22">
        <f>SUMIFS(
тех!$J:$J,
тех!$G:$G,'Інтерактивна таблиця'!$C$2,
тех!$H:$H,'Інтерактивна таблиця'!N$7,
тех!$E:$E,'Інтерактивна таблиця'!$C$3,
тех!$B:$B,'Інтерактивна таблиця'!$B$15,
тех!$D:$D,'Інтерактивна таблиця'!$C17
)</f>
        <v>20044</v>
      </c>
      <c r="O17" s="22">
        <f>SUMIFS(
тех!$J:$J,
тех!$G:$G,'Інтерактивна таблиця'!$C$2,
тех!$H:$H,'Інтерактивна таблиця'!O$7,
тех!$E:$E,'Інтерактивна таблиця'!$C$3,
тех!$B:$B,'Інтерактивна таблиця'!$B$15,
тех!$D:$D,'Інтерактивна таблиця'!$C17
)</f>
        <v>19113</v>
      </c>
      <c r="P17" s="22">
        <f>SUMIFS(
тех!$J:$J,
тех!$G:$G,'Інтерактивна таблиця'!$C$2,
тех!$H:$H,'Інтерактивна таблиця'!P$7,
тех!$E:$E,'Інтерактивна таблиця'!$C$3,
тех!$B:$B,'Інтерактивна таблиця'!$B$15,
тех!$D:$D,'Інтерактивна таблиця'!$C17
)</f>
        <v>19545</v>
      </c>
      <c r="Q17" s="22"/>
      <c r="R17" s="22">
        <f t="shared" si="4"/>
        <v>58702</v>
      </c>
      <c r="S17" s="22">
        <f>SUMIFS(
тех!$J:$J,
тех!$G:$G,'Інтерактивна таблиця'!$C$2,
тех!$H:$H,'Інтерактивна таблиця'!S$7,
тех!$E:$E,'Інтерактивна таблиця'!$C$3,
тех!$B:$B,'Інтерактивна таблиця'!$B$15,
тех!$D:$D,'Інтерактивна таблиця'!$C17
)</f>
        <v>18639</v>
      </c>
      <c r="T17" s="22">
        <f>SUMIFS(
тех!$J:$J,
тех!$G:$G,'Інтерактивна таблиця'!$C$2,
тех!$H:$H,'Інтерактивна таблиця'!T$7,
тех!$E:$E,'Інтерактивна таблиця'!$C$3,
тех!$B:$B,'Інтерактивна таблиця'!$B$15,
тех!$D:$D,'Інтерактивна таблиця'!$C17
)</f>
        <v>19541</v>
      </c>
      <c r="U17" s="22">
        <f>SUMIFS(
тех!$J:$J,
тех!$G:$G,'Інтерактивна таблиця'!$C$2,
тех!$H:$H,'Інтерактивна таблиця'!U$7,
тех!$E:$E,'Інтерактивна таблиця'!$C$3,
тех!$B:$B,'Інтерактивна таблиця'!$B$15,
тех!$D:$D,'Інтерактивна таблиця'!$C17
)</f>
        <v>21593</v>
      </c>
      <c r="V17" s="22"/>
      <c r="W17" s="23">
        <f t="shared" si="5"/>
        <v>59773</v>
      </c>
      <c r="Y17" s="20">
        <f t="shared" si="6"/>
        <v>240843</v>
      </c>
      <c r="Z17" s="16">
        <f t="shared" si="7"/>
        <v>8.2762865214428549E-2</v>
      </c>
    </row>
    <row r="18" spans="2:26" x14ac:dyDescent="0.35">
      <c r="B18" s="35" t="s">
        <v>7</v>
      </c>
      <c r="C18" s="36"/>
      <c r="D18" s="37">
        <f>SUM(D19:D22)</f>
        <v>80284</v>
      </c>
      <c r="E18" s="37">
        <f>SUM(E19:E22)</f>
        <v>79319</v>
      </c>
      <c r="F18" s="37">
        <f t="shared" ref="F18:U18" si="9">SUM(F19:F22)</f>
        <v>85911</v>
      </c>
      <c r="G18" s="37"/>
      <c r="H18" s="37">
        <f t="shared" si="2"/>
        <v>245514</v>
      </c>
      <c r="I18" s="37">
        <f t="shared" si="9"/>
        <v>80344</v>
      </c>
      <c r="J18" s="37">
        <f t="shared" si="9"/>
        <v>78678</v>
      </c>
      <c r="K18" s="37">
        <f t="shared" si="9"/>
        <v>79295</v>
      </c>
      <c r="L18" s="37"/>
      <c r="M18" s="37">
        <f t="shared" si="3"/>
        <v>238317</v>
      </c>
      <c r="N18" s="37">
        <f t="shared" si="9"/>
        <v>75508</v>
      </c>
      <c r="O18" s="37">
        <f t="shared" si="9"/>
        <v>75355</v>
      </c>
      <c r="P18" s="37">
        <f t="shared" si="9"/>
        <v>80215</v>
      </c>
      <c r="Q18" s="37"/>
      <c r="R18" s="37">
        <f t="shared" si="4"/>
        <v>231078</v>
      </c>
      <c r="S18" s="37">
        <f t="shared" si="9"/>
        <v>82433</v>
      </c>
      <c r="T18" s="37">
        <f t="shared" si="9"/>
        <v>82528</v>
      </c>
      <c r="U18" s="37">
        <f t="shared" si="9"/>
        <v>85088</v>
      </c>
      <c r="V18" s="37"/>
      <c r="W18" s="38">
        <f t="shared" si="5"/>
        <v>250049</v>
      </c>
      <c r="Y18" s="39">
        <f t="shared" si="6"/>
        <v>964958</v>
      </c>
      <c r="Z18" s="40"/>
    </row>
    <row r="19" spans="2:26" outlineLevel="1" x14ac:dyDescent="0.35">
      <c r="B19" s="20"/>
      <c r="C19" s="21" t="s">
        <v>8</v>
      </c>
      <c r="D19">
        <f>SUMIFS(
тех!$J:$J,
тех!$G:$G,'Інтерактивна таблиця'!$C$2,
тех!$H:$H,'Інтерактивна таблиця'!D$7,
тех!$E:$E,'Інтерактивна таблиця'!$C$3,
тех!$B:$B,'Інтерактивна таблиця'!$B$18,
тех!$D:$D,'Інтерактивна таблиця'!$C19
)</f>
        <v>21181</v>
      </c>
      <c r="E19">
        <f>SUMIFS(
тех!$J:$J,
тех!$G:$G,'Інтерактивна таблиця'!$C$2,
тех!$H:$H,'Інтерактивна таблиця'!E$7,
тех!$E:$E,'Інтерактивна таблиця'!$C$3,
тех!$B:$B,'Інтерактивна таблиця'!$B$18,
тех!$D:$D,'Інтерактивна таблиця'!$C19
)</f>
        <v>17853</v>
      </c>
      <c r="F19">
        <f>SUMIFS(
тех!$J:$J,
тех!$G:$G,'Інтерактивна таблиця'!$C$2,
тех!$H:$H,'Інтерактивна таблиця'!F$7,
тех!$E:$E,'Інтерактивна таблиця'!$C$3,
тех!$B:$B,'Інтерактивна таблиця'!$B$18,
тех!$D:$D,'Інтерактивна таблиця'!$C19
)</f>
        <v>21235</v>
      </c>
      <c r="G19" s="22"/>
      <c r="H19" s="22">
        <f t="shared" si="2"/>
        <v>60269</v>
      </c>
      <c r="I19" s="22">
        <f>SUMIFS(
тех!$J:$J,
тех!$G:$G,'Інтерактивна таблиця'!$C$2,
тех!$H:$H,'Інтерактивна таблиця'!I$7,
тех!$E:$E,'Інтерактивна таблиця'!$C$3,
тех!$B:$B,'Інтерактивна таблиця'!$B$18,
тех!$D:$D,'Інтерактивна таблиця'!$C19
)</f>
        <v>18630</v>
      </c>
      <c r="J19" s="22">
        <f>SUMIFS(
тех!$J:$J,
тех!$G:$G,'Інтерактивна таблиця'!$C$2,
тех!$H:$H,'Інтерактивна таблиця'!J$7,
тех!$E:$E,'Інтерактивна таблиця'!$C$3,
тех!$B:$B,'Інтерактивна таблиця'!$B$18,
тех!$D:$D,'Інтерактивна таблиця'!$C19
)</f>
        <v>19332</v>
      </c>
      <c r="K19" s="22">
        <f>SUMIFS(
тех!$J:$J,
тех!$G:$G,'Інтерактивна таблиця'!$C$2,
тех!$H:$H,'Інтерактивна таблиця'!K$7,
тех!$E:$E,'Інтерактивна таблиця'!$C$3,
тех!$B:$B,'Інтерактивна таблиця'!$B$18,
тех!$D:$D,'Інтерактивна таблиця'!$C19
)</f>
        <v>20671</v>
      </c>
      <c r="L19" s="22"/>
      <c r="M19" s="22">
        <f t="shared" si="3"/>
        <v>58633</v>
      </c>
      <c r="N19" s="22">
        <f>SUMIFS(
тех!$J:$J,
тех!$G:$G,'Інтерактивна таблиця'!$C$2,
тех!$H:$H,'Інтерактивна таблиця'!N$7,
тех!$E:$E,'Інтерактивна таблиця'!$C$3,
тех!$B:$B,'Інтерактивна таблиця'!$B$18,
тех!$D:$D,'Інтерактивна таблиця'!$C19
)</f>
        <v>21741</v>
      </c>
      <c r="O19" s="22">
        <f>SUMIFS(
тех!$J:$J,
тех!$G:$G,'Інтерактивна таблиця'!$C$2,
тех!$H:$H,'Інтерактивна таблиця'!O$7,
тех!$E:$E,'Інтерактивна таблиця'!$C$3,
тех!$B:$B,'Інтерактивна таблиця'!$B$18,
тех!$D:$D,'Інтерактивна таблиця'!$C19
)</f>
        <v>20874</v>
      </c>
      <c r="P19" s="22">
        <f>SUMIFS(
тех!$J:$J,
тех!$G:$G,'Інтерактивна таблиця'!$C$2,
тех!$H:$H,'Інтерактивна таблиця'!P$7,
тех!$E:$E,'Інтерактивна таблиця'!$C$3,
тех!$B:$B,'Інтерактивна таблиця'!$B$18,
тех!$D:$D,'Інтерактивна таблиця'!$C19
)</f>
        <v>18208</v>
      </c>
      <c r="Q19" s="22"/>
      <c r="R19" s="22">
        <f t="shared" si="4"/>
        <v>60823</v>
      </c>
      <c r="S19" s="22">
        <f>SUMIFS(
тех!$J:$J,
тех!$G:$G,'Інтерактивна таблиця'!$C$2,
тех!$H:$H,'Інтерактивна таблиця'!S$7,
тех!$E:$E,'Інтерактивна таблиця'!$C$3,
тех!$B:$B,'Інтерактивна таблиця'!$B$18,
тех!$D:$D,'Інтерактивна таблиця'!$C19
)</f>
        <v>22111</v>
      </c>
      <c r="T19" s="22">
        <f>SUMIFS(
тех!$J:$J,
тех!$G:$G,'Інтерактивна таблиця'!$C$2,
тех!$H:$H,'Інтерактивна таблиця'!T$7,
тех!$E:$E,'Інтерактивна таблиця'!$C$3,
тех!$B:$B,'Інтерактивна таблиця'!$B$18,
тех!$D:$D,'Інтерактивна таблиця'!$C19
)</f>
        <v>19011</v>
      </c>
      <c r="U19" s="22">
        <f>SUMIFS(
тех!$J:$J,
тех!$G:$G,'Інтерактивна таблиця'!$C$2,
тех!$H:$H,'Інтерактивна таблиця'!U$7,
тех!$E:$E,'Інтерактивна таблиця'!$C$3,
тех!$B:$B,'Інтерактивна таблиця'!$B$18,
тех!$D:$D,'Інтерактивна таблиця'!$C19
)</f>
        <v>21254</v>
      </c>
      <c r="V19" s="22"/>
      <c r="W19" s="23">
        <f t="shared" si="5"/>
        <v>62376</v>
      </c>
      <c r="Y19" s="20">
        <f t="shared" si="6"/>
        <v>242101</v>
      </c>
      <c r="Z19" s="16">
        <f t="shared" si="7"/>
        <v>8.3195162123368194E-2</v>
      </c>
    </row>
    <row r="20" spans="2:26" outlineLevel="1" x14ac:dyDescent="0.35">
      <c r="B20" s="20"/>
      <c r="C20" s="21" t="s">
        <v>10</v>
      </c>
      <c r="D20">
        <f>SUMIFS(
тех!$J:$J,
тех!$G:$G,'Інтерактивна таблиця'!$C$2,
тех!$H:$H,'Інтерактивна таблиця'!D$7,
тех!$E:$E,'Інтерактивна таблиця'!$C$3,
тех!$B:$B,'Інтерактивна таблиця'!$B$18,
тех!$D:$D,'Інтерактивна таблиця'!$C20
)</f>
        <v>19256</v>
      </c>
      <c r="E20">
        <f>SUMIFS(
тех!$J:$J,
тех!$G:$G,'Інтерактивна таблиця'!$C$2,
тех!$H:$H,'Інтерактивна таблиця'!E$7,
тех!$E:$E,'Інтерактивна таблиця'!$C$3,
тех!$B:$B,'Інтерактивна таблиця'!$B$18,
тех!$D:$D,'Інтерактивна таблиця'!$C20
)</f>
        <v>21998</v>
      </c>
      <c r="F20">
        <f>SUMIFS(
тех!$J:$J,
тех!$G:$G,'Інтерактивна таблиця'!$C$2,
тех!$H:$H,'Інтерактивна таблиця'!F$7,
тех!$E:$E,'Інтерактивна таблиця'!$C$3,
тех!$B:$B,'Інтерактивна таблиця'!$B$18,
тех!$D:$D,'Інтерактивна таблиця'!$C20
)</f>
        <v>22923</v>
      </c>
      <c r="G20" s="22"/>
      <c r="H20" s="22">
        <f t="shared" si="2"/>
        <v>64177</v>
      </c>
      <c r="I20" s="22">
        <f>SUMIFS(
тех!$J:$J,
тех!$G:$G,'Інтерактивна таблиця'!$C$2,
тех!$H:$H,'Інтерактивна таблиця'!I$7,
тех!$E:$E,'Інтерактивна таблиця'!$C$3,
тех!$B:$B,'Інтерактивна таблиця'!$B$18,
тех!$D:$D,'Інтерактивна таблиця'!$C20
)</f>
        <v>21800</v>
      </c>
      <c r="J20" s="22">
        <f>SUMIFS(
тех!$J:$J,
тех!$G:$G,'Інтерактивна таблиця'!$C$2,
тех!$H:$H,'Інтерактивна таблиця'!J$7,
тех!$E:$E,'Інтерактивна таблиця'!$C$3,
тех!$B:$B,'Інтерактивна таблиця'!$B$18,
тех!$D:$D,'Інтерактивна таблиця'!$C20
)</f>
        <v>18354</v>
      </c>
      <c r="K20" s="22">
        <f>SUMIFS(
тех!$J:$J,
тех!$G:$G,'Інтерактивна таблиця'!$C$2,
тех!$H:$H,'Інтерактивна таблиця'!K$7,
тех!$E:$E,'Інтерактивна таблиця'!$C$3,
тех!$B:$B,'Інтерактивна таблиця'!$B$18,
тех!$D:$D,'Інтерактивна таблиця'!$C20
)</f>
        <v>19345</v>
      </c>
      <c r="L20" s="22"/>
      <c r="M20" s="22">
        <f t="shared" si="3"/>
        <v>59499</v>
      </c>
      <c r="N20" s="22">
        <f>SUMIFS(
тех!$J:$J,
тех!$G:$G,'Інтерактивна таблиця'!$C$2,
тех!$H:$H,'Інтерактивна таблиця'!N$7,
тех!$E:$E,'Інтерактивна таблиця'!$C$3,
тех!$B:$B,'Інтерактивна таблиця'!$B$18,
тех!$D:$D,'Інтерактивна таблиця'!$C20
)</f>
        <v>17246</v>
      </c>
      <c r="O20" s="22">
        <f>SUMIFS(
тех!$J:$J,
тех!$G:$G,'Інтерактивна таблиця'!$C$2,
тех!$H:$H,'Інтерактивна таблиця'!O$7,
тех!$E:$E,'Інтерактивна таблиця'!$C$3,
тех!$B:$B,'Інтерактивна таблиця'!$B$18,
тех!$D:$D,'Інтерактивна таблиця'!$C20
)</f>
        <v>19504</v>
      </c>
      <c r="P20" s="22">
        <f>SUMIFS(
тех!$J:$J,
тех!$G:$G,'Інтерактивна таблиця'!$C$2,
тех!$H:$H,'Інтерактивна таблиця'!P$7,
тех!$E:$E,'Інтерактивна таблиця'!$C$3,
тех!$B:$B,'Інтерактивна таблиця'!$B$18,
тех!$D:$D,'Інтерактивна таблиця'!$C20
)</f>
        <v>19918</v>
      </c>
      <c r="Q20" s="22"/>
      <c r="R20" s="22">
        <f t="shared" si="4"/>
        <v>56668</v>
      </c>
      <c r="S20" s="22">
        <f>SUMIFS(
тех!$J:$J,
тех!$G:$G,'Інтерактивна таблиця'!$C$2,
тех!$H:$H,'Інтерактивна таблиця'!S$7,
тех!$E:$E,'Інтерактивна таблиця'!$C$3,
тех!$B:$B,'Інтерактивна таблиця'!$B$18,
тех!$D:$D,'Інтерактивна таблиця'!$C20
)</f>
        <v>18034</v>
      </c>
      <c r="T20" s="22">
        <f>SUMIFS(
тех!$J:$J,
тех!$G:$G,'Інтерактивна таблиця'!$C$2,
тех!$H:$H,'Інтерактивна таблиця'!T$7,
тех!$E:$E,'Інтерактивна таблиця'!$C$3,
тех!$B:$B,'Інтерактивна таблиця'!$B$18,
тех!$D:$D,'Інтерактивна таблиця'!$C20
)</f>
        <v>20885</v>
      </c>
      <c r="U20" s="22">
        <f>SUMIFS(
тех!$J:$J,
тех!$G:$G,'Інтерактивна таблиця'!$C$2,
тех!$H:$H,'Інтерактивна таблиця'!U$7,
тех!$E:$E,'Інтерактивна таблиця'!$C$3,
тех!$B:$B,'Інтерактивна таблиця'!$B$18,
тех!$D:$D,'Інтерактивна таблиця'!$C20
)</f>
        <v>20411</v>
      </c>
      <c r="V20" s="22"/>
      <c r="W20" s="23">
        <f t="shared" si="5"/>
        <v>59330</v>
      </c>
      <c r="Y20" s="20">
        <f t="shared" si="6"/>
        <v>239674</v>
      </c>
      <c r="Z20" s="16">
        <f t="shared" si="7"/>
        <v>8.236115210906253E-2</v>
      </c>
    </row>
    <row r="21" spans="2:26" outlineLevel="1" x14ac:dyDescent="0.35">
      <c r="B21" s="20"/>
      <c r="C21" s="21" t="s">
        <v>9</v>
      </c>
      <c r="D21">
        <f>SUMIFS(
тех!$J:$J,
тех!$G:$G,'Інтерактивна таблиця'!$C$2,
тех!$H:$H,'Інтерактивна таблиця'!D$7,
тех!$E:$E,'Інтерактивна таблиця'!$C$3,
тех!$B:$B,'Інтерактивна таблиця'!$B$18,
тех!$D:$D,'Інтерактивна таблиця'!$C21
)</f>
        <v>19800</v>
      </c>
      <c r="E21">
        <f>SUMIFS(
тех!$J:$J,
тех!$G:$G,'Інтерактивна таблиця'!$C$2,
тех!$H:$H,'Інтерактивна таблиця'!E$7,
тех!$E:$E,'Інтерактивна таблиця'!$C$3,
тех!$B:$B,'Інтерактивна таблиця'!$B$18,
тех!$D:$D,'Інтерактивна таблиця'!$C21
)</f>
        <v>18824</v>
      </c>
      <c r="F21">
        <f>SUMIFS(
тех!$J:$J,
тех!$G:$G,'Інтерактивна таблиця'!$C$2,
тех!$H:$H,'Інтерактивна таблиця'!F$7,
тех!$E:$E,'Інтерактивна таблиця'!$C$3,
тех!$B:$B,'Інтерактивна таблиця'!$B$18,
тех!$D:$D,'Інтерактивна таблиця'!$C21
)</f>
        <v>19069</v>
      </c>
      <c r="G21" s="22"/>
      <c r="H21" s="22">
        <f t="shared" si="2"/>
        <v>57693</v>
      </c>
      <c r="I21" s="22">
        <f>SUMIFS(
тех!$J:$J,
тех!$G:$G,'Інтерактивна таблиця'!$C$2,
тех!$H:$H,'Інтерактивна таблиця'!I$7,
тех!$E:$E,'Інтерактивна таблиця'!$C$3,
тех!$B:$B,'Інтерактивна таблиця'!$B$18,
тех!$D:$D,'Інтерактивна таблиця'!$C21
)</f>
        <v>18966</v>
      </c>
      <c r="J21" s="22">
        <f>SUMIFS(
тех!$J:$J,
тех!$G:$G,'Інтерактивна таблиця'!$C$2,
тех!$H:$H,'Інтерактивна таблиця'!J$7,
тех!$E:$E,'Інтерактивна таблиця'!$C$3,
тех!$B:$B,'Інтерактивна таблиця'!$B$18,
тех!$D:$D,'Інтерактивна таблиця'!$C21
)</f>
        <v>21195</v>
      </c>
      <c r="K21" s="22">
        <f>SUMIFS(
тех!$J:$J,
тех!$G:$G,'Інтерактивна таблиця'!$C$2,
тех!$H:$H,'Інтерактивна таблиця'!K$7,
тех!$E:$E,'Інтерактивна таблиця'!$C$3,
тех!$B:$B,'Інтерактивна таблиця'!$B$18,
тех!$D:$D,'Інтерактивна таблиця'!$C21
)</f>
        <v>19293</v>
      </c>
      <c r="L21" s="22"/>
      <c r="M21" s="22">
        <f t="shared" si="3"/>
        <v>59454</v>
      </c>
      <c r="N21" s="22">
        <f>SUMIFS(
тех!$J:$J,
тех!$G:$G,'Інтерактивна таблиця'!$C$2,
тех!$H:$H,'Інтерактивна таблиця'!N$7,
тех!$E:$E,'Інтерактивна таблиця'!$C$3,
тех!$B:$B,'Інтерактивна таблиця'!$B$18,
тех!$D:$D,'Інтерактивна таблиця'!$C21
)</f>
        <v>17434</v>
      </c>
      <c r="O21" s="22">
        <f>SUMIFS(
тех!$J:$J,
тех!$G:$G,'Інтерактивна таблиця'!$C$2,
тех!$H:$H,'Інтерактивна таблиця'!O$7,
тех!$E:$E,'Інтерактивна таблиця'!$C$3,
тех!$B:$B,'Інтерактивна таблиця'!$B$18,
тех!$D:$D,'Інтерактивна таблиця'!$C21
)</f>
        <v>17517</v>
      </c>
      <c r="P21" s="22">
        <f>SUMIFS(
тех!$J:$J,
тех!$G:$G,'Інтерактивна таблиця'!$C$2,
тех!$H:$H,'Інтерактивна таблиця'!P$7,
тех!$E:$E,'Інтерактивна таблиця'!$C$3,
тех!$B:$B,'Інтерактивна таблиця'!$B$18,
тех!$D:$D,'Інтерактивна таблиця'!$C21
)</f>
        <v>21282</v>
      </c>
      <c r="Q21" s="22"/>
      <c r="R21" s="22">
        <f t="shared" si="4"/>
        <v>56233</v>
      </c>
      <c r="S21" s="22">
        <f>SUMIFS(
тех!$J:$J,
тех!$G:$G,'Інтерактивна таблиця'!$C$2,
тех!$H:$H,'Інтерактивна таблиця'!S$7,
тех!$E:$E,'Інтерактивна таблиця'!$C$3,
тех!$B:$B,'Інтерактивна таблиця'!$B$18,
тех!$D:$D,'Інтерактивна таблиця'!$C21
)</f>
        <v>19767</v>
      </c>
      <c r="T21" s="22">
        <f>SUMIFS(
тех!$J:$J,
тех!$G:$G,'Інтерактивна таблиця'!$C$2,
тех!$H:$H,'Інтерактивна таблиця'!T$7,
тех!$E:$E,'Інтерактивна таблиця'!$C$3,
тех!$B:$B,'Інтерактивна таблиця'!$B$18,
тех!$D:$D,'Інтерактивна таблиця'!$C21
)</f>
        <v>21604</v>
      </c>
      <c r="U21" s="22">
        <f>SUMIFS(
тех!$J:$J,
тех!$G:$G,'Інтерактивна таблиця'!$C$2,
тех!$H:$H,'Інтерактивна таблиця'!U$7,
тех!$E:$E,'Інтерактивна таблиця'!$C$3,
тех!$B:$B,'Інтерактивна таблиця'!$B$18,
тех!$D:$D,'Інтерактивна таблиця'!$C21
)</f>
        <v>20159</v>
      </c>
      <c r="V21" s="22"/>
      <c r="W21" s="23">
        <f t="shared" si="5"/>
        <v>61530</v>
      </c>
      <c r="Y21" s="20">
        <f t="shared" si="6"/>
        <v>234910</v>
      </c>
      <c r="Z21" s="16">
        <f t="shared" si="7"/>
        <v>8.0724059522267244E-2</v>
      </c>
    </row>
    <row r="22" spans="2:26" outlineLevel="1" x14ac:dyDescent="0.35">
      <c r="B22" s="20"/>
      <c r="C22" s="21" t="s">
        <v>11</v>
      </c>
      <c r="D22">
        <f>SUMIFS(
тех!$J:$J,
тех!$G:$G,'Інтерактивна таблиця'!$C$2,
тех!$H:$H,'Інтерактивна таблиця'!D$7,
тех!$E:$E,'Інтерактивна таблиця'!$C$3,
тех!$B:$B,'Інтерактивна таблиця'!$B$18,
тех!$D:$D,'Інтерактивна таблиця'!$C22
)</f>
        <v>20047</v>
      </c>
      <c r="E22">
        <f>SUMIFS(
тех!$J:$J,
тех!$G:$G,'Інтерактивна таблиця'!$C$2,
тех!$H:$H,'Інтерактивна таблиця'!E$7,
тех!$E:$E,'Інтерактивна таблиця'!$C$3,
тех!$B:$B,'Інтерактивна таблиця'!$B$18,
тех!$D:$D,'Інтерактивна таблиця'!$C22
)</f>
        <v>20644</v>
      </c>
      <c r="F22">
        <f>SUMIFS(
тех!$J:$J,
тех!$G:$G,'Інтерактивна таблиця'!$C$2,
тех!$H:$H,'Інтерактивна таблиця'!F$7,
тех!$E:$E,'Інтерактивна таблиця'!$C$3,
тех!$B:$B,'Інтерактивна таблиця'!$B$18,
тех!$D:$D,'Інтерактивна таблиця'!$C22
)</f>
        <v>22684</v>
      </c>
      <c r="G22" s="22"/>
      <c r="H22" s="22">
        <f t="shared" si="2"/>
        <v>63375</v>
      </c>
      <c r="I22" s="22">
        <f>SUMIFS(
тех!$J:$J,
тех!$G:$G,'Інтерактивна таблиця'!$C$2,
тех!$H:$H,'Інтерактивна таблиця'!I$7,
тех!$E:$E,'Інтерактивна таблиця'!$C$3,
тех!$B:$B,'Інтерактивна таблиця'!$B$18,
тех!$D:$D,'Інтерактивна таблиця'!$C22
)</f>
        <v>20948</v>
      </c>
      <c r="J22" s="22">
        <f>SUMIFS(
тех!$J:$J,
тех!$G:$G,'Інтерактивна таблиця'!$C$2,
тех!$H:$H,'Інтерактивна таблиця'!J$7,
тех!$E:$E,'Інтерактивна таблиця'!$C$3,
тех!$B:$B,'Інтерактивна таблиця'!$B$18,
тех!$D:$D,'Інтерактивна таблиця'!$C22
)</f>
        <v>19797</v>
      </c>
      <c r="K22" s="22">
        <f>SUMIFS(
тех!$J:$J,
тех!$G:$G,'Інтерактивна таблиця'!$C$2,
тех!$H:$H,'Інтерактивна таблиця'!K$7,
тех!$E:$E,'Інтерактивна таблиця'!$C$3,
тех!$B:$B,'Інтерактивна таблиця'!$B$18,
тех!$D:$D,'Інтерактивна таблиця'!$C22
)</f>
        <v>19986</v>
      </c>
      <c r="L22" s="22"/>
      <c r="M22" s="22">
        <f t="shared" si="3"/>
        <v>60731</v>
      </c>
      <c r="N22" s="22">
        <f>SUMIFS(
тех!$J:$J,
тех!$G:$G,'Інтерактивна таблиця'!$C$2,
тех!$H:$H,'Інтерактивна таблиця'!N$7,
тех!$E:$E,'Інтерактивна таблиця'!$C$3,
тех!$B:$B,'Інтерактивна таблиця'!$B$18,
тех!$D:$D,'Інтерактивна таблиця'!$C22
)</f>
        <v>19087</v>
      </c>
      <c r="O22" s="22">
        <f>SUMIFS(
тех!$J:$J,
тех!$G:$G,'Інтерактивна таблиця'!$C$2,
тех!$H:$H,'Інтерактивна таблиця'!O$7,
тех!$E:$E,'Інтерактивна таблиця'!$C$3,
тех!$B:$B,'Інтерактивна таблиця'!$B$18,
тех!$D:$D,'Інтерактивна таблиця'!$C22
)</f>
        <v>17460</v>
      </c>
      <c r="P22" s="22">
        <f>SUMIFS(
тех!$J:$J,
тех!$G:$G,'Інтерактивна таблиця'!$C$2,
тех!$H:$H,'Інтерактивна таблиця'!P$7,
тех!$E:$E,'Інтерактивна таблиця'!$C$3,
тех!$B:$B,'Інтерактивна таблиця'!$B$18,
тех!$D:$D,'Інтерактивна таблиця'!$C22
)</f>
        <v>20807</v>
      </c>
      <c r="Q22" s="22"/>
      <c r="R22" s="22">
        <f t="shared" si="4"/>
        <v>57354</v>
      </c>
      <c r="S22" s="22">
        <f>SUMIFS(
тех!$J:$J,
тех!$G:$G,'Інтерактивна таблиця'!$C$2,
тех!$H:$H,'Інтерактивна таблиця'!S$7,
тех!$E:$E,'Інтерактивна таблиця'!$C$3,
тех!$B:$B,'Інтерактивна таблиця'!$B$18,
тех!$D:$D,'Інтерактивна таблиця'!$C22
)</f>
        <v>22521</v>
      </c>
      <c r="T22" s="22">
        <f>SUMIFS(
тех!$J:$J,
тех!$G:$G,'Інтерактивна таблиця'!$C$2,
тех!$H:$H,'Інтерактивна таблиця'!T$7,
тех!$E:$E,'Інтерактивна таблиця'!$C$3,
тех!$B:$B,'Інтерактивна таблиця'!$B$18,
тех!$D:$D,'Інтерактивна таблиця'!$C22
)</f>
        <v>21028</v>
      </c>
      <c r="U22" s="22">
        <f>SUMIFS(
тех!$J:$J,
тех!$G:$G,'Інтерактивна таблиця'!$C$2,
тех!$H:$H,'Інтерактивна таблиця'!U$7,
тех!$E:$E,'Інтерактивна таблиця'!$C$3,
тех!$B:$B,'Інтерактивна таблиця'!$B$18,
тех!$D:$D,'Інтерактивна таблиця'!$C22
)</f>
        <v>23264</v>
      </c>
      <c r="V22" s="22"/>
      <c r="W22" s="23">
        <f t="shared" si="5"/>
        <v>66813</v>
      </c>
      <c r="Y22" s="20">
        <f t="shared" si="6"/>
        <v>248273</v>
      </c>
      <c r="Z22" s="16">
        <f t="shared" si="7"/>
        <v>8.531609735546318E-2</v>
      </c>
    </row>
    <row r="23" spans="2:26" x14ac:dyDescent="0.35">
      <c r="B23" s="35" t="s">
        <v>12</v>
      </c>
      <c r="C23" s="36"/>
      <c r="D23" s="37">
        <f>SUM(D24:D25)</f>
        <v>40846</v>
      </c>
      <c r="E23" s="37">
        <f>SUM(E24:E25)</f>
        <v>41474</v>
      </c>
      <c r="F23" s="37">
        <f t="shared" ref="F23:U23" si="10">SUM(F24:F25)</f>
        <v>38392</v>
      </c>
      <c r="G23" s="37"/>
      <c r="H23" s="37">
        <f t="shared" si="2"/>
        <v>120712</v>
      </c>
      <c r="I23" s="37">
        <f t="shared" si="10"/>
        <v>42445</v>
      </c>
      <c r="J23" s="37">
        <f t="shared" si="10"/>
        <v>43317</v>
      </c>
      <c r="K23" s="37">
        <f t="shared" si="10"/>
        <v>40210</v>
      </c>
      <c r="L23" s="37"/>
      <c r="M23" s="37">
        <f t="shared" si="3"/>
        <v>125972</v>
      </c>
      <c r="N23" s="37">
        <f t="shared" si="10"/>
        <v>39434</v>
      </c>
      <c r="O23" s="37">
        <f t="shared" si="10"/>
        <v>44247</v>
      </c>
      <c r="P23" s="37">
        <f t="shared" si="10"/>
        <v>41464</v>
      </c>
      <c r="Q23" s="37"/>
      <c r="R23" s="37">
        <f t="shared" si="4"/>
        <v>125145</v>
      </c>
      <c r="S23" s="37">
        <f t="shared" si="10"/>
        <v>36645</v>
      </c>
      <c r="T23" s="37">
        <f t="shared" si="10"/>
        <v>38030</v>
      </c>
      <c r="U23" s="37">
        <f t="shared" si="10"/>
        <v>39856</v>
      </c>
      <c r="V23" s="37"/>
      <c r="W23" s="38">
        <f t="shared" si="5"/>
        <v>114531</v>
      </c>
      <c r="Y23" s="39">
        <f t="shared" si="6"/>
        <v>486360</v>
      </c>
      <c r="Z23" s="40"/>
    </row>
    <row r="24" spans="2:26" outlineLevel="1" x14ac:dyDescent="0.35">
      <c r="B24" s="20"/>
      <c r="C24" s="21" t="s">
        <v>35</v>
      </c>
      <c r="D24" s="22">
        <f>SUMIFS(
тех!$J:$J,
тех!$G:$G,'Інтерактивна таблиця'!$C$2,
тех!$H:$H,'Інтерактивна таблиця'!D$7,
тех!$E:$E,'Інтерактивна таблиця'!$C$3,
тех!$B:$B,'Інтерактивна таблиця'!$B$23,
тех!$D:$D,'Інтерактивна таблиця'!$C24
)</f>
        <v>21304</v>
      </c>
      <c r="E24" s="22">
        <f>SUMIFS(
тех!$J:$J,
тех!$G:$G,'Інтерактивна таблиця'!$C$2,
тех!$H:$H,'Інтерактивна таблиця'!E$7,
тех!$E:$E,'Інтерактивна таблиця'!$C$3,
тех!$B:$B,'Інтерактивна таблиця'!$B$23,
тех!$D:$D,'Інтерактивна таблиця'!$C24
)</f>
        <v>22062</v>
      </c>
      <c r="F24" s="22">
        <f>SUMIFS(
тех!$J:$J,
тех!$G:$G,'Інтерактивна таблиця'!$C$2,
тех!$H:$H,'Інтерактивна таблиця'!F$7,
тех!$E:$E,'Інтерактивна таблиця'!$C$3,
тех!$B:$B,'Інтерактивна таблиця'!$B$23,
тех!$D:$D,'Інтерактивна таблиця'!$C24
)</f>
        <v>19342</v>
      </c>
      <c r="G24" s="22"/>
      <c r="H24" s="22">
        <f t="shared" si="2"/>
        <v>62708</v>
      </c>
      <c r="I24" s="22">
        <f>SUMIFS(
тех!$J:$J,
тех!$G:$G,'Інтерактивна таблиця'!$C$2,
тех!$H:$H,'Інтерактивна таблиця'!I$7,
тех!$E:$E,'Інтерактивна таблиця'!$C$3,
тех!$B:$B,'Інтерактивна таблиця'!$B$23,
тех!$D:$D,'Інтерактивна таблиця'!$C24
)</f>
        <v>20326</v>
      </c>
      <c r="J24" s="22">
        <f>SUMIFS(
тех!$J:$J,
тех!$G:$G,'Інтерактивна таблиця'!$C$2,
тех!$H:$H,'Інтерактивна таблиця'!J$7,
тех!$E:$E,'Інтерактивна таблиця'!$C$3,
тех!$B:$B,'Інтерактивна таблиця'!$B$23,
тех!$D:$D,'Інтерактивна таблиця'!$C24
)</f>
        <v>21482</v>
      </c>
      <c r="K24" s="22">
        <f>SUMIFS(
тех!$J:$J,
тех!$G:$G,'Інтерактивна таблиця'!$C$2,
тех!$H:$H,'Інтерактивна таблиця'!K$7,
тех!$E:$E,'Інтерактивна таблиця'!$C$3,
тех!$B:$B,'Інтерактивна таблиця'!$B$23,
тех!$D:$D,'Інтерактивна таблиця'!$C24
)</f>
        <v>18595</v>
      </c>
      <c r="L24" s="22"/>
      <c r="M24" s="22">
        <f t="shared" si="3"/>
        <v>60403</v>
      </c>
      <c r="N24" s="22">
        <f>SUMIFS(
тех!$J:$J,
тех!$G:$G,'Інтерактивна таблиця'!$C$2,
тех!$H:$H,'Інтерактивна таблиця'!N$7,
тех!$E:$E,'Інтерактивна таблиця'!$C$3,
тех!$B:$B,'Інтерактивна таблиця'!$B$23,
тех!$D:$D,'Інтерактивна таблиця'!$C24
)</f>
        <v>18103</v>
      </c>
      <c r="O24" s="22">
        <f>SUMIFS(
тех!$J:$J,
тех!$G:$G,'Інтерактивна таблиця'!$C$2,
тех!$H:$H,'Інтерактивна таблиця'!O$7,
тех!$E:$E,'Інтерактивна таблиця'!$C$3,
тех!$B:$B,'Інтерактивна таблиця'!$B$23,
тех!$D:$D,'Інтерактивна таблиця'!$C24
)</f>
        <v>23019</v>
      </c>
      <c r="P24" s="22">
        <f>SUMIFS(
тех!$J:$J,
тех!$G:$G,'Інтерактивна таблиця'!$C$2,
тех!$H:$H,'Інтерактивна таблиця'!P$7,
тех!$E:$E,'Інтерактивна таблиця'!$C$3,
тех!$B:$B,'Інтерактивна таблиця'!$B$23,
тех!$D:$D,'Інтерактивна таблиця'!$C24
)</f>
        <v>19801</v>
      </c>
      <c r="Q24" s="22"/>
      <c r="R24" s="22">
        <f t="shared" si="4"/>
        <v>60923</v>
      </c>
      <c r="S24" s="22">
        <f>SUMIFS(
тех!$J:$J,
тех!$G:$G,'Інтерактивна таблиця'!$C$2,
тех!$H:$H,'Інтерактивна таблиця'!S$7,
тех!$E:$E,'Інтерактивна таблиця'!$C$3,
тех!$B:$B,'Інтерактивна таблиця'!$B$23,
тех!$D:$D,'Інтерактивна таблиця'!$C24
)</f>
        <v>18132</v>
      </c>
      <c r="T24" s="22">
        <f>SUMIFS(
тех!$J:$J,
тех!$G:$G,'Інтерактивна таблиця'!$C$2,
тех!$H:$H,'Інтерактивна таблиця'!T$7,
тех!$E:$E,'Інтерактивна таблиця'!$C$3,
тех!$B:$B,'Інтерактивна таблиця'!$B$23,
тех!$D:$D,'Інтерактивна таблиця'!$C24
)</f>
        <v>18796</v>
      </c>
      <c r="U24" s="22">
        <f>SUMIFS(
тех!$J:$J,
тех!$G:$G,'Інтерактивна таблиця'!$C$2,
тех!$H:$H,'Інтерактивна таблиця'!U$7,
тех!$E:$E,'Інтерактивна таблиця'!$C$3,
тех!$B:$B,'Інтерактивна таблиця'!$B$23,
тех!$D:$D,'Інтерактивна таблиця'!$C24
)</f>
        <v>20963</v>
      </c>
      <c r="V24" s="22"/>
      <c r="W24" s="23">
        <f t="shared" si="5"/>
        <v>57891</v>
      </c>
      <c r="Y24" s="20">
        <f t="shared" si="6"/>
        <v>241925</v>
      </c>
      <c r="Z24" s="16">
        <f t="shared" si="7"/>
        <v>8.3134681792705722E-2</v>
      </c>
    </row>
    <row r="25" spans="2:26" outlineLevel="1" x14ac:dyDescent="0.35">
      <c r="B25" s="20"/>
      <c r="C25" s="21" t="s">
        <v>13</v>
      </c>
      <c r="D25" s="22">
        <f>SUMIFS(
тех!$J:$J,
тех!$G:$G,'Інтерактивна таблиця'!$C$2,
тех!$H:$H,'Інтерактивна таблиця'!D$7,
тех!$E:$E,'Інтерактивна таблиця'!$C$3,
тех!$B:$B,'Інтерактивна таблиця'!$B$23,
тех!$D:$D,'Інтерактивна таблиця'!$C25
)</f>
        <v>19542</v>
      </c>
      <c r="E25" s="22">
        <f>SUMIFS(
тех!$J:$J,
тех!$G:$G,'Інтерактивна таблиця'!$C$2,
тех!$H:$H,'Інтерактивна таблиця'!E$7,
тех!$E:$E,'Інтерактивна таблиця'!$C$3,
тех!$B:$B,'Інтерактивна таблиця'!$B$23,
тех!$D:$D,'Інтерактивна таблиця'!$C25
)</f>
        <v>19412</v>
      </c>
      <c r="F25" s="22">
        <f>SUMIFS(
тех!$J:$J,
тех!$G:$G,'Інтерактивна таблиця'!$C$2,
тех!$H:$H,'Інтерактивна таблиця'!F$7,
тех!$E:$E,'Інтерактивна таблиця'!$C$3,
тех!$B:$B,'Інтерактивна таблиця'!$B$23,
тех!$D:$D,'Інтерактивна таблиця'!$C25
)</f>
        <v>19050</v>
      </c>
      <c r="G25" s="22"/>
      <c r="H25" s="22">
        <f t="shared" si="2"/>
        <v>58004</v>
      </c>
      <c r="I25" s="22">
        <f>SUMIFS(
тех!$J:$J,
тех!$G:$G,'Інтерактивна таблиця'!$C$2,
тех!$H:$H,'Інтерактивна таблиця'!I$7,
тех!$E:$E,'Інтерактивна таблиця'!$C$3,
тех!$B:$B,'Інтерактивна таблиця'!$B$23,
тех!$D:$D,'Інтерактивна таблиця'!$C25
)</f>
        <v>22119</v>
      </c>
      <c r="J25" s="22">
        <f>SUMIFS(
тех!$J:$J,
тех!$G:$G,'Інтерактивна таблиця'!$C$2,
тех!$H:$H,'Інтерактивна таблиця'!J$7,
тех!$E:$E,'Інтерактивна таблиця'!$C$3,
тех!$B:$B,'Інтерактивна таблиця'!$B$23,
тех!$D:$D,'Інтерактивна таблиця'!$C25
)</f>
        <v>21835</v>
      </c>
      <c r="K25" s="22">
        <f>SUMIFS(
тех!$J:$J,
тех!$G:$G,'Інтерактивна таблиця'!$C$2,
тех!$H:$H,'Інтерактивна таблиця'!K$7,
тех!$E:$E,'Інтерактивна таблиця'!$C$3,
тех!$B:$B,'Інтерактивна таблиця'!$B$23,
тех!$D:$D,'Інтерактивна таблиця'!$C25
)</f>
        <v>21615</v>
      </c>
      <c r="L25" s="22"/>
      <c r="M25" s="22">
        <f t="shared" si="3"/>
        <v>65569</v>
      </c>
      <c r="N25" s="22">
        <f>SUMIFS(
тех!$J:$J,
тех!$G:$G,'Інтерактивна таблиця'!$C$2,
тех!$H:$H,'Інтерактивна таблиця'!N$7,
тех!$E:$E,'Інтерактивна таблиця'!$C$3,
тех!$B:$B,'Інтерактивна таблиця'!$B$23,
тех!$D:$D,'Інтерактивна таблиця'!$C25
)</f>
        <v>21331</v>
      </c>
      <c r="O25" s="22">
        <f>SUMIFS(
тех!$J:$J,
тех!$G:$G,'Інтерактивна таблиця'!$C$2,
тех!$H:$H,'Інтерактивна таблиця'!O$7,
тех!$E:$E,'Інтерактивна таблиця'!$C$3,
тех!$B:$B,'Інтерактивна таблиця'!$B$23,
тех!$D:$D,'Інтерактивна таблиця'!$C25
)</f>
        <v>21228</v>
      </c>
      <c r="P25" s="22">
        <f>SUMIFS(
тех!$J:$J,
тех!$G:$G,'Інтерактивна таблиця'!$C$2,
тех!$H:$H,'Інтерактивна таблиця'!P$7,
тех!$E:$E,'Інтерактивна таблиця'!$C$3,
тех!$B:$B,'Інтерактивна таблиця'!$B$23,
тех!$D:$D,'Інтерактивна таблиця'!$C25
)</f>
        <v>21663</v>
      </c>
      <c r="Q25" s="22"/>
      <c r="R25" s="22">
        <f t="shared" si="4"/>
        <v>64222</v>
      </c>
      <c r="S25" s="22">
        <f>SUMIFS(
тех!$J:$J,
тех!$G:$G,'Інтерактивна таблиця'!$C$2,
тех!$H:$H,'Інтерактивна таблиця'!S$7,
тех!$E:$E,'Інтерактивна таблиця'!$C$3,
тех!$B:$B,'Інтерактивна таблиця'!$B$23,
тех!$D:$D,'Інтерактивна таблиця'!$C25
)</f>
        <v>18513</v>
      </c>
      <c r="T25" s="22">
        <f>SUMIFS(
тех!$J:$J,
тех!$G:$G,'Інтерактивна таблиця'!$C$2,
тех!$H:$H,'Інтерактивна таблиця'!T$7,
тех!$E:$E,'Інтерактивна таблиця'!$C$3,
тех!$B:$B,'Інтерактивна таблиця'!$B$23,
тех!$D:$D,'Інтерактивна таблиця'!$C25
)</f>
        <v>19234</v>
      </c>
      <c r="U25" s="22">
        <f>SUMIFS(
тех!$J:$J,
тех!$G:$G,'Інтерактивна таблиця'!$C$2,
тех!$H:$H,'Інтерактивна таблиця'!U$7,
тех!$E:$E,'Інтерактивна таблиця'!$C$3,
тех!$B:$B,'Інтерактивна таблиця'!$B$23,
тех!$D:$D,'Інтерактивна таблиця'!$C25
)</f>
        <v>18893</v>
      </c>
      <c r="V25" s="22"/>
      <c r="W25" s="23">
        <f t="shared" si="5"/>
        <v>56640</v>
      </c>
      <c r="Y25" s="20">
        <f t="shared" si="6"/>
        <v>244435</v>
      </c>
      <c r="Z25" s="16">
        <f t="shared" si="7"/>
        <v>8.399721378113062E-2</v>
      </c>
    </row>
    <row r="26" spans="2:26" x14ac:dyDescent="0.35">
      <c r="B26" s="35" t="s">
        <v>14</v>
      </c>
      <c r="C26" s="36"/>
      <c r="D26" s="37">
        <f>SUM(D27:D28)</f>
        <v>44877</v>
      </c>
      <c r="E26" s="37">
        <f>SUM(E27:E28)</f>
        <v>38746</v>
      </c>
      <c r="F26" s="37">
        <f t="shared" ref="F26:U26" si="11">SUM(F27:F28)</f>
        <v>41069</v>
      </c>
      <c r="G26" s="37"/>
      <c r="H26" s="37">
        <f t="shared" si="2"/>
        <v>124692</v>
      </c>
      <c r="I26" s="37">
        <f t="shared" si="11"/>
        <v>42116</v>
      </c>
      <c r="J26" s="37">
        <f t="shared" si="11"/>
        <v>46112</v>
      </c>
      <c r="K26" s="37">
        <f t="shared" si="11"/>
        <v>40180</v>
      </c>
      <c r="L26" s="37"/>
      <c r="M26" s="37">
        <f t="shared" si="3"/>
        <v>128408</v>
      </c>
      <c r="N26" s="37">
        <f t="shared" si="11"/>
        <v>41619</v>
      </c>
      <c r="O26" s="37">
        <f t="shared" si="11"/>
        <v>40538</v>
      </c>
      <c r="P26" s="37">
        <f t="shared" si="11"/>
        <v>40330</v>
      </c>
      <c r="Q26" s="37"/>
      <c r="R26" s="37">
        <f t="shared" si="4"/>
        <v>122487</v>
      </c>
      <c r="S26" s="37">
        <f t="shared" si="11"/>
        <v>38042</v>
      </c>
      <c r="T26" s="37">
        <f t="shared" si="11"/>
        <v>40570</v>
      </c>
      <c r="U26" s="37">
        <f t="shared" si="11"/>
        <v>41836</v>
      </c>
      <c r="V26" s="37"/>
      <c r="W26" s="38">
        <f t="shared" si="5"/>
        <v>120448</v>
      </c>
      <c r="Y26" s="39">
        <f t="shared" si="6"/>
        <v>496035</v>
      </c>
      <c r="Z26" s="40"/>
    </row>
    <row r="27" spans="2:26" outlineLevel="1" x14ac:dyDescent="0.35">
      <c r="B27" s="20"/>
      <c r="C27" s="21" t="s">
        <v>38</v>
      </c>
      <c r="D27" s="22">
        <f>SUMIFS(
тех!$J:$J,
тех!$G:$G,'Інтерактивна таблиця'!$C$2,
тех!$H:$H,'Інтерактивна таблиця'!D$7,
тех!$E:$E,'Інтерактивна таблиця'!$C$3,
тех!$B:$B,'Інтерактивна таблиця'!$B$26,
тех!$D:$D,'Інтерактивна таблиця'!$C27
)</f>
        <v>24424</v>
      </c>
      <c r="E27" s="22">
        <f>SUMIFS(
тех!$J:$J,
тех!$G:$G,'Інтерактивна таблиця'!$C$2,
тех!$H:$H,'Інтерактивна таблиця'!E$7,
тех!$E:$E,'Інтерактивна таблиця'!$C$3,
тех!$B:$B,'Інтерактивна таблиця'!$B$26,
тех!$D:$D,'Інтерактивна таблиця'!$C27
)</f>
        <v>21054</v>
      </c>
      <c r="F27" s="22">
        <f>SUMIFS(
тех!$J:$J,
тех!$G:$G,'Інтерактивна таблиця'!$C$2,
тех!$H:$H,'Інтерактивна таблиця'!F$7,
тех!$E:$E,'Інтерактивна таблиця'!$C$3,
тех!$B:$B,'Інтерактивна таблиця'!$B$26,
тех!$D:$D,'Інтерактивна таблиця'!$C27
)</f>
        <v>18987</v>
      </c>
      <c r="G27" s="22"/>
      <c r="H27" s="22">
        <f t="shared" si="2"/>
        <v>64465</v>
      </c>
      <c r="I27" s="22">
        <f>SUMIFS(
тех!$J:$J,
тех!$G:$G,'Інтерактивна таблиця'!$C$2,
тех!$H:$H,'Інтерактивна таблиця'!I$7,
тех!$E:$E,'Інтерактивна таблиця'!$C$3,
тех!$B:$B,'Інтерактивна таблиця'!$B$26,
тех!$D:$D,'Інтерактивна таблиця'!$C27
)</f>
        <v>20413</v>
      </c>
      <c r="J27" s="22">
        <f>SUMIFS(
тех!$J:$J,
тех!$G:$G,'Інтерактивна таблиця'!$C$2,
тех!$H:$H,'Інтерактивна таблиця'!J$7,
тех!$E:$E,'Інтерактивна таблиця'!$C$3,
тех!$B:$B,'Інтерактивна таблиця'!$B$26,
тех!$D:$D,'Інтерактивна таблиця'!$C27
)</f>
        <v>22698</v>
      </c>
      <c r="K27" s="22">
        <f>SUMIFS(
тех!$J:$J,
тех!$G:$G,'Інтерактивна таблиця'!$C$2,
тех!$H:$H,'Інтерактивна таблиця'!K$7,
тех!$E:$E,'Інтерактивна таблиця'!$C$3,
тех!$B:$B,'Інтерактивна таблиця'!$B$26,
тех!$D:$D,'Інтерактивна таблиця'!$C27
)</f>
        <v>19992</v>
      </c>
      <c r="L27" s="22"/>
      <c r="M27" s="22">
        <f t="shared" si="3"/>
        <v>63103</v>
      </c>
      <c r="N27" s="22">
        <f>SUMIFS(
тех!$J:$J,
тех!$G:$G,'Інтерактивна таблиця'!$C$2,
тех!$H:$H,'Інтерактивна таблиця'!N$7,
тех!$E:$E,'Інтерактивна таблиця'!$C$3,
тех!$B:$B,'Інтерактивна таблиця'!$B$26,
тех!$D:$D,'Інтерактивна таблиця'!$C27
)</f>
        <v>19823</v>
      </c>
      <c r="O27" s="22">
        <f>SUMIFS(
тех!$J:$J,
тех!$G:$G,'Інтерактивна таблиця'!$C$2,
тех!$H:$H,'Інтерактивна таблиця'!O$7,
тех!$E:$E,'Інтерактивна таблиця'!$C$3,
тех!$B:$B,'Інтерактивна таблиця'!$B$26,
тех!$D:$D,'Інтерактивна таблиця'!$C27
)</f>
        <v>19800</v>
      </c>
      <c r="P27" s="22">
        <f>SUMIFS(
тех!$J:$J,
тех!$G:$G,'Інтерактивна таблиця'!$C$2,
тех!$H:$H,'Інтерактивна таблиця'!P$7,
тех!$E:$E,'Інтерактивна таблиця'!$C$3,
тех!$B:$B,'Інтерактивна таблиця'!$B$26,
тех!$D:$D,'Інтерактивна таблиця'!$C27
)</f>
        <v>20201</v>
      </c>
      <c r="Q27" s="22"/>
      <c r="R27" s="22">
        <f t="shared" si="4"/>
        <v>59824</v>
      </c>
      <c r="S27" s="22">
        <f>SUMIFS(
тех!$J:$J,
тех!$G:$G,'Інтерактивна таблиця'!$C$2,
тех!$H:$H,'Інтерактивна таблиця'!S$7,
тех!$E:$E,'Інтерактивна таблиця'!$C$3,
тех!$B:$B,'Інтерактивна таблиця'!$B$26,
тех!$D:$D,'Інтерактивна таблиця'!$C27
)</f>
        <v>19233</v>
      </c>
      <c r="T27" s="22">
        <f>SUMIFS(
тех!$J:$J,
тех!$G:$G,'Інтерактивна таблиця'!$C$2,
тех!$H:$H,'Інтерактивна таблиця'!T$7,
тех!$E:$E,'Інтерактивна таблиця'!$C$3,
тех!$B:$B,'Інтерактивна таблиця'!$B$26,
тех!$D:$D,'Інтерактивна таблиця'!$C27
)</f>
        <v>19806</v>
      </c>
      <c r="U27" s="22">
        <f>SUMIFS(
тех!$J:$J,
тех!$G:$G,'Інтерактивна таблиця'!$C$2,
тех!$H:$H,'Інтерактивна таблиця'!U$7,
тех!$E:$E,'Інтерактивна таблиця'!$C$3,
тех!$B:$B,'Інтерактивна таблиця'!$B$26,
тех!$D:$D,'Інтерактивна таблиця'!$C27
)</f>
        <v>21903</v>
      </c>
      <c r="V27" s="22"/>
      <c r="W27" s="23">
        <f t="shared" si="5"/>
        <v>60942</v>
      </c>
      <c r="Y27" s="20">
        <f t="shared" si="6"/>
        <v>248334</v>
      </c>
      <c r="Z27" s="16">
        <f t="shared" si="7"/>
        <v>8.5337059288249598E-2</v>
      </c>
    </row>
    <row r="28" spans="2:26" outlineLevel="1" x14ac:dyDescent="0.35">
      <c r="B28" s="24"/>
      <c r="C28" s="25" t="s">
        <v>47</v>
      </c>
      <c r="D28" s="26">
        <f>SUMIFS(
тех!$J:$J,
тех!$G:$G,'Інтерактивна таблиця'!$C$2,
тех!$H:$H,'Інтерактивна таблиця'!D$7,
тех!$E:$E,'Інтерактивна таблиця'!$C$3,
тех!$B:$B,'Інтерактивна таблиця'!$B$26,
тех!$D:$D,'Інтерактивна таблиця'!$C28
)</f>
        <v>20453</v>
      </c>
      <c r="E28" s="26">
        <f>SUMIFS(
тех!$J:$J,
тех!$G:$G,'Інтерактивна таблиця'!$C$2,
тех!$H:$H,'Інтерактивна таблиця'!E$7,
тех!$E:$E,'Інтерактивна таблиця'!$C$3,
тех!$B:$B,'Інтерактивна таблиця'!$B$26,
тех!$D:$D,'Інтерактивна таблиця'!$C28
)</f>
        <v>17692</v>
      </c>
      <c r="F28" s="26">
        <f>SUMIFS(
тех!$J:$J,
тех!$G:$G,'Інтерактивна таблиця'!$C$2,
тех!$H:$H,'Інтерактивна таблиця'!F$7,
тех!$E:$E,'Інтерактивна таблиця'!$C$3,
тех!$B:$B,'Інтерактивна таблиця'!$B$26,
тех!$D:$D,'Інтерактивна таблиця'!$C28
)</f>
        <v>22082</v>
      </c>
      <c r="G28" s="26"/>
      <c r="H28" s="26">
        <f t="shared" si="2"/>
        <v>60227</v>
      </c>
      <c r="I28" s="26">
        <f>SUMIFS(
тех!$J:$J,
тех!$G:$G,'Інтерактивна таблиця'!$C$2,
тех!$H:$H,'Інтерактивна таблиця'!I$7,
тех!$E:$E,'Інтерактивна таблиця'!$C$3,
тех!$B:$B,'Інтерактивна таблиця'!$B$26,
тех!$D:$D,'Інтерактивна таблиця'!$C28
)</f>
        <v>21703</v>
      </c>
      <c r="J28" s="26">
        <f>SUMIFS(
тех!$J:$J,
тех!$G:$G,'Інтерактивна таблиця'!$C$2,
тех!$H:$H,'Інтерактивна таблиця'!J$7,
тех!$E:$E,'Інтерактивна таблиця'!$C$3,
тех!$B:$B,'Інтерактивна таблиця'!$B$26,
тех!$D:$D,'Інтерактивна таблиця'!$C28
)</f>
        <v>23414</v>
      </c>
      <c r="K28" s="26">
        <f>SUMIFS(
тех!$J:$J,
тех!$G:$G,'Інтерактивна таблиця'!$C$2,
тех!$H:$H,'Інтерактивна таблиця'!K$7,
тех!$E:$E,'Інтерактивна таблиця'!$C$3,
тех!$B:$B,'Інтерактивна таблиця'!$B$26,
тех!$D:$D,'Інтерактивна таблиця'!$C28
)</f>
        <v>20188</v>
      </c>
      <c r="L28" s="26"/>
      <c r="M28" s="26">
        <f t="shared" si="3"/>
        <v>65305</v>
      </c>
      <c r="N28" s="26">
        <f>SUMIFS(
тех!$J:$J,
тех!$G:$G,'Інтерактивна таблиця'!$C$2,
тех!$H:$H,'Інтерактивна таблиця'!N$7,
тех!$E:$E,'Інтерактивна таблиця'!$C$3,
тех!$B:$B,'Інтерактивна таблиця'!$B$26,
тех!$D:$D,'Інтерактивна таблиця'!$C28
)</f>
        <v>21796</v>
      </c>
      <c r="O28" s="26">
        <f>SUMIFS(
тех!$J:$J,
тех!$G:$G,'Інтерактивна таблиця'!$C$2,
тех!$H:$H,'Інтерактивна таблиця'!O$7,
тех!$E:$E,'Інтерактивна таблиця'!$C$3,
тех!$B:$B,'Інтерактивна таблиця'!$B$26,
тех!$D:$D,'Інтерактивна таблиця'!$C28
)</f>
        <v>20738</v>
      </c>
      <c r="P28" s="26">
        <f>SUMIFS(
тех!$J:$J,
тех!$G:$G,'Інтерактивна таблиця'!$C$2,
тех!$H:$H,'Інтерактивна таблиця'!P$7,
тех!$E:$E,'Інтерактивна таблиця'!$C$3,
тех!$B:$B,'Інтерактивна таблиця'!$B$26,
тех!$D:$D,'Інтерактивна таблиця'!$C28
)</f>
        <v>20129</v>
      </c>
      <c r="Q28" s="26"/>
      <c r="R28" s="26">
        <f t="shared" si="4"/>
        <v>62663</v>
      </c>
      <c r="S28" s="26">
        <f>SUMIFS(
тех!$J:$J,
тех!$G:$G,'Інтерактивна таблиця'!$C$2,
тех!$H:$H,'Інтерактивна таблиця'!S$7,
тех!$E:$E,'Інтерактивна таблиця'!$C$3,
тех!$B:$B,'Інтерактивна таблиця'!$B$26,
тех!$D:$D,'Інтерактивна таблиця'!$C28
)</f>
        <v>18809</v>
      </c>
      <c r="T28" s="26">
        <f>SUMIFS(
тех!$J:$J,
тех!$G:$G,'Інтерактивна таблиця'!$C$2,
тех!$H:$H,'Інтерактивна таблиця'!T$7,
тех!$E:$E,'Інтерактивна таблиця'!$C$3,
тех!$B:$B,'Інтерактивна таблиця'!$B$26,
тех!$D:$D,'Інтерактивна таблиця'!$C28
)</f>
        <v>20764</v>
      </c>
      <c r="U28" s="26">
        <f>SUMIFS(
тех!$J:$J,
тех!$G:$G,'Інтерактивна таблиця'!$C$2,
тех!$H:$H,'Інтерактивна таблиця'!U$7,
тех!$E:$E,'Інтерактивна таблиця'!$C$3,
тех!$B:$B,'Інтерактивна таблиця'!$B$26,
тех!$D:$D,'Інтерактивна таблиця'!$C28
)</f>
        <v>19933</v>
      </c>
      <c r="V28" s="26"/>
      <c r="W28" s="27">
        <f t="shared" si="5"/>
        <v>59506</v>
      </c>
      <c r="Y28" s="24">
        <f t="shared" si="6"/>
        <v>247701</v>
      </c>
      <c r="Z28" s="17">
        <f t="shared" si="7"/>
        <v>8.5119536280810176E-2</v>
      </c>
    </row>
    <row r="29" spans="2:26" x14ac:dyDescent="0.35">
      <c r="C29" s="1"/>
    </row>
    <row r="30" spans="2:26" x14ac:dyDescent="0.35">
      <c r="C30" s="1"/>
    </row>
    <row r="31" spans="2:26" x14ac:dyDescent="0.35">
      <c r="C31" s="1"/>
    </row>
    <row r="32" spans="2:26" x14ac:dyDescent="0.35">
      <c r="B32" s="15"/>
    </row>
    <row r="33" spans="2:3" x14ac:dyDescent="0.35">
      <c r="B33" s="15"/>
    </row>
    <row r="34" spans="2:3" x14ac:dyDescent="0.35">
      <c r="B34" s="15"/>
    </row>
    <row r="35" spans="2:3" x14ac:dyDescent="0.35">
      <c r="B35" s="15"/>
    </row>
    <row r="36" spans="2:3" x14ac:dyDescent="0.35">
      <c r="B36" s="15"/>
    </row>
    <row r="38" spans="2:3" x14ac:dyDescent="0.35">
      <c r="C38" s="1"/>
    </row>
    <row r="39" spans="2:3" x14ac:dyDescent="0.35">
      <c r="C39" s="1"/>
    </row>
    <row r="40" spans="2:3" x14ac:dyDescent="0.35">
      <c r="C40" s="1"/>
    </row>
    <row r="41" spans="2:3" x14ac:dyDescent="0.35">
      <c r="C41" s="1"/>
    </row>
    <row r="42" spans="2:3" x14ac:dyDescent="0.35">
      <c r="C42" s="1"/>
    </row>
    <row r="43" spans="2:3" x14ac:dyDescent="0.35">
      <c r="C43" s="1"/>
    </row>
    <row r="44" spans="2:3" x14ac:dyDescent="0.35">
      <c r="C44" s="1"/>
    </row>
    <row r="45" spans="2:3" x14ac:dyDescent="0.35">
      <c r="C45" s="1"/>
    </row>
    <row r="46" spans="2:3" x14ac:dyDescent="0.35">
      <c r="C46" s="1"/>
    </row>
  </sheetData>
  <phoneticPr fontId="6" type="noConversion"/>
  <conditionalFormatting sqref="Z13:Z2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{42522067-F627-4609-9F5A-10494E1F00FB}</x14:id>
        </ext>
      </extLst>
    </cfRule>
  </conditionalFormatting>
  <conditionalFormatting sqref="Z27:Z28 Z24:Z25 Z19:Z22 Z13:Z14 Z16:Z17">
    <cfRule type="dataBar" priority="2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{42231143-1698-4754-A2D1-C5477CE9D153}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522067-F627-4609-9F5A-10494E1F00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Z13:Z28</xm:sqref>
        </x14:conditionalFormatting>
        <x14:conditionalFormatting xmlns:xm="http://schemas.microsoft.com/office/excel/2006/main">
          <x14:cfRule type="dataBar" id="{42231143-1698-4754-A2D1-C5477CE9D153}">
            <x14:dataBar minLength="0" maxLength="100" border="1" negativeBarBorderColorSameAsPositive="0">
              <x14:cfvo type="autoMin"/>
              <x14:cfvo type="autoMax"/>
              <x14:borderColor theme="9" tint="-0.499984740745262"/>
              <x14:negativeFillColor rgb="FFFF0000"/>
              <x14:negativeBorderColor rgb="FFFF0000"/>
              <x14:axisColor rgb="FF000000"/>
            </x14:dataBar>
          </x14:cfRule>
          <xm:sqref>Z27:Z28 Z24:Z25 Z19:Z22 Z13:Z14 Z16:Z17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31F59D-9122-4BF0-8CAA-CAF75458B015}">
          <x14:formula1>
            <xm:f>тех!$M$3:$M$6</xm:f>
          </x14:formula1>
          <xm:sqref>C2</xm:sqref>
        </x14:dataValidation>
        <x14:dataValidation type="list" allowBlank="1" showInputMessage="1" showErrorMessage="1" xr:uid="{F08A2CE4-D7F3-4A39-9F60-8EE8F24D2EF7}">
          <x14:formula1>
            <xm:f>тех!$L$3:$L$6</xm:f>
          </x14:formula1>
          <xm:sqref>C3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displayHidden="1" xr2:uid="{8F34820D-8522-4CAF-B562-ECE9D2382CE3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'Інтерактивна таблиця'!D10:F10</xm:f>
              <xm:sqref>G10</xm:sqref>
            </x14:sparkline>
            <x14:sparkline>
              <xm:f>'Інтерактивна таблиця'!D11:F11</xm:f>
              <xm:sqref>G11</xm:sqref>
            </x14:sparkline>
            <x14:sparkline>
              <xm:f>'Інтерактивна таблиця'!D12:F12</xm:f>
              <xm:sqref>G12</xm:sqref>
            </x14:sparkline>
            <x14:sparkline>
              <xm:f>'Інтерактивна таблиця'!D13:F13</xm:f>
              <xm:sqref>G13</xm:sqref>
            </x14:sparkline>
            <x14:sparkline>
              <xm:f>'Інтерактивна таблиця'!D14:F14</xm:f>
              <xm:sqref>G14</xm:sqref>
            </x14:sparkline>
            <x14:sparkline>
              <xm:f>'Інтерактивна таблиця'!D15:F15</xm:f>
              <xm:sqref>G15</xm:sqref>
            </x14:sparkline>
            <x14:sparkline>
              <xm:f>'Інтерактивна таблиця'!D16:F16</xm:f>
              <xm:sqref>G16</xm:sqref>
            </x14:sparkline>
            <x14:sparkline>
              <xm:f>'Інтерактивна таблиця'!D17:F17</xm:f>
              <xm:sqref>G17</xm:sqref>
            </x14:sparkline>
            <x14:sparkline>
              <xm:f>'Інтерактивна таблиця'!D18:F18</xm:f>
              <xm:sqref>G18</xm:sqref>
            </x14:sparkline>
            <x14:sparkline>
              <xm:f>'Інтерактивна таблиця'!D19:F19</xm:f>
              <xm:sqref>G19</xm:sqref>
            </x14:sparkline>
            <x14:sparkline>
              <xm:f>'Інтерактивна таблиця'!D20:F20</xm:f>
              <xm:sqref>G20</xm:sqref>
            </x14:sparkline>
            <x14:sparkline>
              <xm:f>'Інтерактивна таблиця'!D21:F21</xm:f>
              <xm:sqref>G21</xm:sqref>
            </x14:sparkline>
            <x14:sparkline>
              <xm:f>'Інтерактивна таблиця'!D22:F22</xm:f>
              <xm:sqref>G22</xm:sqref>
            </x14:sparkline>
            <x14:sparkline>
              <xm:f>'Інтерактивна таблиця'!D23:F23</xm:f>
              <xm:sqref>G23</xm:sqref>
            </x14:sparkline>
            <x14:sparkline>
              <xm:f>'Інтерактивна таблиця'!D24:F24</xm:f>
              <xm:sqref>G24</xm:sqref>
            </x14:sparkline>
            <x14:sparkline>
              <xm:f>'Інтерактивна таблиця'!D25:F25</xm:f>
              <xm:sqref>G25</xm:sqref>
            </x14:sparkline>
            <x14:sparkline>
              <xm:f>'Інтерактивна таблиця'!D26:F26</xm:f>
              <xm:sqref>G26</xm:sqref>
            </x14:sparkline>
            <x14:sparkline>
              <xm:f>'Інтерактивна таблиця'!D27:F27</xm:f>
              <xm:sqref>G27</xm:sqref>
            </x14:sparkline>
            <x14:sparkline>
              <xm:f>'Інтерактивна таблиця'!D28:F28</xm:f>
              <xm:sqref>G28</xm:sqref>
            </x14:sparkline>
          </x14:sparklines>
        </x14:sparklineGroup>
        <x14:sparklineGroup type="column" displayEmptyCellsAs="gap" displayHidden="1" xr2:uid="{0D7C03FD-F87C-41E7-BAFD-BC62A7548499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'Інтерактивна таблиця'!I10:K10</xm:f>
              <xm:sqref>L10</xm:sqref>
            </x14:sparkline>
            <x14:sparkline>
              <xm:f>'Інтерактивна таблиця'!I11:K11</xm:f>
              <xm:sqref>L11</xm:sqref>
            </x14:sparkline>
            <x14:sparkline>
              <xm:f>'Інтерактивна таблиця'!I12:K12</xm:f>
              <xm:sqref>L12</xm:sqref>
            </x14:sparkline>
            <x14:sparkline>
              <xm:f>'Інтерактивна таблиця'!I13:K13</xm:f>
              <xm:sqref>L13</xm:sqref>
            </x14:sparkline>
            <x14:sparkline>
              <xm:f>'Інтерактивна таблиця'!I14:K14</xm:f>
              <xm:sqref>L14</xm:sqref>
            </x14:sparkline>
            <x14:sparkline>
              <xm:f>'Інтерактивна таблиця'!I15:K15</xm:f>
              <xm:sqref>L15</xm:sqref>
            </x14:sparkline>
            <x14:sparkline>
              <xm:f>'Інтерактивна таблиця'!I16:K16</xm:f>
              <xm:sqref>L16</xm:sqref>
            </x14:sparkline>
            <x14:sparkline>
              <xm:f>'Інтерактивна таблиця'!I17:K17</xm:f>
              <xm:sqref>L17</xm:sqref>
            </x14:sparkline>
            <x14:sparkline>
              <xm:f>'Інтерактивна таблиця'!I18:K18</xm:f>
              <xm:sqref>L18</xm:sqref>
            </x14:sparkline>
            <x14:sparkline>
              <xm:f>'Інтерактивна таблиця'!I19:K19</xm:f>
              <xm:sqref>L19</xm:sqref>
            </x14:sparkline>
            <x14:sparkline>
              <xm:f>'Інтерактивна таблиця'!I20:K20</xm:f>
              <xm:sqref>L20</xm:sqref>
            </x14:sparkline>
            <x14:sparkline>
              <xm:f>'Інтерактивна таблиця'!I21:K21</xm:f>
              <xm:sqref>L21</xm:sqref>
            </x14:sparkline>
            <x14:sparkline>
              <xm:f>'Інтерактивна таблиця'!I22:K22</xm:f>
              <xm:sqref>L22</xm:sqref>
            </x14:sparkline>
            <x14:sparkline>
              <xm:f>'Інтерактивна таблиця'!I23:K23</xm:f>
              <xm:sqref>L23</xm:sqref>
            </x14:sparkline>
            <x14:sparkline>
              <xm:f>'Інтерактивна таблиця'!I24:K24</xm:f>
              <xm:sqref>L24</xm:sqref>
            </x14:sparkline>
            <x14:sparkline>
              <xm:f>'Інтерактивна таблиця'!I25:K25</xm:f>
              <xm:sqref>L25</xm:sqref>
            </x14:sparkline>
            <x14:sparkline>
              <xm:f>'Інтерактивна таблиця'!I26:K26</xm:f>
              <xm:sqref>L26</xm:sqref>
            </x14:sparkline>
            <x14:sparkline>
              <xm:f>'Інтерактивна таблиця'!I27:K27</xm:f>
              <xm:sqref>L27</xm:sqref>
            </x14:sparkline>
            <x14:sparkline>
              <xm:f>'Інтерактивна таблиця'!I28:K28</xm:f>
              <xm:sqref>L28</xm:sqref>
            </x14:sparkline>
          </x14:sparklines>
        </x14:sparklineGroup>
        <x14:sparklineGroup type="column" displayEmptyCellsAs="gap" displayHidden="1" xr2:uid="{3706FE78-25E9-4F48-9E9B-1DB485B5806D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'Інтерактивна таблиця'!N10:P10</xm:f>
              <xm:sqref>Q10</xm:sqref>
            </x14:sparkline>
            <x14:sparkline>
              <xm:f>'Інтерактивна таблиця'!N11:P11</xm:f>
              <xm:sqref>Q11</xm:sqref>
            </x14:sparkline>
            <x14:sparkline>
              <xm:f>'Інтерактивна таблиця'!N12:P12</xm:f>
              <xm:sqref>Q12</xm:sqref>
            </x14:sparkline>
            <x14:sparkline>
              <xm:f>'Інтерактивна таблиця'!N13:P13</xm:f>
              <xm:sqref>Q13</xm:sqref>
            </x14:sparkline>
            <x14:sparkline>
              <xm:f>'Інтерактивна таблиця'!N14:P14</xm:f>
              <xm:sqref>Q14</xm:sqref>
            </x14:sparkline>
            <x14:sparkline>
              <xm:f>'Інтерактивна таблиця'!N15:P15</xm:f>
              <xm:sqref>Q15</xm:sqref>
            </x14:sparkline>
            <x14:sparkline>
              <xm:f>'Інтерактивна таблиця'!N16:P16</xm:f>
              <xm:sqref>Q16</xm:sqref>
            </x14:sparkline>
            <x14:sparkline>
              <xm:f>'Інтерактивна таблиця'!N17:P17</xm:f>
              <xm:sqref>Q17</xm:sqref>
            </x14:sparkline>
            <x14:sparkline>
              <xm:f>'Інтерактивна таблиця'!N18:P18</xm:f>
              <xm:sqref>Q18</xm:sqref>
            </x14:sparkline>
            <x14:sparkline>
              <xm:f>'Інтерактивна таблиця'!N19:P19</xm:f>
              <xm:sqref>Q19</xm:sqref>
            </x14:sparkline>
            <x14:sparkline>
              <xm:f>'Інтерактивна таблиця'!N20:P20</xm:f>
              <xm:sqref>Q20</xm:sqref>
            </x14:sparkline>
            <x14:sparkline>
              <xm:f>'Інтерактивна таблиця'!N21:P21</xm:f>
              <xm:sqref>Q21</xm:sqref>
            </x14:sparkline>
            <x14:sparkline>
              <xm:f>'Інтерактивна таблиця'!N22:P22</xm:f>
              <xm:sqref>Q22</xm:sqref>
            </x14:sparkline>
            <x14:sparkline>
              <xm:f>'Інтерактивна таблиця'!N23:P23</xm:f>
              <xm:sqref>Q23</xm:sqref>
            </x14:sparkline>
            <x14:sparkline>
              <xm:f>'Інтерактивна таблиця'!N24:P24</xm:f>
              <xm:sqref>Q24</xm:sqref>
            </x14:sparkline>
            <x14:sparkline>
              <xm:f>'Інтерактивна таблиця'!N25:P25</xm:f>
              <xm:sqref>Q25</xm:sqref>
            </x14:sparkline>
            <x14:sparkline>
              <xm:f>'Інтерактивна таблиця'!N26:P26</xm:f>
              <xm:sqref>Q26</xm:sqref>
            </x14:sparkline>
            <x14:sparkline>
              <xm:f>'Інтерактивна таблиця'!N27:P27</xm:f>
              <xm:sqref>Q27</xm:sqref>
            </x14:sparkline>
            <x14:sparkline>
              <xm:f>'Інтерактивна таблиця'!N28:P28</xm:f>
              <xm:sqref>Q28</xm:sqref>
            </x14:sparkline>
          </x14:sparklines>
        </x14:sparklineGroup>
        <x14:sparklineGroup type="column" displayEmptyCellsAs="gap" displayHidden="1" xr2:uid="{5F5A9A24-E3F1-40B7-99A1-4EE62AA9A5E6}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'Інтерактивна таблиця'!S10:U10</xm:f>
              <xm:sqref>V10</xm:sqref>
            </x14:sparkline>
            <x14:sparkline>
              <xm:f>'Інтерактивна таблиця'!S11:U11</xm:f>
              <xm:sqref>V11</xm:sqref>
            </x14:sparkline>
            <x14:sparkline>
              <xm:f>'Інтерактивна таблиця'!S12:U12</xm:f>
              <xm:sqref>V12</xm:sqref>
            </x14:sparkline>
            <x14:sparkline>
              <xm:f>'Інтерактивна таблиця'!S13:U13</xm:f>
              <xm:sqref>V13</xm:sqref>
            </x14:sparkline>
            <x14:sparkline>
              <xm:f>'Інтерактивна таблиця'!S14:U14</xm:f>
              <xm:sqref>V14</xm:sqref>
            </x14:sparkline>
            <x14:sparkline>
              <xm:f>'Інтерактивна таблиця'!S15:U15</xm:f>
              <xm:sqref>V15</xm:sqref>
            </x14:sparkline>
            <x14:sparkline>
              <xm:f>'Інтерактивна таблиця'!S16:U16</xm:f>
              <xm:sqref>V16</xm:sqref>
            </x14:sparkline>
            <x14:sparkline>
              <xm:f>'Інтерактивна таблиця'!S17:U17</xm:f>
              <xm:sqref>V17</xm:sqref>
            </x14:sparkline>
            <x14:sparkline>
              <xm:f>'Інтерактивна таблиця'!S18:U18</xm:f>
              <xm:sqref>V18</xm:sqref>
            </x14:sparkline>
            <x14:sparkline>
              <xm:f>'Інтерактивна таблиця'!S19:U19</xm:f>
              <xm:sqref>V19</xm:sqref>
            </x14:sparkline>
            <x14:sparkline>
              <xm:f>'Інтерактивна таблиця'!S20:U20</xm:f>
              <xm:sqref>V20</xm:sqref>
            </x14:sparkline>
            <x14:sparkline>
              <xm:f>'Інтерактивна таблиця'!S21:U21</xm:f>
              <xm:sqref>V21</xm:sqref>
            </x14:sparkline>
            <x14:sparkline>
              <xm:f>'Інтерактивна таблиця'!S22:U22</xm:f>
              <xm:sqref>V22</xm:sqref>
            </x14:sparkline>
            <x14:sparkline>
              <xm:f>'Інтерактивна таблиця'!S23:U23</xm:f>
              <xm:sqref>V23</xm:sqref>
            </x14:sparkline>
            <x14:sparkline>
              <xm:f>'Інтерактивна таблиця'!S24:U24</xm:f>
              <xm:sqref>V24</xm:sqref>
            </x14:sparkline>
            <x14:sparkline>
              <xm:f>'Інтерактивна таблиця'!S25:U25</xm:f>
              <xm:sqref>V25</xm:sqref>
            </x14:sparkline>
            <x14:sparkline>
              <xm:f>'Інтерактивна таблиця'!S26:U26</xm:f>
              <xm:sqref>V26</xm:sqref>
            </x14:sparkline>
            <x14:sparkline>
              <xm:f>'Інтерактивна таблиця'!S27:U27</xm:f>
              <xm:sqref>V27</xm:sqref>
            </x14:sparkline>
            <x14:sparkline>
              <xm:f>'Інтерактивна таблиця'!S28:U28</xm:f>
              <xm:sqref>V28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CEAE-CE97-4CE8-AF98-C91DDC084B20}">
  <dimension ref="A1:J19"/>
  <sheetViews>
    <sheetView zoomScale="85" zoomScaleNormal="85" workbookViewId="0">
      <selection activeCell="K11" sqref="K11"/>
    </sheetView>
  </sheetViews>
  <sheetFormatPr defaultRowHeight="14.5" x14ac:dyDescent="0.35"/>
  <cols>
    <col min="1" max="1" width="25.08984375" bestFit="1" customWidth="1"/>
    <col min="2" max="2" width="21.54296875" bestFit="1" customWidth="1"/>
    <col min="3" max="14" width="14.1796875" bestFit="1" customWidth="1"/>
    <col min="15" max="17" width="10.81640625" bestFit="1" customWidth="1"/>
    <col min="18" max="22" width="16" bestFit="1" customWidth="1"/>
    <col min="23" max="37" width="14.1796875" bestFit="1" customWidth="1"/>
    <col min="38" max="38" width="9.90625" bestFit="1" customWidth="1"/>
  </cols>
  <sheetData>
    <row r="1" spans="1:10" x14ac:dyDescent="0.35">
      <c r="A1" s="60" t="s">
        <v>18</v>
      </c>
      <c r="B1" t="s">
        <v>89</v>
      </c>
    </row>
    <row r="3" spans="1:10" x14ac:dyDescent="0.35">
      <c r="A3" s="58"/>
      <c r="B3" s="58"/>
      <c r="C3" s="58" t="s">
        <v>84</v>
      </c>
      <c r="D3" s="58" t="s">
        <v>85</v>
      </c>
      <c r="E3" s="58" t="s">
        <v>83</v>
      </c>
      <c r="F3" s="58"/>
      <c r="G3" s="58"/>
      <c r="H3" s="58"/>
      <c r="I3" s="58"/>
      <c r="J3" s="58"/>
    </row>
    <row r="4" spans="1:10" x14ac:dyDescent="0.35">
      <c r="A4" s="58"/>
      <c r="B4" s="58"/>
      <c r="C4" s="58" t="s">
        <v>70</v>
      </c>
      <c r="D4" s="58"/>
      <c r="E4" s="58" t="s">
        <v>71</v>
      </c>
      <c r="F4" s="58"/>
      <c r="G4" s="58" t="s">
        <v>72</v>
      </c>
      <c r="H4" s="58"/>
      <c r="I4" s="58" t="s">
        <v>73</v>
      </c>
      <c r="J4" s="58"/>
    </row>
    <row r="5" spans="1:10" x14ac:dyDescent="0.35">
      <c r="A5" s="58"/>
      <c r="B5" s="58"/>
      <c r="C5" s="58"/>
      <c r="D5" s="58"/>
      <c r="E5" s="58"/>
      <c r="F5" s="58"/>
      <c r="G5" s="58"/>
      <c r="H5" s="58"/>
      <c r="I5" s="58"/>
      <c r="J5" s="58"/>
    </row>
    <row r="6" spans="1:10" x14ac:dyDescent="0.35">
      <c r="A6" s="57" t="s">
        <v>1</v>
      </c>
      <c r="B6" s="57" t="s">
        <v>2</v>
      </c>
      <c r="C6" s="57" t="s">
        <v>86</v>
      </c>
      <c r="D6" s="57" t="s">
        <v>75</v>
      </c>
      <c r="E6" s="57" t="s">
        <v>86</v>
      </c>
      <c r="F6" s="57" t="s">
        <v>75</v>
      </c>
      <c r="G6" s="57" t="s">
        <v>86</v>
      </c>
      <c r="H6" s="57" t="s">
        <v>75</v>
      </c>
      <c r="I6" s="57" t="s">
        <v>86</v>
      </c>
      <c r="J6" s="57" t="s">
        <v>75</v>
      </c>
    </row>
    <row r="7" spans="1:10" x14ac:dyDescent="0.35">
      <c r="A7" s="55" t="s">
        <v>3</v>
      </c>
      <c r="B7" s="55" t="s">
        <v>5</v>
      </c>
      <c r="C7" s="70">
        <v>277357</v>
      </c>
      <c r="D7" s="56">
        <v>8.3459640526268433E-2</v>
      </c>
      <c r="E7" s="70">
        <v>290797</v>
      </c>
      <c r="F7" s="56">
        <v>8.7163720814239842E-2</v>
      </c>
      <c r="G7" s="70">
        <v>283735</v>
      </c>
      <c r="H7" s="56">
        <v>8.6021880272434709E-2</v>
      </c>
      <c r="I7" s="70">
        <v>280014</v>
      </c>
      <c r="J7" s="56">
        <v>8.3849129420050558E-2</v>
      </c>
    </row>
    <row r="8" spans="1:10" x14ac:dyDescent="0.35">
      <c r="A8" s="55"/>
      <c r="B8" s="55" t="s">
        <v>4</v>
      </c>
      <c r="C8" s="70">
        <v>286897</v>
      </c>
      <c r="D8" s="56">
        <v>8.6330326936276486E-2</v>
      </c>
      <c r="E8" s="70">
        <v>286453</v>
      </c>
      <c r="F8" s="56">
        <v>8.586164684780602E-2</v>
      </c>
      <c r="G8" s="70">
        <v>279543</v>
      </c>
      <c r="H8" s="56">
        <v>8.4750962965433288E-2</v>
      </c>
      <c r="I8" s="70">
        <v>281434</v>
      </c>
      <c r="J8" s="56">
        <v>8.4274343030000323E-2</v>
      </c>
    </row>
    <row r="9" spans="1:10" x14ac:dyDescent="0.35">
      <c r="A9" s="55" t="s">
        <v>6</v>
      </c>
      <c r="B9" s="55" t="s">
        <v>30</v>
      </c>
      <c r="C9" s="70">
        <v>237822</v>
      </c>
      <c r="D9" s="56">
        <v>7.156314291414391E-2</v>
      </c>
      <c r="E9" s="70">
        <v>242608</v>
      </c>
      <c r="F9" s="56">
        <v>7.271951216587895E-2</v>
      </c>
      <c r="G9" s="70">
        <v>228166</v>
      </c>
      <c r="H9" s="56">
        <v>6.9174646533703407E-2</v>
      </c>
      <c r="I9" s="70">
        <v>230289</v>
      </c>
      <c r="J9" s="56">
        <v>6.8959166916704243E-2</v>
      </c>
    </row>
    <row r="10" spans="1:10" x14ac:dyDescent="0.35">
      <c r="A10" s="55"/>
      <c r="B10" s="55" t="s">
        <v>41</v>
      </c>
      <c r="C10" s="70">
        <v>250080</v>
      </c>
      <c r="D10" s="56">
        <v>7.5251704131531608E-2</v>
      </c>
      <c r="E10" s="70">
        <v>238727</v>
      </c>
      <c r="F10" s="56">
        <v>7.1556218182515757E-2</v>
      </c>
      <c r="G10" s="70">
        <v>254110</v>
      </c>
      <c r="H10" s="56">
        <v>7.7040266431805671E-2</v>
      </c>
      <c r="I10" s="70">
        <v>253488</v>
      </c>
      <c r="J10" s="56">
        <v>7.5906019407707387E-2</v>
      </c>
    </row>
    <row r="11" spans="1:10" x14ac:dyDescent="0.35">
      <c r="A11" s="55" t="s">
        <v>7</v>
      </c>
      <c r="B11" s="55" t="s">
        <v>11</v>
      </c>
      <c r="C11" s="70">
        <v>277685</v>
      </c>
      <c r="D11" s="56">
        <v>8.3558339178520291E-2</v>
      </c>
      <c r="E11" s="70">
        <v>288951</v>
      </c>
      <c r="F11" s="56">
        <v>8.6610399326662299E-2</v>
      </c>
      <c r="G11" s="70">
        <v>284750</v>
      </c>
      <c r="H11" s="56">
        <v>8.6329604763514492E-2</v>
      </c>
      <c r="I11" s="70">
        <v>291712</v>
      </c>
      <c r="J11" s="56">
        <v>8.7352051116664844E-2</v>
      </c>
    </row>
    <row r="12" spans="1:10" x14ac:dyDescent="0.35">
      <c r="A12" s="55"/>
      <c r="B12" s="55" t="s">
        <v>10</v>
      </c>
      <c r="C12" s="70">
        <v>292819</v>
      </c>
      <c r="D12" s="56">
        <v>8.8112319066262601E-2</v>
      </c>
      <c r="E12" s="70">
        <v>281764</v>
      </c>
      <c r="F12" s="56">
        <v>8.4456162310833596E-2</v>
      </c>
      <c r="G12" s="70">
        <v>279755</v>
      </c>
      <c r="H12" s="56">
        <v>8.4815236455195772E-2</v>
      </c>
      <c r="I12" s="70">
        <v>286838</v>
      </c>
      <c r="J12" s="56">
        <v>8.5892550317442917E-2</v>
      </c>
    </row>
    <row r="13" spans="1:10" x14ac:dyDescent="0.35">
      <c r="A13" s="55"/>
      <c r="B13" s="55" t="s">
        <v>9</v>
      </c>
      <c r="C13" s="70">
        <v>292111</v>
      </c>
      <c r="D13" s="56">
        <v>8.7899274414450682E-2</v>
      </c>
      <c r="E13" s="70">
        <v>283990</v>
      </c>
      <c r="F13" s="56">
        <v>8.5123385296395682E-2</v>
      </c>
      <c r="G13" s="70">
        <v>272019</v>
      </c>
      <c r="H13" s="56">
        <v>8.2469860432542397E-2</v>
      </c>
      <c r="I13" s="70">
        <v>293223</v>
      </c>
      <c r="J13" s="56">
        <v>8.780451433119589E-2</v>
      </c>
    </row>
    <row r="14" spans="1:10" x14ac:dyDescent="0.35">
      <c r="A14" s="55"/>
      <c r="B14" s="55" t="s">
        <v>8</v>
      </c>
      <c r="C14" s="70">
        <v>288357</v>
      </c>
      <c r="D14" s="56">
        <v>8.6769656303007273E-2</v>
      </c>
      <c r="E14" s="70">
        <v>283509</v>
      </c>
      <c r="F14" s="56">
        <v>8.4979209979209977E-2</v>
      </c>
      <c r="G14" s="70">
        <v>289154</v>
      </c>
      <c r="H14" s="56">
        <v>8.7664795560278383E-2</v>
      </c>
      <c r="I14" s="70">
        <v>288068</v>
      </c>
      <c r="J14" s="56">
        <v>8.6260869148596583E-2</v>
      </c>
    </row>
    <row r="15" spans="1:10" x14ac:dyDescent="0.35">
      <c r="A15" s="55" t="s">
        <v>12</v>
      </c>
      <c r="B15" s="55" t="s">
        <v>35</v>
      </c>
      <c r="C15" s="70">
        <v>276605</v>
      </c>
      <c r="D15" s="56">
        <v>8.3233355811349566E-2</v>
      </c>
      <c r="E15" s="70">
        <v>282231</v>
      </c>
      <c r="F15" s="56">
        <v>8.4596141257040916E-2</v>
      </c>
      <c r="G15" s="70">
        <v>274389</v>
      </c>
      <c r="H15" s="56">
        <v>8.3188389539792712E-2</v>
      </c>
      <c r="I15" s="70">
        <v>272700</v>
      </c>
      <c r="J15" s="56">
        <v>8.1658979882605107E-2</v>
      </c>
    </row>
    <row r="16" spans="1:10" x14ac:dyDescent="0.35">
      <c r="A16" s="55"/>
      <c r="B16" s="55" t="s">
        <v>13</v>
      </c>
      <c r="C16" s="70">
        <v>271075</v>
      </c>
      <c r="D16" s="56">
        <v>8.156932060722541E-2</v>
      </c>
      <c r="E16" s="70">
        <v>290309</v>
      </c>
      <c r="F16" s="56">
        <v>8.7017447311564952E-2</v>
      </c>
      <c r="G16" s="70">
        <v>285956</v>
      </c>
      <c r="H16" s="56">
        <v>8.6695236030748191E-2</v>
      </c>
      <c r="I16" s="70">
        <v>289000</v>
      </c>
      <c r="J16" s="56">
        <v>8.6539953010901643E-2</v>
      </c>
    </row>
    <row r="17" spans="1:10" x14ac:dyDescent="0.35">
      <c r="A17" s="55" t="s">
        <v>14</v>
      </c>
      <c r="B17" s="55" t="s">
        <v>38</v>
      </c>
      <c r="C17" s="70">
        <v>291097</v>
      </c>
      <c r="D17" s="56">
        <v>8.7594151141940399E-2</v>
      </c>
      <c r="E17" s="70">
        <v>279322</v>
      </c>
      <c r="F17" s="56">
        <v>8.3724195315890815E-2</v>
      </c>
      <c r="G17" s="70">
        <v>282704</v>
      </c>
      <c r="H17" s="56">
        <v>8.5709304951938889E-2</v>
      </c>
      <c r="I17" s="70">
        <v>293344</v>
      </c>
      <c r="J17" s="56">
        <v>8.7840747321902876E-2</v>
      </c>
    </row>
    <row r="18" spans="1:10" x14ac:dyDescent="0.35">
      <c r="A18" s="55"/>
      <c r="B18" s="55" t="s">
        <v>47</v>
      </c>
      <c r="C18" s="70">
        <v>281342</v>
      </c>
      <c r="D18" s="56">
        <v>8.4658768969023371E-2</v>
      </c>
      <c r="E18" s="70">
        <v>287555</v>
      </c>
      <c r="F18" s="56">
        <v>8.6191961191961194E-2</v>
      </c>
      <c r="G18" s="70">
        <v>284124</v>
      </c>
      <c r="H18" s="56">
        <v>8.6139816062612076E-2</v>
      </c>
      <c r="I18" s="70">
        <v>279388</v>
      </c>
      <c r="J18" s="56">
        <v>8.3661676096227641E-2</v>
      </c>
    </row>
    <row r="19" spans="1:10" x14ac:dyDescent="0.35">
      <c r="A19" s="58" t="s">
        <v>74</v>
      </c>
      <c r="B19" s="58"/>
      <c r="C19" s="57">
        <v>3323247</v>
      </c>
      <c r="D19" s="59">
        <v>1</v>
      </c>
      <c r="E19" s="57">
        <v>3336216</v>
      </c>
      <c r="F19" s="59">
        <v>1</v>
      </c>
      <c r="G19" s="57">
        <v>3298405</v>
      </c>
      <c r="H19" s="59">
        <v>1</v>
      </c>
      <c r="I19" s="57">
        <v>3339498</v>
      </c>
      <c r="J19" s="59">
        <v>1</v>
      </c>
    </row>
  </sheetData>
  <conditionalFormatting pivot="1" sqref="D7:D18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{84273A5F-9730-4DB8-BD25-DC8BEE55031E}</x14:id>
        </ext>
      </extLst>
    </cfRule>
  </conditionalFormatting>
  <conditionalFormatting pivot="1" sqref="F7:F18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{8FBCA869-B30E-4E06-9749-62E3A2FE2B4B}</x14:id>
        </ext>
      </extLst>
    </cfRule>
  </conditionalFormatting>
  <conditionalFormatting pivot="1" sqref="H7:H18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{0AB93073-B69D-4853-92D1-1693D82342DD}</x14:id>
        </ext>
      </extLst>
    </cfRule>
  </conditionalFormatting>
  <conditionalFormatting pivot="1" sqref="J7:J1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{9B33845F-B07A-4764-8C35-2F3A0617318D}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4273A5F-9730-4DB8-BD25-DC8BEE5503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D7:D18</xm:sqref>
        </x14:conditionalFormatting>
        <x14:conditionalFormatting xmlns:xm="http://schemas.microsoft.com/office/excel/2006/main" pivot="1">
          <x14:cfRule type="dataBar" id="{8FBCA869-B30E-4E06-9749-62E3A2FE2B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F7:F18</xm:sqref>
        </x14:conditionalFormatting>
        <x14:conditionalFormatting xmlns:xm="http://schemas.microsoft.com/office/excel/2006/main" pivot="1">
          <x14:cfRule type="dataBar" id="{0AB93073-B69D-4853-92D1-1693D82342D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H7:H18</xm:sqref>
        </x14:conditionalFormatting>
        <x14:conditionalFormatting xmlns:xm="http://schemas.microsoft.com/office/excel/2006/main" pivot="1">
          <x14:cfRule type="dataBar" id="{9B33845F-B07A-4764-8C35-2F3A061731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J7:J18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E750-6AEC-4B1F-8148-F6A514C0A799}">
  <dimension ref="A3:F50"/>
  <sheetViews>
    <sheetView topLeftCell="B1" zoomScale="55" zoomScaleNormal="55" workbookViewId="0">
      <selection activeCell="AW13" sqref="AW13"/>
    </sheetView>
  </sheetViews>
  <sheetFormatPr defaultRowHeight="14.5" x14ac:dyDescent="0.35"/>
  <cols>
    <col min="1" max="1" width="11.81640625" bestFit="1" customWidth="1"/>
    <col min="2" max="2" width="10" bestFit="1" customWidth="1"/>
    <col min="3" max="3" width="16.54296875" bestFit="1" customWidth="1"/>
    <col min="4" max="4" width="4.81640625" bestFit="1" customWidth="1"/>
    <col min="5" max="5" width="13.26953125" bestFit="1" customWidth="1"/>
    <col min="6" max="6" width="10" bestFit="1" customWidth="1"/>
    <col min="7" max="2588" width="5.08984375" bestFit="1" customWidth="1"/>
    <col min="2589" max="2589" width="9.36328125" bestFit="1" customWidth="1"/>
  </cols>
  <sheetData>
    <row r="3" spans="1:6" x14ac:dyDescent="0.35">
      <c r="A3" s="62" t="s">
        <v>54</v>
      </c>
      <c r="B3" s="13" t="s">
        <v>88</v>
      </c>
      <c r="E3" s="60" t="s">
        <v>54</v>
      </c>
      <c r="F3" s="13" t="s">
        <v>87</v>
      </c>
    </row>
    <row r="4" spans="1:6" x14ac:dyDescent="0.35">
      <c r="A4" s="65">
        <v>2015</v>
      </c>
      <c r="B4" s="66">
        <v>4412668</v>
      </c>
      <c r="E4" s="15" t="s">
        <v>39</v>
      </c>
      <c r="F4" s="13">
        <v>887169</v>
      </c>
    </row>
    <row r="5" spans="1:6" x14ac:dyDescent="0.35">
      <c r="A5" s="65">
        <v>2016</v>
      </c>
      <c r="B5" s="66">
        <v>4452783</v>
      </c>
      <c r="E5" s="15" t="s">
        <v>36</v>
      </c>
      <c r="F5" s="13">
        <v>979781</v>
      </c>
    </row>
    <row r="6" spans="1:6" x14ac:dyDescent="0.35">
      <c r="A6" s="65">
        <v>2017</v>
      </c>
      <c r="B6" s="66">
        <v>4431915</v>
      </c>
      <c r="E6" s="15" t="s">
        <v>24</v>
      </c>
      <c r="F6" s="13">
        <v>1043087</v>
      </c>
    </row>
    <row r="7" spans="1:6" x14ac:dyDescent="0.35">
      <c r="A7" s="64" t="s">
        <v>52</v>
      </c>
      <c r="B7" s="66">
        <v>13297366</v>
      </c>
      <c r="E7" s="15" t="s">
        <v>33</v>
      </c>
      <c r="F7" s="13">
        <v>1492620</v>
      </c>
    </row>
    <row r="8" spans="1:6" x14ac:dyDescent="0.35">
      <c r="E8" s="15" t="s">
        <v>45</v>
      </c>
      <c r="F8" s="13">
        <v>1519990</v>
      </c>
    </row>
    <row r="9" spans="1:6" x14ac:dyDescent="0.35">
      <c r="E9" s="15" t="s">
        <v>28</v>
      </c>
      <c r="F9" s="13">
        <v>1636345</v>
      </c>
    </row>
    <row r="10" spans="1:6" x14ac:dyDescent="0.35">
      <c r="A10" s="63" t="s">
        <v>54</v>
      </c>
      <c r="B10" s="64" t="s">
        <v>88</v>
      </c>
      <c r="E10" s="15" t="s">
        <v>26</v>
      </c>
      <c r="F10" s="13">
        <v>1783563</v>
      </c>
    </row>
    <row r="11" spans="1:6" x14ac:dyDescent="0.35">
      <c r="A11" s="65" t="s">
        <v>3</v>
      </c>
      <c r="B11" s="66">
        <v>2266230</v>
      </c>
      <c r="E11" s="15" t="s">
        <v>31</v>
      </c>
      <c r="F11" s="13">
        <v>1784529</v>
      </c>
    </row>
    <row r="12" spans="1:6" x14ac:dyDescent="0.35">
      <c r="A12" s="65" t="s">
        <v>6</v>
      </c>
      <c r="B12" s="66">
        <v>1935290</v>
      </c>
      <c r="E12" s="15" t="s">
        <v>42</v>
      </c>
      <c r="F12" s="13">
        <v>2170282</v>
      </c>
    </row>
    <row r="13" spans="1:6" x14ac:dyDescent="0.35">
      <c r="A13" s="65" t="s">
        <v>7</v>
      </c>
      <c r="B13" s="66">
        <v>4574705</v>
      </c>
      <c r="E13" s="13" t="s">
        <v>52</v>
      </c>
      <c r="F13" s="13">
        <v>13297366</v>
      </c>
    </row>
    <row r="14" spans="1:6" x14ac:dyDescent="0.35">
      <c r="A14" s="65" t="s">
        <v>12</v>
      </c>
      <c r="B14" s="66">
        <v>2242265</v>
      </c>
    </row>
    <row r="15" spans="1:6" x14ac:dyDescent="0.35">
      <c r="A15" s="65" t="s">
        <v>14</v>
      </c>
      <c r="B15" s="66">
        <v>2278876</v>
      </c>
    </row>
    <row r="16" spans="1:6" x14ac:dyDescent="0.35">
      <c r="A16" s="64" t="s">
        <v>52</v>
      </c>
      <c r="B16" s="66">
        <v>13297366</v>
      </c>
      <c r="E16" s="60" t="s">
        <v>54</v>
      </c>
      <c r="F16" s="13" t="s">
        <v>88</v>
      </c>
    </row>
    <row r="17" spans="1:6" x14ac:dyDescent="0.35">
      <c r="A17" s="13"/>
      <c r="B17" s="61"/>
      <c r="E17" s="15" t="s">
        <v>29</v>
      </c>
      <c r="F17" s="66">
        <v>938885</v>
      </c>
    </row>
    <row r="18" spans="1:6" x14ac:dyDescent="0.35">
      <c r="A18" s="63" t="s">
        <v>54</v>
      </c>
      <c r="B18" s="64" t="s">
        <v>88</v>
      </c>
      <c r="E18" s="15" t="s">
        <v>40</v>
      </c>
      <c r="F18" s="66">
        <v>996405</v>
      </c>
    </row>
    <row r="19" spans="1:6" x14ac:dyDescent="0.35">
      <c r="A19" s="65" t="s">
        <v>0</v>
      </c>
      <c r="B19" s="66">
        <v>5473835</v>
      </c>
      <c r="E19" s="15" t="s">
        <v>34</v>
      </c>
      <c r="F19" s="66">
        <v>1105925</v>
      </c>
    </row>
    <row r="20" spans="1:6" x14ac:dyDescent="0.35">
      <c r="A20" s="65" t="s">
        <v>27</v>
      </c>
      <c r="B20" s="66">
        <v>4913494</v>
      </c>
      <c r="E20" s="15" t="s">
        <v>22</v>
      </c>
      <c r="F20" s="66">
        <v>1131903</v>
      </c>
    </row>
    <row r="21" spans="1:6" x14ac:dyDescent="0.35">
      <c r="A21" s="65" t="s">
        <v>23</v>
      </c>
      <c r="B21" s="66">
        <v>2910037</v>
      </c>
      <c r="E21" s="15" t="s">
        <v>46</v>
      </c>
      <c r="F21" s="66">
        <v>1132409</v>
      </c>
    </row>
    <row r="22" spans="1:6" x14ac:dyDescent="0.35">
      <c r="A22" s="64" t="s">
        <v>52</v>
      </c>
      <c r="B22" s="66">
        <v>13297366</v>
      </c>
      <c r="E22" s="15" t="s">
        <v>25</v>
      </c>
      <c r="F22" s="66">
        <v>1134327</v>
      </c>
    </row>
    <row r="23" spans="1:6" x14ac:dyDescent="0.35">
      <c r="A23" s="13"/>
      <c r="B23" s="61"/>
      <c r="E23" s="15" t="s">
        <v>44</v>
      </c>
      <c r="F23" s="66">
        <v>1136340</v>
      </c>
    </row>
    <row r="24" spans="1:6" x14ac:dyDescent="0.35">
      <c r="E24" s="15" t="s">
        <v>43</v>
      </c>
      <c r="F24" s="66">
        <v>1141176</v>
      </c>
    </row>
    <row r="25" spans="1:6" x14ac:dyDescent="0.35">
      <c r="A25" s="13" t="s">
        <v>88</v>
      </c>
      <c r="E25" s="15" t="s">
        <v>48</v>
      </c>
      <c r="F25" s="66">
        <v>1141343</v>
      </c>
    </row>
    <row r="26" spans="1:6" x14ac:dyDescent="0.35">
      <c r="A26" s="66">
        <v>13297366</v>
      </c>
      <c r="E26" s="15" t="s">
        <v>49</v>
      </c>
      <c r="F26" s="66">
        <v>1143098</v>
      </c>
    </row>
    <row r="27" spans="1:6" x14ac:dyDescent="0.35">
      <c r="A27" s="66"/>
      <c r="E27" s="15" t="s">
        <v>37</v>
      </c>
      <c r="F27" s="66">
        <v>1146467</v>
      </c>
    </row>
    <row r="28" spans="1:6" x14ac:dyDescent="0.35">
      <c r="A28" s="66"/>
      <c r="E28" s="15" t="s">
        <v>32</v>
      </c>
      <c r="F28" s="66">
        <v>1149088</v>
      </c>
    </row>
    <row r="29" spans="1:6" x14ac:dyDescent="0.35">
      <c r="A29" s="60" t="s">
        <v>57</v>
      </c>
      <c r="B29" s="13" t="s">
        <v>88</v>
      </c>
      <c r="E29" s="13" t="s">
        <v>52</v>
      </c>
      <c r="F29" s="66">
        <v>13297366</v>
      </c>
    </row>
    <row r="30" spans="1:6" x14ac:dyDescent="0.35">
      <c r="A30" s="15" t="s">
        <v>30</v>
      </c>
      <c r="B30" s="66">
        <v>938885</v>
      </c>
    </row>
    <row r="31" spans="1:6" x14ac:dyDescent="0.35">
      <c r="A31" s="15" t="s">
        <v>41</v>
      </c>
      <c r="B31" s="66">
        <v>996405</v>
      </c>
    </row>
    <row r="32" spans="1:6" x14ac:dyDescent="0.35">
      <c r="A32" s="15" t="s">
        <v>35</v>
      </c>
      <c r="B32" s="66">
        <v>1105925</v>
      </c>
    </row>
    <row r="33" spans="1:2" x14ac:dyDescent="0.35">
      <c r="A33" s="15" t="s">
        <v>5</v>
      </c>
      <c r="B33" s="66">
        <v>1131903</v>
      </c>
    </row>
    <row r="34" spans="1:2" x14ac:dyDescent="0.35">
      <c r="A34" s="15" t="s">
        <v>47</v>
      </c>
      <c r="B34" s="66">
        <v>1132409</v>
      </c>
    </row>
    <row r="35" spans="1:2" x14ac:dyDescent="0.35">
      <c r="A35" s="15" t="s">
        <v>4</v>
      </c>
      <c r="B35" s="66">
        <v>1134327</v>
      </c>
    </row>
    <row r="36" spans="1:2" x14ac:dyDescent="0.35">
      <c r="A36" s="15" t="s">
        <v>13</v>
      </c>
      <c r="B36" s="66">
        <v>1136340</v>
      </c>
    </row>
    <row r="37" spans="1:2" x14ac:dyDescent="0.35">
      <c r="A37" s="15" t="s">
        <v>10</v>
      </c>
      <c r="B37" s="66">
        <v>1141176</v>
      </c>
    </row>
    <row r="38" spans="1:2" x14ac:dyDescent="0.35">
      <c r="A38" s="15" t="s">
        <v>9</v>
      </c>
      <c r="B38" s="66">
        <v>1141343</v>
      </c>
    </row>
    <row r="39" spans="1:2" x14ac:dyDescent="0.35">
      <c r="A39" s="15" t="s">
        <v>11</v>
      </c>
      <c r="B39" s="66">
        <v>1143098</v>
      </c>
    </row>
    <row r="40" spans="1:2" x14ac:dyDescent="0.35">
      <c r="A40" s="15" t="s">
        <v>38</v>
      </c>
      <c r="B40" s="66">
        <v>1146467</v>
      </c>
    </row>
    <row r="41" spans="1:2" x14ac:dyDescent="0.35">
      <c r="A41" s="15" t="s">
        <v>8</v>
      </c>
      <c r="B41" s="66">
        <v>1149088</v>
      </c>
    </row>
    <row r="42" spans="1:2" x14ac:dyDescent="0.35">
      <c r="A42" s="13" t="s">
        <v>52</v>
      </c>
      <c r="B42" s="66">
        <v>13297366</v>
      </c>
    </row>
    <row r="46" spans="1:2" x14ac:dyDescent="0.35">
      <c r="A46" s="69" t="s">
        <v>54</v>
      </c>
      <c r="B46" s="64" t="s">
        <v>88</v>
      </c>
    </row>
    <row r="47" spans="1:2" x14ac:dyDescent="0.35">
      <c r="A47" s="65">
        <v>2015</v>
      </c>
      <c r="B47" s="66">
        <v>4412668</v>
      </c>
    </row>
    <row r="48" spans="1:2" x14ac:dyDescent="0.35">
      <c r="A48" s="65">
        <v>2016</v>
      </c>
      <c r="B48" s="66">
        <v>4452783</v>
      </c>
    </row>
    <row r="49" spans="1:2" x14ac:dyDescent="0.35">
      <c r="A49" s="65">
        <v>2017</v>
      </c>
      <c r="B49" s="66">
        <v>4431915</v>
      </c>
    </row>
    <row r="50" spans="1:2" x14ac:dyDescent="0.35">
      <c r="A50" s="64" t="s">
        <v>52</v>
      </c>
      <c r="B50" s="66">
        <v>13297366</v>
      </c>
    </row>
  </sheetData>
  <pageMargins left="0.7" right="0.7" top="0.75" bottom="0.75" header="0.3" footer="0.3"/>
  <pageSetup paperSize="9" orientation="portrait" r:id="rId9"/>
  <drawing r:id="rId10"/>
  <extLst>
    <ext xmlns:x14="http://schemas.microsoft.com/office/spreadsheetml/2009/9/main" uri="{A8765BA9-456A-4dab-B4F3-ACF838C121DE}">
      <x14:slicerList>
        <x14:slicer r:id="rId11"/>
      </x14:slicerList>
    </ext>
    <ext xmlns:x15="http://schemas.microsoft.com/office/spreadsheetml/2010/11/main" uri="{7E03D99C-DC04-49d9-9315-930204A7B6E9}">
      <x15:timelineRefs>
        <x15:timelineRef r:id="rId12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CE2B-0405-4D55-944E-94F6D60F124E}">
  <dimension ref="A1:R30"/>
  <sheetViews>
    <sheetView tabSelected="1" zoomScale="70" zoomScaleNormal="70" workbookViewId="0">
      <selection activeCell="U20" sqref="U20"/>
    </sheetView>
  </sheetViews>
  <sheetFormatPr defaultRowHeight="14.5" x14ac:dyDescent="0.35"/>
  <cols>
    <col min="8" max="8" width="3.7265625" customWidth="1"/>
    <col min="11" max="11" width="9" bestFit="1" customWidth="1"/>
  </cols>
  <sheetData>
    <row r="1" spans="1:18" ht="14.5" customHeight="1" x14ac:dyDescent="0.35">
      <c r="A1" s="67"/>
      <c r="B1" s="71" t="s">
        <v>90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67"/>
    </row>
    <row r="2" spans="1:18" ht="14.5" customHeight="1" x14ac:dyDescent="0.35">
      <c r="A2" s="67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67"/>
    </row>
    <row r="3" spans="1:18" x14ac:dyDescent="0.35">
      <c r="A3" s="67"/>
      <c r="B3" s="68"/>
      <c r="C3" s="68"/>
      <c r="D3" s="68"/>
      <c r="E3" s="68"/>
      <c r="F3" s="68"/>
      <c r="G3" s="68"/>
      <c r="H3" s="68"/>
      <c r="I3" s="67"/>
      <c r="J3" s="67"/>
      <c r="K3" s="67"/>
      <c r="L3" s="67"/>
      <c r="M3" s="67"/>
      <c r="N3" s="67"/>
      <c r="O3" s="67"/>
      <c r="P3" s="67"/>
      <c r="Q3" s="67"/>
      <c r="R3" s="67"/>
    </row>
    <row r="4" spans="1:18" x14ac:dyDescent="0.35">
      <c r="A4" s="67"/>
      <c r="B4" s="68"/>
      <c r="C4" s="68"/>
      <c r="D4" s="68"/>
      <c r="E4" s="68"/>
      <c r="F4" s="68"/>
      <c r="G4" s="68"/>
      <c r="H4" s="68"/>
      <c r="I4" s="67"/>
      <c r="J4" s="67"/>
      <c r="K4" s="67"/>
      <c r="L4" s="67"/>
      <c r="M4" s="67"/>
      <c r="N4" s="67"/>
      <c r="O4" s="67"/>
      <c r="P4" s="67"/>
      <c r="Q4" s="67"/>
      <c r="R4" s="67"/>
    </row>
    <row r="5" spans="1:18" x14ac:dyDescent="0.35">
      <c r="A5" s="67"/>
      <c r="B5" s="68"/>
      <c r="C5" s="68"/>
      <c r="D5" s="68"/>
      <c r="E5" s="68"/>
      <c r="F5" s="68"/>
      <c r="G5" s="68"/>
      <c r="H5" s="68"/>
      <c r="I5" s="67"/>
      <c r="J5" s="67"/>
      <c r="K5" s="67"/>
      <c r="L5" s="67"/>
      <c r="M5" s="67"/>
      <c r="N5" s="67"/>
      <c r="O5" s="67"/>
      <c r="P5" s="67"/>
      <c r="Q5" s="67"/>
      <c r="R5" s="67"/>
    </row>
    <row r="6" spans="1:18" x14ac:dyDescent="0.35">
      <c r="A6" s="67"/>
      <c r="B6" s="68"/>
      <c r="C6" s="68"/>
      <c r="D6" s="68"/>
      <c r="E6" s="68"/>
      <c r="F6" s="68"/>
      <c r="G6" s="68"/>
      <c r="H6" s="68"/>
      <c r="I6" s="67"/>
      <c r="J6" s="67"/>
      <c r="K6" s="67"/>
      <c r="L6" s="67"/>
      <c r="M6" s="67"/>
      <c r="N6" s="67"/>
      <c r="O6" s="67"/>
      <c r="P6" s="67"/>
      <c r="Q6" s="67"/>
      <c r="R6" s="67"/>
    </row>
    <row r="7" spans="1:18" x14ac:dyDescent="0.35">
      <c r="A7" s="67"/>
      <c r="B7" s="68"/>
      <c r="C7" s="68"/>
      <c r="D7" s="68"/>
      <c r="E7" s="68"/>
      <c r="F7" s="68"/>
      <c r="G7" s="68"/>
      <c r="H7" s="68"/>
      <c r="I7" s="67"/>
      <c r="J7" s="67"/>
      <c r="K7" s="67"/>
      <c r="L7" s="67"/>
      <c r="M7" s="67"/>
      <c r="N7" s="67"/>
      <c r="O7" s="67"/>
      <c r="P7" s="67"/>
      <c r="Q7" s="67"/>
      <c r="R7" s="67"/>
    </row>
    <row r="8" spans="1:18" x14ac:dyDescent="0.35">
      <c r="A8" s="67"/>
      <c r="B8" s="68"/>
      <c r="C8" s="68"/>
      <c r="D8" s="68"/>
      <c r="E8" s="68"/>
      <c r="F8" s="68"/>
      <c r="G8" s="68"/>
      <c r="H8" s="68"/>
      <c r="I8" s="67"/>
      <c r="J8" s="67"/>
      <c r="K8" s="67"/>
      <c r="L8" s="67"/>
      <c r="M8" s="67"/>
      <c r="N8" s="67"/>
      <c r="O8" s="67"/>
      <c r="P8" s="67"/>
      <c r="Q8" s="67"/>
      <c r="R8" s="67"/>
    </row>
    <row r="9" spans="1:18" x14ac:dyDescent="0.35">
      <c r="A9" s="67"/>
      <c r="B9" s="68"/>
      <c r="C9" s="68"/>
      <c r="D9" s="68"/>
      <c r="E9" s="68"/>
      <c r="F9" s="68"/>
      <c r="G9" s="68"/>
      <c r="H9" s="68"/>
      <c r="I9" s="67"/>
      <c r="J9" s="67"/>
      <c r="K9" s="67"/>
      <c r="L9" s="67"/>
      <c r="M9" s="67"/>
      <c r="N9" s="67"/>
      <c r="O9" s="67"/>
      <c r="P9" s="67"/>
      <c r="Q9" s="67"/>
      <c r="R9" s="67"/>
    </row>
    <row r="10" spans="1:18" x14ac:dyDescent="0.35">
      <c r="A10" s="67"/>
      <c r="B10" s="68"/>
      <c r="C10" s="68"/>
      <c r="D10" s="68"/>
      <c r="E10" s="68"/>
      <c r="F10" s="68"/>
      <c r="G10" s="68"/>
      <c r="H10" s="68"/>
      <c r="I10" s="67"/>
      <c r="J10" s="67"/>
      <c r="K10" s="67"/>
      <c r="L10" s="67"/>
      <c r="M10" s="67"/>
      <c r="N10" s="67"/>
      <c r="O10" s="67"/>
      <c r="P10" s="67"/>
      <c r="Q10" s="67"/>
      <c r="R10" s="67"/>
    </row>
    <row r="11" spans="1:18" x14ac:dyDescent="0.35">
      <c r="A11" s="67"/>
      <c r="B11" s="68"/>
      <c r="C11" s="68"/>
      <c r="D11" s="68"/>
      <c r="E11" s="68"/>
      <c r="F11" s="68"/>
      <c r="G11" s="68"/>
      <c r="H11" s="68"/>
      <c r="I11" s="67"/>
      <c r="J11" s="67"/>
      <c r="K11" s="67"/>
      <c r="L11" s="67"/>
      <c r="M11" s="67"/>
      <c r="N11" s="67"/>
      <c r="O11" s="67"/>
      <c r="P11" s="67"/>
      <c r="Q11" s="67"/>
      <c r="R11" s="67"/>
    </row>
    <row r="12" spans="1:18" x14ac:dyDescent="0.35">
      <c r="A12" s="67"/>
      <c r="B12" s="68"/>
      <c r="C12" s="68"/>
      <c r="D12" s="68"/>
      <c r="E12" s="68"/>
      <c r="F12" s="68"/>
      <c r="G12" s="68"/>
      <c r="H12" s="68"/>
      <c r="I12" s="67"/>
      <c r="J12" s="67"/>
      <c r="K12" s="67"/>
      <c r="L12" s="67"/>
      <c r="M12" s="67"/>
      <c r="N12" s="67"/>
      <c r="O12" s="67"/>
      <c r="P12" s="67"/>
      <c r="Q12" s="67"/>
      <c r="R12" s="67"/>
    </row>
    <row r="13" spans="1:18" x14ac:dyDescent="0.3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</row>
    <row r="14" spans="1:18" x14ac:dyDescent="0.3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</row>
    <row r="15" spans="1:18" x14ac:dyDescent="0.3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</row>
    <row r="16" spans="1:18" x14ac:dyDescent="0.35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</row>
    <row r="17" spans="1:18" x14ac:dyDescent="0.35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</row>
    <row r="18" spans="1:18" x14ac:dyDescent="0.35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</row>
    <row r="19" spans="1:18" x14ac:dyDescent="0.35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</row>
    <row r="20" spans="1:18" x14ac:dyDescent="0.35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</row>
    <row r="21" spans="1:18" x14ac:dyDescent="0.35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</row>
    <row r="22" spans="1:18" x14ac:dyDescent="0.35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</row>
    <row r="23" spans="1:18" x14ac:dyDescent="0.35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</row>
    <row r="24" spans="1:18" x14ac:dyDescent="0.35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</row>
    <row r="25" spans="1:18" x14ac:dyDescent="0.3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</row>
    <row r="26" spans="1:18" x14ac:dyDescent="0.35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</row>
    <row r="27" spans="1:18" x14ac:dyDescent="0.35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</row>
    <row r="28" spans="1:18" x14ac:dyDescent="0.35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spans="1:18" x14ac:dyDescent="0.35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</row>
    <row r="30" spans="1:18" x14ac:dyDescent="0.35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</row>
  </sheetData>
  <mergeCells count="1">
    <mergeCell ref="B1:Q2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A592-D002-4F49-A563-7DBFB80C1615}">
  <dimension ref="B1:X3818"/>
  <sheetViews>
    <sheetView workbookViewId="0">
      <selection activeCell="M14" sqref="M14"/>
    </sheetView>
  </sheetViews>
  <sheetFormatPr defaultRowHeight="14.5" x14ac:dyDescent="0.35"/>
  <cols>
    <col min="2" max="2" width="12.6328125" bestFit="1" customWidth="1"/>
    <col min="3" max="3" width="12.453125" bestFit="1" customWidth="1"/>
    <col min="4" max="4" width="21.26953125" bestFit="1" customWidth="1"/>
    <col min="5" max="5" width="15.54296875" bestFit="1" customWidth="1"/>
    <col min="6" max="6" width="28.453125" bestFit="1" customWidth="1"/>
    <col min="7" max="7" width="4.81640625" bestFit="1" customWidth="1"/>
    <col min="8" max="8" width="6.6328125" bestFit="1" customWidth="1"/>
    <col min="9" max="9" width="9.90625" bestFit="1" customWidth="1"/>
    <col min="10" max="10" width="7.90625" bestFit="1" customWidth="1"/>
    <col min="11" max="11" width="9.90625" bestFit="1" customWidth="1"/>
    <col min="12" max="12" width="15.54296875" bestFit="1" customWidth="1"/>
    <col min="22" max="22" width="9.90625" bestFit="1" customWidth="1"/>
    <col min="23" max="23" width="8.6328125" bestFit="1" customWidth="1"/>
  </cols>
  <sheetData>
    <row r="1" spans="2:24" x14ac:dyDescent="0.35">
      <c r="B1" t="s">
        <v>51</v>
      </c>
      <c r="C1" t="s">
        <v>81</v>
      </c>
      <c r="L1" s="54"/>
      <c r="M1" s="54"/>
      <c r="O1" t="s">
        <v>77</v>
      </c>
      <c r="P1" t="s">
        <v>82</v>
      </c>
      <c r="S1" s="5"/>
      <c r="T1" s="5"/>
      <c r="U1" s="5"/>
      <c r="V1" s="5"/>
      <c r="W1" s="5"/>
      <c r="X1" s="5"/>
    </row>
    <row r="2" spans="2:24" ht="29" x14ac:dyDescent="0.35">
      <c r="B2" s="7" t="s">
        <v>1</v>
      </c>
      <c r="C2" s="7" t="s">
        <v>15</v>
      </c>
      <c r="D2" s="7" t="s">
        <v>2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53" t="s">
        <v>21</v>
      </c>
      <c r="L2" s="7" t="s">
        <v>16</v>
      </c>
      <c r="M2" s="7" t="s">
        <v>18</v>
      </c>
      <c r="O2" s="47" t="s">
        <v>1</v>
      </c>
      <c r="P2" s="47" t="s">
        <v>78</v>
      </c>
      <c r="Q2" s="47" t="s">
        <v>2</v>
      </c>
      <c r="R2" s="47" t="s">
        <v>16</v>
      </c>
      <c r="S2" s="47" t="s">
        <v>17</v>
      </c>
      <c r="T2" s="47" t="s">
        <v>18</v>
      </c>
      <c r="U2" s="47" t="s">
        <v>19</v>
      </c>
      <c r="V2" s="47" t="s">
        <v>20</v>
      </c>
      <c r="W2" s="47" t="s">
        <v>79</v>
      </c>
      <c r="X2" s="47" t="s">
        <v>80</v>
      </c>
    </row>
    <row r="3" spans="2:24" x14ac:dyDescent="0.35">
      <c r="B3" s="8" t="s">
        <v>3</v>
      </c>
      <c r="C3" s="8" t="s">
        <v>22</v>
      </c>
      <c r="D3" s="8" t="s">
        <v>5</v>
      </c>
      <c r="E3" s="8" t="s">
        <v>23</v>
      </c>
      <c r="F3" s="8" t="s">
        <v>24</v>
      </c>
      <c r="G3" s="9">
        <v>2017</v>
      </c>
      <c r="H3" s="9">
        <v>1</v>
      </c>
      <c r="I3" s="10">
        <v>42736</v>
      </c>
      <c r="J3" s="11">
        <v>2350</v>
      </c>
      <c r="K3" s="51"/>
      <c r="L3" s="8" t="s">
        <v>23</v>
      </c>
      <c r="M3" s="6">
        <v>2015</v>
      </c>
      <c r="O3" s="1" t="s">
        <v>3</v>
      </c>
      <c r="P3" s="1" t="s">
        <v>22</v>
      </c>
      <c r="Q3" s="1" t="s">
        <v>5</v>
      </c>
      <c r="R3" s="1" t="s">
        <v>23</v>
      </c>
      <c r="S3" s="1" t="s">
        <v>24</v>
      </c>
      <c r="T3" s="2">
        <v>2017</v>
      </c>
      <c r="U3" s="2">
        <v>1</v>
      </c>
      <c r="V3" s="3">
        <v>42736</v>
      </c>
      <c r="W3" s="4">
        <v>2044.5000000000002</v>
      </c>
      <c r="X3" s="48">
        <v>2350</v>
      </c>
    </row>
    <row r="4" spans="2:24" x14ac:dyDescent="0.35">
      <c r="B4" s="8" t="s">
        <v>3</v>
      </c>
      <c r="C4" s="8" t="s">
        <v>25</v>
      </c>
      <c r="D4" s="8" t="s">
        <v>4</v>
      </c>
      <c r="E4" s="8" t="s">
        <v>23</v>
      </c>
      <c r="F4" s="8" t="s">
        <v>24</v>
      </c>
      <c r="G4" s="9">
        <v>2017</v>
      </c>
      <c r="H4" s="9">
        <v>1</v>
      </c>
      <c r="I4" s="10">
        <v>42736</v>
      </c>
      <c r="J4" s="11">
        <v>3154</v>
      </c>
      <c r="K4" s="51"/>
      <c r="L4" s="8" t="s">
        <v>0</v>
      </c>
      <c r="M4" s="6">
        <v>2016</v>
      </c>
      <c r="O4" s="1" t="s">
        <v>3</v>
      </c>
      <c r="P4" s="1" t="s">
        <v>25</v>
      </c>
      <c r="Q4" s="1" t="s">
        <v>4</v>
      </c>
      <c r="R4" s="1" t="s">
        <v>23</v>
      </c>
      <c r="S4" s="1" t="s">
        <v>24</v>
      </c>
      <c r="T4" s="2">
        <v>2017</v>
      </c>
      <c r="U4" s="2">
        <v>1</v>
      </c>
      <c r="V4" s="3">
        <v>42736</v>
      </c>
      <c r="W4" s="4">
        <v>2712.4400000000005</v>
      </c>
      <c r="X4" s="48">
        <v>3154</v>
      </c>
    </row>
    <row r="5" spans="2:24" x14ac:dyDescent="0.35">
      <c r="B5" s="8" t="s">
        <v>3</v>
      </c>
      <c r="C5" s="8" t="s">
        <v>25</v>
      </c>
      <c r="D5" s="8" t="s">
        <v>4</v>
      </c>
      <c r="E5" s="8" t="s">
        <v>0</v>
      </c>
      <c r="F5" s="8" t="s">
        <v>26</v>
      </c>
      <c r="G5" s="9">
        <v>2017</v>
      </c>
      <c r="H5" s="9">
        <v>1</v>
      </c>
      <c r="I5" s="10">
        <v>42736</v>
      </c>
      <c r="J5" s="11">
        <v>4924</v>
      </c>
      <c r="K5" s="51"/>
      <c r="L5" s="8" t="s">
        <v>27</v>
      </c>
      <c r="M5" s="6">
        <v>2017</v>
      </c>
      <c r="O5" s="1" t="s">
        <v>3</v>
      </c>
      <c r="P5" s="1" t="s">
        <v>25</v>
      </c>
      <c r="Q5" s="1" t="s">
        <v>4</v>
      </c>
      <c r="R5" s="1" t="s">
        <v>0</v>
      </c>
      <c r="S5" s="1" t="s">
        <v>26</v>
      </c>
      <c r="T5" s="2">
        <v>2017</v>
      </c>
      <c r="U5" s="2">
        <v>1</v>
      </c>
      <c r="V5" s="3">
        <v>42736</v>
      </c>
      <c r="W5" s="4">
        <v>4431.5999999999995</v>
      </c>
      <c r="X5" s="48">
        <v>4924</v>
      </c>
    </row>
    <row r="6" spans="2:24" x14ac:dyDescent="0.35">
      <c r="B6" s="8" t="s">
        <v>3</v>
      </c>
      <c r="C6" s="8" t="s">
        <v>22</v>
      </c>
      <c r="D6" s="8" t="s">
        <v>5</v>
      </c>
      <c r="E6" s="8" t="s">
        <v>0</v>
      </c>
      <c r="F6" s="8" t="s">
        <v>26</v>
      </c>
      <c r="G6" s="9">
        <v>2017</v>
      </c>
      <c r="H6" s="9">
        <v>1</v>
      </c>
      <c r="I6" s="10">
        <v>42736</v>
      </c>
      <c r="J6" s="11">
        <v>3557</v>
      </c>
      <c r="K6" s="51"/>
      <c r="L6" s="8" t="s">
        <v>53</v>
      </c>
      <c r="M6" s="6" t="s">
        <v>76</v>
      </c>
      <c r="O6" s="1" t="s">
        <v>3</v>
      </c>
      <c r="P6" s="1" t="s">
        <v>22</v>
      </c>
      <c r="Q6" s="1" t="s">
        <v>5</v>
      </c>
      <c r="R6" s="1" t="s">
        <v>0</v>
      </c>
      <c r="S6" s="1" t="s">
        <v>26</v>
      </c>
      <c r="T6" s="2">
        <v>2017</v>
      </c>
      <c r="U6" s="2">
        <v>1</v>
      </c>
      <c r="V6" s="3">
        <v>42736</v>
      </c>
      <c r="W6" s="4">
        <v>3023.4500000000003</v>
      </c>
      <c r="X6" s="48">
        <v>3557</v>
      </c>
    </row>
    <row r="7" spans="2:24" x14ac:dyDescent="0.35">
      <c r="B7" s="8" t="s">
        <v>3</v>
      </c>
      <c r="C7" s="8" t="s">
        <v>22</v>
      </c>
      <c r="D7" s="8" t="s">
        <v>5</v>
      </c>
      <c r="E7" s="8" t="s">
        <v>27</v>
      </c>
      <c r="F7" s="8" t="s">
        <v>28</v>
      </c>
      <c r="G7" s="9">
        <v>2017</v>
      </c>
      <c r="H7" s="9">
        <v>1</v>
      </c>
      <c r="I7" s="10">
        <v>42736</v>
      </c>
      <c r="J7" s="11">
        <v>4195</v>
      </c>
      <c r="K7" s="51"/>
      <c r="O7" s="1" t="s">
        <v>3</v>
      </c>
      <c r="P7" s="1" t="s">
        <v>22</v>
      </c>
      <c r="Q7" s="1" t="s">
        <v>5</v>
      </c>
      <c r="R7" s="1" t="s">
        <v>27</v>
      </c>
      <c r="S7" s="1" t="s">
        <v>28</v>
      </c>
      <c r="T7" s="2">
        <v>2017</v>
      </c>
      <c r="U7" s="2">
        <v>1</v>
      </c>
      <c r="V7" s="3">
        <v>42736</v>
      </c>
      <c r="W7" s="4">
        <v>3607.7000000000003</v>
      </c>
      <c r="X7" s="48">
        <v>4195</v>
      </c>
    </row>
    <row r="8" spans="2:24" x14ac:dyDescent="0.35">
      <c r="B8" s="8" t="s">
        <v>6</v>
      </c>
      <c r="C8" s="8" t="s">
        <v>29</v>
      </c>
      <c r="D8" s="8" t="s">
        <v>30</v>
      </c>
      <c r="E8" s="8" t="s">
        <v>27</v>
      </c>
      <c r="F8" s="8" t="s">
        <v>31</v>
      </c>
      <c r="G8" s="9">
        <v>2017</v>
      </c>
      <c r="H8" s="9">
        <v>1</v>
      </c>
      <c r="I8" s="10">
        <v>42736</v>
      </c>
      <c r="J8" s="11">
        <v>2717</v>
      </c>
      <c r="K8" s="51"/>
      <c r="O8" s="1" t="s">
        <v>6</v>
      </c>
      <c r="P8" s="1" t="s">
        <v>29</v>
      </c>
      <c r="Q8" s="1" t="s">
        <v>30</v>
      </c>
      <c r="R8" s="1" t="s">
        <v>27</v>
      </c>
      <c r="S8" s="1" t="s">
        <v>31</v>
      </c>
      <c r="T8" s="2">
        <v>2017</v>
      </c>
      <c r="U8" s="2">
        <v>1</v>
      </c>
      <c r="V8" s="3">
        <v>42736</v>
      </c>
      <c r="W8" s="4">
        <v>2418.1299999999997</v>
      </c>
      <c r="X8" s="48">
        <v>2717</v>
      </c>
    </row>
    <row r="9" spans="2:24" x14ac:dyDescent="0.35">
      <c r="B9" s="8" t="s">
        <v>7</v>
      </c>
      <c r="C9" s="8" t="s">
        <v>32</v>
      </c>
      <c r="D9" s="8" t="s">
        <v>8</v>
      </c>
      <c r="E9" s="8" t="s">
        <v>27</v>
      </c>
      <c r="F9" s="8" t="s">
        <v>33</v>
      </c>
      <c r="G9" s="9">
        <v>2017</v>
      </c>
      <c r="H9" s="9">
        <v>1</v>
      </c>
      <c r="I9" s="10">
        <v>42736</v>
      </c>
      <c r="J9" s="11">
        <v>2942</v>
      </c>
      <c r="K9" s="51"/>
      <c r="O9" s="1" t="s">
        <v>7</v>
      </c>
      <c r="P9" s="1" t="s">
        <v>32</v>
      </c>
      <c r="Q9" s="1" t="s">
        <v>8</v>
      </c>
      <c r="R9" s="1" t="s">
        <v>27</v>
      </c>
      <c r="S9" s="1" t="s">
        <v>33</v>
      </c>
      <c r="T9" s="2">
        <v>2017</v>
      </c>
      <c r="U9" s="2">
        <v>1</v>
      </c>
      <c r="V9" s="3">
        <v>42736</v>
      </c>
      <c r="W9" s="4">
        <v>2559.5400000000004</v>
      </c>
      <c r="X9" s="48">
        <v>2942</v>
      </c>
    </row>
    <row r="10" spans="2:24" x14ac:dyDescent="0.35">
      <c r="B10" s="8" t="s">
        <v>12</v>
      </c>
      <c r="C10" s="8" t="s">
        <v>34</v>
      </c>
      <c r="D10" s="8" t="s">
        <v>35</v>
      </c>
      <c r="E10" s="8" t="s">
        <v>23</v>
      </c>
      <c r="F10" s="8" t="s">
        <v>36</v>
      </c>
      <c r="G10" s="9">
        <v>2017</v>
      </c>
      <c r="H10" s="9">
        <v>1</v>
      </c>
      <c r="I10" s="10">
        <v>42736</v>
      </c>
      <c r="J10" s="11">
        <v>2288</v>
      </c>
      <c r="K10" s="51"/>
      <c r="O10" s="1" t="s">
        <v>12</v>
      </c>
      <c r="P10" s="1" t="s">
        <v>34</v>
      </c>
      <c r="Q10" s="1" t="s">
        <v>35</v>
      </c>
      <c r="R10" s="1" t="s">
        <v>23</v>
      </c>
      <c r="S10" s="1" t="s">
        <v>36</v>
      </c>
      <c r="T10" s="2">
        <v>2017</v>
      </c>
      <c r="U10" s="2">
        <v>1</v>
      </c>
      <c r="V10" s="3">
        <v>42736</v>
      </c>
      <c r="W10" s="4">
        <v>2082.08</v>
      </c>
      <c r="X10" s="48">
        <v>2288</v>
      </c>
    </row>
    <row r="11" spans="2:24" x14ac:dyDescent="0.35">
      <c r="B11" s="8" t="s">
        <v>14</v>
      </c>
      <c r="C11" s="8" t="s">
        <v>37</v>
      </c>
      <c r="D11" s="8" t="s">
        <v>38</v>
      </c>
      <c r="E11" s="8" t="s">
        <v>23</v>
      </c>
      <c r="F11" s="8" t="s">
        <v>24</v>
      </c>
      <c r="G11" s="9">
        <v>2017</v>
      </c>
      <c r="H11" s="9">
        <v>1</v>
      </c>
      <c r="I11" s="10">
        <v>42736</v>
      </c>
      <c r="J11" s="11">
        <v>2652</v>
      </c>
      <c r="K11" s="51"/>
      <c r="O11" s="1" t="s">
        <v>14</v>
      </c>
      <c r="P11" s="1" t="s">
        <v>37</v>
      </c>
      <c r="Q11" s="1" t="s">
        <v>38</v>
      </c>
      <c r="R11" s="1" t="s">
        <v>23</v>
      </c>
      <c r="S11" s="1" t="s">
        <v>24</v>
      </c>
      <c r="T11" s="2">
        <v>2017</v>
      </c>
      <c r="U11" s="2">
        <v>1</v>
      </c>
      <c r="V11" s="3">
        <v>42736</v>
      </c>
      <c r="W11" s="4">
        <v>2386.7999999999997</v>
      </c>
      <c r="X11" s="48">
        <v>2652</v>
      </c>
    </row>
    <row r="12" spans="2:24" x14ac:dyDescent="0.35">
      <c r="B12" s="8" t="s">
        <v>3</v>
      </c>
      <c r="C12" s="8" t="s">
        <v>25</v>
      </c>
      <c r="D12" s="8" t="s">
        <v>4</v>
      </c>
      <c r="E12" s="8" t="s">
        <v>23</v>
      </c>
      <c r="F12" s="8" t="s">
        <v>39</v>
      </c>
      <c r="G12" s="9">
        <v>2017</v>
      </c>
      <c r="H12" s="9">
        <v>1</v>
      </c>
      <c r="I12" s="10">
        <v>42736</v>
      </c>
      <c r="J12" s="11">
        <v>2310</v>
      </c>
      <c r="K12" s="51"/>
      <c r="O12" s="1" t="s">
        <v>3</v>
      </c>
      <c r="P12" s="1" t="s">
        <v>25</v>
      </c>
      <c r="Q12" s="1" t="s">
        <v>4</v>
      </c>
      <c r="R12" s="1" t="s">
        <v>23</v>
      </c>
      <c r="S12" s="1" t="s">
        <v>39</v>
      </c>
      <c r="T12" s="2">
        <v>2017</v>
      </c>
      <c r="U12" s="2">
        <v>1</v>
      </c>
      <c r="V12" s="3">
        <v>42736</v>
      </c>
      <c r="W12" s="4">
        <v>1963.5000000000002</v>
      </c>
      <c r="X12" s="48">
        <v>2310</v>
      </c>
    </row>
    <row r="13" spans="2:24" x14ac:dyDescent="0.35">
      <c r="B13" s="8" t="s">
        <v>6</v>
      </c>
      <c r="C13" s="8" t="s">
        <v>40</v>
      </c>
      <c r="D13" s="8" t="s">
        <v>41</v>
      </c>
      <c r="E13" s="8" t="s">
        <v>0</v>
      </c>
      <c r="F13" s="8" t="s">
        <v>42</v>
      </c>
      <c r="G13" s="9">
        <v>2017</v>
      </c>
      <c r="H13" s="9">
        <v>1</v>
      </c>
      <c r="I13" s="10">
        <v>42736</v>
      </c>
      <c r="J13" s="11">
        <v>5391</v>
      </c>
      <c r="K13" s="51"/>
      <c r="O13" s="1" t="s">
        <v>6</v>
      </c>
      <c r="P13" s="1" t="s">
        <v>40</v>
      </c>
      <c r="Q13" s="1" t="s">
        <v>41</v>
      </c>
      <c r="R13" s="1" t="s">
        <v>0</v>
      </c>
      <c r="S13" s="1" t="s">
        <v>42</v>
      </c>
      <c r="T13" s="2">
        <v>2017</v>
      </c>
      <c r="U13" s="2">
        <v>1</v>
      </c>
      <c r="V13" s="3">
        <v>42736</v>
      </c>
      <c r="W13" s="4">
        <v>5013.6299999999992</v>
      </c>
      <c r="X13" s="48">
        <v>5391</v>
      </c>
    </row>
    <row r="14" spans="2:24" x14ac:dyDescent="0.35">
      <c r="B14" s="8" t="s">
        <v>7</v>
      </c>
      <c r="C14" s="8" t="s">
        <v>43</v>
      </c>
      <c r="D14" s="8" t="s">
        <v>10</v>
      </c>
      <c r="E14" s="8" t="s">
        <v>0</v>
      </c>
      <c r="F14" s="6" t="s">
        <v>26</v>
      </c>
      <c r="G14" s="9">
        <v>2017</v>
      </c>
      <c r="H14" s="9">
        <v>1</v>
      </c>
      <c r="I14" s="10">
        <v>42736</v>
      </c>
      <c r="J14" s="11">
        <v>3591</v>
      </c>
      <c r="K14" s="51"/>
      <c r="O14" s="1" t="s">
        <v>7</v>
      </c>
      <c r="P14" s="1" t="s">
        <v>43</v>
      </c>
      <c r="Q14" s="1" t="s">
        <v>10</v>
      </c>
      <c r="R14" s="1" t="s">
        <v>0</v>
      </c>
      <c r="S14" t="s">
        <v>26</v>
      </c>
      <c r="T14" s="2">
        <v>2017</v>
      </c>
      <c r="U14" s="2">
        <v>1</v>
      </c>
      <c r="V14" s="3">
        <v>42736</v>
      </c>
      <c r="W14" s="4">
        <v>3375.54</v>
      </c>
      <c r="X14" s="48">
        <v>3591</v>
      </c>
    </row>
    <row r="15" spans="2:24" x14ac:dyDescent="0.35">
      <c r="B15" s="8" t="s">
        <v>12</v>
      </c>
      <c r="C15" s="8" t="s">
        <v>44</v>
      </c>
      <c r="D15" s="8" t="s">
        <v>13</v>
      </c>
      <c r="E15" s="8" t="s">
        <v>0</v>
      </c>
      <c r="F15" s="6" t="s">
        <v>45</v>
      </c>
      <c r="G15" s="9">
        <v>2017</v>
      </c>
      <c r="H15" s="9">
        <v>1</v>
      </c>
      <c r="I15" s="10">
        <v>42736</v>
      </c>
      <c r="J15" s="11">
        <v>3813</v>
      </c>
      <c r="K15" s="51"/>
      <c r="O15" s="1" t="s">
        <v>12</v>
      </c>
      <c r="P15" s="1" t="s">
        <v>44</v>
      </c>
      <c r="Q15" s="1" t="s">
        <v>13</v>
      </c>
      <c r="R15" s="1" t="s">
        <v>0</v>
      </c>
      <c r="S15" t="s">
        <v>45</v>
      </c>
      <c r="T15" s="2">
        <v>2017</v>
      </c>
      <c r="U15" s="2">
        <v>1</v>
      </c>
      <c r="V15" s="3">
        <v>42736</v>
      </c>
      <c r="W15" s="4">
        <v>3279.1800000000003</v>
      </c>
      <c r="X15" s="48">
        <v>3813</v>
      </c>
    </row>
    <row r="16" spans="2:24" x14ac:dyDescent="0.35">
      <c r="B16" s="8" t="s">
        <v>14</v>
      </c>
      <c r="C16" s="8" t="s">
        <v>46</v>
      </c>
      <c r="D16" s="8" t="s">
        <v>47</v>
      </c>
      <c r="E16" s="8" t="s">
        <v>27</v>
      </c>
      <c r="F16" s="6" t="s">
        <v>28</v>
      </c>
      <c r="G16" s="9">
        <v>2017</v>
      </c>
      <c r="H16" s="9">
        <v>1</v>
      </c>
      <c r="I16" s="10">
        <v>42736</v>
      </c>
      <c r="J16" s="11">
        <v>3905</v>
      </c>
      <c r="K16" s="51"/>
      <c r="O16" s="1" t="s">
        <v>14</v>
      </c>
      <c r="P16" s="1" t="s">
        <v>46</v>
      </c>
      <c r="Q16" s="1" t="s">
        <v>47</v>
      </c>
      <c r="R16" s="1" t="s">
        <v>27</v>
      </c>
      <c r="S16" t="s">
        <v>28</v>
      </c>
      <c r="T16" s="2">
        <v>2017</v>
      </c>
      <c r="U16" s="2">
        <v>1</v>
      </c>
      <c r="V16" s="3">
        <v>42736</v>
      </c>
      <c r="W16" s="4">
        <v>3631.6499999999996</v>
      </c>
      <c r="X16" s="48">
        <v>3905</v>
      </c>
    </row>
    <row r="17" spans="2:24" x14ac:dyDescent="0.35">
      <c r="B17" s="8" t="s">
        <v>3</v>
      </c>
      <c r="C17" s="8" t="s">
        <v>22</v>
      </c>
      <c r="D17" s="8" t="s">
        <v>5</v>
      </c>
      <c r="E17" s="8" t="s">
        <v>27</v>
      </c>
      <c r="F17" s="6" t="s">
        <v>31</v>
      </c>
      <c r="G17" s="9">
        <v>2017</v>
      </c>
      <c r="H17" s="9">
        <v>1</v>
      </c>
      <c r="I17" s="10">
        <v>42736</v>
      </c>
      <c r="J17" s="11">
        <v>3482</v>
      </c>
      <c r="K17" s="51"/>
      <c r="O17" s="1" t="s">
        <v>3</v>
      </c>
      <c r="P17" s="1" t="s">
        <v>22</v>
      </c>
      <c r="Q17" s="1" t="s">
        <v>5</v>
      </c>
      <c r="R17" s="1" t="s">
        <v>27</v>
      </c>
      <c r="S17" t="s">
        <v>31</v>
      </c>
      <c r="T17" s="2">
        <v>2017</v>
      </c>
      <c r="U17" s="2">
        <v>1</v>
      </c>
      <c r="V17" s="3">
        <v>42736</v>
      </c>
      <c r="W17" s="4">
        <v>2994.5200000000004</v>
      </c>
      <c r="X17" s="48">
        <v>3482</v>
      </c>
    </row>
    <row r="18" spans="2:24" x14ac:dyDescent="0.35">
      <c r="B18" s="8" t="s">
        <v>6</v>
      </c>
      <c r="C18" s="8" t="s">
        <v>29</v>
      </c>
      <c r="D18" s="8" t="s">
        <v>30</v>
      </c>
      <c r="E18" s="8" t="s">
        <v>27</v>
      </c>
      <c r="F18" s="6" t="s">
        <v>33</v>
      </c>
      <c r="G18" s="9">
        <v>2017</v>
      </c>
      <c r="H18" s="9">
        <v>1</v>
      </c>
      <c r="I18" s="10">
        <v>42736</v>
      </c>
      <c r="J18" s="11">
        <v>3358</v>
      </c>
      <c r="K18" s="51"/>
      <c r="O18" s="1" t="s">
        <v>6</v>
      </c>
      <c r="P18" s="1" t="s">
        <v>29</v>
      </c>
      <c r="Q18" s="1" t="s">
        <v>30</v>
      </c>
      <c r="R18" s="1" t="s">
        <v>27</v>
      </c>
      <c r="S18" t="s">
        <v>33</v>
      </c>
      <c r="T18" s="2">
        <v>2017</v>
      </c>
      <c r="U18" s="2">
        <v>1</v>
      </c>
      <c r="V18" s="3">
        <v>42736</v>
      </c>
      <c r="W18" s="4">
        <v>3055.7799999999997</v>
      </c>
      <c r="X18" s="48">
        <v>3358</v>
      </c>
    </row>
    <row r="19" spans="2:24" x14ac:dyDescent="0.35">
      <c r="B19" s="8" t="s">
        <v>7</v>
      </c>
      <c r="C19" s="8" t="s">
        <v>32</v>
      </c>
      <c r="D19" s="8" t="s">
        <v>8</v>
      </c>
      <c r="E19" s="8" t="s">
        <v>23</v>
      </c>
      <c r="F19" s="6" t="s">
        <v>36</v>
      </c>
      <c r="G19" s="9">
        <v>2017</v>
      </c>
      <c r="H19" s="9">
        <v>1</v>
      </c>
      <c r="I19" s="10">
        <v>42736</v>
      </c>
      <c r="J19" s="11">
        <v>2040</v>
      </c>
      <c r="K19" s="51"/>
      <c r="O19" s="1" t="s">
        <v>7</v>
      </c>
      <c r="P19" s="1" t="s">
        <v>32</v>
      </c>
      <c r="Q19" s="1" t="s">
        <v>8</v>
      </c>
      <c r="R19" s="1" t="s">
        <v>23</v>
      </c>
      <c r="S19" t="s">
        <v>36</v>
      </c>
      <c r="T19" s="2">
        <v>2017</v>
      </c>
      <c r="U19" s="2">
        <v>1</v>
      </c>
      <c r="V19" s="3">
        <v>42736</v>
      </c>
      <c r="W19" s="4">
        <v>1754.4</v>
      </c>
      <c r="X19" s="48">
        <v>2040</v>
      </c>
    </row>
    <row r="20" spans="2:24" x14ac:dyDescent="0.35">
      <c r="B20" s="8" t="s">
        <v>12</v>
      </c>
      <c r="C20" s="8" t="s">
        <v>34</v>
      </c>
      <c r="D20" s="8" t="s">
        <v>35</v>
      </c>
      <c r="E20" s="8" t="s">
        <v>23</v>
      </c>
      <c r="F20" s="6" t="s">
        <v>24</v>
      </c>
      <c r="G20" s="9">
        <v>2017</v>
      </c>
      <c r="H20" s="9">
        <v>1</v>
      </c>
      <c r="I20" s="10">
        <v>42736</v>
      </c>
      <c r="J20" s="11">
        <v>2215</v>
      </c>
      <c r="K20" s="51"/>
      <c r="O20" s="1" t="s">
        <v>12</v>
      </c>
      <c r="P20" s="1" t="s">
        <v>34</v>
      </c>
      <c r="Q20" s="1" t="s">
        <v>35</v>
      </c>
      <c r="R20" s="1" t="s">
        <v>23</v>
      </c>
      <c r="S20" t="s">
        <v>24</v>
      </c>
      <c r="T20" s="2">
        <v>2017</v>
      </c>
      <c r="U20" s="2">
        <v>1</v>
      </c>
      <c r="V20" s="3">
        <v>42736</v>
      </c>
      <c r="W20" s="4">
        <v>2015.6499999999999</v>
      </c>
      <c r="X20" s="48">
        <v>2215</v>
      </c>
    </row>
    <row r="21" spans="2:24" x14ac:dyDescent="0.35">
      <c r="B21" s="8" t="s">
        <v>14</v>
      </c>
      <c r="C21" s="8" t="s">
        <v>37</v>
      </c>
      <c r="D21" s="8" t="s">
        <v>38</v>
      </c>
      <c r="E21" s="8" t="s">
        <v>23</v>
      </c>
      <c r="F21" s="6" t="s">
        <v>39</v>
      </c>
      <c r="G21" s="9">
        <v>2017</v>
      </c>
      <c r="H21" s="9">
        <v>1</v>
      </c>
      <c r="I21" s="10">
        <v>42736</v>
      </c>
      <c r="J21" s="11">
        <v>2892</v>
      </c>
      <c r="K21" s="51"/>
      <c r="O21" s="1" t="s">
        <v>14</v>
      </c>
      <c r="P21" s="1" t="s">
        <v>37</v>
      </c>
      <c r="Q21" s="1" t="s">
        <v>38</v>
      </c>
      <c r="R21" s="1" t="s">
        <v>23</v>
      </c>
      <c r="S21" t="s">
        <v>39</v>
      </c>
      <c r="T21" s="2">
        <v>2017</v>
      </c>
      <c r="U21" s="2">
        <v>1</v>
      </c>
      <c r="V21" s="3">
        <v>42736</v>
      </c>
      <c r="W21" s="4">
        <v>2487.1200000000003</v>
      </c>
      <c r="X21" s="48">
        <v>2892</v>
      </c>
    </row>
    <row r="22" spans="2:24" x14ac:dyDescent="0.35">
      <c r="B22" s="8" t="s">
        <v>3</v>
      </c>
      <c r="C22" s="8" t="s">
        <v>25</v>
      </c>
      <c r="D22" s="8" t="s">
        <v>4</v>
      </c>
      <c r="E22" s="8" t="s">
        <v>0</v>
      </c>
      <c r="F22" s="6" t="s">
        <v>42</v>
      </c>
      <c r="G22" s="9">
        <v>2017</v>
      </c>
      <c r="H22" s="9">
        <v>1</v>
      </c>
      <c r="I22" s="10">
        <v>42736</v>
      </c>
      <c r="J22" s="11">
        <v>4079</v>
      </c>
      <c r="K22" s="51"/>
      <c r="O22" s="1" t="s">
        <v>3</v>
      </c>
      <c r="P22" s="1" t="s">
        <v>25</v>
      </c>
      <c r="Q22" s="1" t="s">
        <v>4</v>
      </c>
      <c r="R22" s="1" t="s">
        <v>0</v>
      </c>
      <c r="S22" t="s">
        <v>42</v>
      </c>
      <c r="T22" s="2">
        <v>2017</v>
      </c>
      <c r="U22" s="2">
        <v>1</v>
      </c>
      <c r="V22" s="3">
        <v>42736</v>
      </c>
      <c r="W22" s="4">
        <v>3752.68</v>
      </c>
      <c r="X22" s="48">
        <v>4079</v>
      </c>
    </row>
    <row r="23" spans="2:24" x14ac:dyDescent="0.35">
      <c r="B23" s="8" t="s">
        <v>6</v>
      </c>
      <c r="C23" s="8" t="s">
        <v>40</v>
      </c>
      <c r="D23" s="8" t="s">
        <v>41</v>
      </c>
      <c r="E23" s="8" t="s">
        <v>0</v>
      </c>
      <c r="F23" s="6" t="s">
        <v>26</v>
      </c>
      <c r="G23" s="9">
        <v>2017</v>
      </c>
      <c r="H23" s="9">
        <v>1</v>
      </c>
      <c r="I23" s="10">
        <v>42736</v>
      </c>
      <c r="J23" s="11">
        <v>3019</v>
      </c>
      <c r="K23" s="51"/>
      <c r="O23" s="1" t="s">
        <v>6</v>
      </c>
      <c r="P23" s="1" t="s">
        <v>40</v>
      </c>
      <c r="Q23" s="1" t="s">
        <v>41</v>
      </c>
      <c r="R23" s="1" t="s">
        <v>0</v>
      </c>
      <c r="S23" t="s">
        <v>26</v>
      </c>
      <c r="T23" s="2">
        <v>2017</v>
      </c>
      <c r="U23" s="2">
        <v>1</v>
      </c>
      <c r="V23" s="3">
        <v>42736</v>
      </c>
      <c r="W23" s="4">
        <v>2837.8599999999997</v>
      </c>
      <c r="X23" s="48">
        <v>3019</v>
      </c>
    </row>
    <row r="24" spans="2:24" x14ac:dyDescent="0.35">
      <c r="B24" s="8" t="s">
        <v>7</v>
      </c>
      <c r="C24" s="8" t="s">
        <v>43</v>
      </c>
      <c r="D24" s="8" t="s">
        <v>10</v>
      </c>
      <c r="E24" s="8" t="s">
        <v>0</v>
      </c>
      <c r="F24" s="6" t="s">
        <v>45</v>
      </c>
      <c r="G24" s="9">
        <v>2017</v>
      </c>
      <c r="H24" s="9">
        <v>1</v>
      </c>
      <c r="I24" s="10">
        <v>42736</v>
      </c>
      <c r="J24" s="11">
        <v>3329</v>
      </c>
      <c r="K24" s="51"/>
      <c r="O24" s="1" t="s">
        <v>7</v>
      </c>
      <c r="P24" s="1" t="s">
        <v>43</v>
      </c>
      <c r="Q24" s="1" t="s">
        <v>10</v>
      </c>
      <c r="R24" s="1" t="s">
        <v>0</v>
      </c>
      <c r="S24" t="s">
        <v>45</v>
      </c>
      <c r="T24" s="2">
        <v>2017</v>
      </c>
      <c r="U24" s="2">
        <v>1</v>
      </c>
      <c r="V24" s="3">
        <v>42736</v>
      </c>
      <c r="W24" s="4">
        <v>2929.5199999999995</v>
      </c>
      <c r="X24" s="48">
        <v>3329</v>
      </c>
    </row>
    <row r="25" spans="2:24" x14ac:dyDescent="0.35">
      <c r="B25" s="8" t="s">
        <v>12</v>
      </c>
      <c r="C25" s="8" t="s">
        <v>44</v>
      </c>
      <c r="D25" s="8" t="s">
        <v>13</v>
      </c>
      <c r="E25" s="9" t="s">
        <v>27</v>
      </c>
      <c r="F25" s="9" t="s">
        <v>28</v>
      </c>
      <c r="G25" s="9">
        <v>2017</v>
      </c>
      <c r="H25" s="9">
        <v>1</v>
      </c>
      <c r="I25" s="10">
        <v>42736</v>
      </c>
      <c r="J25" s="11">
        <v>3661</v>
      </c>
      <c r="K25" s="51"/>
      <c r="O25" s="1" t="s">
        <v>12</v>
      </c>
      <c r="P25" s="1" t="s">
        <v>44</v>
      </c>
      <c r="Q25" s="1" t="s">
        <v>13</v>
      </c>
      <c r="R25" s="2" t="s">
        <v>27</v>
      </c>
      <c r="S25" s="2" t="s">
        <v>28</v>
      </c>
      <c r="T25" s="2">
        <v>2017</v>
      </c>
      <c r="U25" s="2">
        <v>1</v>
      </c>
      <c r="V25" s="3">
        <v>42736</v>
      </c>
      <c r="W25" s="4">
        <v>3441.3399999999997</v>
      </c>
      <c r="X25" s="48">
        <v>3661</v>
      </c>
    </row>
    <row r="26" spans="2:24" x14ac:dyDescent="0.35">
      <c r="B26" s="8" t="s">
        <v>14</v>
      </c>
      <c r="C26" s="8" t="s">
        <v>46</v>
      </c>
      <c r="D26" s="8" t="s">
        <v>47</v>
      </c>
      <c r="E26" s="8" t="s">
        <v>27</v>
      </c>
      <c r="F26" s="9" t="s">
        <v>31</v>
      </c>
      <c r="G26" s="9">
        <v>2017</v>
      </c>
      <c r="H26" s="9">
        <v>1</v>
      </c>
      <c r="I26" s="10">
        <v>42736</v>
      </c>
      <c r="J26" s="11">
        <v>5004</v>
      </c>
      <c r="K26" s="51"/>
      <c r="O26" s="1" t="s">
        <v>14</v>
      </c>
      <c r="P26" s="1" t="s">
        <v>46</v>
      </c>
      <c r="Q26" s="1" t="s">
        <v>47</v>
      </c>
      <c r="R26" s="1" t="s">
        <v>27</v>
      </c>
      <c r="S26" s="2" t="s">
        <v>31</v>
      </c>
      <c r="T26" s="2">
        <v>2017</v>
      </c>
      <c r="U26" s="2">
        <v>1</v>
      </c>
      <c r="V26" s="3">
        <v>42736</v>
      </c>
      <c r="W26" s="4">
        <v>4603.6799999999994</v>
      </c>
      <c r="X26" s="48">
        <v>5004</v>
      </c>
    </row>
    <row r="27" spans="2:24" x14ac:dyDescent="0.35">
      <c r="B27" s="8" t="s">
        <v>3</v>
      </c>
      <c r="C27" s="8" t="s">
        <v>22</v>
      </c>
      <c r="D27" s="8" t="s">
        <v>5</v>
      </c>
      <c r="E27" s="8" t="s">
        <v>27</v>
      </c>
      <c r="F27" s="6" t="s">
        <v>33</v>
      </c>
      <c r="G27" s="9">
        <v>2017</v>
      </c>
      <c r="H27" s="9">
        <v>1</v>
      </c>
      <c r="I27" s="10">
        <v>42736</v>
      </c>
      <c r="J27" s="11">
        <v>4009</v>
      </c>
      <c r="K27" s="51"/>
      <c r="O27" s="1" t="s">
        <v>3</v>
      </c>
      <c r="P27" s="1" t="s">
        <v>22</v>
      </c>
      <c r="Q27" s="1" t="s">
        <v>5</v>
      </c>
      <c r="R27" s="1" t="s">
        <v>27</v>
      </c>
      <c r="S27" t="s">
        <v>33</v>
      </c>
      <c r="T27" s="2">
        <v>2017</v>
      </c>
      <c r="U27" s="2">
        <v>1</v>
      </c>
      <c r="V27" s="3">
        <v>42736</v>
      </c>
      <c r="W27" s="4">
        <v>3768.4599999999996</v>
      </c>
      <c r="X27" s="48">
        <v>4009</v>
      </c>
    </row>
    <row r="28" spans="2:24" x14ac:dyDescent="0.35">
      <c r="B28" s="8" t="s">
        <v>6</v>
      </c>
      <c r="C28" s="8" t="s">
        <v>29</v>
      </c>
      <c r="D28" s="8" t="s">
        <v>30</v>
      </c>
      <c r="E28" s="8" t="s">
        <v>23</v>
      </c>
      <c r="F28" s="8" t="s">
        <v>36</v>
      </c>
      <c r="G28" s="9">
        <v>2017</v>
      </c>
      <c r="H28" s="9">
        <v>1</v>
      </c>
      <c r="I28" s="10">
        <v>42736</v>
      </c>
      <c r="J28" s="11">
        <v>2948</v>
      </c>
      <c r="K28" s="51"/>
      <c r="O28" s="1" t="s">
        <v>6</v>
      </c>
      <c r="P28" s="1" t="s">
        <v>29</v>
      </c>
      <c r="Q28" s="1" t="s">
        <v>30</v>
      </c>
      <c r="R28" s="1" t="s">
        <v>23</v>
      </c>
      <c r="S28" s="1" t="s">
        <v>36</v>
      </c>
      <c r="T28" s="2">
        <v>2017</v>
      </c>
      <c r="U28" s="2">
        <v>1</v>
      </c>
      <c r="V28" s="3">
        <v>42736</v>
      </c>
      <c r="W28" s="4">
        <v>2653.2</v>
      </c>
      <c r="X28" s="48">
        <v>2948</v>
      </c>
    </row>
    <row r="29" spans="2:24" x14ac:dyDescent="0.35">
      <c r="B29" s="8" t="s">
        <v>7</v>
      </c>
      <c r="C29" s="8" t="s">
        <v>32</v>
      </c>
      <c r="D29" s="8" t="s">
        <v>8</v>
      </c>
      <c r="E29" s="8" t="s">
        <v>23</v>
      </c>
      <c r="F29" s="8" t="s">
        <v>24</v>
      </c>
      <c r="G29" s="9">
        <v>2017</v>
      </c>
      <c r="H29" s="9">
        <v>1</v>
      </c>
      <c r="I29" s="10">
        <v>42736</v>
      </c>
      <c r="J29" s="11">
        <v>3067</v>
      </c>
      <c r="K29" s="51"/>
      <c r="O29" s="1" t="s">
        <v>7</v>
      </c>
      <c r="P29" s="1" t="s">
        <v>32</v>
      </c>
      <c r="Q29" s="1" t="s">
        <v>8</v>
      </c>
      <c r="R29" s="1" t="s">
        <v>23</v>
      </c>
      <c r="S29" s="1" t="s">
        <v>24</v>
      </c>
      <c r="T29" s="2">
        <v>2017</v>
      </c>
      <c r="U29" s="2">
        <v>1</v>
      </c>
      <c r="V29" s="3">
        <v>42736</v>
      </c>
      <c r="W29" s="4">
        <v>2729.6299999999997</v>
      </c>
      <c r="X29" s="48">
        <v>3067</v>
      </c>
    </row>
    <row r="30" spans="2:24" x14ac:dyDescent="0.35">
      <c r="B30" s="8" t="s">
        <v>12</v>
      </c>
      <c r="C30" s="8" t="s">
        <v>34</v>
      </c>
      <c r="D30" s="8" t="s">
        <v>35</v>
      </c>
      <c r="E30" s="8" t="s">
        <v>23</v>
      </c>
      <c r="F30" s="8" t="s">
        <v>39</v>
      </c>
      <c r="G30" s="9">
        <v>2017</v>
      </c>
      <c r="H30" s="9">
        <v>1</v>
      </c>
      <c r="I30" s="10">
        <v>42736</v>
      </c>
      <c r="J30" s="11">
        <v>2376</v>
      </c>
      <c r="K30" s="51"/>
      <c r="O30" s="1" t="s">
        <v>12</v>
      </c>
      <c r="P30" s="1" t="s">
        <v>34</v>
      </c>
      <c r="Q30" s="1" t="s">
        <v>35</v>
      </c>
      <c r="R30" s="1" t="s">
        <v>23</v>
      </c>
      <c r="S30" s="1" t="s">
        <v>39</v>
      </c>
      <c r="T30" s="2">
        <v>2017</v>
      </c>
      <c r="U30" s="2">
        <v>1</v>
      </c>
      <c r="V30" s="3">
        <v>42736</v>
      </c>
      <c r="W30" s="4">
        <v>2114.64</v>
      </c>
      <c r="X30" s="48">
        <v>2376</v>
      </c>
    </row>
    <row r="31" spans="2:24" x14ac:dyDescent="0.35">
      <c r="B31" s="8" t="s">
        <v>14</v>
      </c>
      <c r="C31" s="8" t="s">
        <v>37</v>
      </c>
      <c r="D31" s="8" t="s">
        <v>38</v>
      </c>
      <c r="E31" s="8" t="s">
        <v>0</v>
      </c>
      <c r="F31" s="6" t="s">
        <v>42</v>
      </c>
      <c r="G31" s="9">
        <v>2017</v>
      </c>
      <c r="H31" s="9">
        <v>1</v>
      </c>
      <c r="I31" s="10">
        <v>42736</v>
      </c>
      <c r="J31" s="11">
        <v>5334</v>
      </c>
      <c r="K31" s="51"/>
      <c r="O31" s="1" t="s">
        <v>14</v>
      </c>
      <c r="P31" s="1" t="s">
        <v>37</v>
      </c>
      <c r="Q31" s="1" t="s">
        <v>38</v>
      </c>
      <c r="R31" s="1" t="s">
        <v>0</v>
      </c>
      <c r="S31" t="s">
        <v>42</v>
      </c>
      <c r="T31" s="2">
        <v>2017</v>
      </c>
      <c r="U31" s="2">
        <v>1</v>
      </c>
      <c r="V31" s="3">
        <v>42736</v>
      </c>
      <c r="W31" s="4">
        <v>4800.5999999999995</v>
      </c>
      <c r="X31" s="48">
        <v>5334</v>
      </c>
    </row>
    <row r="32" spans="2:24" x14ac:dyDescent="0.35">
      <c r="B32" s="8" t="s">
        <v>6</v>
      </c>
      <c r="C32" s="8" t="s">
        <v>29</v>
      </c>
      <c r="D32" s="8" t="s">
        <v>30</v>
      </c>
      <c r="E32" s="8" t="s">
        <v>0</v>
      </c>
      <c r="F32" s="6" t="s">
        <v>45</v>
      </c>
      <c r="G32" s="9">
        <v>2017</v>
      </c>
      <c r="H32" s="9">
        <v>1</v>
      </c>
      <c r="I32" s="10">
        <v>42736</v>
      </c>
      <c r="J32" s="11">
        <v>4432</v>
      </c>
      <c r="K32" s="51"/>
      <c r="O32" s="1" t="s">
        <v>6</v>
      </c>
      <c r="P32" s="1" t="s">
        <v>29</v>
      </c>
      <c r="Q32" s="1" t="s">
        <v>30</v>
      </c>
      <c r="R32" s="1" t="s">
        <v>0</v>
      </c>
      <c r="S32" t="s">
        <v>45</v>
      </c>
      <c r="T32" s="2">
        <v>2017</v>
      </c>
      <c r="U32" s="2">
        <v>1</v>
      </c>
      <c r="V32" s="3">
        <v>42736</v>
      </c>
      <c r="W32" s="4">
        <v>4166.08</v>
      </c>
      <c r="X32" s="48">
        <v>4432</v>
      </c>
    </row>
    <row r="33" spans="2:24" x14ac:dyDescent="0.35">
      <c r="B33" s="8" t="s">
        <v>7</v>
      </c>
      <c r="C33" s="8" t="s">
        <v>43</v>
      </c>
      <c r="D33" s="8" t="s">
        <v>10</v>
      </c>
      <c r="E33" s="8" t="s">
        <v>27</v>
      </c>
      <c r="F33" s="6" t="s">
        <v>28</v>
      </c>
      <c r="G33" s="9">
        <v>2017</v>
      </c>
      <c r="H33" s="9">
        <v>1</v>
      </c>
      <c r="I33" s="10">
        <v>42736</v>
      </c>
      <c r="J33" s="11">
        <v>5012</v>
      </c>
      <c r="K33" s="51"/>
      <c r="O33" s="1" t="s">
        <v>7</v>
      </c>
      <c r="P33" s="1" t="s">
        <v>43</v>
      </c>
      <c r="Q33" s="1" t="s">
        <v>10</v>
      </c>
      <c r="R33" s="1" t="s">
        <v>27</v>
      </c>
      <c r="S33" t="s">
        <v>28</v>
      </c>
      <c r="T33" s="2">
        <v>2017</v>
      </c>
      <c r="U33" s="2">
        <v>1</v>
      </c>
      <c r="V33" s="3">
        <v>42736</v>
      </c>
      <c r="W33" s="4">
        <v>4611.04</v>
      </c>
      <c r="X33" s="48">
        <v>5012</v>
      </c>
    </row>
    <row r="34" spans="2:24" x14ac:dyDescent="0.35">
      <c r="B34" s="8" t="s">
        <v>12</v>
      </c>
      <c r="C34" s="8" t="s">
        <v>44</v>
      </c>
      <c r="D34" s="8" t="s">
        <v>13</v>
      </c>
      <c r="E34" s="9" t="s">
        <v>27</v>
      </c>
      <c r="F34" s="9" t="s">
        <v>31</v>
      </c>
      <c r="G34" s="9">
        <v>2017</v>
      </c>
      <c r="H34" s="9">
        <v>1</v>
      </c>
      <c r="I34" s="10">
        <v>42736</v>
      </c>
      <c r="J34" s="11">
        <v>3339</v>
      </c>
      <c r="K34" s="51"/>
      <c r="O34" s="1" t="s">
        <v>12</v>
      </c>
      <c r="P34" s="1" t="s">
        <v>44</v>
      </c>
      <c r="Q34" s="1" t="s">
        <v>13</v>
      </c>
      <c r="R34" s="2" t="s">
        <v>27</v>
      </c>
      <c r="S34" s="2" t="s">
        <v>31</v>
      </c>
      <c r="T34" s="2">
        <v>2017</v>
      </c>
      <c r="U34" s="2">
        <v>1</v>
      </c>
      <c r="V34" s="3">
        <v>42736</v>
      </c>
      <c r="W34" s="4">
        <v>3105.27</v>
      </c>
      <c r="X34" s="48">
        <v>3339</v>
      </c>
    </row>
    <row r="35" spans="2:24" x14ac:dyDescent="0.35">
      <c r="B35" s="8" t="s">
        <v>14</v>
      </c>
      <c r="C35" s="8" t="s">
        <v>46</v>
      </c>
      <c r="D35" s="8" t="s">
        <v>47</v>
      </c>
      <c r="E35" s="8" t="s">
        <v>27</v>
      </c>
      <c r="F35" s="9" t="s">
        <v>33</v>
      </c>
      <c r="G35" s="9">
        <v>2017</v>
      </c>
      <c r="H35" s="9">
        <v>1</v>
      </c>
      <c r="I35" s="10">
        <v>42736</v>
      </c>
      <c r="J35" s="11">
        <v>3625</v>
      </c>
      <c r="K35" s="51"/>
      <c r="O35" s="1" t="s">
        <v>14</v>
      </c>
      <c r="P35" s="1" t="s">
        <v>46</v>
      </c>
      <c r="Q35" s="1" t="s">
        <v>47</v>
      </c>
      <c r="R35" s="1" t="s">
        <v>27</v>
      </c>
      <c r="S35" s="2" t="s">
        <v>33</v>
      </c>
      <c r="T35" s="2">
        <v>2017</v>
      </c>
      <c r="U35" s="2">
        <v>1</v>
      </c>
      <c r="V35" s="3">
        <v>42736</v>
      </c>
      <c r="W35" s="4">
        <v>3407.5</v>
      </c>
      <c r="X35" s="48">
        <v>3625</v>
      </c>
    </row>
    <row r="36" spans="2:24" x14ac:dyDescent="0.35">
      <c r="B36" s="8" t="s">
        <v>3</v>
      </c>
      <c r="C36" s="8" t="s">
        <v>22</v>
      </c>
      <c r="D36" s="8" t="s">
        <v>5</v>
      </c>
      <c r="E36" s="8" t="s">
        <v>23</v>
      </c>
      <c r="F36" s="6" t="s">
        <v>36</v>
      </c>
      <c r="G36" s="9">
        <v>2017</v>
      </c>
      <c r="H36" s="9">
        <v>1</v>
      </c>
      <c r="I36" s="10">
        <v>42736</v>
      </c>
      <c r="J36" s="11">
        <v>1648</v>
      </c>
      <c r="K36" s="51"/>
      <c r="O36" s="1" t="s">
        <v>3</v>
      </c>
      <c r="P36" s="1" t="s">
        <v>22</v>
      </c>
      <c r="Q36" s="1" t="s">
        <v>5</v>
      </c>
      <c r="R36" s="1" t="s">
        <v>23</v>
      </c>
      <c r="S36" t="s">
        <v>36</v>
      </c>
      <c r="T36" s="2">
        <v>2017</v>
      </c>
      <c r="U36" s="2">
        <v>1</v>
      </c>
      <c r="V36" s="3">
        <v>42736</v>
      </c>
      <c r="W36" s="4">
        <v>1417.2800000000002</v>
      </c>
      <c r="X36" s="48">
        <v>1648</v>
      </c>
    </row>
    <row r="37" spans="2:24" x14ac:dyDescent="0.35">
      <c r="B37" s="8" t="s">
        <v>6</v>
      </c>
      <c r="C37" s="8" t="s">
        <v>40</v>
      </c>
      <c r="D37" s="8" t="s">
        <v>41</v>
      </c>
      <c r="E37" s="8" t="s">
        <v>23</v>
      </c>
      <c r="F37" s="8" t="s">
        <v>24</v>
      </c>
      <c r="G37" s="9">
        <v>2017</v>
      </c>
      <c r="H37" s="9">
        <v>1</v>
      </c>
      <c r="I37" s="10">
        <v>42736</v>
      </c>
      <c r="J37" s="11">
        <v>2748</v>
      </c>
      <c r="K37" s="51"/>
      <c r="O37" s="1" t="s">
        <v>6</v>
      </c>
      <c r="P37" s="1" t="s">
        <v>40</v>
      </c>
      <c r="Q37" s="1" t="s">
        <v>41</v>
      </c>
      <c r="R37" s="1" t="s">
        <v>23</v>
      </c>
      <c r="S37" s="1" t="s">
        <v>24</v>
      </c>
      <c r="T37" s="2">
        <v>2017</v>
      </c>
      <c r="U37" s="2">
        <v>1</v>
      </c>
      <c r="V37" s="3">
        <v>42736</v>
      </c>
      <c r="W37" s="4">
        <v>2390.7600000000002</v>
      </c>
      <c r="X37" s="48">
        <v>2748</v>
      </c>
    </row>
    <row r="38" spans="2:24" x14ac:dyDescent="0.35">
      <c r="B38" s="8" t="s">
        <v>7</v>
      </c>
      <c r="C38" s="8" t="s">
        <v>32</v>
      </c>
      <c r="D38" s="8" t="s">
        <v>8</v>
      </c>
      <c r="E38" s="8" t="s">
        <v>23</v>
      </c>
      <c r="F38" s="8" t="s">
        <v>39</v>
      </c>
      <c r="G38" s="9">
        <v>2017</v>
      </c>
      <c r="H38" s="9">
        <v>1</v>
      </c>
      <c r="I38" s="10">
        <v>42736</v>
      </c>
      <c r="J38" s="11">
        <v>2729</v>
      </c>
      <c r="K38" s="51"/>
      <c r="O38" s="1" t="s">
        <v>7</v>
      </c>
      <c r="P38" s="1" t="s">
        <v>32</v>
      </c>
      <c r="Q38" s="1" t="s">
        <v>8</v>
      </c>
      <c r="R38" s="1" t="s">
        <v>23</v>
      </c>
      <c r="S38" s="1" t="s">
        <v>39</v>
      </c>
      <c r="T38" s="2">
        <v>2017</v>
      </c>
      <c r="U38" s="2">
        <v>1</v>
      </c>
      <c r="V38" s="3">
        <v>42736</v>
      </c>
      <c r="W38" s="4">
        <v>2456.1</v>
      </c>
      <c r="X38" s="48">
        <v>2729</v>
      </c>
    </row>
    <row r="39" spans="2:24" x14ac:dyDescent="0.35">
      <c r="B39" s="8" t="s">
        <v>12</v>
      </c>
      <c r="C39" s="8" t="s">
        <v>34</v>
      </c>
      <c r="D39" s="8" t="s">
        <v>35</v>
      </c>
      <c r="E39" s="8" t="s">
        <v>0</v>
      </c>
      <c r="F39" s="8" t="s">
        <v>42</v>
      </c>
      <c r="G39" s="9">
        <v>2017</v>
      </c>
      <c r="H39" s="9">
        <v>1</v>
      </c>
      <c r="I39" s="10">
        <v>42736</v>
      </c>
      <c r="J39" s="11">
        <v>4961</v>
      </c>
      <c r="K39" s="51"/>
      <c r="O39" s="1" t="s">
        <v>12</v>
      </c>
      <c r="P39" s="1" t="s">
        <v>34</v>
      </c>
      <c r="Q39" s="1" t="s">
        <v>35</v>
      </c>
      <c r="R39" s="1" t="s">
        <v>0</v>
      </c>
      <c r="S39" s="1" t="s">
        <v>42</v>
      </c>
      <c r="T39" s="2">
        <v>2017</v>
      </c>
      <c r="U39" s="2">
        <v>1</v>
      </c>
      <c r="V39" s="3">
        <v>42736</v>
      </c>
      <c r="W39" s="4">
        <v>4464.8999999999996</v>
      </c>
      <c r="X39" s="48">
        <v>4961</v>
      </c>
    </row>
    <row r="40" spans="2:24" x14ac:dyDescent="0.35">
      <c r="B40" s="8" t="s">
        <v>14</v>
      </c>
      <c r="C40" s="8" t="s">
        <v>37</v>
      </c>
      <c r="D40" s="8" t="s">
        <v>38</v>
      </c>
      <c r="E40" s="8" t="s">
        <v>0</v>
      </c>
      <c r="F40" s="6" t="s">
        <v>26</v>
      </c>
      <c r="G40" s="9">
        <v>2017</v>
      </c>
      <c r="H40" s="9">
        <v>1</v>
      </c>
      <c r="I40" s="10">
        <v>42736</v>
      </c>
      <c r="J40" s="11">
        <v>5501</v>
      </c>
      <c r="K40" s="51"/>
      <c r="O40" s="1" t="s">
        <v>14</v>
      </c>
      <c r="P40" s="1" t="s">
        <v>37</v>
      </c>
      <c r="Q40" s="1" t="s">
        <v>38</v>
      </c>
      <c r="R40" s="1" t="s">
        <v>0</v>
      </c>
      <c r="S40" t="s">
        <v>26</v>
      </c>
      <c r="T40" s="2">
        <v>2017</v>
      </c>
      <c r="U40" s="2">
        <v>1</v>
      </c>
      <c r="V40" s="3">
        <v>42736</v>
      </c>
      <c r="W40" s="4">
        <v>4895.8899999999994</v>
      </c>
      <c r="X40" s="48">
        <v>5501</v>
      </c>
    </row>
    <row r="41" spans="2:24" x14ac:dyDescent="0.35">
      <c r="B41" s="8" t="s">
        <v>3</v>
      </c>
      <c r="C41" s="8" t="s">
        <v>25</v>
      </c>
      <c r="D41" s="8" t="s">
        <v>4</v>
      </c>
      <c r="E41" s="8" t="s">
        <v>0</v>
      </c>
      <c r="F41" s="6" t="s">
        <v>45</v>
      </c>
      <c r="G41" s="9">
        <v>2017</v>
      </c>
      <c r="H41" s="9">
        <v>1</v>
      </c>
      <c r="I41" s="10">
        <v>42736</v>
      </c>
      <c r="J41" s="11">
        <v>4331</v>
      </c>
      <c r="K41" s="51"/>
      <c r="O41" s="1" t="s">
        <v>3</v>
      </c>
      <c r="P41" s="1" t="s">
        <v>25</v>
      </c>
      <c r="Q41" s="1" t="s">
        <v>4</v>
      </c>
      <c r="R41" s="1" t="s">
        <v>0</v>
      </c>
      <c r="S41" t="s">
        <v>45</v>
      </c>
      <c r="T41" s="2">
        <v>2017</v>
      </c>
      <c r="U41" s="2">
        <v>1</v>
      </c>
      <c r="V41" s="3">
        <v>42736</v>
      </c>
      <c r="W41" s="4">
        <v>4027.83</v>
      </c>
      <c r="X41" s="48">
        <v>4331</v>
      </c>
    </row>
    <row r="42" spans="2:24" x14ac:dyDescent="0.35">
      <c r="B42" s="8" t="s">
        <v>6</v>
      </c>
      <c r="C42" s="8" t="s">
        <v>29</v>
      </c>
      <c r="D42" s="8" t="s">
        <v>30</v>
      </c>
      <c r="E42" s="8" t="s">
        <v>27</v>
      </c>
      <c r="F42" s="6" t="s">
        <v>28</v>
      </c>
      <c r="G42" s="9">
        <v>2017</v>
      </c>
      <c r="H42" s="9">
        <v>1</v>
      </c>
      <c r="I42" s="10">
        <v>42736</v>
      </c>
      <c r="J42" s="11">
        <v>3688</v>
      </c>
      <c r="K42" s="51"/>
      <c r="O42" s="1" t="s">
        <v>6</v>
      </c>
      <c r="P42" s="1" t="s">
        <v>29</v>
      </c>
      <c r="Q42" s="1" t="s">
        <v>30</v>
      </c>
      <c r="R42" s="1" t="s">
        <v>27</v>
      </c>
      <c r="S42" t="s">
        <v>28</v>
      </c>
      <c r="T42" s="2">
        <v>2017</v>
      </c>
      <c r="U42" s="2">
        <v>1</v>
      </c>
      <c r="V42" s="3">
        <v>42736</v>
      </c>
      <c r="W42" s="4">
        <v>3319.2</v>
      </c>
      <c r="X42" s="48">
        <v>3688</v>
      </c>
    </row>
    <row r="43" spans="2:24" x14ac:dyDescent="0.35">
      <c r="B43" s="8" t="s">
        <v>7</v>
      </c>
      <c r="C43" s="8" t="s">
        <v>43</v>
      </c>
      <c r="D43" s="8" t="s">
        <v>10</v>
      </c>
      <c r="E43" s="9" t="s">
        <v>27</v>
      </c>
      <c r="F43" s="9" t="s">
        <v>31</v>
      </c>
      <c r="G43" s="9">
        <v>2017</v>
      </c>
      <c r="H43" s="9">
        <v>1</v>
      </c>
      <c r="I43" s="10">
        <v>42736</v>
      </c>
      <c r="J43" s="11">
        <v>3976</v>
      </c>
      <c r="K43" s="51"/>
      <c r="O43" s="1" t="s">
        <v>7</v>
      </c>
      <c r="P43" s="1" t="s">
        <v>43</v>
      </c>
      <c r="Q43" s="1" t="s">
        <v>10</v>
      </c>
      <c r="R43" s="2" t="s">
        <v>27</v>
      </c>
      <c r="S43" s="2" t="s">
        <v>31</v>
      </c>
      <c r="T43" s="2">
        <v>2017</v>
      </c>
      <c r="U43" s="2">
        <v>1</v>
      </c>
      <c r="V43" s="3">
        <v>42736</v>
      </c>
      <c r="W43" s="4">
        <v>3419.3600000000006</v>
      </c>
      <c r="X43" s="48">
        <v>3976</v>
      </c>
    </row>
    <row r="44" spans="2:24" x14ac:dyDescent="0.35">
      <c r="B44" s="8" t="s">
        <v>12</v>
      </c>
      <c r="C44" s="8" t="s">
        <v>44</v>
      </c>
      <c r="D44" s="8" t="s">
        <v>13</v>
      </c>
      <c r="E44" s="8" t="s">
        <v>27</v>
      </c>
      <c r="F44" s="9" t="s">
        <v>33</v>
      </c>
      <c r="G44" s="9">
        <v>2017</v>
      </c>
      <c r="H44" s="9">
        <v>1</v>
      </c>
      <c r="I44" s="10">
        <v>42736</v>
      </c>
      <c r="J44" s="11">
        <v>3469</v>
      </c>
      <c r="K44" s="51"/>
      <c r="O44" s="1" t="s">
        <v>12</v>
      </c>
      <c r="P44" s="1" t="s">
        <v>44</v>
      </c>
      <c r="Q44" s="1" t="s">
        <v>13</v>
      </c>
      <c r="R44" s="1" t="s">
        <v>27</v>
      </c>
      <c r="S44" s="2" t="s">
        <v>33</v>
      </c>
      <c r="T44" s="2">
        <v>2017</v>
      </c>
      <c r="U44" s="2">
        <v>1</v>
      </c>
      <c r="V44" s="3">
        <v>42736</v>
      </c>
      <c r="W44" s="4">
        <v>2948.6500000000005</v>
      </c>
      <c r="X44" s="48">
        <v>3469</v>
      </c>
    </row>
    <row r="45" spans="2:24" x14ac:dyDescent="0.35">
      <c r="B45" s="8" t="s">
        <v>14</v>
      </c>
      <c r="C45" s="8" t="s">
        <v>46</v>
      </c>
      <c r="D45" s="8" t="s">
        <v>47</v>
      </c>
      <c r="E45" s="8" t="s">
        <v>23</v>
      </c>
      <c r="F45" s="6" t="s">
        <v>36</v>
      </c>
      <c r="G45" s="9">
        <v>2017</v>
      </c>
      <c r="H45" s="9">
        <v>1</v>
      </c>
      <c r="I45" s="10">
        <v>42736</v>
      </c>
      <c r="J45" s="11">
        <v>1989</v>
      </c>
      <c r="K45" s="51"/>
      <c r="O45" s="1" t="s">
        <v>14</v>
      </c>
      <c r="P45" s="1" t="s">
        <v>46</v>
      </c>
      <c r="Q45" s="1" t="s">
        <v>47</v>
      </c>
      <c r="R45" s="1" t="s">
        <v>23</v>
      </c>
      <c r="S45" t="s">
        <v>36</v>
      </c>
      <c r="T45" s="2">
        <v>2017</v>
      </c>
      <c r="U45" s="2">
        <v>1</v>
      </c>
      <c r="V45" s="3">
        <v>42736</v>
      </c>
      <c r="W45" s="4">
        <v>1809.9899999999998</v>
      </c>
      <c r="X45" s="48">
        <v>1989</v>
      </c>
    </row>
    <row r="46" spans="2:24" x14ac:dyDescent="0.35">
      <c r="B46" s="8" t="s">
        <v>6</v>
      </c>
      <c r="C46" s="8" t="s">
        <v>29</v>
      </c>
      <c r="D46" s="8" t="s">
        <v>30</v>
      </c>
      <c r="E46" s="8" t="s">
        <v>23</v>
      </c>
      <c r="F46" s="8" t="s">
        <v>39</v>
      </c>
      <c r="G46" s="9">
        <v>2017</v>
      </c>
      <c r="H46" s="9">
        <v>1</v>
      </c>
      <c r="I46" s="10">
        <v>42736</v>
      </c>
      <c r="J46" s="11">
        <v>1900</v>
      </c>
      <c r="K46" s="51"/>
      <c r="O46" s="1" t="s">
        <v>6</v>
      </c>
      <c r="P46" s="1" t="s">
        <v>29</v>
      </c>
      <c r="Q46" s="1" t="s">
        <v>30</v>
      </c>
      <c r="R46" s="1" t="s">
        <v>23</v>
      </c>
      <c r="S46" s="1" t="s">
        <v>39</v>
      </c>
      <c r="T46" s="2">
        <v>2017</v>
      </c>
      <c r="U46" s="2">
        <v>1</v>
      </c>
      <c r="V46" s="3">
        <v>42736</v>
      </c>
      <c r="W46" s="4">
        <v>1709.9999999999998</v>
      </c>
      <c r="X46" s="48">
        <v>1900</v>
      </c>
    </row>
    <row r="47" spans="2:24" x14ac:dyDescent="0.35">
      <c r="B47" s="8" t="s">
        <v>7</v>
      </c>
      <c r="C47" s="8" t="s">
        <v>32</v>
      </c>
      <c r="D47" s="8" t="s">
        <v>8</v>
      </c>
      <c r="E47" s="8" t="s">
        <v>0</v>
      </c>
      <c r="F47" s="8" t="s">
        <v>42</v>
      </c>
      <c r="G47" s="9">
        <v>2017</v>
      </c>
      <c r="H47" s="9">
        <v>1</v>
      </c>
      <c r="I47" s="10">
        <v>42736</v>
      </c>
      <c r="J47" s="11">
        <v>5752</v>
      </c>
      <c r="K47" s="51"/>
      <c r="O47" s="1" t="s">
        <v>7</v>
      </c>
      <c r="P47" s="1" t="s">
        <v>32</v>
      </c>
      <c r="Q47" s="1" t="s">
        <v>8</v>
      </c>
      <c r="R47" s="1" t="s">
        <v>0</v>
      </c>
      <c r="S47" s="1" t="s">
        <v>42</v>
      </c>
      <c r="T47" s="2">
        <v>2017</v>
      </c>
      <c r="U47" s="2">
        <v>1</v>
      </c>
      <c r="V47" s="3">
        <v>42736</v>
      </c>
      <c r="W47" s="4">
        <v>5406.88</v>
      </c>
      <c r="X47" s="48">
        <v>5752</v>
      </c>
    </row>
    <row r="48" spans="2:24" x14ac:dyDescent="0.35">
      <c r="B48" s="8" t="s">
        <v>12</v>
      </c>
      <c r="C48" s="8" t="s">
        <v>44</v>
      </c>
      <c r="D48" s="8" t="s">
        <v>13</v>
      </c>
      <c r="E48" s="8" t="s">
        <v>0</v>
      </c>
      <c r="F48" s="8" t="s">
        <v>26</v>
      </c>
      <c r="G48" s="9">
        <v>2017</v>
      </c>
      <c r="H48" s="9">
        <v>1</v>
      </c>
      <c r="I48" s="10">
        <v>42736</v>
      </c>
      <c r="J48" s="12">
        <v>3810</v>
      </c>
      <c r="K48" s="51"/>
      <c r="O48" s="1" t="s">
        <v>12</v>
      </c>
      <c r="P48" s="1" t="s">
        <v>44</v>
      </c>
      <c r="Q48" s="1" t="s">
        <v>13</v>
      </c>
      <c r="R48" s="1" t="s">
        <v>0</v>
      </c>
      <c r="S48" s="1" t="s">
        <v>26</v>
      </c>
      <c r="T48" s="2">
        <v>2017</v>
      </c>
      <c r="U48" s="2">
        <v>1</v>
      </c>
      <c r="V48" s="3">
        <v>42736</v>
      </c>
      <c r="W48" s="4">
        <v>3352.7999999999997</v>
      </c>
      <c r="X48" s="49">
        <v>3810</v>
      </c>
    </row>
    <row r="49" spans="2:24" x14ac:dyDescent="0.35">
      <c r="B49" s="8" t="s">
        <v>14</v>
      </c>
      <c r="C49" s="8" t="s">
        <v>37</v>
      </c>
      <c r="D49" s="8" t="s">
        <v>38</v>
      </c>
      <c r="E49" s="8" t="s">
        <v>0</v>
      </c>
      <c r="F49" s="6" t="s">
        <v>45</v>
      </c>
      <c r="G49" s="9">
        <v>2017</v>
      </c>
      <c r="H49" s="9">
        <v>1</v>
      </c>
      <c r="I49" s="10">
        <v>42736</v>
      </c>
      <c r="J49" s="12">
        <v>4204</v>
      </c>
      <c r="K49" s="51"/>
      <c r="O49" s="1" t="s">
        <v>14</v>
      </c>
      <c r="P49" s="1" t="s">
        <v>37</v>
      </c>
      <c r="Q49" s="1" t="s">
        <v>38</v>
      </c>
      <c r="R49" s="1" t="s">
        <v>0</v>
      </c>
      <c r="S49" t="s">
        <v>45</v>
      </c>
      <c r="T49" s="2">
        <v>2017</v>
      </c>
      <c r="U49" s="2">
        <v>1</v>
      </c>
      <c r="V49" s="3">
        <v>42736</v>
      </c>
      <c r="W49" s="4">
        <v>3825.6399999999994</v>
      </c>
      <c r="X49" s="49">
        <v>4204</v>
      </c>
    </row>
    <row r="50" spans="2:24" x14ac:dyDescent="0.35">
      <c r="B50" s="8" t="s">
        <v>3</v>
      </c>
      <c r="C50" s="8" t="s">
        <v>25</v>
      </c>
      <c r="D50" s="8" t="s">
        <v>4</v>
      </c>
      <c r="E50" s="8" t="s">
        <v>27</v>
      </c>
      <c r="F50" s="6" t="s">
        <v>28</v>
      </c>
      <c r="G50" s="9">
        <v>2017</v>
      </c>
      <c r="H50" s="9">
        <v>1</v>
      </c>
      <c r="I50" s="10">
        <v>42736</v>
      </c>
      <c r="J50" s="12">
        <v>4727</v>
      </c>
      <c r="K50" s="51"/>
      <c r="O50" s="1" t="s">
        <v>3</v>
      </c>
      <c r="P50" s="1" t="s">
        <v>25</v>
      </c>
      <c r="Q50" s="1" t="s">
        <v>4</v>
      </c>
      <c r="R50" s="1" t="s">
        <v>27</v>
      </c>
      <c r="S50" t="s">
        <v>28</v>
      </c>
      <c r="T50" s="2">
        <v>2017</v>
      </c>
      <c r="U50" s="2">
        <v>1</v>
      </c>
      <c r="V50" s="3">
        <v>42736</v>
      </c>
      <c r="W50" s="4">
        <v>4254.2999999999993</v>
      </c>
      <c r="X50" s="49">
        <v>4727</v>
      </c>
    </row>
    <row r="51" spans="2:24" x14ac:dyDescent="0.35">
      <c r="B51" s="8" t="s">
        <v>3</v>
      </c>
      <c r="C51" s="8" t="s">
        <v>25</v>
      </c>
      <c r="D51" s="8" t="s">
        <v>4</v>
      </c>
      <c r="E51" s="8" t="s">
        <v>27</v>
      </c>
      <c r="F51" s="6" t="s">
        <v>31</v>
      </c>
      <c r="G51" s="9">
        <v>2017</v>
      </c>
      <c r="H51" s="9">
        <v>1</v>
      </c>
      <c r="I51" s="10">
        <v>42736</v>
      </c>
      <c r="J51" s="12">
        <v>5439</v>
      </c>
      <c r="K51" s="51"/>
      <c r="O51" s="1" t="s">
        <v>3</v>
      </c>
      <c r="P51" s="1" t="s">
        <v>25</v>
      </c>
      <c r="Q51" s="1" t="s">
        <v>4</v>
      </c>
      <c r="R51" s="1" t="s">
        <v>27</v>
      </c>
      <c r="S51" t="s">
        <v>31</v>
      </c>
      <c r="T51" s="2">
        <v>2017</v>
      </c>
      <c r="U51" s="2">
        <v>1</v>
      </c>
      <c r="V51" s="3">
        <v>42736</v>
      </c>
      <c r="W51" s="4">
        <v>4623.1500000000005</v>
      </c>
      <c r="X51" s="49">
        <v>5439</v>
      </c>
    </row>
    <row r="52" spans="2:24" x14ac:dyDescent="0.35">
      <c r="B52" s="8" t="s">
        <v>6</v>
      </c>
      <c r="C52" s="8" t="s">
        <v>40</v>
      </c>
      <c r="D52" s="8" t="s">
        <v>41</v>
      </c>
      <c r="E52" s="9" t="s">
        <v>27</v>
      </c>
      <c r="F52" s="9" t="s">
        <v>33</v>
      </c>
      <c r="G52" s="9">
        <v>2017</v>
      </c>
      <c r="H52" s="9">
        <v>1</v>
      </c>
      <c r="I52" s="10">
        <v>42736</v>
      </c>
      <c r="J52" s="11">
        <v>3503</v>
      </c>
      <c r="K52" s="51"/>
      <c r="O52" s="1" t="s">
        <v>6</v>
      </c>
      <c r="P52" s="1" t="s">
        <v>40</v>
      </c>
      <c r="Q52" s="1" t="s">
        <v>41</v>
      </c>
      <c r="R52" s="2" t="s">
        <v>27</v>
      </c>
      <c r="S52" s="2" t="s">
        <v>33</v>
      </c>
      <c r="T52" s="2">
        <v>2017</v>
      </c>
      <c r="U52" s="2">
        <v>1</v>
      </c>
      <c r="V52" s="3">
        <v>42736</v>
      </c>
      <c r="W52" s="4">
        <v>3222.7599999999998</v>
      </c>
      <c r="X52" s="48">
        <v>3503</v>
      </c>
    </row>
    <row r="53" spans="2:24" x14ac:dyDescent="0.35">
      <c r="B53" s="8" t="s">
        <v>6</v>
      </c>
      <c r="C53" s="8" t="s">
        <v>40</v>
      </c>
      <c r="D53" s="8" t="s">
        <v>41</v>
      </c>
      <c r="E53" s="8" t="s">
        <v>23</v>
      </c>
      <c r="F53" s="9" t="s">
        <v>36</v>
      </c>
      <c r="G53" s="9">
        <v>2017</v>
      </c>
      <c r="H53" s="9">
        <v>1</v>
      </c>
      <c r="I53" s="10">
        <v>42736</v>
      </c>
      <c r="J53" s="11">
        <v>2961</v>
      </c>
      <c r="K53" s="51"/>
      <c r="O53" s="1" t="s">
        <v>6</v>
      </c>
      <c r="P53" s="1" t="s">
        <v>40</v>
      </c>
      <c r="Q53" s="1" t="s">
        <v>41</v>
      </c>
      <c r="R53" s="1" t="s">
        <v>23</v>
      </c>
      <c r="S53" s="2" t="s">
        <v>36</v>
      </c>
      <c r="T53" s="2">
        <v>2017</v>
      </c>
      <c r="U53" s="2">
        <v>1</v>
      </c>
      <c r="V53" s="3">
        <v>42736</v>
      </c>
      <c r="W53" s="4">
        <v>2664.8999999999996</v>
      </c>
      <c r="X53" s="48">
        <v>2961</v>
      </c>
    </row>
    <row r="54" spans="2:24" x14ac:dyDescent="0.35">
      <c r="B54" s="8" t="s">
        <v>7</v>
      </c>
      <c r="C54" s="8" t="s">
        <v>43</v>
      </c>
      <c r="D54" s="8" t="s">
        <v>10</v>
      </c>
      <c r="E54" s="8" t="s">
        <v>23</v>
      </c>
      <c r="F54" s="6" t="s">
        <v>24</v>
      </c>
      <c r="G54" s="9">
        <v>2017</v>
      </c>
      <c r="H54" s="9">
        <v>1</v>
      </c>
      <c r="I54" s="10">
        <v>42736</v>
      </c>
      <c r="J54" s="11">
        <v>1902</v>
      </c>
      <c r="K54" s="51"/>
      <c r="O54" s="1" t="s">
        <v>7</v>
      </c>
      <c r="P54" s="1" t="s">
        <v>43</v>
      </c>
      <c r="Q54" s="1" t="s">
        <v>10</v>
      </c>
      <c r="R54" s="1" t="s">
        <v>23</v>
      </c>
      <c r="S54" t="s">
        <v>24</v>
      </c>
      <c r="T54" s="2">
        <v>2017</v>
      </c>
      <c r="U54" s="2">
        <v>1</v>
      </c>
      <c r="V54" s="3">
        <v>42736</v>
      </c>
      <c r="W54" s="4">
        <v>1749.84</v>
      </c>
      <c r="X54" s="48">
        <v>1902</v>
      </c>
    </row>
    <row r="55" spans="2:24" x14ac:dyDescent="0.35">
      <c r="B55" s="8" t="s">
        <v>7</v>
      </c>
      <c r="C55" s="8" t="s">
        <v>43</v>
      </c>
      <c r="D55" s="8" t="s">
        <v>10</v>
      </c>
      <c r="E55" s="8" t="s">
        <v>23</v>
      </c>
      <c r="F55" s="8" t="s">
        <v>39</v>
      </c>
      <c r="G55" s="9">
        <v>2017</v>
      </c>
      <c r="H55" s="9">
        <v>1</v>
      </c>
      <c r="I55" s="10">
        <v>42736</v>
      </c>
      <c r="J55" s="11">
        <v>1629</v>
      </c>
      <c r="K55" s="51"/>
      <c r="O55" s="1" t="s">
        <v>7</v>
      </c>
      <c r="P55" s="1" t="s">
        <v>43</v>
      </c>
      <c r="Q55" s="1" t="s">
        <v>10</v>
      </c>
      <c r="R55" s="1" t="s">
        <v>23</v>
      </c>
      <c r="S55" s="1" t="s">
        <v>39</v>
      </c>
      <c r="T55" s="2">
        <v>2017</v>
      </c>
      <c r="U55" s="2">
        <v>1</v>
      </c>
      <c r="V55" s="3">
        <v>42736</v>
      </c>
      <c r="W55" s="4">
        <v>1433.5199999999998</v>
      </c>
      <c r="X55" s="48">
        <v>1629</v>
      </c>
    </row>
    <row r="56" spans="2:24" x14ac:dyDescent="0.35">
      <c r="B56" s="8" t="s">
        <v>7</v>
      </c>
      <c r="C56" s="8" t="s">
        <v>32</v>
      </c>
      <c r="D56" s="8" t="s">
        <v>8</v>
      </c>
      <c r="E56" s="8" t="s">
        <v>0</v>
      </c>
      <c r="F56" s="8" t="s">
        <v>26</v>
      </c>
      <c r="G56" s="9">
        <v>2017</v>
      </c>
      <c r="H56" s="9">
        <v>1</v>
      </c>
      <c r="I56" s="10">
        <v>42736</v>
      </c>
      <c r="J56" s="11">
        <v>4629</v>
      </c>
      <c r="K56" s="51"/>
      <c r="O56" s="1" t="s">
        <v>7</v>
      </c>
      <c r="P56" s="1" t="s">
        <v>32</v>
      </c>
      <c r="Q56" s="1" t="s">
        <v>8</v>
      </c>
      <c r="R56" s="1" t="s">
        <v>0</v>
      </c>
      <c r="S56" s="1" t="s">
        <v>26</v>
      </c>
      <c r="T56" s="2">
        <v>2017</v>
      </c>
      <c r="U56" s="2">
        <v>1</v>
      </c>
      <c r="V56" s="3">
        <v>42736</v>
      </c>
      <c r="W56" s="4">
        <v>3934.6500000000005</v>
      </c>
      <c r="X56" s="48">
        <v>4629</v>
      </c>
    </row>
    <row r="57" spans="2:24" x14ac:dyDescent="0.35">
      <c r="B57" s="8" t="s">
        <v>3</v>
      </c>
      <c r="C57" s="8" t="s">
        <v>22</v>
      </c>
      <c r="D57" s="8" t="s">
        <v>5</v>
      </c>
      <c r="E57" s="8" t="s">
        <v>0</v>
      </c>
      <c r="F57" s="8" t="s">
        <v>45</v>
      </c>
      <c r="G57" s="9">
        <v>2017</v>
      </c>
      <c r="H57" s="9">
        <v>1</v>
      </c>
      <c r="I57" s="10">
        <v>42736</v>
      </c>
      <c r="J57" s="12">
        <v>2756</v>
      </c>
      <c r="K57" s="51"/>
      <c r="O57" s="1" t="s">
        <v>3</v>
      </c>
      <c r="P57" s="1" t="s">
        <v>22</v>
      </c>
      <c r="Q57" s="1" t="s">
        <v>5</v>
      </c>
      <c r="R57" s="1" t="s">
        <v>0</v>
      </c>
      <c r="S57" s="1" t="s">
        <v>45</v>
      </c>
      <c r="T57" s="2">
        <v>2017</v>
      </c>
      <c r="U57" s="2">
        <v>1</v>
      </c>
      <c r="V57" s="3">
        <v>42736</v>
      </c>
      <c r="W57" s="4">
        <v>2397.7200000000003</v>
      </c>
      <c r="X57" s="49">
        <v>2756</v>
      </c>
    </row>
    <row r="58" spans="2:24" x14ac:dyDescent="0.35">
      <c r="B58" s="8" t="s">
        <v>7</v>
      </c>
      <c r="C58" s="8" t="s">
        <v>48</v>
      </c>
      <c r="D58" s="8" t="s">
        <v>9</v>
      </c>
      <c r="E58" s="8" t="s">
        <v>23</v>
      </c>
      <c r="F58" s="6" t="s">
        <v>36</v>
      </c>
      <c r="G58" s="9">
        <v>2017</v>
      </c>
      <c r="H58" s="9">
        <v>1</v>
      </c>
      <c r="I58" s="10">
        <v>42736</v>
      </c>
      <c r="J58" s="12">
        <v>1809</v>
      </c>
      <c r="K58" s="51"/>
      <c r="O58" s="1" t="s">
        <v>7</v>
      </c>
      <c r="P58" s="1" t="s">
        <v>48</v>
      </c>
      <c r="Q58" s="1" t="s">
        <v>9</v>
      </c>
      <c r="R58" s="1" t="s">
        <v>23</v>
      </c>
      <c r="S58" t="s">
        <v>36</v>
      </c>
      <c r="T58" s="2">
        <v>2017</v>
      </c>
      <c r="U58" s="2">
        <v>1</v>
      </c>
      <c r="V58" s="3">
        <v>42736</v>
      </c>
      <c r="W58" s="4">
        <v>1591.9199999999998</v>
      </c>
      <c r="X58" s="49">
        <v>1809</v>
      </c>
    </row>
    <row r="59" spans="2:24" x14ac:dyDescent="0.35">
      <c r="B59" s="8" t="s">
        <v>7</v>
      </c>
      <c r="C59" s="8" t="s">
        <v>48</v>
      </c>
      <c r="D59" s="8" t="s">
        <v>9</v>
      </c>
      <c r="E59" s="8" t="s">
        <v>23</v>
      </c>
      <c r="F59" s="6" t="s">
        <v>24</v>
      </c>
      <c r="G59" s="9">
        <v>2017</v>
      </c>
      <c r="H59" s="9">
        <v>1</v>
      </c>
      <c r="I59" s="10">
        <v>42736</v>
      </c>
      <c r="J59" s="12">
        <v>1620</v>
      </c>
      <c r="K59" s="51"/>
      <c r="O59" s="1" t="s">
        <v>7</v>
      </c>
      <c r="P59" s="1" t="s">
        <v>48</v>
      </c>
      <c r="Q59" s="1" t="s">
        <v>9</v>
      </c>
      <c r="R59" s="1" t="s">
        <v>23</v>
      </c>
      <c r="S59" t="s">
        <v>24</v>
      </c>
      <c r="T59" s="2">
        <v>2017</v>
      </c>
      <c r="U59" s="2">
        <v>1</v>
      </c>
      <c r="V59" s="3">
        <v>42736</v>
      </c>
      <c r="W59" s="4">
        <v>1393.2000000000003</v>
      </c>
      <c r="X59" s="49">
        <v>1620</v>
      </c>
    </row>
    <row r="60" spans="2:24" x14ac:dyDescent="0.35">
      <c r="B60" s="8" t="s">
        <v>7</v>
      </c>
      <c r="C60" s="8" t="s">
        <v>49</v>
      </c>
      <c r="D60" s="8" t="s">
        <v>11</v>
      </c>
      <c r="E60" s="8" t="s">
        <v>23</v>
      </c>
      <c r="F60" s="6" t="s">
        <v>39</v>
      </c>
      <c r="G60" s="9">
        <v>2017</v>
      </c>
      <c r="H60" s="9">
        <v>1</v>
      </c>
      <c r="I60" s="10">
        <v>42736</v>
      </c>
      <c r="J60" s="12">
        <v>1573</v>
      </c>
      <c r="K60" s="51"/>
      <c r="O60" s="1" t="s">
        <v>7</v>
      </c>
      <c r="P60" s="1" t="s">
        <v>49</v>
      </c>
      <c r="Q60" s="1" t="s">
        <v>11</v>
      </c>
      <c r="R60" s="1" t="s">
        <v>23</v>
      </c>
      <c r="S60" t="s">
        <v>39</v>
      </c>
      <c r="T60" s="2">
        <v>2017</v>
      </c>
      <c r="U60" s="2">
        <v>1</v>
      </c>
      <c r="V60" s="3">
        <v>42736</v>
      </c>
      <c r="W60" s="4">
        <v>1368.5100000000002</v>
      </c>
      <c r="X60" s="49">
        <v>1573</v>
      </c>
    </row>
    <row r="61" spans="2:24" x14ac:dyDescent="0.35">
      <c r="B61" s="8" t="s">
        <v>7</v>
      </c>
      <c r="C61" s="8" t="s">
        <v>49</v>
      </c>
      <c r="D61" s="8" t="s">
        <v>11</v>
      </c>
      <c r="E61" s="9" t="s">
        <v>0</v>
      </c>
      <c r="F61" s="9" t="s">
        <v>42</v>
      </c>
      <c r="G61" s="9">
        <v>2017</v>
      </c>
      <c r="H61" s="9">
        <v>1</v>
      </c>
      <c r="I61" s="10">
        <v>42736</v>
      </c>
      <c r="J61" s="11">
        <v>5711</v>
      </c>
      <c r="K61" s="51"/>
      <c r="O61" s="1" t="s">
        <v>7</v>
      </c>
      <c r="P61" s="1" t="s">
        <v>49</v>
      </c>
      <c r="Q61" s="1" t="s">
        <v>11</v>
      </c>
      <c r="R61" s="2" t="s">
        <v>0</v>
      </c>
      <c r="S61" s="2" t="s">
        <v>42</v>
      </c>
      <c r="T61" s="2">
        <v>2017</v>
      </c>
      <c r="U61" s="2">
        <v>1</v>
      </c>
      <c r="V61" s="3">
        <v>42736</v>
      </c>
      <c r="W61" s="4">
        <v>5368.34</v>
      </c>
      <c r="X61" s="48">
        <v>5711</v>
      </c>
    </row>
    <row r="62" spans="2:24" x14ac:dyDescent="0.35">
      <c r="B62" s="8" t="s">
        <v>12</v>
      </c>
      <c r="C62" s="8" t="s">
        <v>34</v>
      </c>
      <c r="D62" s="8" t="s">
        <v>35</v>
      </c>
      <c r="E62" s="8" t="s">
        <v>0</v>
      </c>
      <c r="F62" s="9" t="s">
        <v>26</v>
      </c>
      <c r="G62" s="9">
        <v>2017</v>
      </c>
      <c r="H62" s="9">
        <v>1</v>
      </c>
      <c r="I62" s="10">
        <v>42736</v>
      </c>
      <c r="J62" s="11">
        <v>5479</v>
      </c>
      <c r="K62" s="51"/>
      <c r="O62" s="1" t="s">
        <v>12</v>
      </c>
      <c r="P62" s="1" t="s">
        <v>34</v>
      </c>
      <c r="Q62" s="1" t="s">
        <v>35</v>
      </c>
      <c r="R62" s="1" t="s">
        <v>0</v>
      </c>
      <c r="S62" s="2" t="s">
        <v>26</v>
      </c>
      <c r="T62" s="2">
        <v>2017</v>
      </c>
      <c r="U62" s="2">
        <v>1</v>
      </c>
      <c r="V62" s="3">
        <v>42736</v>
      </c>
      <c r="W62" s="4">
        <v>4985.8899999999994</v>
      </c>
      <c r="X62" s="48">
        <v>5479</v>
      </c>
    </row>
    <row r="63" spans="2:24" x14ac:dyDescent="0.35">
      <c r="B63" s="8" t="s">
        <v>12</v>
      </c>
      <c r="C63" s="8" t="s">
        <v>34</v>
      </c>
      <c r="D63" s="8" t="s">
        <v>35</v>
      </c>
      <c r="E63" s="8" t="s">
        <v>0</v>
      </c>
      <c r="F63" s="6" t="s">
        <v>45</v>
      </c>
      <c r="G63" s="9">
        <v>2017</v>
      </c>
      <c r="H63" s="9">
        <v>1</v>
      </c>
      <c r="I63" s="10">
        <v>42736</v>
      </c>
      <c r="J63" s="11">
        <v>2034</v>
      </c>
      <c r="K63" s="51"/>
      <c r="O63" s="1" t="s">
        <v>12</v>
      </c>
      <c r="P63" s="1" t="s">
        <v>34</v>
      </c>
      <c r="Q63" s="1" t="s">
        <v>35</v>
      </c>
      <c r="R63" s="1" t="s">
        <v>0</v>
      </c>
      <c r="S63" t="s">
        <v>45</v>
      </c>
      <c r="T63" s="2">
        <v>2017</v>
      </c>
      <c r="U63" s="2">
        <v>1</v>
      </c>
      <c r="V63" s="3">
        <v>42736</v>
      </c>
      <c r="W63" s="4">
        <v>1891.62</v>
      </c>
      <c r="X63" s="48">
        <v>2034</v>
      </c>
    </row>
    <row r="64" spans="2:24" x14ac:dyDescent="0.35">
      <c r="B64" s="8" t="s">
        <v>14</v>
      </c>
      <c r="C64" s="8" t="s">
        <v>37</v>
      </c>
      <c r="D64" s="8" t="s">
        <v>38</v>
      </c>
      <c r="E64" s="8" t="s">
        <v>27</v>
      </c>
      <c r="F64" s="8" t="s">
        <v>28</v>
      </c>
      <c r="G64" s="9">
        <v>2017</v>
      </c>
      <c r="H64" s="9">
        <v>1</v>
      </c>
      <c r="I64" s="10">
        <v>42736</v>
      </c>
      <c r="J64" s="11">
        <v>3452</v>
      </c>
      <c r="K64" s="51"/>
      <c r="O64" s="1" t="s">
        <v>14</v>
      </c>
      <c r="P64" s="1" t="s">
        <v>37</v>
      </c>
      <c r="Q64" s="1" t="s">
        <v>38</v>
      </c>
      <c r="R64" s="1" t="s">
        <v>27</v>
      </c>
      <c r="S64" s="1" t="s">
        <v>28</v>
      </c>
      <c r="T64" s="2">
        <v>2017</v>
      </c>
      <c r="U64" s="2">
        <v>1</v>
      </c>
      <c r="V64" s="3">
        <v>42736</v>
      </c>
      <c r="W64" s="4">
        <v>3141.3199999999997</v>
      </c>
      <c r="X64" s="48">
        <v>3452</v>
      </c>
    </row>
    <row r="65" spans="2:24" x14ac:dyDescent="0.35">
      <c r="B65" s="8" t="s">
        <v>14</v>
      </c>
      <c r="C65" s="8" t="s">
        <v>37</v>
      </c>
      <c r="D65" s="8" t="s">
        <v>38</v>
      </c>
      <c r="E65" s="8" t="s">
        <v>27</v>
      </c>
      <c r="F65" s="8" t="s">
        <v>31</v>
      </c>
      <c r="G65" s="9">
        <v>2017</v>
      </c>
      <c r="H65" s="9">
        <v>1</v>
      </c>
      <c r="I65" s="10">
        <v>42736</v>
      </c>
      <c r="J65" s="11">
        <v>2885</v>
      </c>
      <c r="K65" s="51"/>
      <c r="O65" s="1" t="s">
        <v>14</v>
      </c>
      <c r="P65" s="1" t="s">
        <v>37</v>
      </c>
      <c r="Q65" s="1" t="s">
        <v>38</v>
      </c>
      <c r="R65" s="1" t="s">
        <v>27</v>
      </c>
      <c r="S65" s="1" t="s">
        <v>31</v>
      </c>
      <c r="T65" s="2">
        <v>2017</v>
      </c>
      <c r="U65" s="2">
        <v>1</v>
      </c>
      <c r="V65" s="3">
        <v>42736</v>
      </c>
      <c r="W65" s="4">
        <v>2538.7999999999997</v>
      </c>
      <c r="X65" s="48">
        <v>2885</v>
      </c>
    </row>
    <row r="66" spans="2:24" x14ac:dyDescent="0.35">
      <c r="B66" s="8" t="s">
        <v>12</v>
      </c>
      <c r="C66" s="8" t="s">
        <v>44</v>
      </c>
      <c r="D66" s="8" t="s">
        <v>13</v>
      </c>
      <c r="E66" s="8" t="s">
        <v>23</v>
      </c>
      <c r="F66" s="8" t="s">
        <v>36</v>
      </c>
      <c r="G66" s="9">
        <v>2017</v>
      </c>
      <c r="H66" s="9">
        <v>1</v>
      </c>
      <c r="I66" s="10">
        <v>42736</v>
      </c>
      <c r="J66" s="12">
        <v>1655</v>
      </c>
      <c r="K66" s="51"/>
      <c r="O66" s="1" t="s">
        <v>12</v>
      </c>
      <c r="P66" s="1" t="s">
        <v>44</v>
      </c>
      <c r="Q66" s="1" t="s">
        <v>13</v>
      </c>
      <c r="R66" s="1" t="s">
        <v>23</v>
      </c>
      <c r="S66" s="1" t="s">
        <v>36</v>
      </c>
      <c r="T66" s="2">
        <v>2017</v>
      </c>
      <c r="U66" s="2">
        <v>1</v>
      </c>
      <c r="V66" s="3">
        <v>42736</v>
      </c>
      <c r="W66" s="4">
        <v>1472.9499999999998</v>
      </c>
      <c r="X66" s="49">
        <v>1655</v>
      </c>
    </row>
    <row r="67" spans="2:24" x14ac:dyDescent="0.35">
      <c r="B67" s="8" t="s">
        <v>14</v>
      </c>
      <c r="C67" s="8" t="s">
        <v>46</v>
      </c>
      <c r="D67" s="8" t="s">
        <v>47</v>
      </c>
      <c r="E67" s="8" t="s">
        <v>23</v>
      </c>
      <c r="F67" s="6" t="s">
        <v>24</v>
      </c>
      <c r="G67" s="9">
        <v>2017</v>
      </c>
      <c r="H67" s="9">
        <v>1</v>
      </c>
      <c r="I67" s="10">
        <v>42736</v>
      </c>
      <c r="J67" s="12">
        <v>2044</v>
      </c>
      <c r="K67" s="51"/>
      <c r="O67" s="1" t="s">
        <v>14</v>
      </c>
      <c r="P67" s="1" t="s">
        <v>46</v>
      </c>
      <c r="Q67" s="1" t="s">
        <v>47</v>
      </c>
      <c r="R67" s="1" t="s">
        <v>23</v>
      </c>
      <c r="S67" t="s">
        <v>24</v>
      </c>
      <c r="T67" s="2">
        <v>2017</v>
      </c>
      <c r="U67" s="2">
        <v>1</v>
      </c>
      <c r="V67" s="3">
        <v>42736</v>
      </c>
      <c r="W67" s="4">
        <v>1737.4</v>
      </c>
      <c r="X67" s="49">
        <v>2044</v>
      </c>
    </row>
    <row r="68" spans="2:24" x14ac:dyDescent="0.35">
      <c r="B68" s="8" t="s">
        <v>14</v>
      </c>
      <c r="C68" s="8" t="s">
        <v>46</v>
      </c>
      <c r="D68" s="8" t="s">
        <v>47</v>
      </c>
      <c r="E68" s="8" t="s">
        <v>23</v>
      </c>
      <c r="F68" s="6" t="s">
        <v>39</v>
      </c>
      <c r="G68" s="9">
        <v>2017</v>
      </c>
      <c r="H68" s="9">
        <v>1</v>
      </c>
      <c r="I68" s="10">
        <v>42736</v>
      </c>
      <c r="J68" s="12">
        <v>2115</v>
      </c>
      <c r="K68" s="51"/>
      <c r="O68" s="1" t="s">
        <v>14</v>
      </c>
      <c r="P68" s="1" t="s">
        <v>46</v>
      </c>
      <c r="Q68" s="1" t="s">
        <v>47</v>
      </c>
      <c r="R68" s="1" t="s">
        <v>23</v>
      </c>
      <c r="S68" t="s">
        <v>39</v>
      </c>
      <c r="T68" s="2">
        <v>2017</v>
      </c>
      <c r="U68" s="2">
        <v>1</v>
      </c>
      <c r="V68" s="3">
        <v>42736</v>
      </c>
      <c r="W68" s="4">
        <v>1882.35</v>
      </c>
      <c r="X68" s="49">
        <v>2115</v>
      </c>
    </row>
    <row r="69" spans="2:24" x14ac:dyDescent="0.35">
      <c r="B69" s="8" t="s">
        <v>7</v>
      </c>
      <c r="C69" s="8" t="s">
        <v>43</v>
      </c>
      <c r="D69" s="8" t="s">
        <v>10</v>
      </c>
      <c r="E69" s="8" t="s">
        <v>0</v>
      </c>
      <c r="F69" s="6" t="s">
        <v>42</v>
      </c>
      <c r="G69" s="9">
        <v>2017</v>
      </c>
      <c r="H69" s="9">
        <v>1</v>
      </c>
      <c r="I69" s="10">
        <v>42736</v>
      </c>
      <c r="J69" s="12">
        <v>6564</v>
      </c>
      <c r="K69" s="51"/>
      <c r="O69" s="1" t="s">
        <v>7</v>
      </c>
      <c r="P69" s="1" t="s">
        <v>43</v>
      </c>
      <c r="Q69" s="1" t="s">
        <v>10</v>
      </c>
      <c r="R69" s="1" t="s">
        <v>0</v>
      </c>
      <c r="S69" t="s">
        <v>42</v>
      </c>
      <c r="T69" s="2">
        <v>2017</v>
      </c>
      <c r="U69" s="2">
        <v>1</v>
      </c>
      <c r="V69" s="3">
        <v>42736</v>
      </c>
      <c r="W69" s="4">
        <v>5710.68</v>
      </c>
      <c r="X69" s="49">
        <v>6564</v>
      </c>
    </row>
    <row r="70" spans="2:24" x14ac:dyDescent="0.35">
      <c r="B70" s="9" t="s">
        <v>6</v>
      </c>
      <c r="C70" s="9" t="s">
        <v>40</v>
      </c>
      <c r="D70" s="9" t="s">
        <v>41</v>
      </c>
      <c r="E70" s="9" t="s">
        <v>27</v>
      </c>
      <c r="F70" s="9" t="s">
        <v>31</v>
      </c>
      <c r="G70" s="9">
        <v>2017</v>
      </c>
      <c r="H70" s="9">
        <v>1</v>
      </c>
      <c r="I70" s="10">
        <v>42736</v>
      </c>
      <c r="J70" s="12">
        <v>2721</v>
      </c>
      <c r="K70" s="51"/>
      <c r="O70" s="2" t="s">
        <v>6</v>
      </c>
      <c r="P70" s="2" t="s">
        <v>40</v>
      </c>
      <c r="Q70" s="2" t="s">
        <v>41</v>
      </c>
      <c r="R70" s="2" t="s">
        <v>27</v>
      </c>
      <c r="S70" s="2" t="s">
        <v>31</v>
      </c>
      <c r="T70" s="2">
        <v>2017</v>
      </c>
      <c r="U70" s="2">
        <v>1</v>
      </c>
      <c r="V70" s="3">
        <v>42736</v>
      </c>
      <c r="W70" s="4">
        <v>2476.1099999999997</v>
      </c>
      <c r="X70" s="49">
        <v>2721</v>
      </c>
    </row>
    <row r="71" spans="2:24" x14ac:dyDescent="0.35">
      <c r="B71" s="8" t="s">
        <v>3</v>
      </c>
      <c r="C71" s="8" t="s">
        <v>22</v>
      </c>
      <c r="D71" s="8" t="s">
        <v>5</v>
      </c>
      <c r="E71" s="8" t="s">
        <v>23</v>
      </c>
      <c r="F71" s="9" t="s">
        <v>39</v>
      </c>
      <c r="G71" s="8">
        <v>2017</v>
      </c>
      <c r="H71" s="8">
        <v>1</v>
      </c>
      <c r="I71" s="10">
        <v>42736</v>
      </c>
      <c r="J71" s="11">
        <v>2638</v>
      </c>
      <c r="K71" s="51"/>
      <c r="O71" s="1" t="s">
        <v>3</v>
      </c>
      <c r="P71" s="1" t="s">
        <v>22</v>
      </c>
      <c r="Q71" s="1" t="s">
        <v>5</v>
      </c>
      <c r="R71" s="1" t="s">
        <v>23</v>
      </c>
      <c r="S71" s="2" t="s">
        <v>39</v>
      </c>
      <c r="T71" s="1">
        <v>2017</v>
      </c>
      <c r="U71" s="1">
        <v>1</v>
      </c>
      <c r="V71" s="50">
        <v>42736</v>
      </c>
      <c r="W71" s="4">
        <v>2321.4399999999996</v>
      </c>
      <c r="X71" s="48">
        <v>2638</v>
      </c>
    </row>
    <row r="72" spans="2:24" x14ac:dyDescent="0.35">
      <c r="B72" s="8" t="s">
        <v>3</v>
      </c>
      <c r="C72" s="8" t="s">
        <v>22</v>
      </c>
      <c r="D72" s="8" t="s">
        <v>5</v>
      </c>
      <c r="E72" s="8" t="s">
        <v>0</v>
      </c>
      <c r="F72" s="6" t="s">
        <v>42</v>
      </c>
      <c r="G72" s="8">
        <v>2017</v>
      </c>
      <c r="H72" s="8">
        <v>1</v>
      </c>
      <c r="I72" s="10">
        <v>42736</v>
      </c>
      <c r="J72" s="11">
        <v>6651</v>
      </c>
      <c r="K72" s="51"/>
      <c r="O72" s="1" t="s">
        <v>3</v>
      </c>
      <c r="P72" s="1" t="s">
        <v>22</v>
      </c>
      <c r="Q72" s="1" t="s">
        <v>5</v>
      </c>
      <c r="R72" s="1" t="s">
        <v>0</v>
      </c>
      <c r="S72" t="s">
        <v>42</v>
      </c>
      <c r="T72" s="1">
        <v>2017</v>
      </c>
      <c r="U72" s="1">
        <v>1</v>
      </c>
      <c r="V72" s="50">
        <v>42736</v>
      </c>
      <c r="W72" s="4">
        <v>5919.3899999999994</v>
      </c>
      <c r="X72" s="48">
        <v>6651</v>
      </c>
    </row>
    <row r="73" spans="2:24" x14ac:dyDescent="0.35">
      <c r="B73" s="8" t="s">
        <v>6</v>
      </c>
      <c r="C73" s="8" t="s">
        <v>29</v>
      </c>
      <c r="D73" s="8" t="s">
        <v>30</v>
      </c>
      <c r="E73" s="8" t="s">
        <v>0</v>
      </c>
      <c r="F73" s="8" t="s">
        <v>26</v>
      </c>
      <c r="G73" s="8">
        <v>2017</v>
      </c>
      <c r="H73" s="8">
        <v>1</v>
      </c>
      <c r="I73" s="10">
        <v>42736</v>
      </c>
      <c r="J73" s="11">
        <v>2998</v>
      </c>
      <c r="K73" s="51"/>
      <c r="O73" s="1" t="s">
        <v>6</v>
      </c>
      <c r="P73" s="1" t="s">
        <v>29</v>
      </c>
      <c r="Q73" s="1" t="s">
        <v>30</v>
      </c>
      <c r="R73" s="1" t="s">
        <v>0</v>
      </c>
      <c r="S73" s="1" t="s">
        <v>26</v>
      </c>
      <c r="T73" s="1">
        <v>2017</v>
      </c>
      <c r="U73" s="1">
        <v>1</v>
      </c>
      <c r="V73" s="50">
        <v>42736</v>
      </c>
      <c r="W73" s="4">
        <v>2758.16</v>
      </c>
      <c r="X73" s="48">
        <v>2998</v>
      </c>
    </row>
    <row r="74" spans="2:24" x14ac:dyDescent="0.35">
      <c r="B74" s="8" t="s">
        <v>7</v>
      </c>
      <c r="C74" s="8" t="s">
        <v>48</v>
      </c>
      <c r="D74" s="8" t="s">
        <v>9</v>
      </c>
      <c r="E74" s="8" t="s">
        <v>27</v>
      </c>
      <c r="F74" s="8" t="s">
        <v>28</v>
      </c>
      <c r="G74" s="8">
        <v>2017</v>
      </c>
      <c r="H74" s="8">
        <v>1</v>
      </c>
      <c r="I74" s="10">
        <v>42736</v>
      </c>
      <c r="J74" s="11">
        <v>3922</v>
      </c>
      <c r="K74" s="51"/>
      <c r="O74" s="1" t="s">
        <v>7</v>
      </c>
      <c r="P74" s="1" t="s">
        <v>48</v>
      </c>
      <c r="Q74" s="1" t="s">
        <v>9</v>
      </c>
      <c r="R74" s="1" t="s">
        <v>27</v>
      </c>
      <c r="S74" s="1" t="s">
        <v>28</v>
      </c>
      <c r="T74" s="1">
        <v>2017</v>
      </c>
      <c r="U74" s="1">
        <v>1</v>
      </c>
      <c r="V74" s="50">
        <v>42736</v>
      </c>
      <c r="W74" s="4">
        <v>3451.3599999999997</v>
      </c>
      <c r="X74" s="48">
        <v>3922</v>
      </c>
    </row>
    <row r="75" spans="2:24" x14ac:dyDescent="0.35">
      <c r="B75" s="8" t="s">
        <v>7</v>
      </c>
      <c r="C75" s="8" t="s">
        <v>48</v>
      </c>
      <c r="D75" s="8" t="s">
        <v>9</v>
      </c>
      <c r="E75" s="8" t="s">
        <v>27</v>
      </c>
      <c r="F75" s="8" t="s">
        <v>31</v>
      </c>
      <c r="G75" s="8">
        <v>2017</v>
      </c>
      <c r="H75" s="8">
        <v>1</v>
      </c>
      <c r="I75" s="10">
        <v>42736</v>
      </c>
      <c r="J75" s="11">
        <v>4066</v>
      </c>
      <c r="K75" s="51"/>
      <c r="O75" s="1" t="s">
        <v>7</v>
      </c>
      <c r="P75" s="1" t="s">
        <v>48</v>
      </c>
      <c r="Q75" s="1" t="s">
        <v>9</v>
      </c>
      <c r="R75" s="1" t="s">
        <v>27</v>
      </c>
      <c r="S75" s="1" t="s">
        <v>31</v>
      </c>
      <c r="T75" s="1">
        <v>2017</v>
      </c>
      <c r="U75" s="1">
        <v>1</v>
      </c>
      <c r="V75" s="50">
        <v>42736</v>
      </c>
      <c r="W75" s="4">
        <v>3578.0799999999995</v>
      </c>
      <c r="X75" s="48">
        <v>4066</v>
      </c>
    </row>
    <row r="76" spans="2:24" x14ac:dyDescent="0.35">
      <c r="B76" s="8" t="s">
        <v>7</v>
      </c>
      <c r="C76" s="8" t="s">
        <v>49</v>
      </c>
      <c r="D76" s="8" t="s">
        <v>11</v>
      </c>
      <c r="E76" s="8" t="s">
        <v>27</v>
      </c>
      <c r="F76" s="6" t="s">
        <v>33</v>
      </c>
      <c r="G76" s="8">
        <v>2017</v>
      </c>
      <c r="H76" s="8">
        <v>1</v>
      </c>
      <c r="I76" s="10">
        <v>42736</v>
      </c>
      <c r="J76" s="11">
        <v>2986</v>
      </c>
      <c r="K76" s="51"/>
      <c r="O76" s="1" t="s">
        <v>7</v>
      </c>
      <c r="P76" s="1" t="s">
        <v>49</v>
      </c>
      <c r="Q76" s="1" t="s">
        <v>11</v>
      </c>
      <c r="R76" s="1" t="s">
        <v>27</v>
      </c>
      <c r="S76" t="s">
        <v>33</v>
      </c>
      <c r="T76" s="1">
        <v>2017</v>
      </c>
      <c r="U76" s="1">
        <v>1</v>
      </c>
      <c r="V76" s="50">
        <v>42736</v>
      </c>
      <c r="W76" s="4">
        <v>2567.96</v>
      </c>
      <c r="X76" s="48">
        <v>2986</v>
      </c>
    </row>
    <row r="77" spans="2:24" x14ac:dyDescent="0.35">
      <c r="B77" s="8" t="s">
        <v>7</v>
      </c>
      <c r="C77" s="8" t="s">
        <v>49</v>
      </c>
      <c r="D77" s="8" t="s">
        <v>11</v>
      </c>
      <c r="E77" s="8" t="s">
        <v>23</v>
      </c>
      <c r="F77" s="6" t="s">
        <v>36</v>
      </c>
      <c r="G77" s="8">
        <v>2017</v>
      </c>
      <c r="H77" s="8">
        <v>1</v>
      </c>
      <c r="I77" s="10">
        <v>42736</v>
      </c>
      <c r="J77" s="11">
        <v>1616</v>
      </c>
      <c r="K77" s="51"/>
      <c r="O77" s="1" t="s">
        <v>7</v>
      </c>
      <c r="P77" s="1" t="s">
        <v>49</v>
      </c>
      <c r="Q77" s="1" t="s">
        <v>11</v>
      </c>
      <c r="R77" s="1" t="s">
        <v>23</v>
      </c>
      <c r="S77" t="s">
        <v>36</v>
      </c>
      <c r="T77" s="1">
        <v>2017</v>
      </c>
      <c r="U77" s="1">
        <v>1</v>
      </c>
      <c r="V77" s="50">
        <v>42736</v>
      </c>
      <c r="W77" s="4">
        <v>1438.2399999999998</v>
      </c>
      <c r="X77" s="48">
        <v>1616</v>
      </c>
    </row>
    <row r="78" spans="2:24" x14ac:dyDescent="0.35">
      <c r="B78" s="8" t="s">
        <v>7</v>
      </c>
      <c r="C78" s="8" t="s">
        <v>43</v>
      </c>
      <c r="D78" s="8" t="s">
        <v>10</v>
      </c>
      <c r="E78" s="8" t="s">
        <v>23</v>
      </c>
      <c r="F78" s="6" t="s">
        <v>36</v>
      </c>
      <c r="G78" s="8">
        <v>2017</v>
      </c>
      <c r="H78" s="8">
        <v>1</v>
      </c>
      <c r="I78" s="10">
        <v>42736</v>
      </c>
      <c r="J78" s="11">
        <v>2876</v>
      </c>
      <c r="K78" s="51"/>
      <c r="O78" s="1" t="s">
        <v>7</v>
      </c>
      <c r="P78" s="1" t="s">
        <v>43</v>
      </c>
      <c r="Q78" s="1" t="s">
        <v>10</v>
      </c>
      <c r="R78" s="1" t="s">
        <v>23</v>
      </c>
      <c r="S78" t="s">
        <v>36</v>
      </c>
      <c r="T78" s="1">
        <v>2017</v>
      </c>
      <c r="U78" s="1">
        <v>1</v>
      </c>
      <c r="V78" s="50">
        <v>42736</v>
      </c>
      <c r="W78" s="4">
        <v>2617.16</v>
      </c>
      <c r="X78" s="48">
        <v>2876</v>
      </c>
    </row>
    <row r="79" spans="2:24" x14ac:dyDescent="0.35">
      <c r="B79" s="8" t="s">
        <v>6</v>
      </c>
      <c r="C79" s="8" t="s">
        <v>40</v>
      </c>
      <c r="D79" s="8" t="s">
        <v>41</v>
      </c>
      <c r="E79" s="9" t="s">
        <v>0</v>
      </c>
      <c r="F79" s="9" t="s">
        <v>45</v>
      </c>
      <c r="G79" s="8">
        <v>2017</v>
      </c>
      <c r="H79" s="8">
        <v>1</v>
      </c>
      <c r="I79" s="10">
        <v>42736</v>
      </c>
      <c r="J79" s="11">
        <v>4510</v>
      </c>
      <c r="K79" s="51"/>
      <c r="O79" s="1" t="s">
        <v>6</v>
      </c>
      <c r="P79" s="1" t="s">
        <v>40</v>
      </c>
      <c r="Q79" s="1" t="s">
        <v>41</v>
      </c>
      <c r="R79" s="2" t="s">
        <v>0</v>
      </c>
      <c r="S79" s="2" t="s">
        <v>45</v>
      </c>
      <c r="T79" s="1">
        <v>2017</v>
      </c>
      <c r="U79" s="1">
        <v>1</v>
      </c>
      <c r="V79" s="50">
        <v>42736</v>
      </c>
      <c r="W79" s="4">
        <v>3878.6000000000004</v>
      </c>
      <c r="X79" s="48">
        <v>4510</v>
      </c>
    </row>
    <row r="80" spans="2:24" x14ac:dyDescent="0.35">
      <c r="B80" s="8" t="s">
        <v>7</v>
      </c>
      <c r="C80" s="8" t="s">
        <v>32</v>
      </c>
      <c r="D80" s="8" t="s">
        <v>8</v>
      </c>
      <c r="E80" s="8" t="s">
        <v>27</v>
      </c>
      <c r="F80" s="9" t="s">
        <v>28</v>
      </c>
      <c r="G80" s="8">
        <v>2017</v>
      </c>
      <c r="H80" s="8">
        <v>1</v>
      </c>
      <c r="I80" s="10">
        <v>42736</v>
      </c>
      <c r="J80" s="11">
        <v>4022</v>
      </c>
      <c r="K80" s="51"/>
      <c r="O80" s="1" t="s">
        <v>7</v>
      </c>
      <c r="P80" s="1" t="s">
        <v>32</v>
      </c>
      <c r="Q80" s="1" t="s">
        <v>8</v>
      </c>
      <c r="R80" s="1" t="s">
        <v>27</v>
      </c>
      <c r="S80" s="2" t="s">
        <v>28</v>
      </c>
      <c r="T80" s="1">
        <v>2017</v>
      </c>
      <c r="U80" s="1">
        <v>1</v>
      </c>
      <c r="V80" s="50">
        <v>42736</v>
      </c>
      <c r="W80" s="4">
        <v>3740.4599999999996</v>
      </c>
      <c r="X80" s="48">
        <v>4022</v>
      </c>
    </row>
    <row r="81" spans="2:24" x14ac:dyDescent="0.35">
      <c r="B81" s="8" t="s">
        <v>7</v>
      </c>
      <c r="C81" s="8" t="s">
        <v>32</v>
      </c>
      <c r="D81" s="8" t="s">
        <v>8</v>
      </c>
      <c r="E81" s="8" t="s">
        <v>27</v>
      </c>
      <c r="F81" s="6" t="s">
        <v>31</v>
      </c>
      <c r="G81" s="8">
        <v>2017</v>
      </c>
      <c r="H81" s="8">
        <v>1</v>
      </c>
      <c r="I81" s="10">
        <v>42736</v>
      </c>
      <c r="J81" s="11">
        <v>2682</v>
      </c>
      <c r="K81" s="51"/>
      <c r="O81" s="1" t="s">
        <v>7</v>
      </c>
      <c r="P81" s="1" t="s">
        <v>32</v>
      </c>
      <c r="Q81" s="1" t="s">
        <v>8</v>
      </c>
      <c r="R81" s="1" t="s">
        <v>27</v>
      </c>
      <c r="S81" t="s">
        <v>31</v>
      </c>
      <c r="T81" s="1">
        <v>2017</v>
      </c>
      <c r="U81" s="1">
        <v>1</v>
      </c>
      <c r="V81" s="50">
        <v>42736</v>
      </c>
      <c r="W81" s="4">
        <v>2306.5200000000004</v>
      </c>
      <c r="X81" s="48">
        <v>2682</v>
      </c>
    </row>
    <row r="82" spans="2:24" x14ac:dyDescent="0.35">
      <c r="B82" s="8" t="s">
        <v>6</v>
      </c>
      <c r="C82" s="8" t="s">
        <v>29</v>
      </c>
      <c r="D82" s="8" t="s">
        <v>30</v>
      </c>
      <c r="E82" s="8" t="s">
        <v>23</v>
      </c>
      <c r="F82" s="8" t="s">
        <v>24</v>
      </c>
      <c r="G82" s="8">
        <v>2017</v>
      </c>
      <c r="H82" s="8">
        <v>1</v>
      </c>
      <c r="I82" s="10">
        <v>42736</v>
      </c>
      <c r="J82" s="11">
        <v>2628</v>
      </c>
      <c r="K82" s="51"/>
      <c r="O82" s="1" t="s">
        <v>6</v>
      </c>
      <c r="P82" s="1" t="s">
        <v>29</v>
      </c>
      <c r="Q82" s="1" t="s">
        <v>30</v>
      </c>
      <c r="R82" s="1" t="s">
        <v>23</v>
      </c>
      <c r="S82" s="1" t="s">
        <v>24</v>
      </c>
      <c r="T82" s="1">
        <v>2017</v>
      </c>
      <c r="U82" s="1">
        <v>1</v>
      </c>
      <c r="V82" s="50">
        <v>42736</v>
      </c>
      <c r="W82" s="4">
        <v>2444.04</v>
      </c>
      <c r="X82" s="48">
        <v>2628</v>
      </c>
    </row>
    <row r="83" spans="2:24" x14ac:dyDescent="0.35">
      <c r="B83" s="8" t="s">
        <v>7</v>
      </c>
      <c r="C83" s="8" t="s">
        <v>48</v>
      </c>
      <c r="D83" s="8" t="s">
        <v>9</v>
      </c>
      <c r="E83" s="8" t="s">
        <v>0</v>
      </c>
      <c r="F83" s="8" t="s">
        <v>42</v>
      </c>
      <c r="G83" s="8">
        <v>2017</v>
      </c>
      <c r="H83" s="8">
        <v>1</v>
      </c>
      <c r="I83" s="10">
        <v>42736</v>
      </c>
      <c r="J83" s="11">
        <v>5747</v>
      </c>
      <c r="K83" s="51"/>
      <c r="O83" s="1" t="s">
        <v>7</v>
      </c>
      <c r="P83" s="1" t="s">
        <v>48</v>
      </c>
      <c r="Q83" s="1" t="s">
        <v>9</v>
      </c>
      <c r="R83" s="1" t="s">
        <v>0</v>
      </c>
      <c r="S83" s="1" t="s">
        <v>42</v>
      </c>
      <c r="T83" s="1">
        <v>2017</v>
      </c>
      <c r="U83" s="1">
        <v>1</v>
      </c>
      <c r="V83" s="50">
        <v>42736</v>
      </c>
      <c r="W83" s="4">
        <v>4942.42</v>
      </c>
      <c r="X83" s="48">
        <v>5747</v>
      </c>
    </row>
    <row r="84" spans="2:24" x14ac:dyDescent="0.35">
      <c r="B84" s="8" t="s">
        <v>7</v>
      </c>
      <c r="C84" s="8" t="s">
        <v>48</v>
      </c>
      <c r="D84" s="8" t="s">
        <v>9</v>
      </c>
      <c r="E84" s="8" t="s">
        <v>0</v>
      </c>
      <c r="F84" s="8" t="s">
        <v>26</v>
      </c>
      <c r="G84" s="8">
        <v>2017</v>
      </c>
      <c r="H84" s="8">
        <v>1</v>
      </c>
      <c r="I84" s="10">
        <v>42736</v>
      </c>
      <c r="J84" s="11">
        <v>5466</v>
      </c>
      <c r="K84" s="51"/>
      <c r="O84" s="1" t="s">
        <v>7</v>
      </c>
      <c r="P84" s="1" t="s">
        <v>48</v>
      </c>
      <c r="Q84" s="1" t="s">
        <v>9</v>
      </c>
      <c r="R84" s="1" t="s">
        <v>0</v>
      </c>
      <c r="S84" s="1" t="s">
        <v>26</v>
      </c>
      <c r="T84" s="1">
        <v>2017</v>
      </c>
      <c r="U84" s="1">
        <v>1</v>
      </c>
      <c r="V84" s="50">
        <v>42736</v>
      </c>
      <c r="W84" s="4">
        <v>4700.76</v>
      </c>
      <c r="X84" s="48">
        <v>5466</v>
      </c>
    </row>
    <row r="85" spans="2:24" x14ac:dyDescent="0.35">
      <c r="B85" s="8" t="s">
        <v>7</v>
      </c>
      <c r="C85" s="8" t="s">
        <v>49</v>
      </c>
      <c r="D85" s="8" t="s">
        <v>11</v>
      </c>
      <c r="E85" s="8" t="s">
        <v>0</v>
      </c>
      <c r="F85" s="6" t="s">
        <v>45</v>
      </c>
      <c r="G85" s="8">
        <v>2017</v>
      </c>
      <c r="H85" s="8">
        <v>1</v>
      </c>
      <c r="I85" s="10">
        <v>42736</v>
      </c>
      <c r="J85" s="11">
        <v>2376</v>
      </c>
      <c r="K85" s="51"/>
      <c r="O85" s="1" t="s">
        <v>7</v>
      </c>
      <c r="P85" s="1" t="s">
        <v>49</v>
      </c>
      <c r="Q85" s="1" t="s">
        <v>11</v>
      </c>
      <c r="R85" s="1" t="s">
        <v>0</v>
      </c>
      <c r="S85" t="s">
        <v>45</v>
      </c>
      <c r="T85" s="1">
        <v>2017</v>
      </c>
      <c r="U85" s="1">
        <v>1</v>
      </c>
      <c r="V85" s="50">
        <v>42736</v>
      </c>
      <c r="W85" s="4">
        <v>2019.6000000000001</v>
      </c>
      <c r="X85" s="48">
        <v>2376</v>
      </c>
    </row>
    <row r="86" spans="2:24" x14ac:dyDescent="0.35">
      <c r="B86" s="8" t="s">
        <v>7</v>
      </c>
      <c r="C86" s="8" t="s">
        <v>49</v>
      </c>
      <c r="D86" s="8" t="s">
        <v>11</v>
      </c>
      <c r="E86" s="8" t="s">
        <v>27</v>
      </c>
      <c r="F86" s="6" t="s">
        <v>28</v>
      </c>
      <c r="G86" s="8">
        <v>2017</v>
      </c>
      <c r="H86" s="8">
        <v>1</v>
      </c>
      <c r="I86" s="10">
        <v>42736</v>
      </c>
      <c r="J86" s="11">
        <v>3896</v>
      </c>
      <c r="K86" s="51"/>
      <c r="O86" s="1" t="s">
        <v>7</v>
      </c>
      <c r="P86" s="1" t="s">
        <v>49</v>
      </c>
      <c r="Q86" s="1" t="s">
        <v>11</v>
      </c>
      <c r="R86" s="1" t="s">
        <v>27</v>
      </c>
      <c r="S86" t="s">
        <v>28</v>
      </c>
      <c r="T86" s="1">
        <v>2017</v>
      </c>
      <c r="U86" s="1">
        <v>1</v>
      </c>
      <c r="V86" s="50">
        <v>42736</v>
      </c>
      <c r="W86" s="4">
        <v>3584.3199999999997</v>
      </c>
      <c r="X86" s="48">
        <v>3896</v>
      </c>
    </row>
    <row r="87" spans="2:24" x14ac:dyDescent="0.35">
      <c r="B87" s="8" t="s">
        <v>12</v>
      </c>
      <c r="C87" s="8" t="s">
        <v>34</v>
      </c>
      <c r="D87" s="8" t="s">
        <v>35</v>
      </c>
      <c r="E87" s="8" t="s">
        <v>27</v>
      </c>
      <c r="F87" s="6" t="s">
        <v>31</v>
      </c>
      <c r="G87" s="8">
        <v>2017</v>
      </c>
      <c r="H87" s="8">
        <v>1</v>
      </c>
      <c r="I87" s="10">
        <v>42736</v>
      </c>
      <c r="J87" s="11">
        <v>4019</v>
      </c>
      <c r="K87" s="51"/>
      <c r="O87" s="1" t="s">
        <v>12</v>
      </c>
      <c r="P87" s="1" t="s">
        <v>34</v>
      </c>
      <c r="Q87" s="1" t="s">
        <v>35</v>
      </c>
      <c r="R87" s="1" t="s">
        <v>27</v>
      </c>
      <c r="S87" t="s">
        <v>31</v>
      </c>
      <c r="T87" s="1">
        <v>2017</v>
      </c>
      <c r="U87" s="1">
        <v>1</v>
      </c>
      <c r="V87" s="50">
        <v>42736</v>
      </c>
      <c r="W87" s="4">
        <v>3496.5300000000007</v>
      </c>
      <c r="X87" s="48">
        <v>4019</v>
      </c>
    </row>
    <row r="88" spans="2:24" x14ac:dyDescent="0.35">
      <c r="B88" s="8" t="s">
        <v>12</v>
      </c>
      <c r="C88" s="8" t="s">
        <v>34</v>
      </c>
      <c r="D88" s="8" t="s">
        <v>35</v>
      </c>
      <c r="E88" s="9" t="s">
        <v>27</v>
      </c>
      <c r="F88" s="9" t="s">
        <v>33</v>
      </c>
      <c r="G88" s="8">
        <v>2017</v>
      </c>
      <c r="H88" s="8">
        <v>1</v>
      </c>
      <c r="I88" s="10">
        <v>42736</v>
      </c>
      <c r="J88" s="11">
        <v>2892</v>
      </c>
      <c r="K88" s="51"/>
      <c r="O88" s="1" t="s">
        <v>12</v>
      </c>
      <c r="P88" s="1" t="s">
        <v>34</v>
      </c>
      <c r="Q88" s="1" t="s">
        <v>35</v>
      </c>
      <c r="R88" s="2" t="s">
        <v>27</v>
      </c>
      <c r="S88" s="2" t="s">
        <v>33</v>
      </c>
      <c r="T88" s="1">
        <v>2017</v>
      </c>
      <c r="U88" s="1">
        <v>1</v>
      </c>
      <c r="V88" s="50">
        <v>42736</v>
      </c>
      <c r="W88" s="4">
        <v>2516.0400000000004</v>
      </c>
      <c r="X88" s="48">
        <v>2892</v>
      </c>
    </row>
    <row r="89" spans="2:24" x14ac:dyDescent="0.35">
      <c r="B89" s="8" t="s">
        <v>14</v>
      </c>
      <c r="C89" s="8" t="s">
        <v>37</v>
      </c>
      <c r="D89" s="8" t="s">
        <v>38</v>
      </c>
      <c r="E89" s="8" t="s">
        <v>23</v>
      </c>
      <c r="F89" s="9" t="s">
        <v>36</v>
      </c>
      <c r="G89" s="8">
        <v>2017</v>
      </c>
      <c r="H89" s="8">
        <v>1</v>
      </c>
      <c r="I89" s="10">
        <v>42736</v>
      </c>
      <c r="J89" s="11">
        <v>2036</v>
      </c>
      <c r="K89" s="51"/>
      <c r="O89" s="1" t="s">
        <v>14</v>
      </c>
      <c r="P89" s="1" t="s">
        <v>37</v>
      </c>
      <c r="Q89" s="1" t="s">
        <v>38</v>
      </c>
      <c r="R89" s="1" t="s">
        <v>23</v>
      </c>
      <c r="S89" s="2" t="s">
        <v>36</v>
      </c>
      <c r="T89" s="1">
        <v>2017</v>
      </c>
      <c r="U89" s="1">
        <v>1</v>
      </c>
      <c r="V89" s="50">
        <v>42736</v>
      </c>
      <c r="W89" s="4">
        <v>1771.3200000000002</v>
      </c>
      <c r="X89" s="48">
        <v>2036</v>
      </c>
    </row>
    <row r="90" spans="2:24" x14ac:dyDescent="0.35">
      <c r="B90" s="8" t="s">
        <v>12</v>
      </c>
      <c r="C90" s="8" t="s">
        <v>44</v>
      </c>
      <c r="D90" s="8" t="s">
        <v>13</v>
      </c>
      <c r="E90" s="8" t="s">
        <v>23</v>
      </c>
      <c r="F90" s="6" t="s">
        <v>39</v>
      </c>
      <c r="G90" s="8">
        <v>2017</v>
      </c>
      <c r="H90" s="8">
        <v>1</v>
      </c>
      <c r="I90" s="10">
        <v>42736</v>
      </c>
      <c r="J90" s="11">
        <v>1911</v>
      </c>
      <c r="K90" s="51"/>
      <c r="O90" s="1" t="s">
        <v>12</v>
      </c>
      <c r="P90" s="1" t="s">
        <v>44</v>
      </c>
      <c r="Q90" s="1" t="s">
        <v>13</v>
      </c>
      <c r="R90" s="1" t="s">
        <v>23</v>
      </c>
      <c r="S90" t="s">
        <v>39</v>
      </c>
      <c r="T90" s="1">
        <v>2017</v>
      </c>
      <c r="U90" s="1">
        <v>1</v>
      </c>
      <c r="V90" s="50">
        <v>42736</v>
      </c>
      <c r="W90" s="4">
        <v>1796.34</v>
      </c>
      <c r="X90" s="48">
        <v>1911</v>
      </c>
    </row>
    <row r="91" spans="2:24" x14ac:dyDescent="0.35">
      <c r="B91" s="8" t="s">
        <v>12</v>
      </c>
      <c r="C91" s="8" t="s">
        <v>44</v>
      </c>
      <c r="D91" s="8" t="s">
        <v>13</v>
      </c>
      <c r="E91" s="8" t="s">
        <v>0</v>
      </c>
      <c r="F91" s="8" t="s">
        <v>42</v>
      </c>
      <c r="G91" s="8">
        <v>2017</v>
      </c>
      <c r="H91" s="8">
        <v>1</v>
      </c>
      <c r="I91" s="10">
        <v>42736</v>
      </c>
      <c r="J91" s="11">
        <v>5799</v>
      </c>
      <c r="K91" s="51"/>
      <c r="O91" s="1" t="s">
        <v>12</v>
      </c>
      <c r="P91" s="1" t="s">
        <v>44</v>
      </c>
      <c r="Q91" s="1" t="s">
        <v>13</v>
      </c>
      <c r="R91" s="1" t="s">
        <v>0</v>
      </c>
      <c r="S91" s="1" t="s">
        <v>42</v>
      </c>
      <c r="T91" s="1">
        <v>2017</v>
      </c>
      <c r="U91" s="1">
        <v>1</v>
      </c>
      <c r="V91" s="50">
        <v>42736</v>
      </c>
      <c r="W91" s="4">
        <v>5451.0599999999995</v>
      </c>
      <c r="X91" s="48">
        <v>5799</v>
      </c>
    </row>
    <row r="92" spans="2:24" x14ac:dyDescent="0.35">
      <c r="B92" s="8" t="s">
        <v>14</v>
      </c>
      <c r="C92" s="8" t="s">
        <v>46</v>
      </c>
      <c r="D92" s="8" t="s">
        <v>47</v>
      </c>
      <c r="E92" s="8" t="s">
        <v>0</v>
      </c>
      <c r="F92" s="8" t="s">
        <v>26</v>
      </c>
      <c r="G92" s="8">
        <v>2017</v>
      </c>
      <c r="H92" s="8">
        <v>1</v>
      </c>
      <c r="I92" s="10">
        <v>42736</v>
      </c>
      <c r="J92" s="11">
        <v>2643</v>
      </c>
      <c r="K92" s="51"/>
      <c r="O92" s="1" t="s">
        <v>14</v>
      </c>
      <c r="P92" s="1" t="s">
        <v>46</v>
      </c>
      <c r="Q92" s="1" t="s">
        <v>47</v>
      </c>
      <c r="R92" s="1" t="s">
        <v>0</v>
      </c>
      <c r="S92" s="1" t="s">
        <v>26</v>
      </c>
      <c r="T92" s="1">
        <v>2017</v>
      </c>
      <c r="U92" s="1">
        <v>1</v>
      </c>
      <c r="V92" s="50">
        <v>42736</v>
      </c>
      <c r="W92" s="4">
        <v>2325.8399999999997</v>
      </c>
      <c r="X92" s="48">
        <v>2643</v>
      </c>
    </row>
    <row r="93" spans="2:24" x14ac:dyDescent="0.35">
      <c r="B93" s="8" t="s">
        <v>14</v>
      </c>
      <c r="C93" s="8" t="s">
        <v>46</v>
      </c>
      <c r="D93" s="8" t="s">
        <v>47</v>
      </c>
      <c r="E93" s="8" t="s">
        <v>0</v>
      </c>
      <c r="F93" s="8" t="s">
        <v>45</v>
      </c>
      <c r="G93" s="8">
        <v>2017</v>
      </c>
      <c r="H93" s="8">
        <v>1</v>
      </c>
      <c r="I93" s="10">
        <v>42736</v>
      </c>
      <c r="J93" s="11">
        <v>3859</v>
      </c>
      <c r="K93" s="51"/>
      <c r="O93" s="1" t="s">
        <v>14</v>
      </c>
      <c r="P93" s="1" t="s">
        <v>46</v>
      </c>
      <c r="Q93" s="1" t="s">
        <v>47</v>
      </c>
      <c r="R93" s="1" t="s">
        <v>0</v>
      </c>
      <c r="S93" s="1" t="s">
        <v>45</v>
      </c>
      <c r="T93" s="1">
        <v>2017</v>
      </c>
      <c r="U93" s="1">
        <v>1</v>
      </c>
      <c r="V93" s="50">
        <v>42736</v>
      </c>
      <c r="W93" s="4">
        <v>3550.2799999999997</v>
      </c>
      <c r="X93" s="48">
        <v>3859</v>
      </c>
    </row>
    <row r="94" spans="2:24" x14ac:dyDescent="0.35">
      <c r="B94" s="8" t="s">
        <v>3</v>
      </c>
      <c r="C94" s="8" t="s">
        <v>25</v>
      </c>
      <c r="D94" s="8" t="s">
        <v>4</v>
      </c>
      <c r="E94" s="8" t="s">
        <v>27</v>
      </c>
      <c r="F94" s="6" t="s">
        <v>33</v>
      </c>
      <c r="G94" s="8">
        <v>2017</v>
      </c>
      <c r="H94" s="8">
        <v>1</v>
      </c>
      <c r="I94" s="10">
        <v>42736</v>
      </c>
      <c r="J94" s="11">
        <v>2904</v>
      </c>
      <c r="K94" s="51"/>
      <c r="O94" s="1" t="s">
        <v>3</v>
      </c>
      <c r="P94" s="1" t="s">
        <v>25</v>
      </c>
      <c r="Q94" s="1" t="s">
        <v>4</v>
      </c>
      <c r="R94" s="1" t="s">
        <v>27</v>
      </c>
      <c r="S94" t="s">
        <v>33</v>
      </c>
      <c r="T94" s="1">
        <v>2017</v>
      </c>
      <c r="U94" s="1">
        <v>1</v>
      </c>
      <c r="V94" s="50">
        <v>42736</v>
      </c>
      <c r="W94" s="4">
        <v>2468.4</v>
      </c>
      <c r="X94" s="48">
        <v>2904</v>
      </c>
    </row>
    <row r="95" spans="2:24" x14ac:dyDescent="0.35">
      <c r="B95" s="8" t="s">
        <v>3</v>
      </c>
      <c r="C95" s="8" t="s">
        <v>25</v>
      </c>
      <c r="D95" s="8" t="s">
        <v>4</v>
      </c>
      <c r="E95" s="8" t="s">
        <v>23</v>
      </c>
      <c r="F95" s="6" t="s">
        <v>36</v>
      </c>
      <c r="G95" s="8">
        <v>2017</v>
      </c>
      <c r="H95" s="8">
        <v>1</v>
      </c>
      <c r="I95" s="10">
        <v>42736</v>
      </c>
      <c r="J95" s="11">
        <v>1890</v>
      </c>
      <c r="K95" s="51"/>
      <c r="O95" s="1" t="s">
        <v>3</v>
      </c>
      <c r="P95" s="1" t="s">
        <v>25</v>
      </c>
      <c r="Q95" s="1" t="s">
        <v>4</v>
      </c>
      <c r="R95" s="1" t="s">
        <v>23</v>
      </c>
      <c r="S95" t="s">
        <v>36</v>
      </c>
      <c r="T95" s="1">
        <v>2017</v>
      </c>
      <c r="U95" s="1">
        <v>1</v>
      </c>
      <c r="V95" s="50">
        <v>42736</v>
      </c>
      <c r="W95" s="4">
        <v>1682.1</v>
      </c>
      <c r="X95" s="48">
        <v>1890</v>
      </c>
    </row>
    <row r="96" spans="2:24" x14ac:dyDescent="0.35">
      <c r="B96" s="8" t="s">
        <v>6</v>
      </c>
      <c r="C96" s="8" t="s">
        <v>40</v>
      </c>
      <c r="D96" s="8" t="s">
        <v>41</v>
      </c>
      <c r="E96" s="8" t="s">
        <v>23</v>
      </c>
      <c r="F96" s="6" t="s">
        <v>39</v>
      </c>
      <c r="G96" s="8">
        <v>2017</v>
      </c>
      <c r="H96" s="8">
        <v>1</v>
      </c>
      <c r="I96" s="10">
        <v>42736</v>
      </c>
      <c r="J96" s="11">
        <v>2301</v>
      </c>
      <c r="K96" s="51"/>
      <c r="O96" s="1" t="s">
        <v>6</v>
      </c>
      <c r="P96" s="1" t="s">
        <v>40</v>
      </c>
      <c r="Q96" s="1" t="s">
        <v>41</v>
      </c>
      <c r="R96" s="1" t="s">
        <v>23</v>
      </c>
      <c r="S96" t="s">
        <v>39</v>
      </c>
      <c r="T96" s="1">
        <v>2017</v>
      </c>
      <c r="U96" s="1">
        <v>1</v>
      </c>
      <c r="V96" s="50">
        <v>42736</v>
      </c>
      <c r="W96" s="4">
        <v>2024.8799999999997</v>
      </c>
      <c r="X96" s="48">
        <v>2301</v>
      </c>
    </row>
    <row r="97" spans="2:24" x14ac:dyDescent="0.35">
      <c r="B97" s="8" t="s">
        <v>7</v>
      </c>
      <c r="C97" s="8" t="s">
        <v>48</v>
      </c>
      <c r="D97" s="8" t="s">
        <v>9</v>
      </c>
      <c r="E97" s="9" t="s">
        <v>0</v>
      </c>
      <c r="F97" s="9" t="s">
        <v>45</v>
      </c>
      <c r="G97" s="8">
        <v>2017</v>
      </c>
      <c r="H97" s="8">
        <v>1</v>
      </c>
      <c r="I97" s="10">
        <v>42736</v>
      </c>
      <c r="J97" s="11">
        <v>3497</v>
      </c>
      <c r="K97" s="51"/>
      <c r="O97" s="1" t="s">
        <v>7</v>
      </c>
      <c r="P97" s="1" t="s">
        <v>48</v>
      </c>
      <c r="Q97" s="1" t="s">
        <v>9</v>
      </c>
      <c r="R97" s="2" t="s">
        <v>0</v>
      </c>
      <c r="S97" s="2" t="s">
        <v>45</v>
      </c>
      <c r="T97" s="1">
        <v>2017</v>
      </c>
      <c r="U97" s="1">
        <v>1</v>
      </c>
      <c r="V97" s="50">
        <v>42736</v>
      </c>
      <c r="W97" s="4">
        <v>3112.3299999999995</v>
      </c>
      <c r="X97" s="48">
        <v>3497</v>
      </c>
    </row>
    <row r="98" spans="2:24" x14ac:dyDescent="0.35">
      <c r="B98" s="8" t="s">
        <v>7</v>
      </c>
      <c r="C98" s="8" t="s">
        <v>49</v>
      </c>
      <c r="D98" s="8" t="s">
        <v>11</v>
      </c>
      <c r="E98" s="8" t="s">
        <v>27</v>
      </c>
      <c r="F98" s="9" t="s">
        <v>31</v>
      </c>
      <c r="G98" s="8">
        <v>2017</v>
      </c>
      <c r="H98" s="8">
        <v>1</v>
      </c>
      <c r="I98" s="10">
        <v>42736</v>
      </c>
      <c r="J98" s="11">
        <v>4184</v>
      </c>
      <c r="K98" s="51"/>
      <c r="O98" s="1" t="s">
        <v>7</v>
      </c>
      <c r="P98" s="1" t="s">
        <v>49</v>
      </c>
      <c r="Q98" s="1" t="s">
        <v>11</v>
      </c>
      <c r="R98" s="1" t="s">
        <v>27</v>
      </c>
      <c r="S98" s="2" t="s">
        <v>31</v>
      </c>
      <c r="T98" s="1">
        <v>2017</v>
      </c>
      <c r="U98" s="1">
        <v>1</v>
      </c>
      <c r="V98" s="50">
        <v>42736</v>
      </c>
      <c r="W98" s="4">
        <v>3598.2400000000007</v>
      </c>
      <c r="X98" s="48">
        <v>4184</v>
      </c>
    </row>
    <row r="99" spans="2:24" x14ac:dyDescent="0.35">
      <c r="B99" s="8" t="s">
        <v>7</v>
      </c>
      <c r="C99" s="8" t="s">
        <v>43</v>
      </c>
      <c r="D99" s="8" t="s">
        <v>10</v>
      </c>
      <c r="E99" s="8" t="s">
        <v>27</v>
      </c>
      <c r="F99" s="6" t="s">
        <v>33</v>
      </c>
      <c r="G99" s="8">
        <v>2017</v>
      </c>
      <c r="H99" s="8">
        <v>1</v>
      </c>
      <c r="I99" s="10">
        <v>42736</v>
      </c>
      <c r="J99" s="11">
        <v>3465</v>
      </c>
      <c r="K99" s="51"/>
      <c r="O99" s="1" t="s">
        <v>7</v>
      </c>
      <c r="P99" s="1" t="s">
        <v>43</v>
      </c>
      <c r="Q99" s="1" t="s">
        <v>10</v>
      </c>
      <c r="R99" s="1" t="s">
        <v>27</v>
      </c>
      <c r="S99" t="s">
        <v>33</v>
      </c>
      <c r="T99" s="1">
        <v>2017</v>
      </c>
      <c r="U99" s="1">
        <v>1</v>
      </c>
      <c r="V99" s="50">
        <v>42736</v>
      </c>
      <c r="W99" s="4">
        <v>2945.2500000000005</v>
      </c>
      <c r="X99" s="48">
        <v>3465</v>
      </c>
    </row>
    <row r="100" spans="2:24" x14ac:dyDescent="0.35">
      <c r="B100" s="8" t="s">
        <v>7</v>
      </c>
      <c r="C100" s="8" t="s">
        <v>32</v>
      </c>
      <c r="D100" s="8" t="s">
        <v>8</v>
      </c>
      <c r="E100" s="8" t="s">
        <v>0</v>
      </c>
      <c r="F100" s="8" t="s">
        <v>45</v>
      </c>
      <c r="G100" s="8">
        <v>2017</v>
      </c>
      <c r="H100" s="8">
        <v>1</v>
      </c>
      <c r="I100" s="10">
        <v>42736</v>
      </c>
      <c r="J100" s="11">
        <v>2683</v>
      </c>
      <c r="K100" s="51"/>
      <c r="O100" s="1" t="s">
        <v>7</v>
      </c>
      <c r="P100" s="1" t="s">
        <v>32</v>
      </c>
      <c r="Q100" s="1" t="s">
        <v>8</v>
      </c>
      <c r="R100" s="1" t="s">
        <v>0</v>
      </c>
      <c r="S100" s="1" t="s">
        <v>45</v>
      </c>
      <c r="T100" s="1">
        <v>2017</v>
      </c>
      <c r="U100" s="1">
        <v>1</v>
      </c>
      <c r="V100" s="50">
        <v>42736</v>
      </c>
      <c r="W100" s="4">
        <v>2307.38</v>
      </c>
      <c r="X100" s="48">
        <v>2683</v>
      </c>
    </row>
    <row r="101" spans="2:24" x14ac:dyDescent="0.35">
      <c r="B101" s="8" t="s">
        <v>7</v>
      </c>
      <c r="C101" s="8" t="s">
        <v>48</v>
      </c>
      <c r="D101" s="8" t="s">
        <v>9</v>
      </c>
      <c r="E101" s="8" t="s">
        <v>23</v>
      </c>
      <c r="F101" s="8" t="s">
        <v>39</v>
      </c>
      <c r="G101" s="8">
        <v>2017</v>
      </c>
      <c r="H101" s="8">
        <v>1</v>
      </c>
      <c r="I101" s="10">
        <v>42736</v>
      </c>
      <c r="J101" s="11">
        <v>2103</v>
      </c>
      <c r="K101" s="51"/>
      <c r="O101" s="1" t="s">
        <v>7</v>
      </c>
      <c r="P101" s="1" t="s">
        <v>48</v>
      </c>
      <c r="Q101" s="1" t="s">
        <v>9</v>
      </c>
      <c r="R101" s="1" t="s">
        <v>23</v>
      </c>
      <c r="S101" s="1" t="s">
        <v>39</v>
      </c>
      <c r="T101" s="1">
        <v>2017</v>
      </c>
      <c r="U101" s="1">
        <v>1</v>
      </c>
      <c r="V101" s="50">
        <v>42736</v>
      </c>
      <c r="W101" s="4">
        <v>1934.7599999999998</v>
      </c>
      <c r="X101" s="48">
        <v>2103</v>
      </c>
    </row>
    <row r="102" spans="2:24" x14ac:dyDescent="0.35">
      <c r="B102" s="8" t="s">
        <v>7</v>
      </c>
      <c r="C102" s="8" t="s">
        <v>49</v>
      </c>
      <c r="D102" s="8" t="s">
        <v>11</v>
      </c>
      <c r="E102" s="8" t="s">
        <v>0</v>
      </c>
      <c r="F102" s="8" t="s">
        <v>26</v>
      </c>
      <c r="G102" s="8">
        <v>2017</v>
      </c>
      <c r="H102" s="8">
        <v>1</v>
      </c>
      <c r="I102" s="10">
        <v>42736</v>
      </c>
      <c r="J102" s="11">
        <v>5452</v>
      </c>
      <c r="K102" s="51"/>
      <c r="O102" s="1" t="s">
        <v>7</v>
      </c>
      <c r="P102" s="1" t="s">
        <v>49</v>
      </c>
      <c r="Q102" s="1" t="s">
        <v>11</v>
      </c>
      <c r="R102" s="1" t="s">
        <v>0</v>
      </c>
      <c r="S102" s="1" t="s">
        <v>26</v>
      </c>
      <c r="T102" s="1">
        <v>2017</v>
      </c>
      <c r="U102" s="1">
        <v>1</v>
      </c>
      <c r="V102" s="50">
        <v>42736</v>
      </c>
      <c r="W102" s="4">
        <v>4688.72</v>
      </c>
      <c r="X102" s="48">
        <v>5452</v>
      </c>
    </row>
    <row r="103" spans="2:24" x14ac:dyDescent="0.35">
      <c r="B103" s="8" t="s">
        <v>12</v>
      </c>
      <c r="C103" s="8" t="s">
        <v>34</v>
      </c>
      <c r="D103" s="8" t="s">
        <v>35</v>
      </c>
      <c r="E103" s="8" t="s">
        <v>27</v>
      </c>
      <c r="F103" s="6" t="s">
        <v>28</v>
      </c>
      <c r="G103" s="8">
        <v>2017</v>
      </c>
      <c r="H103" s="8">
        <v>1</v>
      </c>
      <c r="I103" s="10">
        <v>42736</v>
      </c>
      <c r="J103" s="11">
        <v>4410</v>
      </c>
      <c r="K103" s="51"/>
      <c r="O103" s="1" t="s">
        <v>12</v>
      </c>
      <c r="P103" s="1" t="s">
        <v>34</v>
      </c>
      <c r="Q103" s="1" t="s">
        <v>35</v>
      </c>
      <c r="R103" s="1" t="s">
        <v>27</v>
      </c>
      <c r="S103" t="s">
        <v>28</v>
      </c>
      <c r="T103" s="1">
        <v>2017</v>
      </c>
      <c r="U103" s="1">
        <v>1</v>
      </c>
      <c r="V103" s="50">
        <v>42736</v>
      </c>
      <c r="W103" s="4">
        <v>3792.6000000000004</v>
      </c>
      <c r="X103" s="48">
        <v>4410</v>
      </c>
    </row>
    <row r="104" spans="2:24" x14ac:dyDescent="0.35">
      <c r="B104" s="8" t="s">
        <v>14</v>
      </c>
      <c r="C104" s="8" t="s">
        <v>37</v>
      </c>
      <c r="D104" s="8" t="s">
        <v>38</v>
      </c>
      <c r="E104" s="8" t="s">
        <v>27</v>
      </c>
      <c r="F104" s="6" t="s">
        <v>33</v>
      </c>
      <c r="G104" s="8">
        <v>2017</v>
      </c>
      <c r="H104" s="8">
        <v>1</v>
      </c>
      <c r="I104" s="10">
        <v>42736</v>
      </c>
      <c r="J104" s="11">
        <v>3807</v>
      </c>
      <c r="K104" s="51"/>
      <c r="O104" s="1" t="s">
        <v>14</v>
      </c>
      <c r="P104" s="1" t="s">
        <v>37</v>
      </c>
      <c r="Q104" s="1" t="s">
        <v>38</v>
      </c>
      <c r="R104" s="1" t="s">
        <v>27</v>
      </c>
      <c r="S104" t="s">
        <v>33</v>
      </c>
      <c r="T104" s="1">
        <v>2017</v>
      </c>
      <c r="U104" s="1">
        <v>1</v>
      </c>
      <c r="V104" s="50">
        <v>42736</v>
      </c>
      <c r="W104" s="4">
        <v>3312.0900000000006</v>
      </c>
      <c r="X104" s="48">
        <v>3807</v>
      </c>
    </row>
    <row r="105" spans="2:24" x14ac:dyDescent="0.35">
      <c r="B105" s="8" t="s">
        <v>12</v>
      </c>
      <c r="C105" s="8" t="s">
        <v>44</v>
      </c>
      <c r="D105" s="8" t="s">
        <v>13</v>
      </c>
      <c r="E105" s="8" t="s">
        <v>23</v>
      </c>
      <c r="F105" s="6" t="s">
        <v>24</v>
      </c>
      <c r="G105" s="8">
        <v>2017</v>
      </c>
      <c r="H105" s="8">
        <v>1</v>
      </c>
      <c r="I105" s="10">
        <v>42736</v>
      </c>
      <c r="J105" s="11">
        <v>2187</v>
      </c>
      <c r="K105" s="51"/>
      <c r="O105" s="1" t="s">
        <v>12</v>
      </c>
      <c r="P105" s="1" t="s">
        <v>44</v>
      </c>
      <c r="Q105" s="1" t="s">
        <v>13</v>
      </c>
      <c r="R105" s="1" t="s">
        <v>23</v>
      </c>
      <c r="S105" t="s">
        <v>24</v>
      </c>
      <c r="T105" s="1">
        <v>2017</v>
      </c>
      <c r="U105" s="1">
        <v>1</v>
      </c>
      <c r="V105" s="50">
        <v>42736</v>
      </c>
      <c r="W105" s="4">
        <v>1858.9500000000003</v>
      </c>
      <c r="X105" s="48">
        <v>2187</v>
      </c>
    </row>
    <row r="106" spans="2:24" x14ac:dyDescent="0.35">
      <c r="B106" s="8" t="s">
        <v>14</v>
      </c>
      <c r="C106" s="8" t="s">
        <v>46</v>
      </c>
      <c r="D106" s="8" t="s">
        <v>47</v>
      </c>
      <c r="E106" s="9" t="s">
        <v>0</v>
      </c>
      <c r="F106" s="9" t="s">
        <v>42</v>
      </c>
      <c r="G106" s="8">
        <v>2017</v>
      </c>
      <c r="H106" s="8">
        <v>1</v>
      </c>
      <c r="I106" s="10">
        <v>42736</v>
      </c>
      <c r="J106" s="11">
        <v>5341</v>
      </c>
      <c r="K106" s="51"/>
      <c r="O106" s="1" t="s">
        <v>14</v>
      </c>
      <c r="P106" s="1" t="s">
        <v>46</v>
      </c>
      <c r="Q106" s="1" t="s">
        <v>47</v>
      </c>
      <c r="R106" s="2" t="s">
        <v>0</v>
      </c>
      <c r="S106" s="2" t="s">
        <v>42</v>
      </c>
      <c r="T106" s="1">
        <v>2017</v>
      </c>
      <c r="U106" s="1">
        <v>1</v>
      </c>
      <c r="V106" s="50">
        <v>42736</v>
      </c>
      <c r="W106" s="4">
        <v>4806.8999999999996</v>
      </c>
      <c r="X106" s="48">
        <v>5341</v>
      </c>
    </row>
    <row r="107" spans="2:24" x14ac:dyDescent="0.35">
      <c r="B107" s="8" t="s">
        <v>7</v>
      </c>
      <c r="C107" s="8" t="s">
        <v>48</v>
      </c>
      <c r="D107" s="8" t="s">
        <v>9</v>
      </c>
      <c r="E107" s="8" t="s">
        <v>27</v>
      </c>
      <c r="F107" s="9" t="s">
        <v>33</v>
      </c>
      <c r="G107" s="8">
        <v>2017</v>
      </c>
      <c r="H107" s="8">
        <v>1</v>
      </c>
      <c r="I107" s="10">
        <v>42736</v>
      </c>
      <c r="J107" s="11">
        <v>3344</v>
      </c>
      <c r="K107" s="51"/>
      <c r="O107" s="1" t="s">
        <v>7</v>
      </c>
      <c r="P107" s="1" t="s">
        <v>48</v>
      </c>
      <c r="Q107" s="1" t="s">
        <v>9</v>
      </c>
      <c r="R107" s="1" t="s">
        <v>27</v>
      </c>
      <c r="S107" s="2" t="s">
        <v>33</v>
      </c>
      <c r="T107" s="1">
        <v>2017</v>
      </c>
      <c r="U107" s="1">
        <v>1</v>
      </c>
      <c r="V107" s="50">
        <v>42736</v>
      </c>
      <c r="W107" s="4">
        <v>3043.04</v>
      </c>
      <c r="X107" s="48">
        <v>3344</v>
      </c>
    </row>
    <row r="108" spans="2:24" x14ac:dyDescent="0.35">
      <c r="B108" s="8" t="s">
        <v>7</v>
      </c>
      <c r="C108" s="8" t="s">
        <v>49</v>
      </c>
      <c r="D108" s="8" t="s">
        <v>11</v>
      </c>
      <c r="E108" s="8" t="s">
        <v>23</v>
      </c>
      <c r="F108" s="6" t="s">
        <v>24</v>
      </c>
      <c r="G108" s="8">
        <v>2017</v>
      </c>
      <c r="H108" s="8">
        <v>1</v>
      </c>
      <c r="I108" s="10">
        <v>42736</v>
      </c>
      <c r="J108" s="11">
        <v>2608</v>
      </c>
      <c r="K108" s="51"/>
      <c r="O108" s="1" t="s">
        <v>7</v>
      </c>
      <c r="P108" s="1" t="s">
        <v>49</v>
      </c>
      <c r="Q108" s="1" t="s">
        <v>11</v>
      </c>
      <c r="R108" s="1" t="s">
        <v>23</v>
      </c>
      <c r="S108" t="s">
        <v>24</v>
      </c>
      <c r="T108" s="1">
        <v>2017</v>
      </c>
      <c r="U108" s="1">
        <v>1</v>
      </c>
      <c r="V108" s="50">
        <v>42736</v>
      </c>
      <c r="W108" s="4">
        <v>2268.96</v>
      </c>
      <c r="X108" s="48">
        <v>2608</v>
      </c>
    </row>
    <row r="109" spans="2:24" x14ac:dyDescent="0.35">
      <c r="B109" s="8" t="s">
        <v>3</v>
      </c>
      <c r="C109" s="8" t="s">
        <v>22</v>
      </c>
      <c r="D109" s="8" t="s">
        <v>5</v>
      </c>
      <c r="E109" s="8" t="s">
        <v>23</v>
      </c>
      <c r="F109" s="8" t="s">
        <v>24</v>
      </c>
      <c r="G109" s="8">
        <v>2017</v>
      </c>
      <c r="H109" s="8">
        <v>2</v>
      </c>
      <c r="I109" s="10">
        <v>42767</v>
      </c>
      <c r="J109" s="11">
        <v>2667</v>
      </c>
      <c r="K109" s="51"/>
      <c r="O109" s="1" t="s">
        <v>3</v>
      </c>
      <c r="P109" s="1" t="s">
        <v>22</v>
      </c>
      <c r="Q109" s="1" t="s">
        <v>5</v>
      </c>
      <c r="R109" s="1" t="s">
        <v>23</v>
      </c>
      <c r="S109" s="1" t="s">
        <v>24</v>
      </c>
      <c r="T109" s="1">
        <v>2017</v>
      </c>
      <c r="U109" s="1">
        <v>2</v>
      </c>
      <c r="V109" s="50">
        <v>42767</v>
      </c>
      <c r="W109" s="4">
        <v>2453.64</v>
      </c>
      <c r="X109" s="48">
        <v>2667</v>
      </c>
    </row>
    <row r="110" spans="2:24" x14ac:dyDescent="0.35">
      <c r="B110" s="8" t="s">
        <v>3</v>
      </c>
      <c r="C110" s="8" t="s">
        <v>25</v>
      </c>
      <c r="D110" s="8" t="s">
        <v>4</v>
      </c>
      <c r="E110" s="8" t="s">
        <v>23</v>
      </c>
      <c r="F110" s="8" t="s">
        <v>24</v>
      </c>
      <c r="G110" s="8">
        <v>2017</v>
      </c>
      <c r="H110" s="8">
        <v>2</v>
      </c>
      <c r="I110" s="10">
        <v>42767</v>
      </c>
      <c r="J110" s="11">
        <v>3191</v>
      </c>
      <c r="K110" s="51"/>
      <c r="O110" s="1" t="s">
        <v>3</v>
      </c>
      <c r="P110" s="1" t="s">
        <v>25</v>
      </c>
      <c r="Q110" s="1" t="s">
        <v>4</v>
      </c>
      <c r="R110" s="1" t="s">
        <v>23</v>
      </c>
      <c r="S110" s="1" t="s">
        <v>24</v>
      </c>
      <c r="T110" s="1">
        <v>2017</v>
      </c>
      <c r="U110" s="1">
        <v>2</v>
      </c>
      <c r="V110" s="50">
        <v>42767</v>
      </c>
      <c r="W110" s="4">
        <v>2871.8999999999996</v>
      </c>
      <c r="X110" s="48">
        <v>3191</v>
      </c>
    </row>
    <row r="111" spans="2:24" x14ac:dyDescent="0.35">
      <c r="B111" s="8" t="s">
        <v>3</v>
      </c>
      <c r="C111" s="8" t="s">
        <v>25</v>
      </c>
      <c r="D111" s="8" t="s">
        <v>4</v>
      </c>
      <c r="E111" s="8" t="s">
        <v>0</v>
      </c>
      <c r="F111" s="8" t="s">
        <v>26</v>
      </c>
      <c r="G111" s="8">
        <v>2017</v>
      </c>
      <c r="H111" s="8">
        <v>2</v>
      </c>
      <c r="I111" s="10">
        <v>42767</v>
      </c>
      <c r="J111" s="11">
        <v>2635</v>
      </c>
      <c r="K111" s="51"/>
      <c r="O111" s="1" t="s">
        <v>3</v>
      </c>
      <c r="P111" s="1" t="s">
        <v>25</v>
      </c>
      <c r="Q111" s="1" t="s">
        <v>4</v>
      </c>
      <c r="R111" s="1" t="s">
        <v>0</v>
      </c>
      <c r="S111" s="1" t="s">
        <v>26</v>
      </c>
      <c r="T111" s="1">
        <v>2017</v>
      </c>
      <c r="U111" s="1">
        <v>2</v>
      </c>
      <c r="V111" s="50">
        <v>42767</v>
      </c>
      <c r="W111" s="4">
        <v>2476.8999999999996</v>
      </c>
      <c r="X111" s="48">
        <v>2635</v>
      </c>
    </row>
    <row r="112" spans="2:24" x14ac:dyDescent="0.35">
      <c r="B112" s="8" t="s">
        <v>3</v>
      </c>
      <c r="C112" s="8" t="s">
        <v>22</v>
      </c>
      <c r="D112" s="8" t="s">
        <v>5</v>
      </c>
      <c r="E112" s="8" t="s">
        <v>0</v>
      </c>
      <c r="F112" s="6" t="s">
        <v>26</v>
      </c>
      <c r="G112" s="8">
        <v>2017</v>
      </c>
      <c r="H112" s="8">
        <v>2</v>
      </c>
      <c r="I112" s="10">
        <v>42767</v>
      </c>
      <c r="J112" s="11">
        <v>3382</v>
      </c>
      <c r="K112" s="51"/>
      <c r="O112" s="1" t="s">
        <v>3</v>
      </c>
      <c r="P112" s="1" t="s">
        <v>22</v>
      </c>
      <c r="Q112" s="1" t="s">
        <v>5</v>
      </c>
      <c r="R112" s="1" t="s">
        <v>0</v>
      </c>
      <c r="S112" t="s">
        <v>26</v>
      </c>
      <c r="T112" s="1">
        <v>2017</v>
      </c>
      <c r="U112" s="1">
        <v>2</v>
      </c>
      <c r="V112" s="50">
        <v>42767</v>
      </c>
      <c r="W112" s="4">
        <v>2942.34</v>
      </c>
      <c r="X112" s="48">
        <v>3382</v>
      </c>
    </row>
    <row r="113" spans="2:24" x14ac:dyDescent="0.35">
      <c r="B113" s="8" t="s">
        <v>3</v>
      </c>
      <c r="C113" s="8" t="s">
        <v>22</v>
      </c>
      <c r="D113" s="8" t="s">
        <v>5</v>
      </c>
      <c r="E113" s="8" t="s">
        <v>27</v>
      </c>
      <c r="F113" s="6" t="s">
        <v>28</v>
      </c>
      <c r="G113" s="8">
        <v>2017</v>
      </c>
      <c r="H113" s="8">
        <v>2</v>
      </c>
      <c r="I113" s="10">
        <v>42767</v>
      </c>
      <c r="J113" s="11">
        <v>4163</v>
      </c>
      <c r="K113" s="51"/>
      <c r="O113" s="1" t="s">
        <v>3</v>
      </c>
      <c r="P113" s="1" t="s">
        <v>22</v>
      </c>
      <c r="Q113" s="1" t="s">
        <v>5</v>
      </c>
      <c r="R113" s="1" t="s">
        <v>27</v>
      </c>
      <c r="S113" t="s">
        <v>28</v>
      </c>
      <c r="T113" s="1">
        <v>2017</v>
      </c>
      <c r="U113" s="1">
        <v>2</v>
      </c>
      <c r="V113" s="50">
        <v>42767</v>
      </c>
      <c r="W113" s="4">
        <v>3871.5899999999997</v>
      </c>
      <c r="X113" s="48">
        <v>4163</v>
      </c>
    </row>
    <row r="114" spans="2:24" x14ac:dyDescent="0.35">
      <c r="B114" s="8" t="s">
        <v>6</v>
      </c>
      <c r="C114" s="8" t="s">
        <v>29</v>
      </c>
      <c r="D114" s="8" t="s">
        <v>30</v>
      </c>
      <c r="E114" s="8" t="s">
        <v>27</v>
      </c>
      <c r="F114" s="6" t="s">
        <v>31</v>
      </c>
      <c r="G114" s="8">
        <v>2017</v>
      </c>
      <c r="H114" s="8">
        <v>2</v>
      </c>
      <c r="I114" s="10">
        <v>42767</v>
      </c>
      <c r="J114" s="11">
        <v>5244</v>
      </c>
      <c r="K114" s="51"/>
      <c r="O114" s="1" t="s">
        <v>6</v>
      </c>
      <c r="P114" s="1" t="s">
        <v>29</v>
      </c>
      <c r="Q114" s="1" t="s">
        <v>30</v>
      </c>
      <c r="R114" s="1" t="s">
        <v>27</v>
      </c>
      <c r="S114" t="s">
        <v>31</v>
      </c>
      <c r="T114" s="1">
        <v>2017</v>
      </c>
      <c r="U114" s="1">
        <v>2</v>
      </c>
      <c r="V114" s="50">
        <v>42767</v>
      </c>
      <c r="W114" s="4">
        <v>4509.84</v>
      </c>
      <c r="X114" s="48">
        <v>5244</v>
      </c>
    </row>
    <row r="115" spans="2:24" x14ac:dyDescent="0.35">
      <c r="B115" s="8" t="s">
        <v>7</v>
      </c>
      <c r="C115" s="8" t="s">
        <v>32</v>
      </c>
      <c r="D115" s="8" t="s">
        <v>8</v>
      </c>
      <c r="E115" s="9" t="s">
        <v>27</v>
      </c>
      <c r="F115" s="9" t="s">
        <v>33</v>
      </c>
      <c r="G115" s="8">
        <v>2017</v>
      </c>
      <c r="H115" s="8">
        <v>2</v>
      </c>
      <c r="I115" s="10">
        <v>42767</v>
      </c>
      <c r="J115" s="11">
        <v>3864</v>
      </c>
      <c r="K115" s="51"/>
      <c r="O115" s="1" t="s">
        <v>7</v>
      </c>
      <c r="P115" s="1" t="s">
        <v>32</v>
      </c>
      <c r="Q115" s="1" t="s">
        <v>8</v>
      </c>
      <c r="R115" s="2" t="s">
        <v>27</v>
      </c>
      <c r="S115" s="2" t="s">
        <v>33</v>
      </c>
      <c r="T115" s="1">
        <v>2017</v>
      </c>
      <c r="U115" s="1">
        <v>2</v>
      </c>
      <c r="V115" s="50">
        <v>42767</v>
      </c>
      <c r="W115" s="4">
        <v>3438.9599999999996</v>
      </c>
      <c r="X115" s="48">
        <v>3864</v>
      </c>
    </row>
    <row r="116" spans="2:24" x14ac:dyDescent="0.35">
      <c r="B116" s="8" t="s">
        <v>12</v>
      </c>
      <c r="C116" s="8" t="s">
        <v>34</v>
      </c>
      <c r="D116" s="8" t="s">
        <v>35</v>
      </c>
      <c r="E116" s="8" t="s">
        <v>23</v>
      </c>
      <c r="F116" s="9" t="s">
        <v>36</v>
      </c>
      <c r="G116" s="8">
        <v>2017</v>
      </c>
      <c r="H116" s="8">
        <v>2</v>
      </c>
      <c r="I116" s="10">
        <v>42767</v>
      </c>
      <c r="J116" s="11">
        <v>1786</v>
      </c>
      <c r="K116" s="51"/>
      <c r="O116" s="1" t="s">
        <v>12</v>
      </c>
      <c r="P116" s="1" t="s">
        <v>34</v>
      </c>
      <c r="Q116" s="1" t="s">
        <v>35</v>
      </c>
      <c r="R116" s="1" t="s">
        <v>23</v>
      </c>
      <c r="S116" s="2" t="s">
        <v>36</v>
      </c>
      <c r="T116" s="1">
        <v>2017</v>
      </c>
      <c r="U116" s="1">
        <v>2</v>
      </c>
      <c r="V116" s="50">
        <v>42767</v>
      </c>
      <c r="W116" s="4">
        <v>1660.9799999999998</v>
      </c>
      <c r="X116" s="48">
        <v>1786</v>
      </c>
    </row>
    <row r="117" spans="2:24" x14ac:dyDescent="0.35">
      <c r="B117" s="8" t="s">
        <v>14</v>
      </c>
      <c r="C117" s="8" t="s">
        <v>37</v>
      </c>
      <c r="D117" s="8" t="s">
        <v>38</v>
      </c>
      <c r="E117" s="8" t="s">
        <v>23</v>
      </c>
      <c r="F117" s="6" t="s">
        <v>24</v>
      </c>
      <c r="G117" s="8">
        <v>2017</v>
      </c>
      <c r="H117" s="8">
        <v>2</v>
      </c>
      <c r="I117" s="10">
        <v>42767</v>
      </c>
      <c r="J117" s="11">
        <v>2567</v>
      </c>
      <c r="K117" s="51"/>
      <c r="O117" s="1" t="s">
        <v>14</v>
      </c>
      <c r="P117" s="1" t="s">
        <v>37</v>
      </c>
      <c r="Q117" s="1" t="s">
        <v>38</v>
      </c>
      <c r="R117" s="1" t="s">
        <v>23</v>
      </c>
      <c r="S117" t="s">
        <v>24</v>
      </c>
      <c r="T117" s="1">
        <v>2017</v>
      </c>
      <c r="U117" s="1">
        <v>2</v>
      </c>
      <c r="V117" s="50">
        <v>42767</v>
      </c>
      <c r="W117" s="4">
        <v>2361.64</v>
      </c>
      <c r="X117" s="48">
        <v>2567</v>
      </c>
    </row>
    <row r="118" spans="2:24" x14ac:dyDescent="0.35">
      <c r="B118" s="8" t="s">
        <v>3</v>
      </c>
      <c r="C118" s="8" t="s">
        <v>25</v>
      </c>
      <c r="D118" s="8" t="s">
        <v>4</v>
      </c>
      <c r="E118" s="8" t="s">
        <v>23</v>
      </c>
      <c r="F118" s="8" t="s">
        <v>39</v>
      </c>
      <c r="G118" s="8">
        <v>2017</v>
      </c>
      <c r="H118" s="8">
        <v>2</v>
      </c>
      <c r="I118" s="10">
        <v>42767</v>
      </c>
      <c r="J118" s="11">
        <v>1267</v>
      </c>
      <c r="K118" s="51"/>
      <c r="O118" s="1" t="s">
        <v>3</v>
      </c>
      <c r="P118" s="1" t="s">
        <v>25</v>
      </c>
      <c r="Q118" s="1" t="s">
        <v>4</v>
      </c>
      <c r="R118" s="1" t="s">
        <v>23</v>
      </c>
      <c r="S118" s="1" t="s">
        <v>39</v>
      </c>
      <c r="T118" s="1">
        <v>2017</v>
      </c>
      <c r="U118" s="1">
        <v>2</v>
      </c>
      <c r="V118" s="50">
        <v>42767</v>
      </c>
      <c r="W118" s="4">
        <v>1114.9599999999998</v>
      </c>
      <c r="X118" s="48">
        <v>1267</v>
      </c>
    </row>
    <row r="119" spans="2:24" x14ac:dyDescent="0.35">
      <c r="B119" s="8" t="s">
        <v>6</v>
      </c>
      <c r="C119" s="8" t="s">
        <v>40</v>
      </c>
      <c r="D119" s="8" t="s">
        <v>41</v>
      </c>
      <c r="E119" s="8" t="s">
        <v>0</v>
      </c>
      <c r="F119" s="8" t="s">
        <v>42</v>
      </c>
      <c r="G119" s="8">
        <v>2017</v>
      </c>
      <c r="H119" s="8">
        <v>2</v>
      </c>
      <c r="I119" s="10">
        <v>42767</v>
      </c>
      <c r="J119" s="11">
        <v>6002</v>
      </c>
      <c r="K119" s="51"/>
      <c r="O119" s="1" t="s">
        <v>6</v>
      </c>
      <c r="P119" s="1" t="s">
        <v>40</v>
      </c>
      <c r="Q119" s="1" t="s">
        <v>41</v>
      </c>
      <c r="R119" s="1" t="s">
        <v>0</v>
      </c>
      <c r="S119" s="1" t="s">
        <v>42</v>
      </c>
      <c r="T119" s="1">
        <v>2017</v>
      </c>
      <c r="U119" s="1">
        <v>2</v>
      </c>
      <c r="V119" s="50">
        <v>42767</v>
      </c>
      <c r="W119" s="4">
        <v>5161.72</v>
      </c>
      <c r="X119" s="48">
        <v>6002</v>
      </c>
    </row>
    <row r="120" spans="2:24" x14ac:dyDescent="0.35">
      <c r="B120" s="8" t="s">
        <v>7</v>
      </c>
      <c r="C120" s="8" t="s">
        <v>43</v>
      </c>
      <c r="D120" s="8" t="s">
        <v>10</v>
      </c>
      <c r="E120" s="8" t="s">
        <v>0</v>
      </c>
      <c r="F120" s="8" t="s">
        <v>26</v>
      </c>
      <c r="G120" s="8">
        <v>2017</v>
      </c>
      <c r="H120" s="8">
        <v>2</v>
      </c>
      <c r="I120" s="10">
        <v>42767</v>
      </c>
      <c r="J120" s="11">
        <v>3278</v>
      </c>
      <c r="K120" s="51"/>
      <c r="O120" s="1" t="s">
        <v>7</v>
      </c>
      <c r="P120" s="1" t="s">
        <v>43</v>
      </c>
      <c r="Q120" s="1" t="s">
        <v>10</v>
      </c>
      <c r="R120" s="1" t="s">
        <v>0</v>
      </c>
      <c r="S120" s="1" t="s">
        <v>26</v>
      </c>
      <c r="T120" s="1">
        <v>2017</v>
      </c>
      <c r="U120" s="1">
        <v>2</v>
      </c>
      <c r="V120" s="50">
        <v>42767</v>
      </c>
      <c r="W120" s="4">
        <v>2982.9799999999996</v>
      </c>
      <c r="X120" s="48">
        <v>3278</v>
      </c>
    </row>
    <row r="121" spans="2:24" x14ac:dyDescent="0.35">
      <c r="B121" s="8" t="s">
        <v>12</v>
      </c>
      <c r="C121" s="8" t="s">
        <v>44</v>
      </c>
      <c r="D121" s="8" t="s">
        <v>13</v>
      </c>
      <c r="E121" s="8" t="s">
        <v>0</v>
      </c>
      <c r="F121" s="6" t="s">
        <v>45</v>
      </c>
      <c r="G121" s="8">
        <v>2017</v>
      </c>
      <c r="H121" s="8">
        <v>2</v>
      </c>
      <c r="I121" s="10">
        <v>42767</v>
      </c>
      <c r="J121" s="11">
        <v>3827</v>
      </c>
      <c r="K121" s="51"/>
      <c r="O121" s="1" t="s">
        <v>12</v>
      </c>
      <c r="P121" s="1" t="s">
        <v>44</v>
      </c>
      <c r="Q121" s="1" t="s">
        <v>13</v>
      </c>
      <c r="R121" s="1" t="s">
        <v>0</v>
      </c>
      <c r="S121" t="s">
        <v>45</v>
      </c>
      <c r="T121" s="1">
        <v>2017</v>
      </c>
      <c r="U121" s="1">
        <v>2</v>
      </c>
      <c r="V121" s="50">
        <v>42767</v>
      </c>
      <c r="W121" s="4">
        <v>3482.5699999999997</v>
      </c>
      <c r="X121" s="48">
        <v>3827</v>
      </c>
    </row>
    <row r="122" spans="2:24" x14ac:dyDescent="0.35">
      <c r="B122" s="8" t="s">
        <v>14</v>
      </c>
      <c r="C122" s="8" t="s">
        <v>46</v>
      </c>
      <c r="D122" s="8" t="s">
        <v>47</v>
      </c>
      <c r="E122" s="8" t="s">
        <v>27</v>
      </c>
      <c r="F122" s="6" t="s">
        <v>28</v>
      </c>
      <c r="G122" s="8">
        <v>2017</v>
      </c>
      <c r="H122" s="8">
        <v>2</v>
      </c>
      <c r="I122" s="10">
        <v>42767</v>
      </c>
      <c r="J122" s="11">
        <v>3994</v>
      </c>
      <c r="K122" s="51"/>
      <c r="O122" s="1" t="s">
        <v>14</v>
      </c>
      <c r="P122" s="1" t="s">
        <v>46</v>
      </c>
      <c r="Q122" s="1" t="s">
        <v>47</v>
      </c>
      <c r="R122" s="1" t="s">
        <v>27</v>
      </c>
      <c r="S122" t="s">
        <v>28</v>
      </c>
      <c r="T122" s="1">
        <v>2017</v>
      </c>
      <c r="U122" s="1">
        <v>2</v>
      </c>
      <c r="V122" s="50">
        <v>42767</v>
      </c>
      <c r="W122" s="4">
        <v>3594.5999999999995</v>
      </c>
      <c r="X122" s="48">
        <v>3994</v>
      </c>
    </row>
    <row r="123" spans="2:24" x14ac:dyDescent="0.35">
      <c r="B123" s="8" t="s">
        <v>3</v>
      </c>
      <c r="C123" s="8" t="s">
        <v>22</v>
      </c>
      <c r="D123" s="8" t="s">
        <v>5</v>
      </c>
      <c r="E123" s="8" t="s">
        <v>27</v>
      </c>
      <c r="F123" s="6" t="s">
        <v>31</v>
      </c>
      <c r="G123" s="8">
        <v>2017</v>
      </c>
      <c r="H123" s="8">
        <v>2</v>
      </c>
      <c r="I123" s="10">
        <v>42767</v>
      </c>
      <c r="J123" s="11">
        <v>3180</v>
      </c>
      <c r="K123" s="51"/>
      <c r="O123" s="1" t="s">
        <v>3</v>
      </c>
      <c r="P123" s="1" t="s">
        <v>22</v>
      </c>
      <c r="Q123" s="1" t="s">
        <v>5</v>
      </c>
      <c r="R123" s="1" t="s">
        <v>27</v>
      </c>
      <c r="S123" t="s">
        <v>31</v>
      </c>
      <c r="T123" s="1">
        <v>2017</v>
      </c>
      <c r="U123" s="1">
        <v>2</v>
      </c>
      <c r="V123" s="50">
        <v>42767</v>
      </c>
      <c r="W123" s="4">
        <v>2830.2</v>
      </c>
      <c r="X123" s="48">
        <v>3180</v>
      </c>
    </row>
    <row r="124" spans="2:24" x14ac:dyDescent="0.35">
      <c r="B124" s="8" t="s">
        <v>6</v>
      </c>
      <c r="C124" s="8" t="s">
        <v>29</v>
      </c>
      <c r="D124" s="8" t="s">
        <v>30</v>
      </c>
      <c r="E124" s="9" t="s">
        <v>27</v>
      </c>
      <c r="F124" s="9" t="s">
        <v>33</v>
      </c>
      <c r="G124" s="8">
        <v>2017</v>
      </c>
      <c r="H124" s="8">
        <v>2</v>
      </c>
      <c r="I124" s="10">
        <v>42767</v>
      </c>
      <c r="J124" s="11">
        <v>3706</v>
      </c>
      <c r="K124" s="51"/>
      <c r="O124" s="1" t="s">
        <v>6</v>
      </c>
      <c r="P124" s="1" t="s">
        <v>29</v>
      </c>
      <c r="Q124" s="1" t="s">
        <v>30</v>
      </c>
      <c r="R124" s="2" t="s">
        <v>27</v>
      </c>
      <c r="S124" s="2" t="s">
        <v>33</v>
      </c>
      <c r="T124" s="1">
        <v>2017</v>
      </c>
      <c r="U124" s="1">
        <v>2</v>
      </c>
      <c r="V124" s="50">
        <v>42767</v>
      </c>
      <c r="W124" s="4">
        <v>3187.1600000000003</v>
      </c>
      <c r="X124" s="48">
        <v>3706</v>
      </c>
    </row>
    <row r="125" spans="2:24" x14ac:dyDescent="0.35">
      <c r="B125" s="8" t="s">
        <v>7</v>
      </c>
      <c r="C125" s="8" t="s">
        <v>32</v>
      </c>
      <c r="D125" s="8" t="s">
        <v>8</v>
      </c>
      <c r="E125" s="8" t="s">
        <v>23</v>
      </c>
      <c r="F125" s="9" t="s">
        <v>36</v>
      </c>
      <c r="G125" s="8">
        <v>2017</v>
      </c>
      <c r="H125" s="8">
        <v>2</v>
      </c>
      <c r="I125" s="10">
        <v>42767</v>
      </c>
      <c r="J125" s="11">
        <v>1955</v>
      </c>
      <c r="K125" s="51"/>
      <c r="O125" s="1" t="s">
        <v>7</v>
      </c>
      <c r="P125" s="1" t="s">
        <v>32</v>
      </c>
      <c r="Q125" s="1" t="s">
        <v>8</v>
      </c>
      <c r="R125" s="1" t="s">
        <v>23</v>
      </c>
      <c r="S125" s="2" t="s">
        <v>36</v>
      </c>
      <c r="T125" s="1">
        <v>2017</v>
      </c>
      <c r="U125" s="1">
        <v>2</v>
      </c>
      <c r="V125" s="50">
        <v>42767</v>
      </c>
      <c r="W125" s="4">
        <v>1700.8500000000001</v>
      </c>
      <c r="X125" s="48">
        <v>1955</v>
      </c>
    </row>
    <row r="126" spans="2:24" x14ac:dyDescent="0.35">
      <c r="B126" s="8" t="s">
        <v>12</v>
      </c>
      <c r="C126" s="8" t="s">
        <v>34</v>
      </c>
      <c r="D126" s="8" t="s">
        <v>35</v>
      </c>
      <c r="E126" s="8" t="s">
        <v>23</v>
      </c>
      <c r="F126" s="6" t="s">
        <v>24</v>
      </c>
      <c r="G126" s="8">
        <v>2017</v>
      </c>
      <c r="H126" s="8">
        <v>2</v>
      </c>
      <c r="I126" s="10">
        <v>42767</v>
      </c>
      <c r="J126" s="11">
        <v>3387</v>
      </c>
      <c r="K126" s="51"/>
      <c r="O126" s="1" t="s">
        <v>12</v>
      </c>
      <c r="P126" s="1" t="s">
        <v>34</v>
      </c>
      <c r="Q126" s="1" t="s">
        <v>35</v>
      </c>
      <c r="R126" s="1" t="s">
        <v>23</v>
      </c>
      <c r="S126" t="s">
        <v>24</v>
      </c>
      <c r="T126" s="1">
        <v>2017</v>
      </c>
      <c r="U126" s="1">
        <v>2</v>
      </c>
      <c r="V126" s="50">
        <v>42767</v>
      </c>
      <c r="W126" s="4">
        <v>2946.6900000000005</v>
      </c>
      <c r="X126" s="48">
        <v>3387</v>
      </c>
    </row>
    <row r="127" spans="2:24" x14ac:dyDescent="0.35">
      <c r="B127" s="8" t="s">
        <v>14</v>
      </c>
      <c r="C127" s="8" t="s">
        <v>37</v>
      </c>
      <c r="D127" s="8" t="s">
        <v>38</v>
      </c>
      <c r="E127" s="8" t="s">
        <v>23</v>
      </c>
      <c r="F127" s="8" t="s">
        <v>39</v>
      </c>
      <c r="G127" s="8">
        <v>2017</v>
      </c>
      <c r="H127" s="8">
        <v>2</v>
      </c>
      <c r="I127" s="10">
        <v>42767</v>
      </c>
      <c r="J127" s="11">
        <v>2279</v>
      </c>
      <c r="K127" s="51"/>
      <c r="O127" s="1" t="s">
        <v>14</v>
      </c>
      <c r="P127" s="1" t="s">
        <v>37</v>
      </c>
      <c r="Q127" s="1" t="s">
        <v>38</v>
      </c>
      <c r="R127" s="1" t="s">
        <v>23</v>
      </c>
      <c r="S127" s="1" t="s">
        <v>39</v>
      </c>
      <c r="T127" s="1">
        <v>2017</v>
      </c>
      <c r="U127" s="1">
        <v>2</v>
      </c>
      <c r="V127" s="50">
        <v>42767</v>
      </c>
      <c r="W127" s="4">
        <v>2073.89</v>
      </c>
      <c r="X127" s="48">
        <v>2279</v>
      </c>
    </row>
    <row r="128" spans="2:24" x14ac:dyDescent="0.35">
      <c r="B128" s="8" t="s">
        <v>3</v>
      </c>
      <c r="C128" s="8" t="s">
        <v>25</v>
      </c>
      <c r="D128" s="8" t="s">
        <v>4</v>
      </c>
      <c r="E128" s="8" t="s">
        <v>0</v>
      </c>
      <c r="F128" s="8" t="s">
        <v>42</v>
      </c>
      <c r="G128" s="8">
        <v>2017</v>
      </c>
      <c r="H128" s="8">
        <v>2</v>
      </c>
      <c r="I128" s="10">
        <v>42767</v>
      </c>
      <c r="J128" s="11">
        <v>6124</v>
      </c>
      <c r="K128" s="51"/>
      <c r="O128" s="1" t="s">
        <v>3</v>
      </c>
      <c r="P128" s="1" t="s">
        <v>25</v>
      </c>
      <c r="Q128" s="1" t="s">
        <v>4</v>
      </c>
      <c r="R128" s="1" t="s">
        <v>0</v>
      </c>
      <c r="S128" s="1" t="s">
        <v>42</v>
      </c>
      <c r="T128" s="1">
        <v>2017</v>
      </c>
      <c r="U128" s="1">
        <v>2</v>
      </c>
      <c r="V128" s="50">
        <v>42767</v>
      </c>
      <c r="W128" s="4">
        <v>5634.08</v>
      </c>
      <c r="X128" s="48">
        <v>6124</v>
      </c>
    </row>
    <row r="129" spans="2:24" x14ac:dyDescent="0.35">
      <c r="B129" s="8" t="s">
        <v>6</v>
      </c>
      <c r="C129" s="8" t="s">
        <v>40</v>
      </c>
      <c r="D129" s="8" t="s">
        <v>41</v>
      </c>
      <c r="E129" s="8" t="s">
        <v>0</v>
      </c>
      <c r="F129" s="8" t="s">
        <v>26</v>
      </c>
      <c r="G129" s="8">
        <v>2017</v>
      </c>
      <c r="H129" s="8">
        <v>2</v>
      </c>
      <c r="I129" s="10">
        <v>42767</v>
      </c>
      <c r="J129" s="11">
        <v>5592</v>
      </c>
      <c r="K129" s="51"/>
      <c r="O129" s="1" t="s">
        <v>6</v>
      </c>
      <c r="P129" s="1" t="s">
        <v>40</v>
      </c>
      <c r="Q129" s="1" t="s">
        <v>41</v>
      </c>
      <c r="R129" s="1" t="s">
        <v>0</v>
      </c>
      <c r="S129" s="1" t="s">
        <v>26</v>
      </c>
      <c r="T129" s="1">
        <v>2017</v>
      </c>
      <c r="U129" s="1">
        <v>2</v>
      </c>
      <c r="V129" s="50">
        <v>42767</v>
      </c>
      <c r="W129" s="4">
        <v>5032.7999999999993</v>
      </c>
      <c r="X129" s="48">
        <v>5592</v>
      </c>
    </row>
    <row r="130" spans="2:24" x14ac:dyDescent="0.35">
      <c r="B130" s="8" t="s">
        <v>7</v>
      </c>
      <c r="C130" s="8" t="s">
        <v>43</v>
      </c>
      <c r="D130" s="8" t="s">
        <v>10</v>
      </c>
      <c r="E130" s="8" t="s">
        <v>0</v>
      </c>
      <c r="F130" s="6" t="s">
        <v>45</v>
      </c>
      <c r="G130" s="8">
        <v>2017</v>
      </c>
      <c r="H130" s="8">
        <v>2</v>
      </c>
      <c r="I130" s="10">
        <v>42767</v>
      </c>
      <c r="J130" s="11">
        <v>3507</v>
      </c>
      <c r="K130" s="51"/>
      <c r="O130" s="1" t="s">
        <v>7</v>
      </c>
      <c r="P130" s="1" t="s">
        <v>43</v>
      </c>
      <c r="Q130" s="1" t="s">
        <v>10</v>
      </c>
      <c r="R130" s="1" t="s">
        <v>0</v>
      </c>
      <c r="S130" t="s">
        <v>45</v>
      </c>
      <c r="T130" s="1">
        <v>2017</v>
      </c>
      <c r="U130" s="1">
        <v>2</v>
      </c>
      <c r="V130" s="50">
        <v>42767</v>
      </c>
      <c r="W130" s="4">
        <v>3296.58</v>
      </c>
      <c r="X130" s="48">
        <v>3507</v>
      </c>
    </row>
    <row r="131" spans="2:24" x14ac:dyDescent="0.35">
      <c r="B131" s="8" t="s">
        <v>12</v>
      </c>
      <c r="C131" s="8" t="s">
        <v>44</v>
      </c>
      <c r="D131" s="8" t="s">
        <v>13</v>
      </c>
      <c r="E131" s="8" t="s">
        <v>27</v>
      </c>
      <c r="F131" s="6" t="s">
        <v>28</v>
      </c>
      <c r="G131" s="8">
        <v>2017</v>
      </c>
      <c r="H131" s="8">
        <v>2</v>
      </c>
      <c r="I131" s="10">
        <v>42767</v>
      </c>
      <c r="J131" s="11">
        <v>4265</v>
      </c>
      <c r="K131" s="51"/>
      <c r="O131" s="1" t="s">
        <v>12</v>
      </c>
      <c r="P131" s="1" t="s">
        <v>44</v>
      </c>
      <c r="Q131" s="1" t="s">
        <v>13</v>
      </c>
      <c r="R131" s="1" t="s">
        <v>27</v>
      </c>
      <c r="S131" t="s">
        <v>28</v>
      </c>
      <c r="T131" s="1">
        <v>2017</v>
      </c>
      <c r="U131" s="1">
        <v>2</v>
      </c>
      <c r="V131" s="50">
        <v>42767</v>
      </c>
      <c r="W131" s="4">
        <v>3710.55</v>
      </c>
      <c r="X131" s="48">
        <v>4265</v>
      </c>
    </row>
    <row r="132" spans="2:24" x14ac:dyDescent="0.35">
      <c r="B132" s="8" t="s">
        <v>14</v>
      </c>
      <c r="C132" s="8" t="s">
        <v>46</v>
      </c>
      <c r="D132" s="8" t="s">
        <v>47</v>
      </c>
      <c r="E132" s="8" t="s">
        <v>27</v>
      </c>
      <c r="F132" s="6" t="s">
        <v>31</v>
      </c>
      <c r="G132" s="8">
        <v>2017</v>
      </c>
      <c r="H132" s="8">
        <v>2</v>
      </c>
      <c r="I132" s="10">
        <v>42767</v>
      </c>
      <c r="J132" s="11">
        <v>4242</v>
      </c>
      <c r="K132" s="51"/>
      <c r="O132" s="1" t="s">
        <v>14</v>
      </c>
      <c r="P132" s="1" t="s">
        <v>46</v>
      </c>
      <c r="Q132" s="1" t="s">
        <v>47</v>
      </c>
      <c r="R132" s="1" t="s">
        <v>27</v>
      </c>
      <c r="S132" t="s">
        <v>31</v>
      </c>
      <c r="T132" s="1">
        <v>2017</v>
      </c>
      <c r="U132" s="1">
        <v>2</v>
      </c>
      <c r="V132" s="50">
        <v>42767</v>
      </c>
      <c r="W132" s="4">
        <v>3987.4799999999996</v>
      </c>
      <c r="X132" s="48">
        <v>4242</v>
      </c>
    </row>
    <row r="133" spans="2:24" x14ac:dyDescent="0.35">
      <c r="B133" s="8" t="s">
        <v>3</v>
      </c>
      <c r="C133" s="8" t="s">
        <v>22</v>
      </c>
      <c r="D133" s="8" t="s">
        <v>5</v>
      </c>
      <c r="E133" s="9" t="s">
        <v>27</v>
      </c>
      <c r="F133" s="9" t="s">
        <v>33</v>
      </c>
      <c r="G133" s="8">
        <v>2017</v>
      </c>
      <c r="H133" s="8">
        <v>2</v>
      </c>
      <c r="I133" s="10">
        <v>42767</v>
      </c>
      <c r="J133" s="11">
        <v>3258</v>
      </c>
      <c r="K133" s="51"/>
      <c r="O133" s="1" t="s">
        <v>3</v>
      </c>
      <c r="P133" s="1" t="s">
        <v>22</v>
      </c>
      <c r="Q133" s="1" t="s">
        <v>5</v>
      </c>
      <c r="R133" s="2" t="s">
        <v>27</v>
      </c>
      <c r="S133" s="2" t="s">
        <v>33</v>
      </c>
      <c r="T133" s="1">
        <v>2017</v>
      </c>
      <c r="U133" s="1">
        <v>2</v>
      </c>
      <c r="V133" s="50">
        <v>42767</v>
      </c>
      <c r="W133" s="4">
        <v>2964.7799999999997</v>
      </c>
      <c r="X133" s="48">
        <v>3258</v>
      </c>
    </row>
    <row r="134" spans="2:24" x14ac:dyDescent="0.35">
      <c r="B134" s="8" t="s">
        <v>6</v>
      </c>
      <c r="C134" s="8" t="s">
        <v>29</v>
      </c>
      <c r="D134" s="8" t="s">
        <v>30</v>
      </c>
      <c r="E134" s="8" t="s">
        <v>23</v>
      </c>
      <c r="F134" s="9" t="s">
        <v>36</v>
      </c>
      <c r="G134" s="8">
        <v>2017</v>
      </c>
      <c r="H134" s="8">
        <v>2</v>
      </c>
      <c r="I134" s="10">
        <v>42767</v>
      </c>
      <c r="J134" s="11">
        <v>2757</v>
      </c>
      <c r="K134" s="51"/>
      <c r="O134" s="1" t="s">
        <v>6</v>
      </c>
      <c r="P134" s="1" t="s">
        <v>29</v>
      </c>
      <c r="Q134" s="1" t="s">
        <v>30</v>
      </c>
      <c r="R134" s="1" t="s">
        <v>23</v>
      </c>
      <c r="S134" s="2" t="s">
        <v>36</v>
      </c>
      <c r="T134" s="1">
        <v>2017</v>
      </c>
      <c r="U134" s="1">
        <v>2</v>
      </c>
      <c r="V134" s="50">
        <v>42767</v>
      </c>
      <c r="W134" s="4">
        <v>2453.7299999999996</v>
      </c>
      <c r="X134" s="48">
        <v>2757</v>
      </c>
    </row>
    <row r="135" spans="2:24" x14ac:dyDescent="0.35">
      <c r="B135" s="8" t="s">
        <v>7</v>
      </c>
      <c r="C135" s="8" t="s">
        <v>32</v>
      </c>
      <c r="D135" s="8" t="s">
        <v>8</v>
      </c>
      <c r="E135" s="8" t="s">
        <v>23</v>
      </c>
      <c r="F135" s="6" t="s">
        <v>24</v>
      </c>
      <c r="G135" s="8">
        <v>2017</v>
      </c>
      <c r="H135" s="8">
        <v>2</v>
      </c>
      <c r="I135" s="10">
        <v>42767</v>
      </c>
      <c r="J135" s="11">
        <v>2349</v>
      </c>
      <c r="K135" s="51"/>
      <c r="O135" s="1" t="s">
        <v>7</v>
      </c>
      <c r="P135" s="1" t="s">
        <v>32</v>
      </c>
      <c r="Q135" s="1" t="s">
        <v>8</v>
      </c>
      <c r="R135" s="1" t="s">
        <v>23</v>
      </c>
      <c r="S135" t="s">
        <v>24</v>
      </c>
      <c r="T135" s="1">
        <v>2017</v>
      </c>
      <c r="U135" s="1">
        <v>2</v>
      </c>
      <c r="V135" s="50">
        <v>42767</v>
      </c>
      <c r="W135" s="4">
        <v>2090.6099999999997</v>
      </c>
      <c r="X135" s="48">
        <v>2349</v>
      </c>
    </row>
    <row r="136" spans="2:24" x14ac:dyDescent="0.35">
      <c r="B136" s="8" t="s">
        <v>12</v>
      </c>
      <c r="C136" s="8" t="s">
        <v>34</v>
      </c>
      <c r="D136" s="8" t="s">
        <v>35</v>
      </c>
      <c r="E136" s="8" t="s">
        <v>23</v>
      </c>
      <c r="F136" s="8" t="s">
        <v>39</v>
      </c>
      <c r="G136" s="8">
        <v>2017</v>
      </c>
      <c r="H136" s="8">
        <v>2</v>
      </c>
      <c r="I136" s="10">
        <v>42767</v>
      </c>
      <c r="J136" s="11">
        <v>2421</v>
      </c>
      <c r="K136" s="51"/>
      <c r="O136" s="1" t="s">
        <v>12</v>
      </c>
      <c r="P136" s="1" t="s">
        <v>34</v>
      </c>
      <c r="Q136" s="1" t="s">
        <v>35</v>
      </c>
      <c r="R136" s="1" t="s">
        <v>23</v>
      </c>
      <c r="S136" s="1" t="s">
        <v>39</v>
      </c>
      <c r="T136" s="1">
        <v>2017</v>
      </c>
      <c r="U136" s="1">
        <v>2</v>
      </c>
      <c r="V136" s="50">
        <v>42767</v>
      </c>
      <c r="W136" s="4">
        <v>2082.0600000000004</v>
      </c>
      <c r="X136" s="48">
        <v>2421</v>
      </c>
    </row>
    <row r="137" spans="2:24" x14ac:dyDescent="0.35">
      <c r="B137" s="8" t="s">
        <v>14</v>
      </c>
      <c r="C137" s="8" t="s">
        <v>37</v>
      </c>
      <c r="D137" s="8" t="s">
        <v>38</v>
      </c>
      <c r="E137" s="8" t="s">
        <v>0</v>
      </c>
      <c r="F137" s="8" t="s">
        <v>42</v>
      </c>
      <c r="G137" s="8">
        <v>2017</v>
      </c>
      <c r="H137" s="8">
        <v>2</v>
      </c>
      <c r="I137" s="10">
        <v>42767</v>
      </c>
      <c r="J137" s="11">
        <v>5140</v>
      </c>
      <c r="K137" s="51"/>
      <c r="O137" s="1" t="s">
        <v>14</v>
      </c>
      <c r="P137" s="1" t="s">
        <v>37</v>
      </c>
      <c r="Q137" s="1" t="s">
        <v>38</v>
      </c>
      <c r="R137" s="1" t="s">
        <v>0</v>
      </c>
      <c r="S137" s="1" t="s">
        <v>42</v>
      </c>
      <c r="T137" s="1">
        <v>2017</v>
      </c>
      <c r="U137" s="1">
        <v>2</v>
      </c>
      <c r="V137" s="50">
        <v>42767</v>
      </c>
      <c r="W137" s="4">
        <v>4626</v>
      </c>
      <c r="X137" s="48">
        <v>5140</v>
      </c>
    </row>
    <row r="138" spans="2:24" x14ac:dyDescent="0.35">
      <c r="B138" s="8" t="s">
        <v>6</v>
      </c>
      <c r="C138" s="8" t="s">
        <v>29</v>
      </c>
      <c r="D138" s="8" t="s">
        <v>30</v>
      </c>
      <c r="E138" s="8" t="s">
        <v>0</v>
      </c>
      <c r="F138" s="8" t="s">
        <v>45</v>
      </c>
      <c r="G138" s="8">
        <v>2017</v>
      </c>
      <c r="H138" s="8">
        <v>2</v>
      </c>
      <c r="I138" s="10">
        <v>42767</v>
      </c>
      <c r="J138" s="11">
        <v>3952</v>
      </c>
      <c r="K138" s="51"/>
      <c r="O138" s="1" t="s">
        <v>6</v>
      </c>
      <c r="P138" s="1" t="s">
        <v>29</v>
      </c>
      <c r="Q138" s="1" t="s">
        <v>30</v>
      </c>
      <c r="R138" s="1" t="s">
        <v>0</v>
      </c>
      <c r="S138" s="1" t="s">
        <v>45</v>
      </c>
      <c r="T138" s="1">
        <v>2017</v>
      </c>
      <c r="U138" s="1">
        <v>2</v>
      </c>
      <c r="V138" s="50">
        <v>42767</v>
      </c>
      <c r="W138" s="4">
        <v>3556.7999999999997</v>
      </c>
      <c r="X138" s="48">
        <v>3952</v>
      </c>
    </row>
    <row r="139" spans="2:24" x14ac:dyDescent="0.35">
      <c r="B139" s="8" t="s">
        <v>7</v>
      </c>
      <c r="C139" s="8" t="s">
        <v>43</v>
      </c>
      <c r="D139" s="8" t="s">
        <v>10</v>
      </c>
      <c r="E139" s="8" t="s">
        <v>27</v>
      </c>
      <c r="F139" s="6" t="s">
        <v>28</v>
      </c>
      <c r="G139" s="8">
        <v>2017</v>
      </c>
      <c r="H139" s="8">
        <v>2</v>
      </c>
      <c r="I139" s="10">
        <v>42767</v>
      </c>
      <c r="J139" s="11">
        <v>3625</v>
      </c>
      <c r="K139" s="51"/>
      <c r="O139" s="1" t="s">
        <v>7</v>
      </c>
      <c r="P139" s="1" t="s">
        <v>43</v>
      </c>
      <c r="Q139" s="1" t="s">
        <v>10</v>
      </c>
      <c r="R139" s="1" t="s">
        <v>27</v>
      </c>
      <c r="S139" t="s">
        <v>28</v>
      </c>
      <c r="T139" s="1">
        <v>2017</v>
      </c>
      <c r="U139" s="1">
        <v>2</v>
      </c>
      <c r="V139" s="50">
        <v>42767</v>
      </c>
      <c r="W139" s="4">
        <v>3371.25</v>
      </c>
      <c r="X139" s="48">
        <v>3625</v>
      </c>
    </row>
    <row r="140" spans="2:24" x14ac:dyDescent="0.35">
      <c r="B140" s="8" t="s">
        <v>12</v>
      </c>
      <c r="C140" s="8" t="s">
        <v>44</v>
      </c>
      <c r="D140" s="8" t="s">
        <v>13</v>
      </c>
      <c r="E140" s="8" t="s">
        <v>27</v>
      </c>
      <c r="F140" s="6" t="s">
        <v>31</v>
      </c>
      <c r="G140" s="8">
        <v>2017</v>
      </c>
      <c r="H140" s="8">
        <v>2</v>
      </c>
      <c r="I140" s="10">
        <v>42767</v>
      </c>
      <c r="J140" s="11">
        <v>3363</v>
      </c>
      <c r="K140" s="51"/>
      <c r="O140" s="1" t="s">
        <v>12</v>
      </c>
      <c r="P140" s="1" t="s">
        <v>44</v>
      </c>
      <c r="Q140" s="1" t="s">
        <v>13</v>
      </c>
      <c r="R140" s="1" t="s">
        <v>27</v>
      </c>
      <c r="S140" t="s">
        <v>31</v>
      </c>
      <c r="T140" s="1">
        <v>2017</v>
      </c>
      <c r="U140" s="1">
        <v>2</v>
      </c>
      <c r="V140" s="50">
        <v>42767</v>
      </c>
      <c r="W140" s="4">
        <v>3060.33</v>
      </c>
      <c r="X140" s="48">
        <v>3363</v>
      </c>
    </row>
    <row r="141" spans="2:24" x14ac:dyDescent="0.35">
      <c r="B141" s="8" t="s">
        <v>14</v>
      </c>
      <c r="C141" s="8" t="s">
        <v>46</v>
      </c>
      <c r="D141" s="8" t="s">
        <v>47</v>
      </c>
      <c r="E141" s="8" t="s">
        <v>27</v>
      </c>
      <c r="F141" s="6" t="s">
        <v>33</v>
      </c>
      <c r="G141" s="8">
        <v>2017</v>
      </c>
      <c r="H141" s="8">
        <v>2</v>
      </c>
      <c r="I141" s="10">
        <v>42767</v>
      </c>
      <c r="J141" s="11">
        <v>3395</v>
      </c>
      <c r="K141" s="51"/>
      <c r="O141" s="1" t="s">
        <v>14</v>
      </c>
      <c r="P141" s="1" t="s">
        <v>46</v>
      </c>
      <c r="Q141" s="1" t="s">
        <v>47</v>
      </c>
      <c r="R141" s="1" t="s">
        <v>27</v>
      </c>
      <c r="S141" t="s">
        <v>33</v>
      </c>
      <c r="T141" s="1">
        <v>2017</v>
      </c>
      <c r="U141" s="1">
        <v>2</v>
      </c>
      <c r="V141" s="50">
        <v>42767</v>
      </c>
      <c r="W141" s="4">
        <v>3123.3999999999996</v>
      </c>
      <c r="X141" s="48">
        <v>3395</v>
      </c>
    </row>
    <row r="142" spans="2:24" x14ac:dyDescent="0.35">
      <c r="B142" s="8" t="s">
        <v>3</v>
      </c>
      <c r="C142" s="8" t="s">
        <v>22</v>
      </c>
      <c r="D142" s="8" t="s">
        <v>5</v>
      </c>
      <c r="E142" s="9" t="s">
        <v>23</v>
      </c>
      <c r="F142" s="9" t="s">
        <v>36</v>
      </c>
      <c r="G142" s="8">
        <v>2017</v>
      </c>
      <c r="H142" s="8">
        <v>2</v>
      </c>
      <c r="I142" s="10">
        <v>42767</v>
      </c>
      <c r="J142" s="11">
        <v>1731</v>
      </c>
      <c r="K142" s="51"/>
      <c r="O142" s="1" t="s">
        <v>3</v>
      </c>
      <c r="P142" s="1" t="s">
        <v>22</v>
      </c>
      <c r="Q142" s="1" t="s">
        <v>5</v>
      </c>
      <c r="R142" s="2" t="s">
        <v>23</v>
      </c>
      <c r="S142" s="2" t="s">
        <v>36</v>
      </c>
      <c r="T142" s="1">
        <v>2017</v>
      </c>
      <c r="U142" s="1">
        <v>2</v>
      </c>
      <c r="V142" s="50">
        <v>42767</v>
      </c>
      <c r="W142" s="4">
        <v>1523.2799999999997</v>
      </c>
      <c r="X142" s="48">
        <v>1731</v>
      </c>
    </row>
    <row r="143" spans="2:24" x14ac:dyDescent="0.35">
      <c r="B143" s="8" t="s">
        <v>6</v>
      </c>
      <c r="C143" s="8" t="s">
        <v>40</v>
      </c>
      <c r="D143" s="8" t="s">
        <v>41</v>
      </c>
      <c r="E143" s="8" t="s">
        <v>23</v>
      </c>
      <c r="F143" s="9" t="s">
        <v>24</v>
      </c>
      <c r="G143" s="8">
        <v>2017</v>
      </c>
      <c r="H143" s="8">
        <v>2</v>
      </c>
      <c r="I143" s="10">
        <v>42767</v>
      </c>
      <c r="J143" s="11">
        <v>1935</v>
      </c>
      <c r="K143" s="51"/>
      <c r="O143" s="1" t="s">
        <v>6</v>
      </c>
      <c r="P143" s="1" t="s">
        <v>40</v>
      </c>
      <c r="Q143" s="1" t="s">
        <v>41</v>
      </c>
      <c r="R143" s="1" t="s">
        <v>23</v>
      </c>
      <c r="S143" s="2" t="s">
        <v>24</v>
      </c>
      <c r="T143" s="1">
        <v>2017</v>
      </c>
      <c r="U143" s="1">
        <v>2</v>
      </c>
      <c r="V143" s="50">
        <v>42767</v>
      </c>
      <c r="W143" s="4">
        <v>1683.4500000000003</v>
      </c>
      <c r="X143" s="48">
        <v>1935</v>
      </c>
    </row>
    <row r="144" spans="2:24" x14ac:dyDescent="0.35">
      <c r="B144" s="8" t="s">
        <v>7</v>
      </c>
      <c r="C144" s="8" t="s">
        <v>32</v>
      </c>
      <c r="D144" s="8" t="s">
        <v>8</v>
      </c>
      <c r="E144" s="8" t="s">
        <v>23</v>
      </c>
      <c r="F144" s="6" t="s">
        <v>39</v>
      </c>
      <c r="G144" s="8">
        <v>2017</v>
      </c>
      <c r="H144" s="8">
        <v>2</v>
      </c>
      <c r="I144" s="10">
        <v>42767</v>
      </c>
      <c r="J144" s="11">
        <v>1703</v>
      </c>
      <c r="K144" s="51"/>
      <c r="O144" s="1" t="s">
        <v>7</v>
      </c>
      <c r="P144" s="1" t="s">
        <v>32</v>
      </c>
      <c r="Q144" s="1" t="s">
        <v>8</v>
      </c>
      <c r="R144" s="1" t="s">
        <v>23</v>
      </c>
      <c r="S144" t="s">
        <v>39</v>
      </c>
      <c r="T144" s="1">
        <v>2017</v>
      </c>
      <c r="U144" s="1">
        <v>2</v>
      </c>
      <c r="V144" s="50">
        <v>42767</v>
      </c>
      <c r="W144" s="4">
        <v>1498.6399999999999</v>
      </c>
      <c r="X144" s="48">
        <v>1703</v>
      </c>
    </row>
    <row r="145" spans="2:24" x14ac:dyDescent="0.35">
      <c r="B145" s="8" t="s">
        <v>12</v>
      </c>
      <c r="C145" s="8" t="s">
        <v>34</v>
      </c>
      <c r="D145" s="8" t="s">
        <v>35</v>
      </c>
      <c r="E145" s="8" t="s">
        <v>0</v>
      </c>
      <c r="F145" s="8" t="s">
        <v>42</v>
      </c>
      <c r="G145" s="8">
        <v>2017</v>
      </c>
      <c r="H145" s="8">
        <v>2</v>
      </c>
      <c r="I145" s="10">
        <v>42767</v>
      </c>
      <c r="J145" s="11">
        <v>4941</v>
      </c>
      <c r="K145" s="51"/>
      <c r="O145" s="1" t="s">
        <v>12</v>
      </c>
      <c r="P145" s="1" t="s">
        <v>34</v>
      </c>
      <c r="Q145" s="1" t="s">
        <v>35</v>
      </c>
      <c r="R145" s="1" t="s">
        <v>0</v>
      </c>
      <c r="S145" s="1" t="s">
        <v>42</v>
      </c>
      <c r="T145" s="1">
        <v>2017</v>
      </c>
      <c r="U145" s="1">
        <v>2</v>
      </c>
      <c r="V145" s="50">
        <v>42767</v>
      </c>
      <c r="W145" s="4">
        <v>4348.08</v>
      </c>
      <c r="X145" s="48">
        <v>4941</v>
      </c>
    </row>
    <row r="146" spans="2:24" x14ac:dyDescent="0.35">
      <c r="B146" s="8" t="s">
        <v>14</v>
      </c>
      <c r="C146" s="8" t="s">
        <v>37</v>
      </c>
      <c r="D146" s="8" t="s">
        <v>38</v>
      </c>
      <c r="E146" s="8" t="s">
        <v>0</v>
      </c>
      <c r="F146" s="8" t="s">
        <v>26</v>
      </c>
      <c r="G146" s="8">
        <v>2017</v>
      </c>
      <c r="H146" s="8">
        <v>2</v>
      </c>
      <c r="I146" s="10">
        <v>42767</v>
      </c>
      <c r="J146" s="11">
        <v>4192</v>
      </c>
      <c r="K146" s="51"/>
      <c r="O146" s="1" t="s">
        <v>14</v>
      </c>
      <c r="P146" s="1" t="s">
        <v>37</v>
      </c>
      <c r="Q146" s="1" t="s">
        <v>38</v>
      </c>
      <c r="R146" s="1" t="s">
        <v>0</v>
      </c>
      <c r="S146" s="1" t="s">
        <v>26</v>
      </c>
      <c r="T146" s="1">
        <v>2017</v>
      </c>
      <c r="U146" s="1">
        <v>2</v>
      </c>
      <c r="V146" s="50">
        <v>42767</v>
      </c>
      <c r="W146" s="4">
        <v>3856.64</v>
      </c>
      <c r="X146" s="48">
        <v>4192</v>
      </c>
    </row>
    <row r="147" spans="2:24" x14ac:dyDescent="0.35">
      <c r="B147" s="8" t="s">
        <v>3</v>
      </c>
      <c r="C147" s="8" t="s">
        <v>25</v>
      </c>
      <c r="D147" s="8" t="s">
        <v>4</v>
      </c>
      <c r="E147" s="8" t="s">
        <v>0</v>
      </c>
      <c r="F147" s="8" t="s">
        <v>45</v>
      </c>
      <c r="G147" s="8">
        <v>2017</v>
      </c>
      <c r="H147" s="8">
        <v>2</v>
      </c>
      <c r="I147" s="10">
        <v>42767</v>
      </c>
      <c r="J147" s="11">
        <v>3720</v>
      </c>
      <c r="K147" s="51"/>
      <c r="O147" s="1" t="s">
        <v>3</v>
      </c>
      <c r="P147" s="1" t="s">
        <v>25</v>
      </c>
      <c r="Q147" s="1" t="s">
        <v>4</v>
      </c>
      <c r="R147" s="1" t="s">
        <v>0</v>
      </c>
      <c r="S147" s="1" t="s">
        <v>45</v>
      </c>
      <c r="T147" s="1">
        <v>2017</v>
      </c>
      <c r="U147" s="1">
        <v>2</v>
      </c>
      <c r="V147" s="50">
        <v>42767</v>
      </c>
      <c r="W147" s="4">
        <v>3422.3999999999996</v>
      </c>
      <c r="X147" s="48">
        <v>3720</v>
      </c>
    </row>
    <row r="148" spans="2:24" x14ac:dyDescent="0.35">
      <c r="B148" s="8" t="s">
        <v>6</v>
      </c>
      <c r="C148" s="8" t="s">
        <v>29</v>
      </c>
      <c r="D148" s="8" t="s">
        <v>30</v>
      </c>
      <c r="E148" s="8" t="s">
        <v>27</v>
      </c>
      <c r="F148" s="6" t="s">
        <v>28</v>
      </c>
      <c r="G148" s="8">
        <v>2017</v>
      </c>
      <c r="H148" s="8">
        <v>2</v>
      </c>
      <c r="I148" s="10">
        <v>42767</v>
      </c>
      <c r="J148" s="11">
        <v>4720</v>
      </c>
      <c r="K148" s="51"/>
      <c r="O148" s="1" t="s">
        <v>6</v>
      </c>
      <c r="P148" s="1" t="s">
        <v>29</v>
      </c>
      <c r="Q148" s="1" t="s">
        <v>30</v>
      </c>
      <c r="R148" s="1" t="s">
        <v>27</v>
      </c>
      <c r="S148" t="s">
        <v>28</v>
      </c>
      <c r="T148" s="1">
        <v>2017</v>
      </c>
      <c r="U148" s="1">
        <v>2</v>
      </c>
      <c r="V148" s="50">
        <v>42767</v>
      </c>
      <c r="W148" s="4">
        <v>4436.7999999999993</v>
      </c>
      <c r="X148" s="48">
        <v>4720</v>
      </c>
    </row>
    <row r="149" spans="2:24" x14ac:dyDescent="0.35">
      <c r="B149" s="8" t="s">
        <v>7</v>
      </c>
      <c r="C149" s="8" t="s">
        <v>43</v>
      </c>
      <c r="D149" s="8" t="s">
        <v>10</v>
      </c>
      <c r="E149" s="8" t="s">
        <v>27</v>
      </c>
      <c r="F149" s="6" t="s">
        <v>31</v>
      </c>
      <c r="G149" s="8">
        <v>2017</v>
      </c>
      <c r="H149" s="8">
        <v>2</v>
      </c>
      <c r="I149" s="10">
        <v>42767</v>
      </c>
      <c r="J149" s="11">
        <v>5013</v>
      </c>
      <c r="K149" s="51"/>
      <c r="O149" s="1" t="s">
        <v>7</v>
      </c>
      <c r="P149" s="1" t="s">
        <v>43</v>
      </c>
      <c r="Q149" s="1" t="s">
        <v>10</v>
      </c>
      <c r="R149" s="1" t="s">
        <v>27</v>
      </c>
      <c r="S149" t="s">
        <v>31</v>
      </c>
      <c r="T149" s="1">
        <v>2017</v>
      </c>
      <c r="U149" s="1">
        <v>2</v>
      </c>
      <c r="V149" s="50">
        <v>42767</v>
      </c>
      <c r="W149" s="4">
        <v>4461.57</v>
      </c>
      <c r="X149" s="48">
        <v>5013</v>
      </c>
    </row>
    <row r="150" spans="2:24" x14ac:dyDescent="0.35">
      <c r="B150" s="8" t="s">
        <v>12</v>
      </c>
      <c r="C150" s="8" t="s">
        <v>44</v>
      </c>
      <c r="D150" s="8" t="s">
        <v>13</v>
      </c>
      <c r="E150" s="8" t="s">
        <v>27</v>
      </c>
      <c r="F150" s="6" t="s">
        <v>33</v>
      </c>
      <c r="G150" s="8">
        <v>2017</v>
      </c>
      <c r="H150" s="8">
        <v>2</v>
      </c>
      <c r="I150" s="10">
        <v>42767</v>
      </c>
      <c r="J150" s="11">
        <v>4034</v>
      </c>
      <c r="K150" s="51"/>
      <c r="O150" s="1" t="s">
        <v>12</v>
      </c>
      <c r="P150" s="1" t="s">
        <v>44</v>
      </c>
      <c r="Q150" s="1" t="s">
        <v>13</v>
      </c>
      <c r="R150" s="1" t="s">
        <v>27</v>
      </c>
      <c r="S150" t="s">
        <v>33</v>
      </c>
      <c r="T150" s="1">
        <v>2017</v>
      </c>
      <c r="U150" s="1">
        <v>2</v>
      </c>
      <c r="V150" s="50">
        <v>42767</v>
      </c>
      <c r="W150" s="4">
        <v>3791.9599999999996</v>
      </c>
      <c r="X150" s="48">
        <v>4034</v>
      </c>
    </row>
    <row r="151" spans="2:24" x14ac:dyDescent="0.35">
      <c r="B151" s="8" t="s">
        <v>14</v>
      </c>
      <c r="C151" s="8" t="s">
        <v>46</v>
      </c>
      <c r="D151" s="8" t="s">
        <v>47</v>
      </c>
      <c r="E151" s="9" t="s">
        <v>23</v>
      </c>
      <c r="F151" s="9" t="s">
        <v>36</v>
      </c>
      <c r="G151" s="8">
        <v>2017</v>
      </c>
      <c r="H151" s="8">
        <v>2</v>
      </c>
      <c r="I151" s="10">
        <v>42767</v>
      </c>
      <c r="J151" s="11">
        <v>1877</v>
      </c>
      <c r="K151" s="51"/>
      <c r="O151" s="1" t="s">
        <v>14</v>
      </c>
      <c r="P151" s="1" t="s">
        <v>46</v>
      </c>
      <c r="Q151" s="1" t="s">
        <v>47</v>
      </c>
      <c r="R151" s="2" t="s">
        <v>23</v>
      </c>
      <c r="S151" s="2" t="s">
        <v>36</v>
      </c>
      <c r="T151" s="1">
        <v>2017</v>
      </c>
      <c r="U151" s="1">
        <v>2</v>
      </c>
      <c r="V151" s="50">
        <v>42767</v>
      </c>
      <c r="W151" s="4">
        <v>1651.7599999999998</v>
      </c>
      <c r="X151" s="48">
        <v>1877</v>
      </c>
    </row>
    <row r="152" spans="2:24" x14ac:dyDescent="0.35">
      <c r="B152" s="8" t="s">
        <v>6</v>
      </c>
      <c r="C152" s="8" t="s">
        <v>29</v>
      </c>
      <c r="D152" s="8" t="s">
        <v>30</v>
      </c>
      <c r="E152" s="8" t="s">
        <v>23</v>
      </c>
      <c r="F152" s="9" t="s">
        <v>39</v>
      </c>
      <c r="G152" s="8">
        <v>2017</v>
      </c>
      <c r="H152" s="8">
        <v>2</v>
      </c>
      <c r="I152" s="10">
        <v>42767</v>
      </c>
      <c r="J152" s="11">
        <v>2252</v>
      </c>
      <c r="K152" s="51"/>
      <c r="O152" s="1" t="s">
        <v>6</v>
      </c>
      <c r="P152" s="1" t="s">
        <v>29</v>
      </c>
      <c r="Q152" s="1" t="s">
        <v>30</v>
      </c>
      <c r="R152" s="1" t="s">
        <v>23</v>
      </c>
      <c r="S152" s="2" t="s">
        <v>39</v>
      </c>
      <c r="T152" s="1">
        <v>2017</v>
      </c>
      <c r="U152" s="1">
        <v>2</v>
      </c>
      <c r="V152" s="50">
        <v>42767</v>
      </c>
      <c r="W152" s="4">
        <v>2094.3599999999997</v>
      </c>
      <c r="X152" s="48">
        <v>2252</v>
      </c>
    </row>
    <row r="153" spans="2:24" x14ac:dyDescent="0.35">
      <c r="B153" s="8" t="s">
        <v>7</v>
      </c>
      <c r="C153" s="8" t="s">
        <v>32</v>
      </c>
      <c r="D153" s="8" t="s">
        <v>8</v>
      </c>
      <c r="E153" s="8" t="s">
        <v>0</v>
      </c>
      <c r="F153" s="6" t="s">
        <v>42</v>
      </c>
      <c r="G153" s="8">
        <v>2017</v>
      </c>
      <c r="H153" s="8">
        <v>2</v>
      </c>
      <c r="I153" s="10">
        <v>42767</v>
      </c>
      <c r="J153" s="11">
        <v>4615</v>
      </c>
      <c r="K153" s="51"/>
      <c r="O153" s="1" t="s">
        <v>7</v>
      </c>
      <c r="P153" s="1" t="s">
        <v>32</v>
      </c>
      <c r="Q153" s="1" t="s">
        <v>8</v>
      </c>
      <c r="R153" s="1" t="s">
        <v>0</v>
      </c>
      <c r="S153" t="s">
        <v>42</v>
      </c>
      <c r="T153" s="1">
        <v>2017</v>
      </c>
      <c r="U153" s="1">
        <v>2</v>
      </c>
      <c r="V153" s="50">
        <v>42767</v>
      </c>
      <c r="W153" s="4">
        <v>4153.5</v>
      </c>
      <c r="X153" s="48">
        <v>4615</v>
      </c>
    </row>
    <row r="154" spans="2:24" x14ac:dyDescent="0.35">
      <c r="B154" s="8" t="s">
        <v>12</v>
      </c>
      <c r="C154" s="8" t="s">
        <v>44</v>
      </c>
      <c r="D154" s="8" t="s">
        <v>13</v>
      </c>
      <c r="E154" s="8" t="s">
        <v>0</v>
      </c>
      <c r="F154" s="8" t="s">
        <v>26</v>
      </c>
      <c r="G154" s="8">
        <v>2017</v>
      </c>
      <c r="H154" s="8">
        <v>2</v>
      </c>
      <c r="I154" s="10">
        <v>42767</v>
      </c>
      <c r="J154" s="11">
        <v>2644</v>
      </c>
      <c r="K154" s="51"/>
      <c r="O154" s="1" t="s">
        <v>12</v>
      </c>
      <c r="P154" s="1" t="s">
        <v>44</v>
      </c>
      <c r="Q154" s="1" t="s">
        <v>13</v>
      </c>
      <c r="R154" s="1" t="s">
        <v>0</v>
      </c>
      <c r="S154" s="1" t="s">
        <v>26</v>
      </c>
      <c r="T154" s="1">
        <v>2017</v>
      </c>
      <c r="U154" s="1">
        <v>2</v>
      </c>
      <c r="V154" s="50">
        <v>42767</v>
      </c>
      <c r="W154" s="4">
        <v>2273.84</v>
      </c>
      <c r="X154" s="48">
        <v>2644</v>
      </c>
    </row>
    <row r="155" spans="2:24" x14ac:dyDescent="0.35">
      <c r="B155" s="8" t="s">
        <v>14</v>
      </c>
      <c r="C155" s="8" t="s">
        <v>37</v>
      </c>
      <c r="D155" s="8" t="s">
        <v>38</v>
      </c>
      <c r="E155" s="8" t="s">
        <v>0</v>
      </c>
      <c r="F155" s="8" t="s">
        <v>45</v>
      </c>
      <c r="G155" s="8">
        <v>2017</v>
      </c>
      <c r="H155" s="8">
        <v>2</v>
      </c>
      <c r="I155" s="10">
        <v>42767</v>
      </c>
      <c r="J155" s="11">
        <v>2969</v>
      </c>
      <c r="K155" s="51"/>
      <c r="O155" s="1" t="s">
        <v>14</v>
      </c>
      <c r="P155" s="1" t="s">
        <v>37</v>
      </c>
      <c r="Q155" s="1" t="s">
        <v>38</v>
      </c>
      <c r="R155" s="1" t="s">
        <v>0</v>
      </c>
      <c r="S155" s="1" t="s">
        <v>45</v>
      </c>
      <c r="T155" s="1">
        <v>2017</v>
      </c>
      <c r="U155" s="1">
        <v>2</v>
      </c>
      <c r="V155" s="50">
        <v>42767</v>
      </c>
      <c r="W155" s="4">
        <v>2583.0300000000002</v>
      </c>
      <c r="X155" s="48">
        <v>2969</v>
      </c>
    </row>
    <row r="156" spans="2:24" x14ac:dyDescent="0.35">
      <c r="B156" s="8" t="s">
        <v>3</v>
      </c>
      <c r="C156" s="8" t="s">
        <v>25</v>
      </c>
      <c r="D156" s="8" t="s">
        <v>4</v>
      </c>
      <c r="E156" s="8" t="s">
        <v>27</v>
      </c>
      <c r="F156" s="8" t="s">
        <v>28</v>
      </c>
      <c r="G156" s="8">
        <v>2017</v>
      </c>
      <c r="H156" s="8">
        <v>2</v>
      </c>
      <c r="I156" s="10">
        <v>42767</v>
      </c>
      <c r="J156" s="11">
        <v>4999</v>
      </c>
      <c r="K156" s="51"/>
      <c r="O156" s="1" t="s">
        <v>3</v>
      </c>
      <c r="P156" s="1" t="s">
        <v>25</v>
      </c>
      <c r="Q156" s="1" t="s">
        <v>4</v>
      </c>
      <c r="R156" s="1" t="s">
        <v>27</v>
      </c>
      <c r="S156" s="1" t="s">
        <v>28</v>
      </c>
      <c r="T156" s="1">
        <v>2017</v>
      </c>
      <c r="U156" s="1">
        <v>2</v>
      </c>
      <c r="V156" s="50">
        <v>42767</v>
      </c>
      <c r="W156" s="4">
        <v>4449.1099999999997</v>
      </c>
      <c r="X156" s="48">
        <v>4999</v>
      </c>
    </row>
    <row r="157" spans="2:24" x14ac:dyDescent="0.35">
      <c r="B157" s="8" t="s">
        <v>3</v>
      </c>
      <c r="C157" s="8" t="s">
        <v>25</v>
      </c>
      <c r="D157" s="8" t="s">
        <v>4</v>
      </c>
      <c r="E157" s="8" t="s">
        <v>27</v>
      </c>
      <c r="F157" s="6" t="s">
        <v>31</v>
      </c>
      <c r="G157" s="8">
        <v>2017</v>
      </c>
      <c r="H157" s="8">
        <v>2</v>
      </c>
      <c r="I157" s="10">
        <v>42767</v>
      </c>
      <c r="J157" s="11">
        <v>4166</v>
      </c>
      <c r="K157" s="51"/>
      <c r="O157" s="1" t="s">
        <v>3</v>
      </c>
      <c r="P157" s="1" t="s">
        <v>25</v>
      </c>
      <c r="Q157" s="1" t="s">
        <v>4</v>
      </c>
      <c r="R157" s="1" t="s">
        <v>27</v>
      </c>
      <c r="S157" t="s">
        <v>31</v>
      </c>
      <c r="T157" s="1">
        <v>2017</v>
      </c>
      <c r="U157" s="1">
        <v>2</v>
      </c>
      <c r="V157" s="50">
        <v>42767</v>
      </c>
      <c r="W157" s="4">
        <v>3541.1000000000004</v>
      </c>
      <c r="X157" s="48">
        <v>4166</v>
      </c>
    </row>
    <row r="158" spans="2:24" x14ac:dyDescent="0.35">
      <c r="B158" s="8" t="s">
        <v>6</v>
      </c>
      <c r="C158" s="8" t="s">
        <v>40</v>
      </c>
      <c r="D158" s="8" t="s">
        <v>41</v>
      </c>
      <c r="E158" s="8" t="s">
        <v>27</v>
      </c>
      <c r="F158" s="6" t="s">
        <v>33</v>
      </c>
      <c r="G158" s="8">
        <v>2017</v>
      </c>
      <c r="H158" s="8">
        <v>2</v>
      </c>
      <c r="I158" s="10">
        <v>42767</v>
      </c>
      <c r="J158" s="11">
        <v>2968</v>
      </c>
      <c r="K158" s="51"/>
      <c r="O158" s="1" t="s">
        <v>6</v>
      </c>
      <c r="P158" s="1" t="s">
        <v>40</v>
      </c>
      <c r="Q158" s="1" t="s">
        <v>41</v>
      </c>
      <c r="R158" s="1" t="s">
        <v>27</v>
      </c>
      <c r="S158" t="s">
        <v>33</v>
      </c>
      <c r="T158" s="1">
        <v>2017</v>
      </c>
      <c r="U158" s="1">
        <v>2</v>
      </c>
      <c r="V158" s="50">
        <v>42767</v>
      </c>
      <c r="W158" s="4">
        <v>2641.5199999999995</v>
      </c>
      <c r="X158" s="48">
        <v>2968</v>
      </c>
    </row>
    <row r="159" spans="2:24" x14ac:dyDescent="0.35">
      <c r="B159" s="8" t="s">
        <v>6</v>
      </c>
      <c r="C159" s="8" t="s">
        <v>40</v>
      </c>
      <c r="D159" s="8" t="s">
        <v>41</v>
      </c>
      <c r="E159" s="8" t="s">
        <v>23</v>
      </c>
      <c r="F159" s="6" t="s">
        <v>36</v>
      </c>
      <c r="G159" s="8">
        <v>2017</v>
      </c>
      <c r="H159" s="8">
        <v>2</v>
      </c>
      <c r="I159" s="10">
        <v>42767</v>
      </c>
      <c r="J159" s="11">
        <v>2328</v>
      </c>
      <c r="K159" s="51"/>
      <c r="O159" s="1" t="s">
        <v>6</v>
      </c>
      <c r="P159" s="1" t="s">
        <v>40</v>
      </c>
      <c r="Q159" s="1" t="s">
        <v>41</v>
      </c>
      <c r="R159" s="1" t="s">
        <v>23</v>
      </c>
      <c r="S159" t="s">
        <v>36</v>
      </c>
      <c r="T159" s="1">
        <v>2017</v>
      </c>
      <c r="U159" s="1">
        <v>2</v>
      </c>
      <c r="V159" s="50">
        <v>42767</v>
      </c>
      <c r="W159" s="4">
        <v>2165.04</v>
      </c>
      <c r="X159" s="48">
        <v>2328</v>
      </c>
    </row>
    <row r="160" spans="2:24" x14ac:dyDescent="0.35">
      <c r="B160" s="8" t="s">
        <v>7</v>
      </c>
      <c r="C160" s="8" t="s">
        <v>43</v>
      </c>
      <c r="D160" s="8" t="s">
        <v>10</v>
      </c>
      <c r="E160" s="9" t="s">
        <v>23</v>
      </c>
      <c r="F160" s="9" t="s">
        <v>24</v>
      </c>
      <c r="G160" s="8">
        <v>2017</v>
      </c>
      <c r="H160" s="8">
        <v>2</v>
      </c>
      <c r="I160" s="10">
        <v>42767</v>
      </c>
      <c r="J160" s="11">
        <v>2549</v>
      </c>
      <c r="K160" s="51"/>
      <c r="O160" s="1" t="s">
        <v>7</v>
      </c>
      <c r="P160" s="1" t="s">
        <v>43</v>
      </c>
      <c r="Q160" s="1" t="s">
        <v>10</v>
      </c>
      <c r="R160" s="2" t="s">
        <v>23</v>
      </c>
      <c r="S160" s="2" t="s">
        <v>24</v>
      </c>
      <c r="T160" s="1">
        <v>2017</v>
      </c>
      <c r="U160" s="1">
        <v>2</v>
      </c>
      <c r="V160" s="50">
        <v>42767</v>
      </c>
      <c r="W160" s="4">
        <v>2396.06</v>
      </c>
      <c r="X160" s="48">
        <v>2549</v>
      </c>
    </row>
    <row r="161" spans="2:24" x14ac:dyDescent="0.35">
      <c r="B161" s="8" t="s">
        <v>7</v>
      </c>
      <c r="C161" s="8" t="s">
        <v>43</v>
      </c>
      <c r="D161" s="8" t="s">
        <v>10</v>
      </c>
      <c r="E161" s="8" t="s">
        <v>23</v>
      </c>
      <c r="F161" s="9" t="s">
        <v>39</v>
      </c>
      <c r="G161" s="8">
        <v>2017</v>
      </c>
      <c r="H161" s="8">
        <v>2</v>
      </c>
      <c r="I161" s="10">
        <v>42767</v>
      </c>
      <c r="J161" s="11">
        <v>2374</v>
      </c>
      <c r="K161" s="51"/>
      <c r="O161" s="1" t="s">
        <v>7</v>
      </c>
      <c r="P161" s="1" t="s">
        <v>43</v>
      </c>
      <c r="Q161" s="1" t="s">
        <v>10</v>
      </c>
      <c r="R161" s="1" t="s">
        <v>23</v>
      </c>
      <c r="S161" s="2" t="s">
        <v>39</v>
      </c>
      <c r="T161" s="1">
        <v>2017</v>
      </c>
      <c r="U161" s="1">
        <v>2</v>
      </c>
      <c r="V161" s="50">
        <v>42767</v>
      </c>
      <c r="W161" s="4">
        <v>2160.3399999999997</v>
      </c>
      <c r="X161" s="48">
        <v>2374</v>
      </c>
    </row>
    <row r="162" spans="2:24" x14ac:dyDescent="0.35">
      <c r="B162" s="8" t="s">
        <v>7</v>
      </c>
      <c r="C162" s="8" t="s">
        <v>32</v>
      </c>
      <c r="D162" s="8" t="s">
        <v>8</v>
      </c>
      <c r="E162" s="8" t="s">
        <v>0</v>
      </c>
      <c r="F162" s="6" t="s">
        <v>26</v>
      </c>
      <c r="G162" s="8">
        <v>2017</v>
      </c>
      <c r="H162" s="8">
        <v>2</v>
      </c>
      <c r="I162" s="10">
        <v>42767</v>
      </c>
      <c r="J162" s="11">
        <v>3172</v>
      </c>
      <c r="K162" s="51"/>
      <c r="O162" s="1" t="s">
        <v>7</v>
      </c>
      <c r="P162" s="1" t="s">
        <v>32</v>
      </c>
      <c r="Q162" s="1" t="s">
        <v>8</v>
      </c>
      <c r="R162" s="1" t="s">
        <v>0</v>
      </c>
      <c r="S162" t="s">
        <v>26</v>
      </c>
      <c r="T162" s="1">
        <v>2017</v>
      </c>
      <c r="U162" s="1">
        <v>2</v>
      </c>
      <c r="V162" s="50">
        <v>42767</v>
      </c>
      <c r="W162" s="4">
        <v>2759.6400000000003</v>
      </c>
      <c r="X162" s="48">
        <v>3172</v>
      </c>
    </row>
    <row r="163" spans="2:24" x14ac:dyDescent="0.35">
      <c r="B163" s="8" t="s">
        <v>3</v>
      </c>
      <c r="C163" s="8" t="s">
        <v>22</v>
      </c>
      <c r="D163" s="8" t="s">
        <v>5</v>
      </c>
      <c r="E163" s="8" t="s">
        <v>0</v>
      </c>
      <c r="F163" s="8" t="s">
        <v>45</v>
      </c>
      <c r="G163" s="8">
        <v>2017</v>
      </c>
      <c r="H163" s="8">
        <v>2</v>
      </c>
      <c r="I163" s="10">
        <v>42767</v>
      </c>
      <c r="J163" s="11">
        <v>2154</v>
      </c>
      <c r="K163" s="51"/>
      <c r="O163" s="1" t="s">
        <v>3</v>
      </c>
      <c r="P163" s="1" t="s">
        <v>22</v>
      </c>
      <c r="Q163" s="1" t="s">
        <v>5</v>
      </c>
      <c r="R163" s="1" t="s">
        <v>0</v>
      </c>
      <c r="S163" s="1" t="s">
        <v>45</v>
      </c>
      <c r="T163" s="1">
        <v>2017</v>
      </c>
      <c r="U163" s="1">
        <v>2</v>
      </c>
      <c r="V163" s="50">
        <v>42767</v>
      </c>
      <c r="W163" s="4">
        <v>1830.9</v>
      </c>
      <c r="X163" s="48">
        <v>2154</v>
      </c>
    </row>
    <row r="164" spans="2:24" x14ac:dyDescent="0.35">
      <c r="B164" s="8" t="s">
        <v>7</v>
      </c>
      <c r="C164" s="8" t="s">
        <v>48</v>
      </c>
      <c r="D164" s="8" t="s">
        <v>9</v>
      </c>
      <c r="E164" s="8" t="s">
        <v>23</v>
      </c>
      <c r="F164" s="8" t="s">
        <v>36</v>
      </c>
      <c r="G164" s="8">
        <v>2017</v>
      </c>
      <c r="H164" s="8">
        <v>2</v>
      </c>
      <c r="I164" s="10">
        <v>42767</v>
      </c>
      <c r="J164" s="11">
        <v>2684</v>
      </c>
      <c r="K164" s="51"/>
      <c r="O164" s="1" t="s">
        <v>7</v>
      </c>
      <c r="P164" s="1" t="s">
        <v>48</v>
      </c>
      <c r="Q164" s="1" t="s">
        <v>9</v>
      </c>
      <c r="R164" s="1" t="s">
        <v>23</v>
      </c>
      <c r="S164" s="1" t="s">
        <v>36</v>
      </c>
      <c r="T164" s="1">
        <v>2017</v>
      </c>
      <c r="U164" s="1">
        <v>2</v>
      </c>
      <c r="V164" s="50">
        <v>42767</v>
      </c>
      <c r="W164" s="4">
        <v>2388.7599999999998</v>
      </c>
      <c r="X164" s="48">
        <v>2684</v>
      </c>
    </row>
    <row r="165" spans="2:24" x14ac:dyDescent="0.35">
      <c r="B165" s="8" t="s">
        <v>7</v>
      </c>
      <c r="C165" s="8" t="s">
        <v>48</v>
      </c>
      <c r="D165" s="8" t="s">
        <v>9</v>
      </c>
      <c r="E165" s="8" t="s">
        <v>23</v>
      </c>
      <c r="F165" s="8" t="s">
        <v>24</v>
      </c>
      <c r="G165" s="8">
        <v>2017</v>
      </c>
      <c r="H165" s="8">
        <v>2</v>
      </c>
      <c r="I165" s="10">
        <v>42767</v>
      </c>
      <c r="J165" s="11">
        <v>1959</v>
      </c>
      <c r="K165" s="51"/>
      <c r="O165" s="1" t="s">
        <v>7</v>
      </c>
      <c r="P165" s="1" t="s">
        <v>48</v>
      </c>
      <c r="Q165" s="1" t="s">
        <v>9</v>
      </c>
      <c r="R165" s="1" t="s">
        <v>23</v>
      </c>
      <c r="S165" s="1" t="s">
        <v>24</v>
      </c>
      <c r="T165" s="1">
        <v>2017</v>
      </c>
      <c r="U165" s="1">
        <v>2</v>
      </c>
      <c r="V165" s="50">
        <v>42767</v>
      </c>
      <c r="W165" s="4">
        <v>1743.5099999999998</v>
      </c>
      <c r="X165" s="48">
        <v>1959</v>
      </c>
    </row>
    <row r="166" spans="2:24" x14ac:dyDescent="0.35">
      <c r="B166" s="8" t="s">
        <v>7</v>
      </c>
      <c r="C166" s="8" t="s">
        <v>49</v>
      </c>
      <c r="D166" s="8" t="s">
        <v>11</v>
      </c>
      <c r="E166" s="8" t="s">
        <v>23</v>
      </c>
      <c r="F166" s="6" t="s">
        <v>39</v>
      </c>
      <c r="G166" s="8">
        <v>2017</v>
      </c>
      <c r="H166" s="8">
        <v>2</v>
      </c>
      <c r="I166" s="10">
        <v>42767</v>
      </c>
      <c r="J166" s="11">
        <v>2731</v>
      </c>
      <c r="K166" s="51"/>
      <c r="O166" s="1" t="s">
        <v>7</v>
      </c>
      <c r="P166" s="1" t="s">
        <v>49</v>
      </c>
      <c r="Q166" s="1" t="s">
        <v>11</v>
      </c>
      <c r="R166" s="1" t="s">
        <v>23</v>
      </c>
      <c r="S166" t="s">
        <v>39</v>
      </c>
      <c r="T166" s="1">
        <v>2017</v>
      </c>
      <c r="U166" s="1">
        <v>2</v>
      </c>
      <c r="V166" s="50">
        <v>42767</v>
      </c>
      <c r="W166" s="4">
        <v>2539.83</v>
      </c>
      <c r="X166" s="48">
        <v>2731</v>
      </c>
    </row>
    <row r="167" spans="2:24" x14ac:dyDescent="0.35">
      <c r="B167" s="8" t="s">
        <v>7</v>
      </c>
      <c r="C167" s="8" t="s">
        <v>49</v>
      </c>
      <c r="D167" s="8" t="s">
        <v>11</v>
      </c>
      <c r="E167" s="8" t="s">
        <v>0</v>
      </c>
      <c r="F167" s="6" t="s">
        <v>42</v>
      </c>
      <c r="G167" s="8">
        <v>2017</v>
      </c>
      <c r="H167" s="8">
        <v>2</v>
      </c>
      <c r="I167" s="10">
        <v>42767</v>
      </c>
      <c r="J167" s="11">
        <v>6991</v>
      </c>
      <c r="K167" s="51"/>
      <c r="O167" s="1" t="s">
        <v>7</v>
      </c>
      <c r="P167" s="1" t="s">
        <v>49</v>
      </c>
      <c r="Q167" s="1" t="s">
        <v>11</v>
      </c>
      <c r="R167" s="1" t="s">
        <v>0</v>
      </c>
      <c r="S167" t="s">
        <v>42</v>
      </c>
      <c r="T167" s="1">
        <v>2017</v>
      </c>
      <c r="U167" s="1">
        <v>2</v>
      </c>
      <c r="V167" s="50">
        <v>42767</v>
      </c>
      <c r="W167" s="4">
        <v>6221.99</v>
      </c>
      <c r="X167" s="48">
        <v>6991</v>
      </c>
    </row>
    <row r="168" spans="2:24" x14ac:dyDescent="0.35">
      <c r="B168" s="8" t="s">
        <v>12</v>
      </c>
      <c r="C168" s="8" t="s">
        <v>34</v>
      </c>
      <c r="D168" s="8" t="s">
        <v>35</v>
      </c>
      <c r="E168" s="8" t="s">
        <v>0</v>
      </c>
      <c r="F168" s="6" t="s">
        <v>26</v>
      </c>
      <c r="G168" s="8">
        <v>2017</v>
      </c>
      <c r="H168" s="8">
        <v>2</v>
      </c>
      <c r="I168" s="10">
        <v>42767</v>
      </c>
      <c r="J168" s="11">
        <v>2885</v>
      </c>
      <c r="K168" s="51"/>
      <c r="O168" s="1" t="s">
        <v>12</v>
      </c>
      <c r="P168" s="1" t="s">
        <v>34</v>
      </c>
      <c r="Q168" s="1" t="s">
        <v>35</v>
      </c>
      <c r="R168" s="1" t="s">
        <v>0</v>
      </c>
      <c r="S168" t="s">
        <v>26</v>
      </c>
      <c r="T168" s="1">
        <v>2017</v>
      </c>
      <c r="U168" s="1">
        <v>2</v>
      </c>
      <c r="V168" s="50">
        <v>42767</v>
      </c>
      <c r="W168" s="4">
        <v>2452.2500000000005</v>
      </c>
      <c r="X168" s="48">
        <v>2885</v>
      </c>
    </row>
    <row r="169" spans="2:24" x14ac:dyDescent="0.35">
      <c r="B169" s="8" t="s">
        <v>12</v>
      </c>
      <c r="C169" s="8" t="s">
        <v>34</v>
      </c>
      <c r="D169" s="8" t="s">
        <v>35</v>
      </c>
      <c r="E169" s="9" t="s">
        <v>0</v>
      </c>
      <c r="F169" s="9" t="s">
        <v>45</v>
      </c>
      <c r="G169" s="8">
        <v>2017</v>
      </c>
      <c r="H169" s="8">
        <v>2</v>
      </c>
      <c r="I169" s="10">
        <v>42767</v>
      </c>
      <c r="J169" s="11">
        <v>2674</v>
      </c>
      <c r="K169" s="51"/>
      <c r="O169" s="1" t="s">
        <v>12</v>
      </c>
      <c r="P169" s="1" t="s">
        <v>34</v>
      </c>
      <c r="Q169" s="1" t="s">
        <v>35</v>
      </c>
      <c r="R169" s="2" t="s">
        <v>0</v>
      </c>
      <c r="S169" s="2" t="s">
        <v>45</v>
      </c>
      <c r="T169" s="1">
        <v>2017</v>
      </c>
      <c r="U169" s="1">
        <v>2</v>
      </c>
      <c r="V169" s="50">
        <v>42767</v>
      </c>
      <c r="W169" s="4">
        <v>2379.8599999999997</v>
      </c>
      <c r="X169" s="48">
        <v>2674</v>
      </c>
    </row>
    <row r="170" spans="2:24" x14ac:dyDescent="0.35">
      <c r="B170" s="8" t="s">
        <v>14</v>
      </c>
      <c r="C170" s="8" t="s">
        <v>37</v>
      </c>
      <c r="D170" s="8" t="s">
        <v>38</v>
      </c>
      <c r="E170" s="8" t="s">
        <v>27</v>
      </c>
      <c r="F170" s="9" t="s">
        <v>28</v>
      </c>
      <c r="G170" s="8">
        <v>2017</v>
      </c>
      <c r="H170" s="8">
        <v>2</v>
      </c>
      <c r="I170" s="10">
        <v>42767</v>
      </c>
      <c r="J170" s="11">
        <v>4523</v>
      </c>
      <c r="K170" s="51"/>
      <c r="O170" s="1" t="s">
        <v>14</v>
      </c>
      <c r="P170" s="1" t="s">
        <v>37</v>
      </c>
      <c r="Q170" s="1" t="s">
        <v>38</v>
      </c>
      <c r="R170" s="1" t="s">
        <v>27</v>
      </c>
      <c r="S170" s="2" t="s">
        <v>28</v>
      </c>
      <c r="T170" s="1">
        <v>2017</v>
      </c>
      <c r="U170" s="1">
        <v>2</v>
      </c>
      <c r="V170" s="50">
        <v>42767</v>
      </c>
      <c r="W170" s="4">
        <v>3935.01</v>
      </c>
      <c r="X170" s="48">
        <v>4523</v>
      </c>
    </row>
    <row r="171" spans="2:24" x14ac:dyDescent="0.35">
      <c r="B171" s="8" t="s">
        <v>14</v>
      </c>
      <c r="C171" s="8" t="s">
        <v>37</v>
      </c>
      <c r="D171" s="8" t="s">
        <v>38</v>
      </c>
      <c r="E171" s="8" t="s">
        <v>27</v>
      </c>
      <c r="F171" s="6" t="s">
        <v>31</v>
      </c>
      <c r="G171" s="8">
        <v>2017</v>
      </c>
      <c r="H171" s="8">
        <v>2</v>
      </c>
      <c r="I171" s="10">
        <v>42767</v>
      </c>
      <c r="J171" s="11">
        <v>5236</v>
      </c>
      <c r="K171" s="51"/>
      <c r="O171" s="1" t="s">
        <v>14</v>
      </c>
      <c r="P171" s="1" t="s">
        <v>37</v>
      </c>
      <c r="Q171" s="1" t="s">
        <v>38</v>
      </c>
      <c r="R171" s="1" t="s">
        <v>27</v>
      </c>
      <c r="S171" t="s">
        <v>31</v>
      </c>
      <c r="T171" s="1">
        <v>2017</v>
      </c>
      <c r="U171" s="1">
        <v>2</v>
      </c>
      <c r="V171" s="50">
        <v>42767</v>
      </c>
      <c r="W171" s="4">
        <v>4764.7599999999993</v>
      </c>
      <c r="X171" s="48">
        <v>5236</v>
      </c>
    </row>
    <row r="172" spans="2:24" x14ac:dyDescent="0.35">
      <c r="B172" s="8" t="s">
        <v>12</v>
      </c>
      <c r="C172" s="8" t="s">
        <v>44</v>
      </c>
      <c r="D172" s="8" t="s">
        <v>13</v>
      </c>
      <c r="E172" s="8" t="s">
        <v>23</v>
      </c>
      <c r="F172" s="8" t="s">
        <v>36</v>
      </c>
      <c r="G172" s="8">
        <v>2017</v>
      </c>
      <c r="H172" s="8">
        <v>2</v>
      </c>
      <c r="I172" s="10">
        <v>42767</v>
      </c>
      <c r="J172" s="11">
        <v>2758</v>
      </c>
      <c r="K172" s="51"/>
      <c r="O172" s="1" t="s">
        <v>12</v>
      </c>
      <c r="P172" s="1" t="s">
        <v>44</v>
      </c>
      <c r="Q172" s="1" t="s">
        <v>13</v>
      </c>
      <c r="R172" s="1" t="s">
        <v>23</v>
      </c>
      <c r="S172" s="1" t="s">
        <v>36</v>
      </c>
      <c r="T172" s="1">
        <v>2017</v>
      </c>
      <c r="U172" s="1">
        <v>2</v>
      </c>
      <c r="V172" s="50">
        <v>42767</v>
      </c>
      <c r="W172" s="4">
        <v>2344.3000000000002</v>
      </c>
      <c r="X172" s="48">
        <v>2758</v>
      </c>
    </row>
    <row r="173" spans="2:24" x14ac:dyDescent="0.35">
      <c r="B173" s="8" t="s">
        <v>14</v>
      </c>
      <c r="C173" s="8" t="s">
        <v>46</v>
      </c>
      <c r="D173" s="8" t="s">
        <v>47</v>
      </c>
      <c r="E173" s="8" t="s">
        <v>23</v>
      </c>
      <c r="F173" s="8" t="s">
        <v>24</v>
      </c>
      <c r="G173" s="8">
        <v>2017</v>
      </c>
      <c r="H173" s="8">
        <v>2</v>
      </c>
      <c r="I173" s="10">
        <v>42767</v>
      </c>
      <c r="J173" s="11">
        <v>1509</v>
      </c>
      <c r="K173" s="51"/>
      <c r="O173" s="1" t="s">
        <v>14</v>
      </c>
      <c r="P173" s="1" t="s">
        <v>46</v>
      </c>
      <c r="Q173" s="1" t="s">
        <v>47</v>
      </c>
      <c r="R173" s="1" t="s">
        <v>23</v>
      </c>
      <c r="S173" s="1" t="s">
        <v>24</v>
      </c>
      <c r="T173" s="1">
        <v>2017</v>
      </c>
      <c r="U173" s="1">
        <v>2</v>
      </c>
      <c r="V173" s="50">
        <v>42767</v>
      </c>
      <c r="W173" s="4">
        <v>1418.46</v>
      </c>
      <c r="X173" s="48">
        <v>1509</v>
      </c>
    </row>
    <row r="174" spans="2:24" x14ac:dyDescent="0.35">
      <c r="B174" s="8" t="s">
        <v>14</v>
      </c>
      <c r="C174" s="8" t="s">
        <v>46</v>
      </c>
      <c r="D174" s="8" t="s">
        <v>47</v>
      </c>
      <c r="E174" s="8" t="s">
        <v>23</v>
      </c>
      <c r="F174" s="8" t="s">
        <v>39</v>
      </c>
      <c r="G174" s="8">
        <v>2017</v>
      </c>
      <c r="H174" s="8">
        <v>2</v>
      </c>
      <c r="I174" s="10">
        <v>42767</v>
      </c>
      <c r="J174" s="11">
        <v>1670</v>
      </c>
      <c r="K174" s="51"/>
      <c r="O174" s="1" t="s">
        <v>14</v>
      </c>
      <c r="P174" s="1" t="s">
        <v>46</v>
      </c>
      <c r="Q174" s="1" t="s">
        <v>47</v>
      </c>
      <c r="R174" s="1" t="s">
        <v>23</v>
      </c>
      <c r="S174" s="1" t="s">
        <v>39</v>
      </c>
      <c r="T174" s="1">
        <v>2017</v>
      </c>
      <c r="U174" s="1">
        <v>2</v>
      </c>
      <c r="V174" s="50">
        <v>42767</v>
      </c>
      <c r="W174" s="4">
        <v>1436.2000000000003</v>
      </c>
      <c r="X174" s="48">
        <v>1670</v>
      </c>
    </row>
    <row r="175" spans="2:24" x14ac:dyDescent="0.35">
      <c r="B175" s="8" t="s">
        <v>7</v>
      </c>
      <c r="C175" s="8" t="s">
        <v>43</v>
      </c>
      <c r="D175" s="8" t="s">
        <v>10</v>
      </c>
      <c r="E175" s="8" t="s">
        <v>0</v>
      </c>
      <c r="F175" s="6" t="s">
        <v>42</v>
      </c>
      <c r="G175" s="8">
        <v>2017</v>
      </c>
      <c r="H175" s="8">
        <v>2</v>
      </c>
      <c r="I175" s="10">
        <v>42767</v>
      </c>
      <c r="J175" s="11">
        <v>6502</v>
      </c>
      <c r="K175" s="51"/>
      <c r="O175" s="1" t="s">
        <v>7</v>
      </c>
      <c r="P175" s="1" t="s">
        <v>43</v>
      </c>
      <c r="Q175" s="1" t="s">
        <v>10</v>
      </c>
      <c r="R175" s="1" t="s">
        <v>0</v>
      </c>
      <c r="S175" t="s">
        <v>42</v>
      </c>
      <c r="T175" s="1">
        <v>2017</v>
      </c>
      <c r="U175" s="1">
        <v>2</v>
      </c>
      <c r="V175" s="50">
        <v>42767</v>
      </c>
      <c r="W175" s="4">
        <v>5721.7599999999993</v>
      </c>
      <c r="X175" s="48">
        <v>6502</v>
      </c>
    </row>
    <row r="176" spans="2:24" x14ac:dyDescent="0.35">
      <c r="B176" s="8" t="s">
        <v>6</v>
      </c>
      <c r="C176" s="8" t="s">
        <v>40</v>
      </c>
      <c r="D176" s="8" t="s">
        <v>41</v>
      </c>
      <c r="E176" s="8" t="s">
        <v>27</v>
      </c>
      <c r="F176" s="6" t="s">
        <v>31</v>
      </c>
      <c r="G176" s="8">
        <v>2017</v>
      </c>
      <c r="H176" s="8">
        <v>2</v>
      </c>
      <c r="I176" s="10">
        <v>42767</v>
      </c>
      <c r="J176" s="11">
        <v>4421</v>
      </c>
      <c r="K176" s="51"/>
      <c r="O176" s="1" t="s">
        <v>6</v>
      </c>
      <c r="P176" s="1" t="s">
        <v>40</v>
      </c>
      <c r="Q176" s="1" t="s">
        <v>41</v>
      </c>
      <c r="R176" s="1" t="s">
        <v>27</v>
      </c>
      <c r="S176" t="s">
        <v>31</v>
      </c>
      <c r="T176" s="1">
        <v>2017</v>
      </c>
      <c r="U176" s="1">
        <v>2</v>
      </c>
      <c r="V176" s="50">
        <v>42767</v>
      </c>
      <c r="W176" s="4">
        <v>3802.0600000000004</v>
      </c>
      <c r="X176" s="48">
        <v>4421</v>
      </c>
    </row>
    <row r="177" spans="2:24" x14ac:dyDescent="0.35">
      <c r="B177" s="8" t="s">
        <v>3</v>
      </c>
      <c r="C177" s="8" t="s">
        <v>22</v>
      </c>
      <c r="D177" s="8" t="s">
        <v>5</v>
      </c>
      <c r="E177" s="8" t="s">
        <v>23</v>
      </c>
      <c r="F177" s="6" t="s">
        <v>39</v>
      </c>
      <c r="G177" s="8">
        <v>2017</v>
      </c>
      <c r="H177" s="8">
        <v>2</v>
      </c>
      <c r="I177" s="10">
        <v>42767</v>
      </c>
      <c r="J177" s="11">
        <v>2264</v>
      </c>
      <c r="K177" s="51"/>
      <c r="O177" s="1" t="s">
        <v>3</v>
      </c>
      <c r="P177" s="1" t="s">
        <v>22</v>
      </c>
      <c r="Q177" s="1" t="s">
        <v>5</v>
      </c>
      <c r="R177" s="1" t="s">
        <v>23</v>
      </c>
      <c r="S177" t="s">
        <v>39</v>
      </c>
      <c r="T177" s="1">
        <v>2017</v>
      </c>
      <c r="U177" s="1">
        <v>2</v>
      </c>
      <c r="V177" s="50">
        <v>42767</v>
      </c>
      <c r="W177" s="4">
        <v>1992.3199999999997</v>
      </c>
      <c r="X177" s="48">
        <v>2264</v>
      </c>
    </row>
    <row r="178" spans="2:24" x14ac:dyDescent="0.35">
      <c r="B178" s="8" t="s">
        <v>3</v>
      </c>
      <c r="C178" s="8" t="s">
        <v>22</v>
      </c>
      <c r="D178" s="8" t="s">
        <v>5</v>
      </c>
      <c r="E178" s="9" t="s">
        <v>0</v>
      </c>
      <c r="F178" s="9" t="s">
        <v>42</v>
      </c>
      <c r="G178" s="8">
        <v>2017</v>
      </c>
      <c r="H178" s="8">
        <v>2</v>
      </c>
      <c r="I178" s="10">
        <v>42767</v>
      </c>
      <c r="J178" s="11">
        <v>5107</v>
      </c>
      <c r="K178" s="51"/>
      <c r="O178" s="1" t="s">
        <v>3</v>
      </c>
      <c r="P178" s="1" t="s">
        <v>22</v>
      </c>
      <c r="Q178" s="1" t="s">
        <v>5</v>
      </c>
      <c r="R178" s="2" t="s">
        <v>0</v>
      </c>
      <c r="S178" s="2" t="s">
        <v>42</v>
      </c>
      <c r="T178" s="1">
        <v>2017</v>
      </c>
      <c r="U178" s="1">
        <v>2</v>
      </c>
      <c r="V178" s="50">
        <v>42767</v>
      </c>
      <c r="W178" s="4">
        <v>4698.4399999999996</v>
      </c>
      <c r="X178" s="48">
        <v>5107</v>
      </c>
    </row>
    <row r="179" spans="2:24" x14ac:dyDescent="0.35">
      <c r="B179" s="8" t="s">
        <v>6</v>
      </c>
      <c r="C179" s="8" t="s">
        <v>29</v>
      </c>
      <c r="D179" s="8" t="s">
        <v>30</v>
      </c>
      <c r="E179" s="8" t="s">
        <v>0</v>
      </c>
      <c r="F179" s="9" t="s">
        <v>26</v>
      </c>
      <c r="G179" s="8">
        <v>2017</v>
      </c>
      <c r="H179" s="8">
        <v>2</v>
      </c>
      <c r="I179" s="10">
        <v>42767</v>
      </c>
      <c r="J179" s="11">
        <v>3484</v>
      </c>
      <c r="K179" s="51"/>
      <c r="O179" s="1" t="s">
        <v>6</v>
      </c>
      <c r="P179" s="1" t="s">
        <v>29</v>
      </c>
      <c r="Q179" s="1" t="s">
        <v>30</v>
      </c>
      <c r="R179" s="1" t="s">
        <v>0</v>
      </c>
      <c r="S179" s="2" t="s">
        <v>26</v>
      </c>
      <c r="T179" s="1">
        <v>2017</v>
      </c>
      <c r="U179" s="1">
        <v>2</v>
      </c>
      <c r="V179" s="50">
        <v>42767</v>
      </c>
      <c r="W179" s="4">
        <v>2996.2400000000002</v>
      </c>
      <c r="X179" s="48">
        <v>3484</v>
      </c>
    </row>
    <row r="180" spans="2:24" x14ac:dyDescent="0.35">
      <c r="B180" s="8" t="s">
        <v>7</v>
      </c>
      <c r="C180" s="8" t="s">
        <v>48</v>
      </c>
      <c r="D180" s="8" t="s">
        <v>9</v>
      </c>
      <c r="E180" s="8" t="s">
        <v>27</v>
      </c>
      <c r="F180" s="6" t="s">
        <v>28</v>
      </c>
      <c r="G180" s="8">
        <v>2017</v>
      </c>
      <c r="H180" s="8">
        <v>2</v>
      </c>
      <c r="I180" s="10">
        <v>42767</v>
      </c>
      <c r="J180" s="11">
        <v>3333</v>
      </c>
      <c r="K180" s="51"/>
      <c r="O180" s="1" t="s">
        <v>7</v>
      </c>
      <c r="P180" s="1" t="s">
        <v>48</v>
      </c>
      <c r="Q180" s="1" t="s">
        <v>9</v>
      </c>
      <c r="R180" s="1" t="s">
        <v>27</v>
      </c>
      <c r="S180" t="s">
        <v>28</v>
      </c>
      <c r="T180" s="1">
        <v>2017</v>
      </c>
      <c r="U180" s="1">
        <v>2</v>
      </c>
      <c r="V180" s="50">
        <v>42767</v>
      </c>
      <c r="W180" s="4">
        <v>2999.7</v>
      </c>
      <c r="X180" s="48">
        <v>3333</v>
      </c>
    </row>
    <row r="181" spans="2:24" x14ac:dyDescent="0.35">
      <c r="B181" s="8" t="s">
        <v>7</v>
      </c>
      <c r="C181" s="8" t="s">
        <v>48</v>
      </c>
      <c r="D181" s="8" t="s">
        <v>9</v>
      </c>
      <c r="E181" s="8" t="s">
        <v>27</v>
      </c>
      <c r="F181" s="8" t="s">
        <v>31</v>
      </c>
      <c r="G181" s="8">
        <v>2017</v>
      </c>
      <c r="H181" s="8">
        <v>2</v>
      </c>
      <c r="I181" s="10">
        <v>42767</v>
      </c>
      <c r="J181" s="11">
        <v>3323</v>
      </c>
      <c r="K181" s="51"/>
      <c r="O181" s="1" t="s">
        <v>7</v>
      </c>
      <c r="P181" s="1" t="s">
        <v>48</v>
      </c>
      <c r="Q181" s="1" t="s">
        <v>9</v>
      </c>
      <c r="R181" s="1" t="s">
        <v>27</v>
      </c>
      <c r="S181" s="1" t="s">
        <v>31</v>
      </c>
      <c r="T181" s="1">
        <v>2017</v>
      </c>
      <c r="U181" s="1">
        <v>2</v>
      </c>
      <c r="V181" s="50">
        <v>42767</v>
      </c>
      <c r="W181" s="4">
        <v>2924.24</v>
      </c>
      <c r="X181" s="48">
        <v>3323</v>
      </c>
    </row>
    <row r="182" spans="2:24" x14ac:dyDescent="0.35">
      <c r="B182" s="8" t="s">
        <v>7</v>
      </c>
      <c r="C182" s="8" t="s">
        <v>49</v>
      </c>
      <c r="D182" s="8" t="s">
        <v>11</v>
      </c>
      <c r="E182" s="8" t="s">
        <v>27</v>
      </c>
      <c r="F182" s="8" t="s">
        <v>33</v>
      </c>
      <c r="G182" s="8">
        <v>2017</v>
      </c>
      <c r="H182" s="8">
        <v>2</v>
      </c>
      <c r="I182" s="10">
        <v>42767</v>
      </c>
      <c r="J182" s="11">
        <v>3672</v>
      </c>
      <c r="K182" s="51"/>
      <c r="O182" s="1" t="s">
        <v>7</v>
      </c>
      <c r="P182" s="1" t="s">
        <v>49</v>
      </c>
      <c r="Q182" s="1" t="s">
        <v>11</v>
      </c>
      <c r="R182" s="1" t="s">
        <v>27</v>
      </c>
      <c r="S182" s="1" t="s">
        <v>33</v>
      </c>
      <c r="T182" s="1">
        <v>2017</v>
      </c>
      <c r="U182" s="1">
        <v>2</v>
      </c>
      <c r="V182" s="50">
        <v>42767</v>
      </c>
      <c r="W182" s="4">
        <v>3414.9599999999996</v>
      </c>
      <c r="X182" s="48">
        <v>3672</v>
      </c>
    </row>
    <row r="183" spans="2:24" x14ac:dyDescent="0.35">
      <c r="B183" s="8" t="s">
        <v>7</v>
      </c>
      <c r="C183" s="8" t="s">
        <v>49</v>
      </c>
      <c r="D183" s="8" t="s">
        <v>11</v>
      </c>
      <c r="E183" s="8" t="s">
        <v>23</v>
      </c>
      <c r="F183" s="8" t="s">
        <v>36</v>
      </c>
      <c r="G183" s="8">
        <v>2017</v>
      </c>
      <c r="H183" s="8">
        <v>2</v>
      </c>
      <c r="I183" s="10">
        <v>42767</v>
      </c>
      <c r="J183" s="11">
        <v>1592</v>
      </c>
      <c r="K183" s="51"/>
      <c r="O183" s="1" t="s">
        <v>7</v>
      </c>
      <c r="P183" s="1" t="s">
        <v>49</v>
      </c>
      <c r="Q183" s="1" t="s">
        <v>11</v>
      </c>
      <c r="R183" s="1" t="s">
        <v>23</v>
      </c>
      <c r="S183" s="1" t="s">
        <v>36</v>
      </c>
      <c r="T183" s="1">
        <v>2017</v>
      </c>
      <c r="U183" s="1">
        <v>2</v>
      </c>
      <c r="V183" s="50">
        <v>42767</v>
      </c>
      <c r="W183" s="4">
        <v>1448.7199999999998</v>
      </c>
      <c r="X183" s="48">
        <v>1592</v>
      </c>
    </row>
    <row r="184" spans="2:24" x14ac:dyDescent="0.35">
      <c r="B184" s="8" t="s">
        <v>7</v>
      </c>
      <c r="C184" s="8" t="s">
        <v>43</v>
      </c>
      <c r="D184" s="8" t="s">
        <v>10</v>
      </c>
      <c r="E184" s="8" t="s">
        <v>23</v>
      </c>
      <c r="F184" s="6" t="s">
        <v>36</v>
      </c>
      <c r="G184" s="8">
        <v>2017</v>
      </c>
      <c r="H184" s="8">
        <v>2</v>
      </c>
      <c r="I184" s="10">
        <v>42767</v>
      </c>
      <c r="J184" s="11">
        <v>2568</v>
      </c>
      <c r="K184" s="51"/>
      <c r="O184" s="1" t="s">
        <v>7</v>
      </c>
      <c r="P184" s="1" t="s">
        <v>43</v>
      </c>
      <c r="Q184" s="1" t="s">
        <v>10</v>
      </c>
      <c r="R184" s="1" t="s">
        <v>23</v>
      </c>
      <c r="S184" t="s">
        <v>36</v>
      </c>
      <c r="T184" s="1">
        <v>2017</v>
      </c>
      <c r="U184" s="1">
        <v>2</v>
      </c>
      <c r="V184" s="50">
        <v>42767</v>
      </c>
      <c r="W184" s="4">
        <v>2336.8799999999997</v>
      </c>
      <c r="X184" s="48">
        <v>2568</v>
      </c>
    </row>
    <row r="185" spans="2:24" x14ac:dyDescent="0.35">
      <c r="B185" s="8" t="s">
        <v>6</v>
      </c>
      <c r="C185" s="8" t="s">
        <v>40</v>
      </c>
      <c r="D185" s="8" t="s">
        <v>41</v>
      </c>
      <c r="E185" s="8" t="s">
        <v>0</v>
      </c>
      <c r="F185" s="6" t="s">
        <v>45</v>
      </c>
      <c r="G185" s="8">
        <v>2017</v>
      </c>
      <c r="H185" s="8">
        <v>2</v>
      </c>
      <c r="I185" s="10">
        <v>42767</v>
      </c>
      <c r="J185" s="11">
        <v>4298</v>
      </c>
      <c r="K185" s="51"/>
      <c r="O185" s="1" t="s">
        <v>6</v>
      </c>
      <c r="P185" s="1" t="s">
        <v>40</v>
      </c>
      <c r="Q185" s="1" t="s">
        <v>41</v>
      </c>
      <c r="R185" s="1" t="s">
        <v>0</v>
      </c>
      <c r="S185" t="s">
        <v>45</v>
      </c>
      <c r="T185" s="1">
        <v>2017</v>
      </c>
      <c r="U185" s="1">
        <v>2</v>
      </c>
      <c r="V185" s="50">
        <v>42767</v>
      </c>
      <c r="W185" s="4">
        <v>3954.16</v>
      </c>
      <c r="X185" s="48">
        <v>4298</v>
      </c>
    </row>
    <row r="186" spans="2:24" x14ac:dyDescent="0.35">
      <c r="B186" s="8" t="s">
        <v>7</v>
      </c>
      <c r="C186" s="8" t="s">
        <v>32</v>
      </c>
      <c r="D186" s="8" t="s">
        <v>8</v>
      </c>
      <c r="E186" s="8" t="s">
        <v>27</v>
      </c>
      <c r="F186" s="6" t="s">
        <v>28</v>
      </c>
      <c r="G186" s="8">
        <v>2017</v>
      </c>
      <c r="H186" s="8">
        <v>2</v>
      </c>
      <c r="I186" s="10">
        <v>42767</v>
      </c>
      <c r="J186" s="11">
        <v>5092</v>
      </c>
      <c r="K186" s="51"/>
      <c r="O186" s="1" t="s">
        <v>7</v>
      </c>
      <c r="P186" s="1" t="s">
        <v>32</v>
      </c>
      <c r="Q186" s="1" t="s">
        <v>8</v>
      </c>
      <c r="R186" s="1" t="s">
        <v>27</v>
      </c>
      <c r="S186" t="s">
        <v>28</v>
      </c>
      <c r="T186" s="1">
        <v>2017</v>
      </c>
      <c r="U186" s="1">
        <v>2</v>
      </c>
      <c r="V186" s="50">
        <v>42767</v>
      </c>
      <c r="W186" s="4">
        <v>4531.8799999999992</v>
      </c>
      <c r="X186" s="48">
        <v>5092</v>
      </c>
    </row>
    <row r="187" spans="2:24" x14ac:dyDescent="0.35">
      <c r="B187" s="8" t="s">
        <v>7</v>
      </c>
      <c r="C187" s="8" t="s">
        <v>32</v>
      </c>
      <c r="D187" s="8" t="s">
        <v>8</v>
      </c>
      <c r="E187" s="9" t="s">
        <v>27</v>
      </c>
      <c r="F187" s="9" t="s">
        <v>31</v>
      </c>
      <c r="G187" s="8">
        <v>2017</v>
      </c>
      <c r="H187" s="8">
        <v>2</v>
      </c>
      <c r="I187" s="10">
        <v>42767</v>
      </c>
      <c r="J187" s="11">
        <v>3147</v>
      </c>
      <c r="K187" s="51"/>
      <c r="O187" s="1" t="s">
        <v>7</v>
      </c>
      <c r="P187" s="1" t="s">
        <v>32</v>
      </c>
      <c r="Q187" s="1" t="s">
        <v>8</v>
      </c>
      <c r="R187" s="2" t="s">
        <v>27</v>
      </c>
      <c r="S187" s="2" t="s">
        <v>31</v>
      </c>
      <c r="T187" s="1">
        <v>2017</v>
      </c>
      <c r="U187" s="1">
        <v>2</v>
      </c>
      <c r="V187" s="50">
        <v>42767</v>
      </c>
      <c r="W187" s="4">
        <v>2674.9500000000003</v>
      </c>
      <c r="X187" s="48">
        <v>3147</v>
      </c>
    </row>
    <row r="188" spans="2:24" x14ac:dyDescent="0.35">
      <c r="B188" s="8" t="s">
        <v>6</v>
      </c>
      <c r="C188" s="8" t="s">
        <v>29</v>
      </c>
      <c r="D188" s="8" t="s">
        <v>30</v>
      </c>
      <c r="E188" s="8" t="s">
        <v>23</v>
      </c>
      <c r="F188" s="9" t="s">
        <v>24</v>
      </c>
      <c r="G188" s="8">
        <v>2017</v>
      </c>
      <c r="H188" s="8">
        <v>2</v>
      </c>
      <c r="I188" s="10">
        <v>42767</v>
      </c>
      <c r="J188" s="11">
        <v>2914</v>
      </c>
      <c r="K188" s="51"/>
      <c r="O188" s="1" t="s">
        <v>6</v>
      </c>
      <c r="P188" s="1" t="s">
        <v>29</v>
      </c>
      <c r="Q188" s="1" t="s">
        <v>30</v>
      </c>
      <c r="R188" s="1" t="s">
        <v>23</v>
      </c>
      <c r="S188" s="2" t="s">
        <v>24</v>
      </c>
      <c r="T188" s="1">
        <v>2017</v>
      </c>
      <c r="U188" s="1">
        <v>2</v>
      </c>
      <c r="V188" s="50">
        <v>42767</v>
      </c>
      <c r="W188" s="4">
        <v>2710.02</v>
      </c>
      <c r="X188" s="48">
        <v>2914</v>
      </c>
    </row>
    <row r="189" spans="2:24" x14ac:dyDescent="0.35">
      <c r="B189" s="8" t="s">
        <v>7</v>
      </c>
      <c r="C189" s="8" t="s">
        <v>48</v>
      </c>
      <c r="D189" s="8" t="s">
        <v>9</v>
      </c>
      <c r="E189" s="8" t="s">
        <v>0</v>
      </c>
      <c r="F189" s="6" t="s">
        <v>42</v>
      </c>
      <c r="G189" s="8">
        <v>2017</v>
      </c>
      <c r="H189" s="8">
        <v>2</v>
      </c>
      <c r="I189" s="10">
        <v>42767</v>
      </c>
      <c r="J189" s="11">
        <v>5851</v>
      </c>
      <c r="K189" s="51"/>
      <c r="O189" s="1" t="s">
        <v>7</v>
      </c>
      <c r="P189" s="1" t="s">
        <v>48</v>
      </c>
      <c r="Q189" s="1" t="s">
        <v>9</v>
      </c>
      <c r="R189" s="1" t="s">
        <v>0</v>
      </c>
      <c r="S189" t="s">
        <v>42</v>
      </c>
      <c r="T189" s="1">
        <v>2017</v>
      </c>
      <c r="U189" s="1">
        <v>2</v>
      </c>
      <c r="V189" s="50">
        <v>42767</v>
      </c>
      <c r="W189" s="4">
        <v>4973.3500000000004</v>
      </c>
      <c r="X189" s="48">
        <v>5851</v>
      </c>
    </row>
    <row r="190" spans="2:24" x14ac:dyDescent="0.35">
      <c r="B190" s="8" t="s">
        <v>7</v>
      </c>
      <c r="C190" s="8" t="s">
        <v>48</v>
      </c>
      <c r="D190" s="8" t="s">
        <v>9</v>
      </c>
      <c r="E190" s="8" t="s">
        <v>0</v>
      </c>
      <c r="F190" s="8" t="s">
        <v>26</v>
      </c>
      <c r="G190" s="8">
        <v>2017</v>
      </c>
      <c r="H190" s="8">
        <v>2</v>
      </c>
      <c r="I190" s="10">
        <v>42767</v>
      </c>
      <c r="J190" s="11">
        <v>4919</v>
      </c>
      <c r="K190" s="51"/>
      <c r="O190" s="1" t="s">
        <v>7</v>
      </c>
      <c r="P190" s="1" t="s">
        <v>48</v>
      </c>
      <c r="Q190" s="1" t="s">
        <v>9</v>
      </c>
      <c r="R190" s="1" t="s">
        <v>0</v>
      </c>
      <c r="S190" s="1" t="s">
        <v>26</v>
      </c>
      <c r="T190" s="1">
        <v>2017</v>
      </c>
      <c r="U190" s="1">
        <v>2</v>
      </c>
      <c r="V190" s="50">
        <v>42767</v>
      </c>
      <c r="W190" s="4">
        <v>4574.67</v>
      </c>
      <c r="X190" s="48">
        <v>4919</v>
      </c>
    </row>
    <row r="191" spans="2:24" x14ac:dyDescent="0.35">
      <c r="B191" s="8" t="s">
        <v>7</v>
      </c>
      <c r="C191" s="8" t="s">
        <v>49</v>
      </c>
      <c r="D191" s="8" t="s">
        <v>11</v>
      </c>
      <c r="E191" s="8" t="s">
        <v>0</v>
      </c>
      <c r="F191" s="8" t="s">
        <v>45</v>
      </c>
      <c r="G191" s="8">
        <v>2017</v>
      </c>
      <c r="H191" s="8">
        <v>2</v>
      </c>
      <c r="I191" s="10">
        <v>42767</v>
      </c>
      <c r="J191" s="11">
        <v>2345</v>
      </c>
      <c r="K191" s="51"/>
      <c r="O191" s="1" t="s">
        <v>7</v>
      </c>
      <c r="P191" s="1" t="s">
        <v>49</v>
      </c>
      <c r="Q191" s="1" t="s">
        <v>11</v>
      </c>
      <c r="R191" s="1" t="s">
        <v>0</v>
      </c>
      <c r="S191" s="1" t="s">
        <v>45</v>
      </c>
      <c r="T191" s="1">
        <v>2017</v>
      </c>
      <c r="U191" s="1">
        <v>2</v>
      </c>
      <c r="V191" s="50">
        <v>42767</v>
      </c>
      <c r="W191" s="4">
        <v>1993.2500000000002</v>
      </c>
      <c r="X191" s="48">
        <v>2345</v>
      </c>
    </row>
    <row r="192" spans="2:24" x14ac:dyDescent="0.35">
      <c r="B192" s="8" t="s">
        <v>7</v>
      </c>
      <c r="C192" s="8" t="s">
        <v>49</v>
      </c>
      <c r="D192" s="8" t="s">
        <v>11</v>
      </c>
      <c r="E192" s="8" t="s">
        <v>27</v>
      </c>
      <c r="F192" s="8" t="s">
        <v>28</v>
      </c>
      <c r="G192" s="8">
        <v>2017</v>
      </c>
      <c r="H192" s="8">
        <v>2</v>
      </c>
      <c r="I192" s="10">
        <v>42767</v>
      </c>
      <c r="J192" s="11">
        <v>4895</v>
      </c>
      <c r="K192" s="51"/>
      <c r="O192" s="1" t="s">
        <v>7</v>
      </c>
      <c r="P192" s="1" t="s">
        <v>49</v>
      </c>
      <c r="Q192" s="1" t="s">
        <v>11</v>
      </c>
      <c r="R192" s="1" t="s">
        <v>27</v>
      </c>
      <c r="S192" s="1" t="s">
        <v>28</v>
      </c>
      <c r="T192" s="1">
        <v>2017</v>
      </c>
      <c r="U192" s="1">
        <v>2</v>
      </c>
      <c r="V192" s="50">
        <v>42767</v>
      </c>
      <c r="W192" s="4">
        <v>4356.5499999999993</v>
      </c>
      <c r="X192" s="48">
        <v>4895</v>
      </c>
    </row>
    <row r="193" spans="2:24" x14ac:dyDescent="0.35">
      <c r="B193" s="8" t="s">
        <v>12</v>
      </c>
      <c r="C193" s="8" t="s">
        <v>34</v>
      </c>
      <c r="D193" s="8" t="s">
        <v>35</v>
      </c>
      <c r="E193" s="8" t="s">
        <v>27</v>
      </c>
      <c r="F193" s="6" t="s">
        <v>31</v>
      </c>
      <c r="G193" s="8">
        <v>2017</v>
      </c>
      <c r="H193" s="8">
        <v>2</v>
      </c>
      <c r="I193" s="10">
        <v>42767</v>
      </c>
      <c r="J193" s="11">
        <v>3916</v>
      </c>
      <c r="K193" s="51"/>
      <c r="O193" s="1" t="s">
        <v>12</v>
      </c>
      <c r="P193" s="1" t="s">
        <v>34</v>
      </c>
      <c r="Q193" s="1" t="s">
        <v>35</v>
      </c>
      <c r="R193" s="1" t="s">
        <v>27</v>
      </c>
      <c r="S193" t="s">
        <v>31</v>
      </c>
      <c r="T193" s="1">
        <v>2017</v>
      </c>
      <c r="U193" s="1">
        <v>2</v>
      </c>
      <c r="V193" s="50">
        <v>42767</v>
      </c>
      <c r="W193" s="4">
        <v>3446.0799999999995</v>
      </c>
      <c r="X193" s="48">
        <v>3916</v>
      </c>
    </row>
    <row r="194" spans="2:24" x14ac:dyDescent="0.35">
      <c r="B194" s="8" t="s">
        <v>12</v>
      </c>
      <c r="C194" s="8" t="s">
        <v>34</v>
      </c>
      <c r="D194" s="8" t="s">
        <v>35</v>
      </c>
      <c r="E194" s="8" t="s">
        <v>27</v>
      </c>
      <c r="F194" s="6" t="s">
        <v>33</v>
      </c>
      <c r="G194" s="8">
        <v>2017</v>
      </c>
      <c r="H194" s="8">
        <v>2</v>
      </c>
      <c r="I194" s="10">
        <v>42767</v>
      </c>
      <c r="J194" s="11">
        <v>3311</v>
      </c>
      <c r="K194" s="51"/>
      <c r="O194" s="1" t="s">
        <v>12</v>
      </c>
      <c r="P194" s="1" t="s">
        <v>34</v>
      </c>
      <c r="Q194" s="1" t="s">
        <v>35</v>
      </c>
      <c r="R194" s="1" t="s">
        <v>27</v>
      </c>
      <c r="S194" t="s">
        <v>33</v>
      </c>
      <c r="T194" s="1">
        <v>2017</v>
      </c>
      <c r="U194" s="1">
        <v>2</v>
      </c>
      <c r="V194" s="50">
        <v>42767</v>
      </c>
      <c r="W194" s="4">
        <v>2880.57</v>
      </c>
      <c r="X194" s="48">
        <v>3311</v>
      </c>
    </row>
    <row r="195" spans="2:24" x14ac:dyDescent="0.35">
      <c r="B195" s="8" t="s">
        <v>14</v>
      </c>
      <c r="C195" s="8" t="s">
        <v>37</v>
      </c>
      <c r="D195" s="8" t="s">
        <v>38</v>
      </c>
      <c r="E195" s="8" t="s">
        <v>23</v>
      </c>
      <c r="F195" s="6" t="s">
        <v>36</v>
      </c>
      <c r="G195" s="8">
        <v>2017</v>
      </c>
      <c r="H195" s="8">
        <v>2</v>
      </c>
      <c r="I195" s="10">
        <v>42767</v>
      </c>
      <c r="J195" s="11">
        <v>2914</v>
      </c>
      <c r="K195" s="51"/>
      <c r="O195" s="1" t="s">
        <v>14</v>
      </c>
      <c r="P195" s="1" t="s">
        <v>37</v>
      </c>
      <c r="Q195" s="1" t="s">
        <v>38</v>
      </c>
      <c r="R195" s="1" t="s">
        <v>23</v>
      </c>
      <c r="S195" t="s">
        <v>36</v>
      </c>
      <c r="T195" s="1">
        <v>2017</v>
      </c>
      <c r="U195" s="1">
        <v>2</v>
      </c>
      <c r="V195" s="50">
        <v>42767</v>
      </c>
      <c r="W195" s="4">
        <v>2476.9</v>
      </c>
      <c r="X195" s="48">
        <v>2914</v>
      </c>
    </row>
    <row r="196" spans="2:24" x14ac:dyDescent="0.35">
      <c r="B196" s="8" t="s">
        <v>12</v>
      </c>
      <c r="C196" s="8" t="s">
        <v>44</v>
      </c>
      <c r="D196" s="8" t="s">
        <v>13</v>
      </c>
      <c r="E196" s="9" t="s">
        <v>23</v>
      </c>
      <c r="F196" s="9" t="s">
        <v>39</v>
      </c>
      <c r="G196" s="8">
        <v>2017</v>
      </c>
      <c r="H196" s="8">
        <v>2</v>
      </c>
      <c r="I196" s="10">
        <v>42767</v>
      </c>
      <c r="J196" s="11">
        <v>1981</v>
      </c>
      <c r="K196" s="51"/>
      <c r="O196" s="1" t="s">
        <v>12</v>
      </c>
      <c r="P196" s="1" t="s">
        <v>44</v>
      </c>
      <c r="Q196" s="1" t="s">
        <v>13</v>
      </c>
      <c r="R196" s="2" t="s">
        <v>23</v>
      </c>
      <c r="S196" s="2" t="s">
        <v>39</v>
      </c>
      <c r="T196" s="1">
        <v>2017</v>
      </c>
      <c r="U196" s="1">
        <v>2</v>
      </c>
      <c r="V196" s="50">
        <v>42767</v>
      </c>
      <c r="W196" s="4">
        <v>1763.0899999999997</v>
      </c>
      <c r="X196" s="48">
        <v>1981</v>
      </c>
    </row>
    <row r="197" spans="2:24" x14ac:dyDescent="0.35">
      <c r="B197" s="8" t="s">
        <v>12</v>
      </c>
      <c r="C197" s="8" t="s">
        <v>44</v>
      </c>
      <c r="D197" s="8" t="s">
        <v>13</v>
      </c>
      <c r="E197" s="8" t="s">
        <v>0</v>
      </c>
      <c r="F197" s="9" t="s">
        <v>42</v>
      </c>
      <c r="G197" s="8">
        <v>2017</v>
      </c>
      <c r="H197" s="8">
        <v>2</v>
      </c>
      <c r="I197" s="10">
        <v>42767</v>
      </c>
      <c r="J197" s="11">
        <v>4453</v>
      </c>
      <c r="K197" s="51"/>
      <c r="O197" s="1" t="s">
        <v>12</v>
      </c>
      <c r="P197" s="1" t="s">
        <v>44</v>
      </c>
      <c r="Q197" s="1" t="s">
        <v>13</v>
      </c>
      <c r="R197" s="1" t="s">
        <v>0</v>
      </c>
      <c r="S197" s="2" t="s">
        <v>42</v>
      </c>
      <c r="T197" s="1">
        <v>2017</v>
      </c>
      <c r="U197" s="1">
        <v>2</v>
      </c>
      <c r="V197" s="50">
        <v>42767</v>
      </c>
      <c r="W197" s="4">
        <v>3963.1699999999996</v>
      </c>
      <c r="X197" s="48">
        <v>4453</v>
      </c>
    </row>
    <row r="198" spans="2:24" x14ac:dyDescent="0.35">
      <c r="B198" s="8" t="s">
        <v>14</v>
      </c>
      <c r="C198" s="8" t="s">
        <v>46</v>
      </c>
      <c r="D198" s="8" t="s">
        <v>47</v>
      </c>
      <c r="E198" s="8" t="s">
        <v>0</v>
      </c>
      <c r="F198" s="6" t="s">
        <v>26</v>
      </c>
      <c r="G198" s="8">
        <v>2017</v>
      </c>
      <c r="H198" s="8">
        <v>2</v>
      </c>
      <c r="I198" s="10">
        <v>42767</v>
      </c>
      <c r="J198" s="11">
        <v>5299</v>
      </c>
      <c r="K198" s="51"/>
      <c r="O198" s="1" t="s">
        <v>14</v>
      </c>
      <c r="P198" s="1" t="s">
        <v>46</v>
      </c>
      <c r="Q198" s="1" t="s">
        <v>47</v>
      </c>
      <c r="R198" s="1" t="s">
        <v>0</v>
      </c>
      <c r="S198" t="s">
        <v>26</v>
      </c>
      <c r="T198" s="1">
        <v>2017</v>
      </c>
      <c r="U198" s="1">
        <v>2</v>
      </c>
      <c r="V198" s="50">
        <v>42767</v>
      </c>
      <c r="W198" s="4">
        <v>4928.07</v>
      </c>
      <c r="X198" s="48">
        <v>5299</v>
      </c>
    </row>
    <row r="199" spans="2:24" x14ac:dyDescent="0.35">
      <c r="B199" s="8" t="s">
        <v>14</v>
      </c>
      <c r="C199" s="8" t="s">
        <v>46</v>
      </c>
      <c r="D199" s="8" t="s">
        <v>47</v>
      </c>
      <c r="E199" s="8" t="s">
        <v>0</v>
      </c>
      <c r="F199" s="8" t="s">
        <v>45</v>
      </c>
      <c r="G199" s="8">
        <v>2017</v>
      </c>
      <c r="H199" s="8">
        <v>2</v>
      </c>
      <c r="I199" s="10">
        <v>42767</v>
      </c>
      <c r="J199" s="11">
        <v>2954</v>
      </c>
      <c r="K199" s="51"/>
      <c r="O199" s="1" t="s">
        <v>14</v>
      </c>
      <c r="P199" s="1" t="s">
        <v>46</v>
      </c>
      <c r="Q199" s="1" t="s">
        <v>47</v>
      </c>
      <c r="R199" s="1" t="s">
        <v>0</v>
      </c>
      <c r="S199" s="1" t="s">
        <v>45</v>
      </c>
      <c r="T199" s="1">
        <v>2017</v>
      </c>
      <c r="U199" s="1">
        <v>2</v>
      </c>
      <c r="V199" s="50">
        <v>42767</v>
      </c>
      <c r="W199" s="4">
        <v>2776.7599999999998</v>
      </c>
      <c r="X199" s="48">
        <v>2954</v>
      </c>
    </row>
    <row r="200" spans="2:24" x14ac:dyDescent="0.35">
      <c r="B200" s="8" t="s">
        <v>3</v>
      </c>
      <c r="C200" s="8" t="s">
        <v>25</v>
      </c>
      <c r="D200" s="8" t="s">
        <v>4</v>
      </c>
      <c r="E200" s="8" t="s">
        <v>27</v>
      </c>
      <c r="F200" s="8" t="s">
        <v>33</v>
      </c>
      <c r="G200" s="8">
        <v>2017</v>
      </c>
      <c r="H200" s="8">
        <v>2</v>
      </c>
      <c r="I200" s="10">
        <v>42767</v>
      </c>
      <c r="J200" s="11">
        <v>3339</v>
      </c>
      <c r="K200" s="51"/>
      <c r="O200" s="1" t="s">
        <v>3</v>
      </c>
      <c r="P200" s="1" t="s">
        <v>25</v>
      </c>
      <c r="Q200" s="1" t="s">
        <v>4</v>
      </c>
      <c r="R200" s="1" t="s">
        <v>27</v>
      </c>
      <c r="S200" s="1" t="s">
        <v>33</v>
      </c>
      <c r="T200" s="1">
        <v>2017</v>
      </c>
      <c r="U200" s="1">
        <v>2</v>
      </c>
      <c r="V200" s="50">
        <v>42767</v>
      </c>
      <c r="W200" s="4">
        <v>3038.49</v>
      </c>
      <c r="X200" s="48">
        <v>3339</v>
      </c>
    </row>
    <row r="201" spans="2:24" x14ac:dyDescent="0.35">
      <c r="B201" s="8" t="s">
        <v>3</v>
      </c>
      <c r="C201" s="8" t="s">
        <v>25</v>
      </c>
      <c r="D201" s="8" t="s">
        <v>4</v>
      </c>
      <c r="E201" s="8" t="s">
        <v>23</v>
      </c>
      <c r="F201" s="8" t="s">
        <v>36</v>
      </c>
      <c r="G201" s="8">
        <v>2017</v>
      </c>
      <c r="H201" s="8">
        <v>2</v>
      </c>
      <c r="I201" s="10">
        <v>42767</v>
      </c>
      <c r="J201" s="11">
        <v>2262</v>
      </c>
      <c r="K201" s="51"/>
      <c r="O201" s="1" t="s">
        <v>3</v>
      </c>
      <c r="P201" s="1" t="s">
        <v>25</v>
      </c>
      <c r="Q201" s="1" t="s">
        <v>4</v>
      </c>
      <c r="R201" s="1" t="s">
        <v>23</v>
      </c>
      <c r="S201" s="1" t="s">
        <v>36</v>
      </c>
      <c r="T201" s="1">
        <v>2017</v>
      </c>
      <c r="U201" s="1">
        <v>2</v>
      </c>
      <c r="V201" s="50">
        <v>42767</v>
      </c>
      <c r="W201" s="4">
        <v>2013.1799999999998</v>
      </c>
      <c r="X201" s="48">
        <v>2262</v>
      </c>
    </row>
    <row r="202" spans="2:24" x14ac:dyDescent="0.35">
      <c r="B202" s="8" t="s">
        <v>6</v>
      </c>
      <c r="C202" s="8" t="s">
        <v>40</v>
      </c>
      <c r="D202" s="8" t="s">
        <v>41</v>
      </c>
      <c r="E202" s="8" t="s">
        <v>23</v>
      </c>
      <c r="F202" s="6" t="s">
        <v>39</v>
      </c>
      <c r="G202" s="8">
        <v>2017</v>
      </c>
      <c r="H202" s="8">
        <v>2</v>
      </c>
      <c r="I202" s="10">
        <v>42767</v>
      </c>
      <c r="J202" s="11">
        <v>2515</v>
      </c>
      <c r="K202" s="51"/>
      <c r="O202" s="1" t="s">
        <v>6</v>
      </c>
      <c r="P202" s="1" t="s">
        <v>40</v>
      </c>
      <c r="Q202" s="1" t="s">
        <v>41</v>
      </c>
      <c r="R202" s="1" t="s">
        <v>23</v>
      </c>
      <c r="S202" t="s">
        <v>39</v>
      </c>
      <c r="T202" s="1">
        <v>2017</v>
      </c>
      <c r="U202" s="1">
        <v>2</v>
      </c>
      <c r="V202" s="50">
        <v>42767</v>
      </c>
      <c r="W202" s="4">
        <v>2238.35</v>
      </c>
      <c r="X202" s="48">
        <v>2515</v>
      </c>
    </row>
    <row r="203" spans="2:24" x14ac:dyDescent="0.35">
      <c r="B203" s="8" t="s">
        <v>7</v>
      </c>
      <c r="C203" s="8" t="s">
        <v>48</v>
      </c>
      <c r="D203" s="8" t="s">
        <v>9</v>
      </c>
      <c r="E203" s="8" t="s">
        <v>0</v>
      </c>
      <c r="F203" s="6" t="s">
        <v>45</v>
      </c>
      <c r="G203" s="8">
        <v>2017</v>
      </c>
      <c r="H203" s="8">
        <v>2</v>
      </c>
      <c r="I203" s="10">
        <v>42767</v>
      </c>
      <c r="J203" s="11">
        <v>4031</v>
      </c>
      <c r="K203" s="51"/>
      <c r="O203" s="1" t="s">
        <v>7</v>
      </c>
      <c r="P203" s="1" t="s">
        <v>48</v>
      </c>
      <c r="Q203" s="1" t="s">
        <v>9</v>
      </c>
      <c r="R203" s="1" t="s">
        <v>0</v>
      </c>
      <c r="S203" t="s">
        <v>45</v>
      </c>
      <c r="T203" s="1">
        <v>2017</v>
      </c>
      <c r="U203" s="1">
        <v>2</v>
      </c>
      <c r="V203" s="50">
        <v>42767</v>
      </c>
      <c r="W203" s="4">
        <v>3547.2799999999997</v>
      </c>
      <c r="X203" s="48">
        <v>4031</v>
      </c>
    </row>
    <row r="204" spans="2:24" x14ac:dyDescent="0.35">
      <c r="B204" s="8" t="s">
        <v>7</v>
      </c>
      <c r="C204" s="8" t="s">
        <v>49</v>
      </c>
      <c r="D204" s="8" t="s">
        <v>11</v>
      </c>
      <c r="E204" s="8" t="s">
        <v>27</v>
      </c>
      <c r="F204" s="6" t="s">
        <v>31</v>
      </c>
      <c r="G204" s="8">
        <v>2017</v>
      </c>
      <c r="H204" s="8">
        <v>2</v>
      </c>
      <c r="I204" s="10">
        <v>42767</v>
      </c>
      <c r="J204" s="11">
        <v>3055</v>
      </c>
      <c r="K204" s="51"/>
      <c r="O204" s="1" t="s">
        <v>7</v>
      </c>
      <c r="P204" s="1" t="s">
        <v>49</v>
      </c>
      <c r="Q204" s="1" t="s">
        <v>11</v>
      </c>
      <c r="R204" s="1" t="s">
        <v>27</v>
      </c>
      <c r="S204" t="s">
        <v>31</v>
      </c>
      <c r="T204" s="1">
        <v>2017</v>
      </c>
      <c r="U204" s="1">
        <v>2</v>
      </c>
      <c r="V204" s="50">
        <v>42767</v>
      </c>
      <c r="W204" s="4">
        <v>2871.7</v>
      </c>
      <c r="X204" s="48">
        <v>3055</v>
      </c>
    </row>
    <row r="205" spans="2:24" x14ac:dyDescent="0.35">
      <c r="B205" s="8" t="s">
        <v>7</v>
      </c>
      <c r="C205" s="8" t="s">
        <v>43</v>
      </c>
      <c r="D205" s="8" t="s">
        <v>10</v>
      </c>
      <c r="E205" s="9" t="s">
        <v>27</v>
      </c>
      <c r="F205" s="9" t="s">
        <v>33</v>
      </c>
      <c r="G205" s="8">
        <v>2017</v>
      </c>
      <c r="H205" s="8">
        <v>2</v>
      </c>
      <c r="I205" s="10">
        <v>42767</v>
      </c>
      <c r="J205" s="11">
        <v>3676</v>
      </c>
      <c r="K205" s="51"/>
      <c r="O205" s="1" t="s">
        <v>7</v>
      </c>
      <c r="P205" s="1" t="s">
        <v>43</v>
      </c>
      <c r="Q205" s="1" t="s">
        <v>10</v>
      </c>
      <c r="R205" s="2" t="s">
        <v>27</v>
      </c>
      <c r="S205" s="2" t="s">
        <v>33</v>
      </c>
      <c r="T205" s="1">
        <v>2017</v>
      </c>
      <c r="U205" s="1">
        <v>2</v>
      </c>
      <c r="V205" s="50">
        <v>42767</v>
      </c>
      <c r="W205" s="4">
        <v>3418.68</v>
      </c>
      <c r="X205" s="48">
        <v>3676</v>
      </c>
    </row>
    <row r="206" spans="2:24" x14ac:dyDescent="0.35">
      <c r="B206" s="8" t="s">
        <v>7</v>
      </c>
      <c r="C206" s="8" t="s">
        <v>32</v>
      </c>
      <c r="D206" s="8" t="s">
        <v>8</v>
      </c>
      <c r="E206" s="8" t="s">
        <v>0</v>
      </c>
      <c r="F206" s="9" t="s">
        <v>45</v>
      </c>
      <c r="G206" s="8">
        <v>2017</v>
      </c>
      <c r="H206" s="8">
        <v>2</v>
      </c>
      <c r="I206" s="10">
        <v>42767</v>
      </c>
      <c r="J206" s="11">
        <v>4582</v>
      </c>
      <c r="K206" s="51"/>
      <c r="O206" s="1" t="s">
        <v>7</v>
      </c>
      <c r="P206" s="1" t="s">
        <v>32</v>
      </c>
      <c r="Q206" s="1" t="s">
        <v>8</v>
      </c>
      <c r="R206" s="1" t="s">
        <v>0</v>
      </c>
      <c r="S206" s="2" t="s">
        <v>45</v>
      </c>
      <c r="T206" s="1">
        <v>2017</v>
      </c>
      <c r="U206" s="1">
        <v>2</v>
      </c>
      <c r="V206" s="50">
        <v>42767</v>
      </c>
      <c r="W206" s="4">
        <v>3986.3400000000006</v>
      </c>
      <c r="X206" s="48">
        <v>4582</v>
      </c>
    </row>
    <row r="207" spans="2:24" x14ac:dyDescent="0.35">
      <c r="B207" s="8" t="s">
        <v>7</v>
      </c>
      <c r="C207" s="8" t="s">
        <v>48</v>
      </c>
      <c r="D207" s="8" t="s">
        <v>9</v>
      </c>
      <c r="E207" s="8" t="s">
        <v>23</v>
      </c>
      <c r="F207" s="6" t="s">
        <v>39</v>
      </c>
      <c r="G207" s="8">
        <v>2017</v>
      </c>
      <c r="H207" s="8">
        <v>2</v>
      </c>
      <c r="I207" s="10">
        <v>42767</v>
      </c>
      <c r="J207" s="11">
        <v>1718</v>
      </c>
      <c r="K207" s="51"/>
      <c r="O207" s="1" t="s">
        <v>7</v>
      </c>
      <c r="P207" s="1" t="s">
        <v>48</v>
      </c>
      <c r="Q207" s="1" t="s">
        <v>9</v>
      </c>
      <c r="R207" s="1" t="s">
        <v>23</v>
      </c>
      <c r="S207" t="s">
        <v>39</v>
      </c>
      <c r="T207" s="1">
        <v>2017</v>
      </c>
      <c r="U207" s="1">
        <v>2</v>
      </c>
      <c r="V207" s="50">
        <v>42767</v>
      </c>
      <c r="W207" s="4">
        <v>1580.56</v>
      </c>
      <c r="X207" s="48">
        <v>1718</v>
      </c>
    </row>
    <row r="208" spans="2:24" x14ac:dyDescent="0.35">
      <c r="B208" s="8" t="s">
        <v>7</v>
      </c>
      <c r="C208" s="8" t="s">
        <v>49</v>
      </c>
      <c r="D208" s="8" t="s">
        <v>11</v>
      </c>
      <c r="E208" s="8" t="s">
        <v>0</v>
      </c>
      <c r="F208" s="8" t="s">
        <v>26</v>
      </c>
      <c r="G208" s="8">
        <v>2017</v>
      </c>
      <c r="H208" s="8">
        <v>2</v>
      </c>
      <c r="I208" s="10">
        <v>42767</v>
      </c>
      <c r="J208" s="11">
        <v>4706</v>
      </c>
      <c r="K208" s="51"/>
      <c r="O208" s="1" t="s">
        <v>7</v>
      </c>
      <c r="P208" s="1" t="s">
        <v>49</v>
      </c>
      <c r="Q208" s="1" t="s">
        <v>11</v>
      </c>
      <c r="R208" s="1" t="s">
        <v>0</v>
      </c>
      <c r="S208" s="1" t="s">
        <v>26</v>
      </c>
      <c r="T208" s="1">
        <v>2017</v>
      </c>
      <c r="U208" s="1">
        <v>2</v>
      </c>
      <c r="V208" s="50">
        <v>42767</v>
      </c>
      <c r="W208" s="4">
        <v>4141.28</v>
      </c>
      <c r="X208" s="48">
        <v>4706</v>
      </c>
    </row>
    <row r="209" spans="2:24" x14ac:dyDescent="0.35">
      <c r="B209" s="8" t="s">
        <v>12</v>
      </c>
      <c r="C209" s="8" t="s">
        <v>34</v>
      </c>
      <c r="D209" s="8" t="s">
        <v>35</v>
      </c>
      <c r="E209" s="8" t="s">
        <v>27</v>
      </c>
      <c r="F209" s="8" t="s">
        <v>28</v>
      </c>
      <c r="G209" s="8">
        <v>2017</v>
      </c>
      <c r="H209" s="8">
        <v>2</v>
      </c>
      <c r="I209" s="10">
        <v>42767</v>
      </c>
      <c r="J209" s="11">
        <v>3409</v>
      </c>
      <c r="K209" s="51"/>
      <c r="O209" s="1" t="s">
        <v>12</v>
      </c>
      <c r="P209" s="1" t="s">
        <v>34</v>
      </c>
      <c r="Q209" s="1" t="s">
        <v>35</v>
      </c>
      <c r="R209" s="1" t="s">
        <v>27</v>
      </c>
      <c r="S209" s="1" t="s">
        <v>28</v>
      </c>
      <c r="T209" s="1">
        <v>2017</v>
      </c>
      <c r="U209" s="1">
        <v>2</v>
      </c>
      <c r="V209" s="50">
        <v>42767</v>
      </c>
      <c r="W209" s="4">
        <v>2965.8300000000004</v>
      </c>
      <c r="X209" s="48">
        <v>3409</v>
      </c>
    </row>
    <row r="210" spans="2:24" x14ac:dyDescent="0.35">
      <c r="B210" s="8" t="s">
        <v>14</v>
      </c>
      <c r="C210" s="8" t="s">
        <v>37</v>
      </c>
      <c r="D210" s="8" t="s">
        <v>38</v>
      </c>
      <c r="E210" s="8" t="s">
        <v>27</v>
      </c>
      <c r="F210" s="8" t="s">
        <v>33</v>
      </c>
      <c r="G210" s="8">
        <v>2017</v>
      </c>
      <c r="H210" s="8">
        <v>2</v>
      </c>
      <c r="I210" s="10">
        <v>42767</v>
      </c>
      <c r="J210" s="11">
        <v>4092</v>
      </c>
      <c r="K210" s="51"/>
      <c r="O210" s="1" t="s">
        <v>14</v>
      </c>
      <c r="P210" s="1" t="s">
        <v>37</v>
      </c>
      <c r="Q210" s="1" t="s">
        <v>38</v>
      </c>
      <c r="R210" s="1" t="s">
        <v>27</v>
      </c>
      <c r="S210" s="1" t="s">
        <v>33</v>
      </c>
      <c r="T210" s="1">
        <v>2017</v>
      </c>
      <c r="U210" s="1">
        <v>2</v>
      </c>
      <c r="V210" s="50">
        <v>42767</v>
      </c>
      <c r="W210" s="4">
        <v>3805.5599999999995</v>
      </c>
      <c r="X210" s="48">
        <v>4092</v>
      </c>
    </row>
    <row r="211" spans="2:24" x14ac:dyDescent="0.35">
      <c r="B211" s="8" t="s">
        <v>12</v>
      </c>
      <c r="C211" s="8" t="s">
        <v>44</v>
      </c>
      <c r="D211" s="8" t="s">
        <v>13</v>
      </c>
      <c r="E211" s="8" t="s">
        <v>23</v>
      </c>
      <c r="F211" s="6" t="s">
        <v>24</v>
      </c>
      <c r="G211" s="8">
        <v>2017</v>
      </c>
      <c r="H211" s="8">
        <v>2</v>
      </c>
      <c r="I211" s="10">
        <v>42767</v>
      </c>
      <c r="J211" s="11">
        <v>1594</v>
      </c>
      <c r="K211" s="51"/>
      <c r="O211" s="1" t="s">
        <v>12</v>
      </c>
      <c r="P211" s="1" t="s">
        <v>44</v>
      </c>
      <c r="Q211" s="1" t="s">
        <v>13</v>
      </c>
      <c r="R211" s="1" t="s">
        <v>23</v>
      </c>
      <c r="S211" t="s">
        <v>24</v>
      </c>
      <c r="T211" s="1">
        <v>2017</v>
      </c>
      <c r="U211" s="1">
        <v>2</v>
      </c>
      <c r="V211" s="50">
        <v>42767</v>
      </c>
      <c r="W211" s="4">
        <v>1450.54</v>
      </c>
      <c r="X211" s="48">
        <v>1594</v>
      </c>
    </row>
    <row r="212" spans="2:24" x14ac:dyDescent="0.35">
      <c r="B212" s="8" t="s">
        <v>14</v>
      </c>
      <c r="C212" s="8" t="s">
        <v>46</v>
      </c>
      <c r="D212" s="8" t="s">
        <v>47</v>
      </c>
      <c r="E212" s="8" t="s">
        <v>0</v>
      </c>
      <c r="F212" s="6" t="s">
        <v>42</v>
      </c>
      <c r="G212" s="8">
        <v>2017</v>
      </c>
      <c r="H212" s="8">
        <v>2</v>
      </c>
      <c r="I212" s="10">
        <v>42767</v>
      </c>
      <c r="J212" s="11">
        <v>6995</v>
      </c>
      <c r="K212" s="51"/>
      <c r="O212" s="1" t="s">
        <v>14</v>
      </c>
      <c r="P212" s="1" t="s">
        <v>46</v>
      </c>
      <c r="Q212" s="1" t="s">
        <v>47</v>
      </c>
      <c r="R212" s="1" t="s">
        <v>0</v>
      </c>
      <c r="S212" t="s">
        <v>42</v>
      </c>
      <c r="T212" s="1">
        <v>2017</v>
      </c>
      <c r="U212" s="1">
        <v>2</v>
      </c>
      <c r="V212" s="50">
        <v>42767</v>
      </c>
      <c r="W212" s="4">
        <v>6505.3499999999995</v>
      </c>
      <c r="X212" s="48">
        <v>6995</v>
      </c>
    </row>
    <row r="213" spans="2:24" x14ac:dyDescent="0.35">
      <c r="B213" s="8" t="s">
        <v>7</v>
      </c>
      <c r="C213" s="8" t="s">
        <v>48</v>
      </c>
      <c r="D213" s="8" t="s">
        <v>9</v>
      </c>
      <c r="E213" s="8" t="s">
        <v>27</v>
      </c>
      <c r="F213" s="6" t="s">
        <v>33</v>
      </c>
      <c r="G213" s="8">
        <v>2017</v>
      </c>
      <c r="H213" s="8">
        <v>2</v>
      </c>
      <c r="I213" s="10">
        <v>42767</v>
      </c>
      <c r="J213" s="11">
        <v>4052</v>
      </c>
      <c r="K213" s="51"/>
      <c r="O213" s="1" t="s">
        <v>7</v>
      </c>
      <c r="P213" s="1" t="s">
        <v>48</v>
      </c>
      <c r="Q213" s="1" t="s">
        <v>9</v>
      </c>
      <c r="R213" s="1" t="s">
        <v>27</v>
      </c>
      <c r="S213" t="s">
        <v>33</v>
      </c>
      <c r="T213" s="1">
        <v>2017</v>
      </c>
      <c r="U213" s="1">
        <v>2</v>
      </c>
      <c r="V213" s="50">
        <v>42767</v>
      </c>
      <c r="W213" s="4">
        <v>3606.2799999999997</v>
      </c>
      <c r="X213" s="48">
        <v>4052</v>
      </c>
    </row>
    <row r="214" spans="2:24" x14ac:dyDescent="0.35">
      <c r="B214" s="8" t="s">
        <v>7</v>
      </c>
      <c r="C214" s="8" t="s">
        <v>49</v>
      </c>
      <c r="D214" s="8" t="s">
        <v>11</v>
      </c>
      <c r="E214" s="9" t="s">
        <v>23</v>
      </c>
      <c r="F214" s="9" t="s">
        <v>24</v>
      </c>
      <c r="G214" s="8">
        <v>2017</v>
      </c>
      <c r="H214" s="8">
        <v>2</v>
      </c>
      <c r="I214" s="10">
        <v>42767</v>
      </c>
      <c r="J214" s="11">
        <v>2259</v>
      </c>
      <c r="K214" s="51"/>
      <c r="O214" s="1" t="s">
        <v>7</v>
      </c>
      <c r="P214" s="1" t="s">
        <v>49</v>
      </c>
      <c r="Q214" s="1" t="s">
        <v>11</v>
      </c>
      <c r="R214" s="2" t="s">
        <v>23</v>
      </c>
      <c r="S214" s="2" t="s">
        <v>24</v>
      </c>
      <c r="T214" s="1">
        <v>2017</v>
      </c>
      <c r="U214" s="1">
        <v>2</v>
      </c>
      <c r="V214" s="50">
        <v>42767</v>
      </c>
      <c r="W214" s="4">
        <v>2100.87</v>
      </c>
      <c r="X214" s="48">
        <v>2259</v>
      </c>
    </row>
    <row r="215" spans="2:24" x14ac:dyDescent="0.35">
      <c r="B215" s="8" t="s">
        <v>3</v>
      </c>
      <c r="C215" s="8" t="s">
        <v>22</v>
      </c>
      <c r="D215" s="8" t="s">
        <v>5</v>
      </c>
      <c r="E215" s="8" t="s">
        <v>23</v>
      </c>
      <c r="F215" s="9" t="s">
        <v>24</v>
      </c>
      <c r="G215" s="8">
        <v>2017</v>
      </c>
      <c r="H215" s="8">
        <v>3</v>
      </c>
      <c r="I215" s="10">
        <v>42795</v>
      </c>
      <c r="J215" s="11">
        <v>2086</v>
      </c>
      <c r="K215" s="51"/>
      <c r="O215" s="1" t="s">
        <v>3</v>
      </c>
      <c r="P215" s="1" t="s">
        <v>22</v>
      </c>
      <c r="Q215" s="1" t="s">
        <v>5</v>
      </c>
      <c r="R215" s="1" t="s">
        <v>23</v>
      </c>
      <c r="S215" s="2" t="s">
        <v>24</v>
      </c>
      <c r="T215" s="1">
        <v>2017</v>
      </c>
      <c r="U215" s="1">
        <v>3</v>
      </c>
      <c r="V215" s="50">
        <v>42795</v>
      </c>
      <c r="W215" s="4">
        <v>1856.5399999999997</v>
      </c>
      <c r="X215" s="48">
        <v>2086</v>
      </c>
    </row>
    <row r="216" spans="2:24" x14ac:dyDescent="0.35">
      <c r="B216" s="8" t="s">
        <v>3</v>
      </c>
      <c r="C216" s="8" t="s">
        <v>25</v>
      </c>
      <c r="D216" s="8" t="s">
        <v>4</v>
      </c>
      <c r="E216" s="8" t="s">
        <v>23</v>
      </c>
      <c r="F216" s="6" t="s">
        <v>24</v>
      </c>
      <c r="G216" s="8">
        <v>2017</v>
      </c>
      <c r="H216" s="8">
        <v>3</v>
      </c>
      <c r="I216" s="10">
        <v>42795</v>
      </c>
      <c r="J216" s="11">
        <v>1987</v>
      </c>
      <c r="K216" s="51"/>
      <c r="O216" s="1" t="s">
        <v>3</v>
      </c>
      <c r="P216" s="1" t="s">
        <v>25</v>
      </c>
      <c r="Q216" s="1" t="s">
        <v>4</v>
      </c>
      <c r="R216" s="1" t="s">
        <v>23</v>
      </c>
      <c r="S216" t="s">
        <v>24</v>
      </c>
      <c r="T216" s="1">
        <v>2017</v>
      </c>
      <c r="U216" s="1">
        <v>3</v>
      </c>
      <c r="V216" s="50">
        <v>42795</v>
      </c>
      <c r="W216" s="4">
        <v>1808.1699999999998</v>
      </c>
      <c r="X216" s="48">
        <v>1987</v>
      </c>
    </row>
    <row r="217" spans="2:24" x14ac:dyDescent="0.35">
      <c r="B217" s="8" t="s">
        <v>3</v>
      </c>
      <c r="C217" s="8" t="s">
        <v>25</v>
      </c>
      <c r="D217" s="8" t="s">
        <v>4</v>
      </c>
      <c r="E217" s="8" t="s">
        <v>0</v>
      </c>
      <c r="F217" s="8" t="s">
        <v>26</v>
      </c>
      <c r="G217" s="8">
        <v>2017</v>
      </c>
      <c r="H217" s="8">
        <v>3</v>
      </c>
      <c r="I217" s="10">
        <v>42795</v>
      </c>
      <c r="J217" s="11">
        <v>3499</v>
      </c>
      <c r="K217" s="51"/>
      <c r="O217" s="1" t="s">
        <v>3</v>
      </c>
      <c r="P217" s="1" t="s">
        <v>25</v>
      </c>
      <c r="Q217" s="1" t="s">
        <v>4</v>
      </c>
      <c r="R217" s="1" t="s">
        <v>0</v>
      </c>
      <c r="S217" s="1" t="s">
        <v>26</v>
      </c>
      <c r="T217" s="1">
        <v>2017</v>
      </c>
      <c r="U217" s="1">
        <v>3</v>
      </c>
      <c r="V217" s="50">
        <v>42795</v>
      </c>
      <c r="W217" s="4">
        <v>3149.0999999999995</v>
      </c>
      <c r="X217" s="48">
        <v>3499</v>
      </c>
    </row>
    <row r="218" spans="2:24" x14ac:dyDescent="0.35">
      <c r="B218" s="8" t="s">
        <v>3</v>
      </c>
      <c r="C218" s="8" t="s">
        <v>22</v>
      </c>
      <c r="D218" s="8" t="s">
        <v>5</v>
      </c>
      <c r="E218" s="8" t="s">
        <v>0</v>
      </c>
      <c r="F218" s="8" t="s">
        <v>26</v>
      </c>
      <c r="G218" s="8">
        <v>2017</v>
      </c>
      <c r="H218" s="8">
        <v>3</v>
      </c>
      <c r="I218" s="10">
        <v>42795</v>
      </c>
      <c r="J218" s="11">
        <v>3839</v>
      </c>
      <c r="K218" s="51"/>
      <c r="O218" s="1" t="s">
        <v>3</v>
      </c>
      <c r="P218" s="1" t="s">
        <v>22</v>
      </c>
      <c r="Q218" s="1" t="s">
        <v>5</v>
      </c>
      <c r="R218" s="1" t="s">
        <v>0</v>
      </c>
      <c r="S218" s="1" t="s">
        <v>26</v>
      </c>
      <c r="T218" s="1">
        <v>2017</v>
      </c>
      <c r="U218" s="1">
        <v>3</v>
      </c>
      <c r="V218" s="50">
        <v>42795</v>
      </c>
      <c r="W218" s="4">
        <v>3263.1500000000005</v>
      </c>
      <c r="X218" s="48">
        <v>3839</v>
      </c>
    </row>
    <row r="219" spans="2:24" x14ac:dyDescent="0.35">
      <c r="B219" s="8" t="s">
        <v>3</v>
      </c>
      <c r="C219" s="8" t="s">
        <v>22</v>
      </c>
      <c r="D219" s="8" t="s">
        <v>5</v>
      </c>
      <c r="E219" s="8" t="s">
        <v>27</v>
      </c>
      <c r="F219" s="8" t="s">
        <v>28</v>
      </c>
      <c r="G219" s="8">
        <v>2017</v>
      </c>
      <c r="H219" s="8">
        <v>3</v>
      </c>
      <c r="I219" s="10">
        <v>42795</v>
      </c>
      <c r="J219" s="11">
        <v>4142</v>
      </c>
      <c r="K219" s="51"/>
      <c r="O219" s="1" t="s">
        <v>3</v>
      </c>
      <c r="P219" s="1" t="s">
        <v>22</v>
      </c>
      <c r="Q219" s="1" t="s">
        <v>5</v>
      </c>
      <c r="R219" s="1" t="s">
        <v>27</v>
      </c>
      <c r="S219" s="1" t="s">
        <v>28</v>
      </c>
      <c r="T219" s="1">
        <v>2017</v>
      </c>
      <c r="U219" s="1">
        <v>3</v>
      </c>
      <c r="V219" s="50">
        <v>42795</v>
      </c>
      <c r="W219" s="4">
        <v>3520.7000000000003</v>
      </c>
      <c r="X219" s="48">
        <v>4142</v>
      </c>
    </row>
    <row r="220" spans="2:24" x14ac:dyDescent="0.35">
      <c r="B220" s="8" t="s">
        <v>6</v>
      </c>
      <c r="C220" s="8" t="s">
        <v>29</v>
      </c>
      <c r="D220" s="8" t="s">
        <v>30</v>
      </c>
      <c r="E220" s="8" t="s">
        <v>27</v>
      </c>
      <c r="F220" s="6" t="s">
        <v>31</v>
      </c>
      <c r="G220" s="8">
        <v>2017</v>
      </c>
      <c r="H220" s="8">
        <v>3</v>
      </c>
      <c r="I220" s="10">
        <v>42795</v>
      </c>
      <c r="J220" s="11">
        <v>4954</v>
      </c>
      <c r="K220" s="51"/>
      <c r="O220" s="1" t="s">
        <v>6</v>
      </c>
      <c r="P220" s="1" t="s">
        <v>29</v>
      </c>
      <c r="Q220" s="1" t="s">
        <v>30</v>
      </c>
      <c r="R220" s="1" t="s">
        <v>27</v>
      </c>
      <c r="S220" t="s">
        <v>31</v>
      </c>
      <c r="T220" s="1">
        <v>2017</v>
      </c>
      <c r="U220" s="1">
        <v>3</v>
      </c>
      <c r="V220" s="50">
        <v>42795</v>
      </c>
      <c r="W220" s="4">
        <v>4508.1399999999994</v>
      </c>
      <c r="X220" s="48">
        <v>4954</v>
      </c>
    </row>
    <row r="221" spans="2:24" x14ac:dyDescent="0.35">
      <c r="B221" s="8" t="s">
        <v>7</v>
      </c>
      <c r="C221" s="8" t="s">
        <v>32</v>
      </c>
      <c r="D221" s="8" t="s">
        <v>8</v>
      </c>
      <c r="E221" s="8" t="s">
        <v>27</v>
      </c>
      <c r="F221" s="6" t="s">
        <v>33</v>
      </c>
      <c r="G221" s="8">
        <v>2017</v>
      </c>
      <c r="H221" s="8">
        <v>3</v>
      </c>
      <c r="I221" s="10">
        <v>42795</v>
      </c>
      <c r="J221" s="11">
        <v>3653</v>
      </c>
      <c r="K221" s="51"/>
      <c r="O221" s="1" t="s">
        <v>7</v>
      </c>
      <c r="P221" s="1" t="s">
        <v>32</v>
      </c>
      <c r="Q221" s="1" t="s">
        <v>8</v>
      </c>
      <c r="R221" s="1" t="s">
        <v>27</v>
      </c>
      <c r="S221" t="s">
        <v>33</v>
      </c>
      <c r="T221" s="1">
        <v>2017</v>
      </c>
      <c r="U221" s="1">
        <v>3</v>
      </c>
      <c r="V221" s="50">
        <v>42795</v>
      </c>
      <c r="W221" s="4">
        <v>3251.1699999999996</v>
      </c>
      <c r="X221" s="48">
        <v>3653</v>
      </c>
    </row>
    <row r="222" spans="2:24" x14ac:dyDescent="0.35">
      <c r="B222" s="8" t="s">
        <v>12</v>
      </c>
      <c r="C222" s="8" t="s">
        <v>34</v>
      </c>
      <c r="D222" s="8" t="s">
        <v>35</v>
      </c>
      <c r="E222" s="8" t="s">
        <v>23</v>
      </c>
      <c r="F222" s="6" t="s">
        <v>36</v>
      </c>
      <c r="G222" s="8">
        <v>2017</v>
      </c>
      <c r="H222" s="8">
        <v>3</v>
      </c>
      <c r="I222" s="10">
        <v>42795</v>
      </c>
      <c r="J222" s="11">
        <v>2232</v>
      </c>
      <c r="K222" s="51"/>
      <c r="O222" s="1" t="s">
        <v>12</v>
      </c>
      <c r="P222" s="1" t="s">
        <v>34</v>
      </c>
      <c r="Q222" s="1" t="s">
        <v>35</v>
      </c>
      <c r="R222" s="1" t="s">
        <v>23</v>
      </c>
      <c r="S222" t="s">
        <v>36</v>
      </c>
      <c r="T222" s="1">
        <v>2017</v>
      </c>
      <c r="U222" s="1">
        <v>3</v>
      </c>
      <c r="V222" s="50">
        <v>42795</v>
      </c>
      <c r="W222" s="4">
        <v>1897.2000000000003</v>
      </c>
      <c r="X222" s="48">
        <v>2232</v>
      </c>
    </row>
    <row r="223" spans="2:24" x14ac:dyDescent="0.35">
      <c r="B223" s="8" t="s">
        <v>14</v>
      </c>
      <c r="C223" s="8" t="s">
        <v>37</v>
      </c>
      <c r="D223" s="8" t="s">
        <v>38</v>
      </c>
      <c r="E223" s="9" t="s">
        <v>23</v>
      </c>
      <c r="F223" s="9" t="s">
        <v>24</v>
      </c>
      <c r="G223" s="8">
        <v>2017</v>
      </c>
      <c r="H223" s="8">
        <v>3</v>
      </c>
      <c r="I223" s="10">
        <v>42795</v>
      </c>
      <c r="J223" s="11">
        <v>3344</v>
      </c>
      <c r="K223" s="51"/>
      <c r="O223" s="1" t="s">
        <v>14</v>
      </c>
      <c r="P223" s="1" t="s">
        <v>37</v>
      </c>
      <c r="Q223" s="1" t="s">
        <v>38</v>
      </c>
      <c r="R223" s="2" t="s">
        <v>23</v>
      </c>
      <c r="S223" s="2" t="s">
        <v>24</v>
      </c>
      <c r="T223" s="1">
        <v>2017</v>
      </c>
      <c r="U223" s="1">
        <v>3</v>
      </c>
      <c r="V223" s="50">
        <v>42795</v>
      </c>
      <c r="W223" s="4">
        <v>3009.5999999999995</v>
      </c>
      <c r="X223" s="48">
        <v>3344</v>
      </c>
    </row>
    <row r="224" spans="2:24" x14ac:dyDescent="0.35">
      <c r="B224" s="8" t="s">
        <v>3</v>
      </c>
      <c r="C224" s="8" t="s">
        <v>25</v>
      </c>
      <c r="D224" s="8" t="s">
        <v>4</v>
      </c>
      <c r="E224" s="8" t="s">
        <v>23</v>
      </c>
      <c r="F224" s="9" t="s">
        <v>39</v>
      </c>
      <c r="G224" s="8">
        <v>2017</v>
      </c>
      <c r="H224" s="8">
        <v>3</v>
      </c>
      <c r="I224" s="10">
        <v>42795</v>
      </c>
      <c r="J224" s="11">
        <v>2555</v>
      </c>
      <c r="K224" s="51"/>
      <c r="O224" s="1" t="s">
        <v>3</v>
      </c>
      <c r="P224" s="1" t="s">
        <v>25</v>
      </c>
      <c r="Q224" s="1" t="s">
        <v>4</v>
      </c>
      <c r="R224" s="1" t="s">
        <v>23</v>
      </c>
      <c r="S224" s="2" t="s">
        <v>39</v>
      </c>
      <c r="T224" s="1">
        <v>2017</v>
      </c>
      <c r="U224" s="1">
        <v>3</v>
      </c>
      <c r="V224" s="50">
        <v>42795</v>
      </c>
      <c r="W224" s="4">
        <v>2350.6</v>
      </c>
      <c r="X224" s="48">
        <v>2555</v>
      </c>
    </row>
    <row r="225" spans="2:24" x14ac:dyDescent="0.35">
      <c r="B225" s="8" t="s">
        <v>6</v>
      </c>
      <c r="C225" s="8" t="s">
        <v>40</v>
      </c>
      <c r="D225" s="8" t="s">
        <v>41</v>
      </c>
      <c r="E225" s="8" t="s">
        <v>0</v>
      </c>
      <c r="F225" s="6" t="s">
        <v>42</v>
      </c>
      <c r="G225" s="8">
        <v>2017</v>
      </c>
      <c r="H225" s="8">
        <v>3</v>
      </c>
      <c r="I225" s="10">
        <v>42795</v>
      </c>
      <c r="J225" s="11">
        <v>6834</v>
      </c>
      <c r="K225" s="51"/>
      <c r="O225" s="1" t="s">
        <v>6</v>
      </c>
      <c r="P225" s="1" t="s">
        <v>40</v>
      </c>
      <c r="Q225" s="1" t="s">
        <v>41</v>
      </c>
      <c r="R225" s="1" t="s">
        <v>0</v>
      </c>
      <c r="S225" t="s">
        <v>42</v>
      </c>
      <c r="T225" s="1">
        <v>2017</v>
      </c>
      <c r="U225" s="1">
        <v>3</v>
      </c>
      <c r="V225" s="50">
        <v>42795</v>
      </c>
      <c r="W225" s="4">
        <v>6218.94</v>
      </c>
      <c r="X225" s="48">
        <v>6834</v>
      </c>
    </row>
    <row r="226" spans="2:24" x14ac:dyDescent="0.35">
      <c r="B226" s="8" t="s">
        <v>7</v>
      </c>
      <c r="C226" s="8" t="s">
        <v>43</v>
      </c>
      <c r="D226" s="8" t="s">
        <v>10</v>
      </c>
      <c r="E226" s="8" t="s">
        <v>0</v>
      </c>
      <c r="F226" s="8" t="s">
        <v>26</v>
      </c>
      <c r="G226" s="8">
        <v>2017</v>
      </c>
      <c r="H226" s="8">
        <v>3</v>
      </c>
      <c r="I226" s="10">
        <v>42795</v>
      </c>
      <c r="J226" s="11">
        <v>4808</v>
      </c>
      <c r="K226" s="51"/>
      <c r="O226" s="1" t="s">
        <v>7</v>
      </c>
      <c r="P226" s="1" t="s">
        <v>43</v>
      </c>
      <c r="Q226" s="1" t="s">
        <v>10</v>
      </c>
      <c r="R226" s="1" t="s">
        <v>0</v>
      </c>
      <c r="S226" s="1" t="s">
        <v>26</v>
      </c>
      <c r="T226" s="1">
        <v>2017</v>
      </c>
      <c r="U226" s="1">
        <v>3</v>
      </c>
      <c r="V226" s="50">
        <v>42795</v>
      </c>
      <c r="W226" s="4">
        <v>4519.5199999999995</v>
      </c>
      <c r="X226" s="48">
        <v>4808</v>
      </c>
    </row>
    <row r="227" spans="2:24" x14ac:dyDescent="0.35">
      <c r="B227" s="8" t="s">
        <v>12</v>
      </c>
      <c r="C227" s="8" t="s">
        <v>44</v>
      </c>
      <c r="D227" s="8" t="s">
        <v>13</v>
      </c>
      <c r="E227" s="8" t="s">
        <v>0</v>
      </c>
      <c r="F227" s="8" t="s">
        <v>45</v>
      </c>
      <c r="G227" s="8">
        <v>2017</v>
      </c>
      <c r="H227" s="8">
        <v>3</v>
      </c>
      <c r="I227" s="10">
        <v>42795</v>
      </c>
      <c r="J227" s="11">
        <v>4698</v>
      </c>
      <c r="K227" s="51"/>
      <c r="O227" s="1" t="s">
        <v>12</v>
      </c>
      <c r="P227" s="1" t="s">
        <v>44</v>
      </c>
      <c r="Q227" s="1" t="s">
        <v>13</v>
      </c>
      <c r="R227" s="1" t="s">
        <v>0</v>
      </c>
      <c r="S227" s="1" t="s">
        <v>45</v>
      </c>
      <c r="T227" s="1">
        <v>2017</v>
      </c>
      <c r="U227" s="1">
        <v>3</v>
      </c>
      <c r="V227" s="50">
        <v>42795</v>
      </c>
      <c r="W227" s="4">
        <v>4181.2199999999993</v>
      </c>
      <c r="X227" s="48">
        <v>4698</v>
      </c>
    </row>
    <row r="228" spans="2:24" x14ac:dyDescent="0.35">
      <c r="B228" s="8" t="s">
        <v>14</v>
      </c>
      <c r="C228" s="8" t="s">
        <v>46</v>
      </c>
      <c r="D228" s="8" t="s">
        <v>47</v>
      </c>
      <c r="E228" s="8" t="s">
        <v>27</v>
      </c>
      <c r="F228" s="8" t="s">
        <v>28</v>
      </c>
      <c r="G228" s="8">
        <v>2017</v>
      </c>
      <c r="H228" s="8">
        <v>3</v>
      </c>
      <c r="I228" s="10">
        <v>42795</v>
      </c>
      <c r="J228" s="11">
        <v>3767</v>
      </c>
      <c r="K228" s="51"/>
      <c r="O228" s="1" t="s">
        <v>14</v>
      </c>
      <c r="P228" s="1" t="s">
        <v>46</v>
      </c>
      <c r="Q228" s="1" t="s">
        <v>47</v>
      </c>
      <c r="R228" s="1" t="s">
        <v>27</v>
      </c>
      <c r="S228" s="1" t="s">
        <v>28</v>
      </c>
      <c r="T228" s="1">
        <v>2017</v>
      </c>
      <c r="U228" s="1">
        <v>3</v>
      </c>
      <c r="V228" s="50">
        <v>42795</v>
      </c>
      <c r="W228" s="4">
        <v>3540.9799999999996</v>
      </c>
      <c r="X228" s="48">
        <v>3767</v>
      </c>
    </row>
    <row r="229" spans="2:24" x14ac:dyDescent="0.35">
      <c r="B229" s="8" t="s">
        <v>3</v>
      </c>
      <c r="C229" s="8" t="s">
        <v>22</v>
      </c>
      <c r="D229" s="8" t="s">
        <v>5</v>
      </c>
      <c r="E229" s="8" t="s">
        <v>27</v>
      </c>
      <c r="F229" s="6" t="s">
        <v>31</v>
      </c>
      <c r="G229" s="8">
        <v>2017</v>
      </c>
      <c r="H229" s="8">
        <v>3</v>
      </c>
      <c r="I229" s="10">
        <v>42795</v>
      </c>
      <c r="J229" s="11">
        <v>3211</v>
      </c>
      <c r="K229" s="51"/>
      <c r="O229" s="1" t="s">
        <v>3</v>
      </c>
      <c r="P229" s="1" t="s">
        <v>22</v>
      </c>
      <c r="Q229" s="1" t="s">
        <v>5</v>
      </c>
      <c r="R229" s="1" t="s">
        <v>27</v>
      </c>
      <c r="S229" t="s">
        <v>31</v>
      </c>
      <c r="T229" s="1">
        <v>2017</v>
      </c>
      <c r="U229" s="1">
        <v>3</v>
      </c>
      <c r="V229" s="50">
        <v>42795</v>
      </c>
      <c r="W229" s="4">
        <v>2986.2299999999996</v>
      </c>
      <c r="X229" s="48">
        <v>3211</v>
      </c>
    </row>
    <row r="230" spans="2:24" x14ac:dyDescent="0.35">
      <c r="B230" s="8" t="s">
        <v>6</v>
      </c>
      <c r="C230" s="8" t="s">
        <v>29</v>
      </c>
      <c r="D230" s="8" t="s">
        <v>30</v>
      </c>
      <c r="E230" s="8" t="s">
        <v>27</v>
      </c>
      <c r="F230" s="6" t="s">
        <v>33</v>
      </c>
      <c r="G230" s="8">
        <v>2017</v>
      </c>
      <c r="H230" s="8">
        <v>3</v>
      </c>
      <c r="I230" s="10">
        <v>42795</v>
      </c>
      <c r="J230" s="11">
        <v>3667</v>
      </c>
      <c r="K230" s="51"/>
      <c r="O230" s="1" t="s">
        <v>6</v>
      </c>
      <c r="P230" s="1" t="s">
        <v>29</v>
      </c>
      <c r="Q230" s="1" t="s">
        <v>30</v>
      </c>
      <c r="R230" s="1" t="s">
        <v>27</v>
      </c>
      <c r="S230" t="s">
        <v>33</v>
      </c>
      <c r="T230" s="1">
        <v>2017</v>
      </c>
      <c r="U230" s="1">
        <v>3</v>
      </c>
      <c r="V230" s="50">
        <v>42795</v>
      </c>
      <c r="W230" s="4">
        <v>3263.6299999999997</v>
      </c>
      <c r="X230" s="48">
        <v>3667</v>
      </c>
    </row>
    <row r="231" spans="2:24" x14ac:dyDescent="0.35">
      <c r="B231" s="8" t="s">
        <v>7</v>
      </c>
      <c r="C231" s="8" t="s">
        <v>32</v>
      </c>
      <c r="D231" s="8" t="s">
        <v>8</v>
      </c>
      <c r="E231" s="8" t="s">
        <v>23</v>
      </c>
      <c r="F231" s="6" t="s">
        <v>36</v>
      </c>
      <c r="G231" s="8">
        <v>2017</v>
      </c>
      <c r="H231" s="8">
        <v>3</v>
      </c>
      <c r="I231" s="10">
        <v>42795</v>
      </c>
      <c r="J231" s="11">
        <v>2374</v>
      </c>
      <c r="K231" s="51"/>
      <c r="O231" s="1" t="s">
        <v>7</v>
      </c>
      <c r="P231" s="1" t="s">
        <v>32</v>
      </c>
      <c r="Q231" s="1" t="s">
        <v>8</v>
      </c>
      <c r="R231" s="1" t="s">
        <v>23</v>
      </c>
      <c r="S231" t="s">
        <v>36</v>
      </c>
      <c r="T231" s="1">
        <v>2017</v>
      </c>
      <c r="U231" s="1">
        <v>3</v>
      </c>
      <c r="V231" s="50">
        <v>42795</v>
      </c>
      <c r="W231" s="4">
        <v>2136.6</v>
      </c>
      <c r="X231" s="48">
        <v>2374</v>
      </c>
    </row>
    <row r="232" spans="2:24" x14ac:dyDescent="0.35">
      <c r="B232" s="8" t="s">
        <v>12</v>
      </c>
      <c r="C232" s="8" t="s">
        <v>34</v>
      </c>
      <c r="D232" s="8" t="s">
        <v>35</v>
      </c>
      <c r="E232" s="9" t="s">
        <v>23</v>
      </c>
      <c r="F232" s="9" t="s">
        <v>24</v>
      </c>
      <c r="G232" s="8">
        <v>2017</v>
      </c>
      <c r="H232" s="8">
        <v>3</v>
      </c>
      <c r="I232" s="10">
        <v>42795</v>
      </c>
      <c r="J232" s="11">
        <v>2971</v>
      </c>
      <c r="K232" s="51"/>
      <c r="O232" s="1" t="s">
        <v>12</v>
      </c>
      <c r="P232" s="1" t="s">
        <v>34</v>
      </c>
      <c r="Q232" s="1" t="s">
        <v>35</v>
      </c>
      <c r="R232" s="2" t="s">
        <v>23</v>
      </c>
      <c r="S232" s="2" t="s">
        <v>24</v>
      </c>
      <c r="T232" s="1">
        <v>2017</v>
      </c>
      <c r="U232" s="1">
        <v>3</v>
      </c>
      <c r="V232" s="50">
        <v>42795</v>
      </c>
      <c r="W232" s="4">
        <v>2555.0600000000004</v>
      </c>
      <c r="X232" s="48">
        <v>2971</v>
      </c>
    </row>
    <row r="233" spans="2:24" x14ac:dyDescent="0.35">
      <c r="B233" s="8" t="s">
        <v>14</v>
      </c>
      <c r="C233" s="8" t="s">
        <v>37</v>
      </c>
      <c r="D233" s="8" t="s">
        <v>38</v>
      </c>
      <c r="E233" s="8" t="s">
        <v>23</v>
      </c>
      <c r="F233" s="9" t="s">
        <v>39</v>
      </c>
      <c r="G233" s="8">
        <v>2017</v>
      </c>
      <c r="H233" s="8">
        <v>3</v>
      </c>
      <c r="I233" s="10">
        <v>42795</v>
      </c>
      <c r="J233" s="11">
        <v>1314</v>
      </c>
      <c r="K233" s="51"/>
      <c r="O233" s="1" t="s">
        <v>14</v>
      </c>
      <c r="P233" s="1" t="s">
        <v>37</v>
      </c>
      <c r="Q233" s="1" t="s">
        <v>38</v>
      </c>
      <c r="R233" s="1" t="s">
        <v>23</v>
      </c>
      <c r="S233" s="2" t="s">
        <v>39</v>
      </c>
      <c r="T233" s="1">
        <v>2017</v>
      </c>
      <c r="U233" s="1">
        <v>3</v>
      </c>
      <c r="V233" s="50">
        <v>42795</v>
      </c>
      <c r="W233" s="4">
        <v>1208.8799999999999</v>
      </c>
      <c r="X233" s="48">
        <v>1314</v>
      </c>
    </row>
    <row r="234" spans="2:24" x14ac:dyDescent="0.35">
      <c r="B234" s="8" t="s">
        <v>3</v>
      </c>
      <c r="C234" s="8" t="s">
        <v>25</v>
      </c>
      <c r="D234" s="8" t="s">
        <v>4</v>
      </c>
      <c r="E234" s="8" t="s">
        <v>0</v>
      </c>
      <c r="F234" s="6" t="s">
        <v>42</v>
      </c>
      <c r="G234" s="8">
        <v>2017</v>
      </c>
      <c r="H234" s="8">
        <v>3</v>
      </c>
      <c r="I234" s="10">
        <v>42795</v>
      </c>
      <c r="J234" s="11">
        <v>6155</v>
      </c>
      <c r="K234" s="51"/>
      <c r="O234" s="1" t="s">
        <v>3</v>
      </c>
      <c r="P234" s="1" t="s">
        <v>25</v>
      </c>
      <c r="Q234" s="1" t="s">
        <v>4</v>
      </c>
      <c r="R234" s="1" t="s">
        <v>0</v>
      </c>
      <c r="S234" t="s">
        <v>42</v>
      </c>
      <c r="T234" s="1">
        <v>2017</v>
      </c>
      <c r="U234" s="1">
        <v>3</v>
      </c>
      <c r="V234" s="50">
        <v>42795</v>
      </c>
      <c r="W234" s="4">
        <v>5601.0499999999993</v>
      </c>
      <c r="X234" s="48">
        <v>6155</v>
      </c>
    </row>
    <row r="235" spans="2:24" x14ac:dyDescent="0.35">
      <c r="B235" s="8" t="s">
        <v>6</v>
      </c>
      <c r="C235" s="8" t="s">
        <v>40</v>
      </c>
      <c r="D235" s="8" t="s">
        <v>41</v>
      </c>
      <c r="E235" s="8" t="s">
        <v>0</v>
      </c>
      <c r="F235" s="8" t="s">
        <v>26</v>
      </c>
      <c r="G235" s="8">
        <v>2017</v>
      </c>
      <c r="H235" s="8">
        <v>3</v>
      </c>
      <c r="I235" s="10">
        <v>42795</v>
      </c>
      <c r="J235" s="11">
        <v>5477</v>
      </c>
      <c r="K235" s="51"/>
      <c r="O235" s="1" t="s">
        <v>6</v>
      </c>
      <c r="P235" s="1" t="s">
        <v>40</v>
      </c>
      <c r="Q235" s="1" t="s">
        <v>41</v>
      </c>
      <c r="R235" s="1" t="s">
        <v>0</v>
      </c>
      <c r="S235" s="1" t="s">
        <v>26</v>
      </c>
      <c r="T235" s="1">
        <v>2017</v>
      </c>
      <c r="U235" s="1">
        <v>3</v>
      </c>
      <c r="V235" s="50">
        <v>42795</v>
      </c>
      <c r="W235" s="4">
        <v>4874.53</v>
      </c>
      <c r="X235" s="48">
        <v>5477</v>
      </c>
    </row>
    <row r="236" spans="2:24" x14ac:dyDescent="0.35">
      <c r="B236" s="8" t="s">
        <v>7</v>
      </c>
      <c r="C236" s="8" t="s">
        <v>43</v>
      </c>
      <c r="D236" s="8" t="s">
        <v>10</v>
      </c>
      <c r="E236" s="8" t="s">
        <v>0</v>
      </c>
      <c r="F236" s="8" t="s">
        <v>45</v>
      </c>
      <c r="G236" s="8">
        <v>2017</v>
      </c>
      <c r="H236" s="8">
        <v>3</v>
      </c>
      <c r="I236" s="10">
        <v>42795</v>
      </c>
      <c r="J236" s="11">
        <v>3122</v>
      </c>
      <c r="K236" s="51"/>
      <c r="O236" s="1" t="s">
        <v>7</v>
      </c>
      <c r="P236" s="1" t="s">
        <v>43</v>
      </c>
      <c r="Q236" s="1" t="s">
        <v>10</v>
      </c>
      <c r="R236" s="1" t="s">
        <v>0</v>
      </c>
      <c r="S236" s="1" t="s">
        <v>45</v>
      </c>
      <c r="T236" s="1">
        <v>2017</v>
      </c>
      <c r="U236" s="1">
        <v>3</v>
      </c>
      <c r="V236" s="50">
        <v>42795</v>
      </c>
      <c r="W236" s="4">
        <v>2747.3599999999997</v>
      </c>
      <c r="X236" s="48">
        <v>3122</v>
      </c>
    </row>
    <row r="237" spans="2:24" x14ac:dyDescent="0.35">
      <c r="B237" s="8" t="s">
        <v>12</v>
      </c>
      <c r="C237" s="8" t="s">
        <v>44</v>
      </c>
      <c r="D237" s="8" t="s">
        <v>13</v>
      </c>
      <c r="E237" s="8" t="s">
        <v>27</v>
      </c>
      <c r="F237" s="8" t="s">
        <v>28</v>
      </c>
      <c r="G237" s="8">
        <v>2017</v>
      </c>
      <c r="H237" s="8">
        <v>3</v>
      </c>
      <c r="I237" s="10">
        <v>42795</v>
      </c>
      <c r="J237" s="11">
        <v>3389</v>
      </c>
      <c r="K237" s="51"/>
      <c r="O237" s="1" t="s">
        <v>12</v>
      </c>
      <c r="P237" s="1" t="s">
        <v>44</v>
      </c>
      <c r="Q237" s="1" t="s">
        <v>13</v>
      </c>
      <c r="R237" s="1" t="s">
        <v>27</v>
      </c>
      <c r="S237" s="1" t="s">
        <v>28</v>
      </c>
      <c r="T237" s="1">
        <v>2017</v>
      </c>
      <c r="U237" s="1">
        <v>3</v>
      </c>
      <c r="V237" s="50">
        <v>42795</v>
      </c>
      <c r="W237" s="4">
        <v>2948.4300000000003</v>
      </c>
      <c r="X237" s="48">
        <v>3389</v>
      </c>
    </row>
    <row r="238" spans="2:24" x14ac:dyDescent="0.35">
      <c r="B238" s="8" t="s">
        <v>14</v>
      </c>
      <c r="C238" s="8" t="s">
        <v>46</v>
      </c>
      <c r="D238" s="8" t="s">
        <v>47</v>
      </c>
      <c r="E238" s="8" t="s">
        <v>27</v>
      </c>
      <c r="F238" s="6" t="s">
        <v>31</v>
      </c>
      <c r="G238" s="8">
        <v>2017</v>
      </c>
      <c r="H238" s="8">
        <v>3</v>
      </c>
      <c r="I238" s="10">
        <v>42795</v>
      </c>
      <c r="J238" s="11">
        <v>3444</v>
      </c>
      <c r="K238" s="51"/>
      <c r="O238" s="1" t="s">
        <v>14</v>
      </c>
      <c r="P238" s="1" t="s">
        <v>46</v>
      </c>
      <c r="Q238" s="1" t="s">
        <v>47</v>
      </c>
      <c r="R238" s="1" t="s">
        <v>27</v>
      </c>
      <c r="S238" t="s">
        <v>31</v>
      </c>
      <c r="T238" s="1">
        <v>2017</v>
      </c>
      <c r="U238" s="1">
        <v>3</v>
      </c>
      <c r="V238" s="50">
        <v>42795</v>
      </c>
      <c r="W238" s="4">
        <v>3237.3599999999997</v>
      </c>
      <c r="X238" s="48">
        <v>3444</v>
      </c>
    </row>
    <row r="239" spans="2:24" x14ac:dyDescent="0.35">
      <c r="B239" s="8" t="s">
        <v>3</v>
      </c>
      <c r="C239" s="8" t="s">
        <v>22</v>
      </c>
      <c r="D239" s="8" t="s">
        <v>5</v>
      </c>
      <c r="E239" s="8" t="s">
        <v>27</v>
      </c>
      <c r="F239" s="6" t="s">
        <v>33</v>
      </c>
      <c r="G239" s="8">
        <v>2017</v>
      </c>
      <c r="H239" s="8">
        <v>3</v>
      </c>
      <c r="I239" s="10">
        <v>42795</v>
      </c>
      <c r="J239" s="11">
        <v>3662</v>
      </c>
      <c r="K239" s="51"/>
      <c r="O239" s="1" t="s">
        <v>3</v>
      </c>
      <c r="P239" s="1" t="s">
        <v>22</v>
      </c>
      <c r="Q239" s="1" t="s">
        <v>5</v>
      </c>
      <c r="R239" s="1" t="s">
        <v>27</v>
      </c>
      <c r="S239" t="s">
        <v>33</v>
      </c>
      <c r="T239" s="1">
        <v>2017</v>
      </c>
      <c r="U239" s="1">
        <v>3</v>
      </c>
      <c r="V239" s="50">
        <v>42795</v>
      </c>
      <c r="W239" s="4">
        <v>3259.18</v>
      </c>
      <c r="X239" s="48">
        <v>3662</v>
      </c>
    </row>
    <row r="240" spans="2:24" x14ac:dyDescent="0.35">
      <c r="B240" s="8" t="s">
        <v>6</v>
      </c>
      <c r="C240" s="8" t="s">
        <v>29</v>
      </c>
      <c r="D240" s="8" t="s">
        <v>30</v>
      </c>
      <c r="E240" s="8" t="s">
        <v>23</v>
      </c>
      <c r="F240" s="6" t="s">
        <v>36</v>
      </c>
      <c r="G240" s="8">
        <v>2017</v>
      </c>
      <c r="H240" s="8">
        <v>3</v>
      </c>
      <c r="I240" s="10">
        <v>42795</v>
      </c>
      <c r="J240" s="11">
        <v>2051</v>
      </c>
      <c r="K240" s="51"/>
      <c r="O240" s="1" t="s">
        <v>6</v>
      </c>
      <c r="P240" s="1" t="s">
        <v>29</v>
      </c>
      <c r="Q240" s="1" t="s">
        <v>30</v>
      </c>
      <c r="R240" s="1" t="s">
        <v>23</v>
      </c>
      <c r="S240" t="s">
        <v>36</v>
      </c>
      <c r="T240" s="1">
        <v>2017</v>
      </c>
      <c r="U240" s="1">
        <v>3</v>
      </c>
      <c r="V240" s="50">
        <v>42795</v>
      </c>
      <c r="W240" s="4">
        <v>1886.9199999999998</v>
      </c>
      <c r="X240" s="48">
        <v>2051</v>
      </c>
    </row>
    <row r="241" spans="2:24" x14ac:dyDescent="0.35">
      <c r="B241" s="8" t="s">
        <v>7</v>
      </c>
      <c r="C241" s="8" t="s">
        <v>32</v>
      </c>
      <c r="D241" s="8" t="s">
        <v>8</v>
      </c>
      <c r="E241" s="9" t="s">
        <v>23</v>
      </c>
      <c r="F241" s="9" t="s">
        <v>24</v>
      </c>
      <c r="G241" s="8">
        <v>2017</v>
      </c>
      <c r="H241" s="8">
        <v>3</v>
      </c>
      <c r="I241" s="10">
        <v>42795</v>
      </c>
      <c r="J241" s="11">
        <v>2545</v>
      </c>
      <c r="K241" s="51"/>
      <c r="O241" s="1" t="s">
        <v>7</v>
      </c>
      <c r="P241" s="1" t="s">
        <v>32</v>
      </c>
      <c r="Q241" s="1" t="s">
        <v>8</v>
      </c>
      <c r="R241" s="2" t="s">
        <v>23</v>
      </c>
      <c r="S241" s="2" t="s">
        <v>24</v>
      </c>
      <c r="T241" s="1">
        <v>2017</v>
      </c>
      <c r="U241" s="1">
        <v>3</v>
      </c>
      <c r="V241" s="50">
        <v>42795</v>
      </c>
      <c r="W241" s="4">
        <v>2392.2999999999997</v>
      </c>
      <c r="X241" s="48">
        <v>2545</v>
      </c>
    </row>
    <row r="242" spans="2:24" x14ac:dyDescent="0.35">
      <c r="B242" s="8" t="s">
        <v>12</v>
      </c>
      <c r="C242" s="8" t="s">
        <v>34</v>
      </c>
      <c r="D242" s="8" t="s">
        <v>35</v>
      </c>
      <c r="E242" s="8" t="s">
        <v>23</v>
      </c>
      <c r="F242" s="9" t="s">
        <v>39</v>
      </c>
      <c r="G242" s="8">
        <v>2017</v>
      </c>
      <c r="H242" s="8">
        <v>3</v>
      </c>
      <c r="I242" s="10">
        <v>42795</v>
      </c>
      <c r="J242" s="11">
        <v>1320</v>
      </c>
      <c r="K242" s="51"/>
      <c r="O242" s="1" t="s">
        <v>12</v>
      </c>
      <c r="P242" s="1" t="s">
        <v>34</v>
      </c>
      <c r="Q242" s="1" t="s">
        <v>35</v>
      </c>
      <c r="R242" s="1" t="s">
        <v>23</v>
      </c>
      <c r="S242" s="2" t="s">
        <v>39</v>
      </c>
      <c r="T242" s="1">
        <v>2017</v>
      </c>
      <c r="U242" s="1">
        <v>3</v>
      </c>
      <c r="V242" s="50">
        <v>42795</v>
      </c>
      <c r="W242" s="4">
        <v>1122</v>
      </c>
      <c r="X242" s="48">
        <v>1320</v>
      </c>
    </row>
    <row r="243" spans="2:24" x14ac:dyDescent="0.35">
      <c r="B243" s="8" t="s">
        <v>14</v>
      </c>
      <c r="C243" s="8" t="s">
        <v>37</v>
      </c>
      <c r="D243" s="8" t="s">
        <v>38</v>
      </c>
      <c r="E243" s="8" t="s">
        <v>0</v>
      </c>
      <c r="F243" s="6" t="s">
        <v>42</v>
      </c>
      <c r="G243" s="8">
        <v>2017</v>
      </c>
      <c r="H243" s="8">
        <v>3</v>
      </c>
      <c r="I243" s="10">
        <v>42795</v>
      </c>
      <c r="J243" s="11">
        <v>5893</v>
      </c>
      <c r="K243" s="51"/>
      <c r="O243" s="1" t="s">
        <v>14</v>
      </c>
      <c r="P243" s="1" t="s">
        <v>37</v>
      </c>
      <c r="Q243" s="1" t="s">
        <v>38</v>
      </c>
      <c r="R243" s="1" t="s">
        <v>0</v>
      </c>
      <c r="S243" t="s">
        <v>42</v>
      </c>
      <c r="T243" s="1">
        <v>2017</v>
      </c>
      <c r="U243" s="1">
        <v>3</v>
      </c>
      <c r="V243" s="50">
        <v>42795</v>
      </c>
      <c r="W243" s="4">
        <v>5362.6299999999992</v>
      </c>
      <c r="X243" s="48">
        <v>5893</v>
      </c>
    </row>
    <row r="244" spans="2:24" x14ac:dyDescent="0.35">
      <c r="B244" s="8" t="s">
        <v>6</v>
      </c>
      <c r="C244" s="8" t="s">
        <v>29</v>
      </c>
      <c r="D244" s="8" t="s">
        <v>30</v>
      </c>
      <c r="E244" s="8" t="s">
        <v>0</v>
      </c>
      <c r="F244" s="8" t="s">
        <v>45</v>
      </c>
      <c r="G244" s="8">
        <v>2017</v>
      </c>
      <c r="H244" s="8">
        <v>3</v>
      </c>
      <c r="I244" s="10">
        <v>42795</v>
      </c>
      <c r="J244" s="11">
        <v>3244</v>
      </c>
      <c r="K244" s="51"/>
      <c r="O244" s="1" t="s">
        <v>6</v>
      </c>
      <c r="P244" s="1" t="s">
        <v>29</v>
      </c>
      <c r="Q244" s="1" t="s">
        <v>30</v>
      </c>
      <c r="R244" s="1" t="s">
        <v>0</v>
      </c>
      <c r="S244" s="1" t="s">
        <v>45</v>
      </c>
      <c r="T244" s="1">
        <v>2017</v>
      </c>
      <c r="U244" s="1">
        <v>3</v>
      </c>
      <c r="V244" s="50">
        <v>42795</v>
      </c>
      <c r="W244" s="4">
        <v>2757.4</v>
      </c>
      <c r="X244" s="48">
        <v>3244</v>
      </c>
    </row>
    <row r="245" spans="2:24" x14ac:dyDescent="0.35">
      <c r="B245" s="8" t="s">
        <v>7</v>
      </c>
      <c r="C245" s="8" t="s">
        <v>43</v>
      </c>
      <c r="D245" s="8" t="s">
        <v>10</v>
      </c>
      <c r="E245" s="8" t="s">
        <v>27</v>
      </c>
      <c r="F245" s="8" t="s">
        <v>28</v>
      </c>
      <c r="G245" s="8">
        <v>2017</v>
      </c>
      <c r="H245" s="8">
        <v>3</v>
      </c>
      <c r="I245" s="10">
        <v>42795</v>
      </c>
      <c r="J245" s="11">
        <v>3822</v>
      </c>
      <c r="K245" s="51"/>
      <c r="O245" s="1" t="s">
        <v>7</v>
      </c>
      <c r="P245" s="1" t="s">
        <v>43</v>
      </c>
      <c r="Q245" s="1" t="s">
        <v>10</v>
      </c>
      <c r="R245" s="1" t="s">
        <v>27</v>
      </c>
      <c r="S245" s="1" t="s">
        <v>28</v>
      </c>
      <c r="T245" s="1">
        <v>2017</v>
      </c>
      <c r="U245" s="1">
        <v>3</v>
      </c>
      <c r="V245" s="50">
        <v>42795</v>
      </c>
      <c r="W245" s="4">
        <v>3401.5799999999995</v>
      </c>
      <c r="X245" s="48">
        <v>3822</v>
      </c>
    </row>
    <row r="246" spans="2:24" x14ac:dyDescent="0.35">
      <c r="B246" s="8" t="s">
        <v>12</v>
      </c>
      <c r="C246" s="8" t="s">
        <v>44</v>
      </c>
      <c r="D246" s="8" t="s">
        <v>13</v>
      </c>
      <c r="E246" s="8" t="s">
        <v>27</v>
      </c>
      <c r="F246" s="8" t="s">
        <v>31</v>
      </c>
      <c r="G246" s="8">
        <v>2017</v>
      </c>
      <c r="H246" s="8">
        <v>3</v>
      </c>
      <c r="I246" s="10">
        <v>42795</v>
      </c>
      <c r="J246" s="11">
        <v>3870</v>
      </c>
      <c r="K246" s="51"/>
      <c r="O246" s="1" t="s">
        <v>12</v>
      </c>
      <c r="P246" s="1" t="s">
        <v>44</v>
      </c>
      <c r="Q246" s="1" t="s">
        <v>13</v>
      </c>
      <c r="R246" s="1" t="s">
        <v>27</v>
      </c>
      <c r="S246" s="1" t="s">
        <v>31</v>
      </c>
      <c r="T246" s="1">
        <v>2017</v>
      </c>
      <c r="U246" s="1">
        <v>3</v>
      </c>
      <c r="V246" s="50">
        <v>42795</v>
      </c>
      <c r="W246" s="4">
        <v>3637.7999999999997</v>
      </c>
      <c r="X246" s="48">
        <v>3870</v>
      </c>
    </row>
    <row r="247" spans="2:24" x14ac:dyDescent="0.35">
      <c r="B247" s="8" t="s">
        <v>14</v>
      </c>
      <c r="C247" s="8" t="s">
        <v>46</v>
      </c>
      <c r="D247" s="8" t="s">
        <v>47</v>
      </c>
      <c r="E247" s="8" t="s">
        <v>27</v>
      </c>
      <c r="F247" s="6" t="s">
        <v>33</v>
      </c>
      <c r="G247" s="8">
        <v>2017</v>
      </c>
      <c r="H247" s="8">
        <v>3</v>
      </c>
      <c r="I247" s="10">
        <v>42795</v>
      </c>
      <c r="J247" s="11">
        <v>3564</v>
      </c>
      <c r="K247" s="51"/>
      <c r="O247" s="1" t="s">
        <v>14</v>
      </c>
      <c r="P247" s="1" t="s">
        <v>46</v>
      </c>
      <c r="Q247" s="1" t="s">
        <v>47</v>
      </c>
      <c r="R247" s="1" t="s">
        <v>27</v>
      </c>
      <c r="S247" t="s">
        <v>33</v>
      </c>
      <c r="T247" s="1">
        <v>2017</v>
      </c>
      <c r="U247" s="1">
        <v>3</v>
      </c>
      <c r="V247" s="50">
        <v>42795</v>
      </c>
      <c r="W247" s="4">
        <v>3136.3199999999997</v>
      </c>
      <c r="X247" s="48">
        <v>3564</v>
      </c>
    </row>
    <row r="248" spans="2:24" x14ac:dyDescent="0.35">
      <c r="B248" s="8" t="s">
        <v>3</v>
      </c>
      <c r="C248" s="8" t="s">
        <v>22</v>
      </c>
      <c r="D248" s="8" t="s">
        <v>5</v>
      </c>
      <c r="E248" s="8" t="s">
        <v>23</v>
      </c>
      <c r="F248" s="6" t="s">
        <v>36</v>
      </c>
      <c r="G248" s="8">
        <v>2017</v>
      </c>
      <c r="H248" s="8">
        <v>3</v>
      </c>
      <c r="I248" s="10">
        <v>42795</v>
      </c>
      <c r="J248" s="11">
        <v>2671</v>
      </c>
      <c r="K248" s="51"/>
      <c r="O248" s="1" t="s">
        <v>3</v>
      </c>
      <c r="P248" s="1" t="s">
        <v>22</v>
      </c>
      <c r="Q248" s="1" t="s">
        <v>5</v>
      </c>
      <c r="R248" s="1" t="s">
        <v>23</v>
      </c>
      <c r="S248" t="s">
        <v>36</v>
      </c>
      <c r="T248" s="1">
        <v>2017</v>
      </c>
      <c r="U248" s="1">
        <v>3</v>
      </c>
      <c r="V248" s="50">
        <v>42795</v>
      </c>
      <c r="W248" s="4">
        <v>2457.3199999999997</v>
      </c>
      <c r="X248" s="48">
        <v>2671</v>
      </c>
    </row>
    <row r="249" spans="2:24" x14ac:dyDescent="0.35">
      <c r="B249" s="8" t="s">
        <v>6</v>
      </c>
      <c r="C249" s="8" t="s">
        <v>40</v>
      </c>
      <c r="D249" s="8" t="s">
        <v>41</v>
      </c>
      <c r="E249" s="8" t="s">
        <v>23</v>
      </c>
      <c r="F249" s="6" t="s">
        <v>24</v>
      </c>
      <c r="G249" s="8">
        <v>2017</v>
      </c>
      <c r="H249" s="8">
        <v>3</v>
      </c>
      <c r="I249" s="10">
        <v>42795</v>
      </c>
      <c r="J249" s="11">
        <v>2317</v>
      </c>
      <c r="K249" s="51"/>
      <c r="O249" s="1" t="s">
        <v>6</v>
      </c>
      <c r="P249" s="1" t="s">
        <v>40</v>
      </c>
      <c r="Q249" s="1" t="s">
        <v>41</v>
      </c>
      <c r="R249" s="1" t="s">
        <v>23</v>
      </c>
      <c r="S249" t="s">
        <v>24</v>
      </c>
      <c r="T249" s="1">
        <v>2017</v>
      </c>
      <c r="U249" s="1">
        <v>3</v>
      </c>
      <c r="V249" s="50">
        <v>42795</v>
      </c>
      <c r="W249" s="4">
        <v>1992.6200000000003</v>
      </c>
      <c r="X249" s="48">
        <v>2317</v>
      </c>
    </row>
    <row r="250" spans="2:24" x14ac:dyDescent="0.35">
      <c r="B250" s="8" t="s">
        <v>7</v>
      </c>
      <c r="C250" s="8" t="s">
        <v>32</v>
      </c>
      <c r="D250" s="8" t="s">
        <v>8</v>
      </c>
      <c r="E250" s="9" t="s">
        <v>23</v>
      </c>
      <c r="F250" s="9" t="s">
        <v>39</v>
      </c>
      <c r="G250" s="8">
        <v>2017</v>
      </c>
      <c r="H250" s="8">
        <v>3</v>
      </c>
      <c r="I250" s="10">
        <v>42795</v>
      </c>
      <c r="J250" s="11">
        <v>2711</v>
      </c>
      <c r="K250" s="51"/>
      <c r="O250" s="1" t="s">
        <v>7</v>
      </c>
      <c r="P250" s="1" t="s">
        <v>32</v>
      </c>
      <c r="Q250" s="1" t="s">
        <v>8</v>
      </c>
      <c r="R250" s="2" t="s">
        <v>23</v>
      </c>
      <c r="S250" s="2" t="s">
        <v>39</v>
      </c>
      <c r="T250" s="1">
        <v>2017</v>
      </c>
      <c r="U250" s="1">
        <v>3</v>
      </c>
      <c r="V250" s="50">
        <v>42795</v>
      </c>
      <c r="W250" s="4">
        <v>2412.79</v>
      </c>
      <c r="X250" s="48">
        <v>2711</v>
      </c>
    </row>
    <row r="251" spans="2:24" x14ac:dyDescent="0.35">
      <c r="B251" s="8" t="s">
        <v>12</v>
      </c>
      <c r="C251" s="8" t="s">
        <v>34</v>
      </c>
      <c r="D251" s="8" t="s">
        <v>35</v>
      </c>
      <c r="E251" s="8" t="s">
        <v>0</v>
      </c>
      <c r="F251" s="9" t="s">
        <v>42</v>
      </c>
      <c r="G251" s="8">
        <v>2017</v>
      </c>
      <c r="H251" s="8">
        <v>3</v>
      </c>
      <c r="I251" s="10">
        <v>42795</v>
      </c>
      <c r="J251" s="11">
        <v>4291</v>
      </c>
      <c r="K251" s="51"/>
      <c r="O251" s="1" t="s">
        <v>12</v>
      </c>
      <c r="P251" s="1" t="s">
        <v>34</v>
      </c>
      <c r="Q251" s="1" t="s">
        <v>35</v>
      </c>
      <c r="R251" s="1" t="s">
        <v>0</v>
      </c>
      <c r="S251" s="2" t="s">
        <v>42</v>
      </c>
      <c r="T251" s="1">
        <v>2017</v>
      </c>
      <c r="U251" s="1">
        <v>3</v>
      </c>
      <c r="V251" s="50">
        <v>42795</v>
      </c>
      <c r="W251" s="4">
        <v>3776.0799999999995</v>
      </c>
      <c r="X251" s="48">
        <v>4291</v>
      </c>
    </row>
    <row r="252" spans="2:24" x14ac:dyDescent="0.35">
      <c r="B252" s="8" t="s">
        <v>14</v>
      </c>
      <c r="C252" s="8" t="s">
        <v>37</v>
      </c>
      <c r="D252" s="8" t="s">
        <v>38</v>
      </c>
      <c r="E252" s="8" t="s">
        <v>0</v>
      </c>
      <c r="F252" s="6" t="s">
        <v>26</v>
      </c>
      <c r="G252" s="8">
        <v>2017</v>
      </c>
      <c r="H252" s="8">
        <v>3</v>
      </c>
      <c r="I252" s="10">
        <v>42795</v>
      </c>
      <c r="J252" s="11">
        <v>3390</v>
      </c>
      <c r="K252" s="51"/>
      <c r="O252" s="1" t="s">
        <v>14</v>
      </c>
      <c r="P252" s="1" t="s">
        <v>37</v>
      </c>
      <c r="Q252" s="1" t="s">
        <v>38</v>
      </c>
      <c r="R252" s="1" t="s">
        <v>0</v>
      </c>
      <c r="S252" t="s">
        <v>26</v>
      </c>
      <c r="T252" s="1">
        <v>2017</v>
      </c>
      <c r="U252" s="1">
        <v>3</v>
      </c>
      <c r="V252" s="50">
        <v>42795</v>
      </c>
      <c r="W252" s="4">
        <v>3152.7</v>
      </c>
      <c r="X252" s="48">
        <v>3390</v>
      </c>
    </row>
    <row r="253" spans="2:24" x14ac:dyDescent="0.35">
      <c r="B253" s="8" t="s">
        <v>3</v>
      </c>
      <c r="C253" s="8" t="s">
        <v>25</v>
      </c>
      <c r="D253" s="8" t="s">
        <v>4</v>
      </c>
      <c r="E253" s="8" t="s">
        <v>0</v>
      </c>
      <c r="F253" s="8" t="s">
        <v>45</v>
      </c>
      <c r="G253" s="8">
        <v>2017</v>
      </c>
      <c r="H253" s="8">
        <v>3</v>
      </c>
      <c r="I253" s="10">
        <v>42795</v>
      </c>
      <c r="J253" s="11">
        <v>2002</v>
      </c>
      <c r="K253" s="51"/>
      <c r="O253" s="1" t="s">
        <v>3</v>
      </c>
      <c r="P253" s="1" t="s">
        <v>25</v>
      </c>
      <c r="Q253" s="1" t="s">
        <v>4</v>
      </c>
      <c r="R253" s="1" t="s">
        <v>0</v>
      </c>
      <c r="S253" s="1" t="s">
        <v>45</v>
      </c>
      <c r="T253" s="1">
        <v>2017</v>
      </c>
      <c r="U253" s="1">
        <v>3</v>
      </c>
      <c r="V253" s="50">
        <v>42795</v>
      </c>
      <c r="W253" s="4">
        <v>1841.84</v>
      </c>
      <c r="X253" s="48">
        <v>2002</v>
      </c>
    </row>
    <row r="254" spans="2:24" x14ac:dyDescent="0.35">
      <c r="B254" s="8" t="s">
        <v>6</v>
      </c>
      <c r="C254" s="8" t="s">
        <v>29</v>
      </c>
      <c r="D254" s="8" t="s">
        <v>30</v>
      </c>
      <c r="E254" s="8" t="s">
        <v>27</v>
      </c>
      <c r="F254" s="8" t="s">
        <v>28</v>
      </c>
      <c r="G254" s="8">
        <v>2017</v>
      </c>
      <c r="H254" s="8">
        <v>3</v>
      </c>
      <c r="I254" s="10">
        <v>42795</v>
      </c>
      <c r="J254" s="11">
        <v>4865</v>
      </c>
      <c r="K254" s="51"/>
      <c r="O254" s="1" t="s">
        <v>6</v>
      </c>
      <c r="P254" s="1" t="s">
        <v>29</v>
      </c>
      <c r="Q254" s="1" t="s">
        <v>30</v>
      </c>
      <c r="R254" s="1" t="s">
        <v>27</v>
      </c>
      <c r="S254" s="1" t="s">
        <v>28</v>
      </c>
      <c r="T254" s="1">
        <v>2017</v>
      </c>
      <c r="U254" s="1">
        <v>3</v>
      </c>
      <c r="V254" s="50">
        <v>42795</v>
      </c>
      <c r="W254" s="4">
        <v>4183.9000000000005</v>
      </c>
      <c r="X254" s="48">
        <v>4865</v>
      </c>
    </row>
    <row r="255" spans="2:24" x14ac:dyDescent="0.35">
      <c r="B255" s="8" t="s">
        <v>7</v>
      </c>
      <c r="C255" s="8" t="s">
        <v>43</v>
      </c>
      <c r="D255" s="8" t="s">
        <v>10</v>
      </c>
      <c r="E255" s="8" t="s">
        <v>27</v>
      </c>
      <c r="F255" s="8" t="s">
        <v>31</v>
      </c>
      <c r="G255" s="8">
        <v>2017</v>
      </c>
      <c r="H255" s="8">
        <v>3</v>
      </c>
      <c r="I255" s="10">
        <v>42795</v>
      </c>
      <c r="J255" s="11">
        <v>3454</v>
      </c>
      <c r="K255" s="51"/>
      <c r="O255" s="1" t="s">
        <v>7</v>
      </c>
      <c r="P255" s="1" t="s">
        <v>43</v>
      </c>
      <c r="Q255" s="1" t="s">
        <v>10</v>
      </c>
      <c r="R255" s="1" t="s">
        <v>27</v>
      </c>
      <c r="S255" s="1" t="s">
        <v>31</v>
      </c>
      <c r="T255" s="1">
        <v>2017</v>
      </c>
      <c r="U255" s="1">
        <v>3</v>
      </c>
      <c r="V255" s="50">
        <v>42795</v>
      </c>
      <c r="W255" s="4">
        <v>3212.22</v>
      </c>
      <c r="X255" s="48">
        <v>3454</v>
      </c>
    </row>
    <row r="256" spans="2:24" x14ac:dyDescent="0.35">
      <c r="B256" s="8" t="s">
        <v>12</v>
      </c>
      <c r="C256" s="8" t="s">
        <v>44</v>
      </c>
      <c r="D256" s="8" t="s">
        <v>13</v>
      </c>
      <c r="E256" s="8" t="s">
        <v>27</v>
      </c>
      <c r="F256" s="6" t="s">
        <v>33</v>
      </c>
      <c r="G256" s="8">
        <v>2017</v>
      </c>
      <c r="H256" s="8">
        <v>3</v>
      </c>
      <c r="I256" s="10">
        <v>42795</v>
      </c>
      <c r="J256" s="11">
        <v>2932</v>
      </c>
      <c r="K256" s="51"/>
      <c r="O256" s="1" t="s">
        <v>12</v>
      </c>
      <c r="P256" s="1" t="s">
        <v>44</v>
      </c>
      <c r="Q256" s="1" t="s">
        <v>13</v>
      </c>
      <c r="R256" s="1" t="s">
        <v>27</v>
      </c>
      <c r="S256" t="s">
        <v>33</v>
      </c>
      <c r="T256" s="1">
        <v>2017</v>
      </c>
      <c r="U256" s="1">
        <v>3</v>
      </c>
      <c r="V256" s="50">
        <v>42795</v>
      </c>
      <c r="W256" s="4">
        <v>2580.16</v>
      </c>
      <c r="X256" s="48">
        <v>2932</v>
      </c>
    </row>
    <row r="257" spans="2:24" x14ac:dyDescent="0.35">
      <c r="B257" s="8" t="s">
        <v>14</v>
      </c>
      <c r="C257" s="8" t="s">
        <v>46</v>
      </c>
      <c r="D257" s="8" t="s">
        <v>47</v>
      </c>
      <c r="E257" s="8" t="s">
        <v>23</v>
      </c>
      <c r="F257" s="6" t="s">
        <v>36</v>
      </c>
      <c r="G257" s="8">
        <v>2017</v>
      </c>
      <c r="H257" s="8">
        <v>3</v>
      </c>
      <c r="I257" s="10">
        <v>42795</v>
      </c>
      <c r="J257" s="11">
        <v>2357</v>
      </c>
      <c r="K257" s="51"/>
      <c r="O257" s="1" t="s">
        <v>14</v>
      </c>
      <c r="P257" s="1" t="s">
        <v>46</v>
      </c>
      <c r="Q257" s="1" t="s">
        <v>47</v>
      </c>
      <c r="R257" s="1" t="s">
        <v>23</v>
      </c>
      <c r="S257" t="s">
        <v>36</v>
      </c>
      <c r="T257" s="1">
        <v>2017</v>
      </c>
      <c r="U257" s="1">
        <v>3</v>
      </c>
      <c r="V257" s="50">
        <v>42795</v>
      </c>
      <c r="W257" s="4">
        <v>2027.0200000000002</v>
      </c>
      <c r="X257" s="48">
        <v>2357</v>
      </c>
    </row>
    <row r="258" spans="2:24" x14ac:dyDescent="0.35">
      <c r="B258" s="8" t="s">
        <v>6</v>
      </c>
      <c r="C258" s="8" t="s">
        <v>29</v>
      </c>
      <c r="D258" s="8" t="s">
        <v>30</v>
      </c>
      <c r="E258" s="8" t="s">
        <v>23</v>
      </c>
      <c r="F258" s="6" t="s">
        <v>39</v>
      </c>
      <c r="G258" s="8">
        <v>2017</v>
      </c>
      <c r="H258" s="8">
        <v>3</v>
      </c>
      <c r="I258" s="10">
        <v>42795</v>
      </c>
      <c r="J258" s="11">
        <v>1527</v>
      </c>
      <c r="K258" s="51"/>
      <c r="O258" s="1" t="s">
        <v>6</v>
      </c>
      <c r="P258" s="1" t="s">
        <v>29</v>
      </c>
      <c r="Q258" s="1" t="s">
        <v>30</v>
      </c>
      <c r="R258" s="1" t="s">
        <v>23</v>
      </c>
      <c r="S258" t="s">
        <v>39</v>
      </c>
      <c r="T258" s="1">
        <v>2017</v>
      </c>
      <c r="U258" s="1">
        <v>3</v>
      </c>
      <c r="V258" s="50">
        <v>42795</v>
      </c>
      <c r="W258" s="4">
        <v>1328.4900000000002</v>
      </c>
      <c r="X258" s="48">
        <v>1527</v>
      </c>
    </row>
    <row r="259" spans="2:24" x14ac:dyDescent="0.35">
      <c r="B259" s="8" t="s">
        <v>7</v>
      </c>
      <c r="C259" s="8" t="s">
        <v>32</v>
      </c>
      <c r="D259" s="8" t="s">
        <v>8</v>
      </c>
      <c r="E259" s="9" t="s">
        <v>0</v>
      </c>
      <c r="F259" s="9" t="s">
        <v>42</v>
      </c>
      <c r="G259" s="8">
        <v>2017</v>
      </c>
      <c r="H259" s="8">
        <v>3</v>
      </c>
      <c r="I259" s="10">
        <v>42795</v>
      </c>
      <c r="J259" s="11">
        <v>4502</v>
      </c>
      <c r="K259" s="51"/>
      <c r="O259" s="1" t="s">
        <v>7</v>
      </c>
      <c r="P259" s="1" t="s">
        <v>32</v>
      </c>
      <c r="Q259" s="1" t="s">
        <v>8</v>
      </c>
      <c r="R259" s="2" t="s">
        <v>0</v>
      </c>
      <c r="S259" s="2" t="s">
        <v>42</v>
      </c>
      <c r="T259" s="1">
        <v>2017</v>
      </c>
      <c r="U259" s="1">
        <v>3</v>
      </c>
      <c r="V259" s="50">
        <v>42795</v>
      </c>
      <c r="W259" s="4">
        <v>4141.84</v>
      </c>
      <c r="X259" s="48">
        <v>4502</v>
      </c>
    </row>
    <row r="260" spans="2:24" x14ac:dyDescent="0.35">
      <c r="B260" s="8" t="s">
        <v>12</v>
      </c>
      <c r="C260" s="8" t="s">
        <v>44</v>
      </c>
      <c r="D260" s="8" t="s">
        <v>13</v>
      </c>
      <c r="E260" s="8" t="s">
        <v>0</v>
      </c>
      <c r="F260" s="9" t="s">
        <v>26</v>
      </c>
      <c r="G260" s="8">
        <v>2017</v>
      </c>
      <c r="H260" s="8">
        <v>3</v>
      </c>
      <c r="I260" s="10">
        <v>42795</v>
      </c>
      <c r="J260" s="11">
        <v>4875</v>
      </c>
      <c r="K260" s="51"/>
      <c r="O260" s="1" t="s">
        <v>12</v>
      </c>
      <c r="P260" s="1" t="s">
        <v>44</v>
      </c>
      <c r="Q260" s="1" t="s">
        <v>13</v>
      </c>
      <c r="R260" s="1" t="s">
        <v>0</v>
      </c>
      <c r="S260" s="2" t="s">
        <v>26</v>
      </c>
      <c r="T260" s="1">
        <v>2017</v>
      </c>
      <c r="U260" s="1">
        <v>3</v>
      </c>
      <c r="V260" s="50">
        <v>42795</v>
      </c>
      <c r="W260" s="4">
        <v>4289.9999999999991</v>
      </c>
      <c r="X260" s="48">
        <v>4875</v>
      </c>
    </row>
    <row r="261" spans="2:24" x14ac:dyDescent="0.35">
      <c r="B261" s="8" t="s">
        <v>14</v>
      </c>
      <c r="C261" s="8" t="s">
        <v>37</v>
      </c>
      <c r="D261" s="8" t="s">
        <v>38</v>
      </c>
      <c r="E261" s="8" t="s">
        <v>0</v>
      </c>
      <c r="F261" s="6" t="s">
        <v>45</v>
      </c>
      <c r="G261" s="8">
        <v>2017</v>
      </c>
      <c r="H261" s="8">
        <v>3</v>
      </c>
      <c r="I261" s="10">
        <v>42795</v>
      </c>
      <c r="J261" s="11">
        <v>2185</v>
      </c>
      <c r="K261" s="51"/>
      <c r="O261" s="1" t="s">
        <v>14</v>
      </c>
      <c r="P261" s="1" t="s">
        <v>37</v>
      </c>
      <c r="Q261" s="1" t="s">
        <v>38</v>
      </c>
      <c r="R261" s="1" t="s">
        <v>0</v>
      </c>
      <c r="S261" t="s">
        <v>45</v>
      </c>
      <c r="T261" s="1">
        <v>2017</v>
      </c>
      <c r="U261" s="1">
        <v>3</v>
      </c>
      <c r="V261" s="50">
        <v>42795</v>
      </c>
      <c r="W261" s="4">
        <v>1944.6499999999999</v>
      </c>
      <c r="X261" s="48">
        <v>2185</v>
      </c>
    </row>
    <row r="262" spans="2:24" x14ac:dyDescent="0.35">
      <c r="B262" s="8" t="s">
        <v>3</v>
      </c>
      <c r="C262" s="8" t="s">
        <v>25</v>
      </c>
      <c r="D262" s="8" t="s">
        <v>4</v>
      </c>
      <c r="E262" s="8" t="s">
        <v>27</v>
      </c>
      <c r="F262" s="8" t="s">
        <v>28</v>
      </c>
      <c r="G262" s="8">
        <v>2017</v>
      </c>
      <c r="H262" s="8">
        <v>3</v>
      </c>
      <c r="I262" s="10">
        <v>42795</v>
      </c>
      <c r="J262" s="11">
        <v>5003</v>
      </c>
      <c r="K262" s="51"/>
      <c r="O262" s="1" t="s">
        <v>3</v>
      </c>
      <c r="P262" s="1" t="s">
        <v>25</v>
      </c>
      <c r="Q262" s="1" t="s">
        <v>4</v>
      </c>
      <c r="R262" s="1" t="s">
        <v>27</v>
      </c>
      <c r="S262" s="1" t="s">
        <v>28</v>
      </c>
      <c r="T262" s="1">
        <v>2017</v>
      </c>
      <c r="U262" s="1">
        <v>3</v>
      </c>
      <c r="V262" s="50">
        <v>42795</v>
      </c>
      <c r="W262" s="4">
        <v>4252.55</v>
      </c>
      <c r="X262" s="48">
        <v>5003</v>
      </c>
    </row>
    <row r="263" spans="2:24" x14ac:dyDescent="0.35">
      <c r="B263" s="8" t="s">
        <v>3</v>
      </c>
      <c r="C263" s="8" t="s">
        <v>25</v>
      </c>
      <c r="D263" s="8" t="s">
        <v>4</v>
      </c>
      <c r="E263" s="8" t="s">
        <v>27</v>
      </c>
      <c r="F263" s="8" t="s">
        <v>31</v>
      </c>
      <c r="G263" s="8">
        <v>2017</v>
      </c>
      <c r="H263" s="8">
        <v>3</v>
      </c>
      <c r="I263" s="10">
        <v>42795</v>
      </c>
      <c r="J263" s="11">
        <v>5264</v>
      </c>
      <c r="K263" s="51"/>
      <c r="O263" s="1" t="s">
        <v>3</v>
      </c>
      <c r="P263" s="1" t="s">
        <v>25</v>
      </c>
      <c r="Q263" s="1" t="s">
        <v>4</v>
      </c>
      <c r="R263" s="1" t="s">
        <v>27</v>
      </c>
      <c r="S263" s="1" t="s">
        <v>31</v>
      </c>
      <c r="T263" s="1">
        <v>2017</v>
      </c>
      <c r="U263" s="1">
        <v>3</v>
      </c>
      <c r="V263" s="50">
        <v>42795</v>
      </c>
      <c r="W263" s="4">
        <v>4527.0400000000009</v>
      </c>
      <c r="X263" s="48">
        <v>5264</v>
      </c>
    </row>
    <row r="264" spans="2:24" x14ac:dyDescent="0.35">
      <c r="B264" s="8" t="s">
        <v>6</v>
      </c>
      <c r="C264" s="8" t="s">
        <v>40</v>
      </c>
      <c r="D264" s="8" t="s">
        <v>41</v>
      </c>
      <c r="E264" s="8" t="s">
        <v>27</v>
      </c>
      <c r="F264" s="8" t="s">
        <v>33</v>
      </c>
      <c r="G264" s="8">
        <v>2017</v>
      </c>
      <c r="H264" s="8">
        <v>3</v>
      </c>
      <c r="I264" s="10">
        <v>42795</v>
      </c>
      <c r="J264" s="11">
        <v>3596</v>
      </c>
      <c r="K264" s="51"/>
      <c r="O264" s="1" t="s">
        <v>6</v>
      </c>
      <c r="P264" s="1" t="s">
        <v>40</v>
      </c>
      <c r="Q264" s="1" t="s">
        <v>41</v>
      </c>
      <c r="R264" s="1" t="s">
        <v>27</v>
      </c>
      <c r="S264" s="1" t="s">
        <v>33</v>
      </c>
      <c r="T264" s="1">
        <v>2017</v>
      </c>
      <c r="U264" s="1">
        <v>3</v>
      </c>
      <c r="V264" s="50">
        <v>42795</v>
      </c>
      <c r="W264" s="4">
        <v>3272.3599999999997</v>
      </c>
      <c r="X264" s="48">
        <v>3596</v>
      </c>
    </row>
    <row r="265" spans="2:24" x14ac:dyDescent="0.35">
      <c r="B265" s="8" t="s">
        <v>6</v>
      </c>
      <c r="C265" s="8" t="s">
        <v>40</v>
      </c>
      <c r="D265" s="8" t="s">
        <v>41</v>
      </c>
      <c r="E265" s="8" t="s">
        <v>23</v>
      </c>
      <c r="F265" s="6" t="s">
        <v>36</v>
      </c>
      <c r="G265" s="8">
        <v>2017</v>
      </c>
      <c r="H265" s="8">
        <v>3</v>
      </c>
      <c r="I265" s="10">
        <v>42795</v>
      </c>
      <c r="J265" s="11">
        <v>1897</v>
      </c>
      <c r="K265" s="51"/>
      <c r="O265" s="1" t="s">
        <v>6</v>
      </c>
      <c r="P265" s="1" t="s">
        <v>40</v>
      </c>
      <c r="Q265" s="1" t="s">
        <v>41</v>
      </c>
      <c r="R265" s="1" t="s">
        <v>23</v>
      </c>
      <c r="S265" t="s">
        <v>36</v>
      </c>
      <c r="T265" s="1">
        <v>2017</v>
      </c>
      <c r="U265" s="1">
        <v>3</v>
      </c>
      <c r="V265" s="50">
        <v>42795</v>
      </c>
      <c r="W265" s="4">
        <v>1783.1799999999998</v>
      </c>
      <c r="X265" s="48">
        <v>1897</v>
      </c>
    </row>
    <row r="266" spans="2:24" x14ac:dyDescent="0.35">
      <c r="B266" s="8" t="s">
        <v>7</v>
      </c>
      <c r="C266" s="8" t="s">
        <v>43</v>
      </c>
      <c r="D266" s="8" t="s">
        <v>10</v>
      </c>
      <c r="E266" s="8" t="s">
        <v>23</v>
      </c>
      <c r="F266" s="6" t="s">
        <v>24</v>
      </c>
      <c r="G266" s="8">
        <v>2017</v>
      </c>
      <c r="H266" s="8">
        <v>3</v>
      </c>
      <c r="I266" s="10">
        <v>42795</v>
      </c>
      <c r="J266" s="11">
        <v>2249</v>
      </c>
      <c r="K266" s="51"/>
      <c r="O266" s="1" t="s">
        <v>7</v>
      </c>
      <c r="P266" s="1" t="s">
        <v>43</v>
      </c>
      <c r="Q266" s="1" t="s">
        <v>10</v>
      </c>
      <c r="R266" s="1" t="s">
        <v>23</v>
      </c>
      <c r="S266" t="s">
        <v>24</v>
      </c>
      <c r="T266" s="1">
        <v>2017</v>
      </c>
      <c r="U266" s="1">
        <v>3</v>
      </c>
      <c r="V266" s="50">
        <v>42795</v>
      </c>
      <c r="W266" s="4">
        <v>2091.5699999999997</v>
      </c>
      <c r="X266" s="48">
        <v>2249</v>
      </c>
    </row>
    <row r="267" spans="2:24" x14ac:dyDescent="0.35">
      <c r="B267" s="8" t="s">
        <v>7</v>
      </c>
      <c r="C267" s="8" t="s">
        <v>43</v>
      </c>
      <c r="D267" s="8" t="s">
        <v>10</v>
      </c>
      <c r="E267" s="8" t="s">
        <v>23</v>
      </c>
      <c r="F267" s="6" t="s">
        <v>39</v>
      </c>
      <c r="G267" s="8">
        <v>2017</v>
      </c>
      <c r="H267" s="8">
        <v>3</v>
      </c>
      <c r="I267" s="10">
        <v>42795</v>
      </c>
      <c r="J267" s="11">
        <v>2820</v>
      </c>
      <c r="K267" s="51"/>
      <c r="O267" s="1" t="s">
        <v>7</v>
      </c>
      <c r="P267" s="1" t="s">
        <v>43</v>
      </c>
      <c r="Q267" s="1" t="s">
        <v>10</v>
      </c>
      <c r="R267" s="1" t="s">
        <v>23</v>
      </c>
      <c r="S267" t="s">
        <v>39</v>
      </c>
      <c r="T267" s="1">
        <v>2017</v>
      </c>
      <c r="U267" s="1">
        <v>3</v>
      </c>
      <c r="V267" s="50">
        <v>42795</v>
      </c>
      <c r="W267" s="4">
        <v>2650.7999999999997</v>
      </c>
      <c r="X267" s="48">
        <v>2820</v>
      </c>
    </row>
    <row r="268" spans="2:24" x14ac:dyDescent="0.35">
      <c r="B268" s="8" t="s">
        <v>7</v>
      </c>
      <c r="C268" s="8" t="s">
        <v>32</v>
      </c>
      <c r="D268" s="8" t="s">
        <v>8</v>
      </c>
      <c r="E268" s="9" t="s">
        <v>0</v>
      </c>
      <c r="F268" s="9" t="s">
        <v>26</v>
      </c>
      <c r="G268" s="8">
        <v>2017</v>
      </c>
      <c r="H268" s="8">
        <v>3</v>
      </c>
      <c r="I268" s="10">
        <v>42795</v>
      </c>
      <c r="J268" s="11">
        <v>5047</v>
      </c>
      <c r="K268" s="51"/>
      <c r="O268" s="1" t="s">
        <v>7</v>
      </c>
      <c r="P268" s="1" t="s">
        <v>32</v>
      </c>
      <c r="Q268" s="1" t="s">
        <v>8</v>
      </c>
      <c r="R268" s="2" t="s">
        <v>0</v>
      </c>
      <c r="S268" s="2" t="s">
        <v>26</v>
      </c>
      <c r="T268" s="1">
        <v>2017</v>
      </c>
      <c r="U268" s="1">
        <v>3</v>
      </c>
      <c r="V268" s="50">
        <v>42795</v>
      </c>
      <c r="W268" s="4">
        <v>4491.83</v>
      </c>
      <c r="X268" s="48">
        <v>5047</v>
      </c>
    </row>
    <row r="269" spans="2:24" x14ac:dyDescent="0.35">
      <c r="B269" s="8" t="s">
        <v>3</v>
      </c>
      <c r="C269" s="8" t="s">
        <v>22</v>
      </c>
      <c r="D269" s="8" t="s">
        <v>5</v>
      </c>
      <c r="E269" s="8" t="s">
        <v>0</v>
      </c>
      <c r="F269" s="9" t="s">
        <v>45</v>
      </c>
      <c r="G269" s="8">
        <v>2017</v>
      </c>
      <c r="H269" s="8">
        <v>3</v>
      </c>
      <c r="I269" s="10">
        <v>42795</v>
      </c>
      <c r="J269" s="11">
        <v>3583</v>
      </c>
      <c r="K269" s="51"/>
      <c r="O269" s="1" t="s">
        <v>3</v>
      </c>
      <c r="P269" s="1" t="s">
        <v>22</v>
      </c>
      <c r="Q269" s="1" t="s">
        <v>5</v>
      </c>
      <c r="R269" s="1" t="s">
        <v>0</v>
      </c>
      <c r="S269" s="2" t="s">
        <v>45</v>
      </c>
      <c r="T269" s="1">
        <v>2017</v>
      </c>
      <c r="U269" s="1">
        <v>3</v>
      </c>
      <c r="V269" s="50">
        <v>42795</v>
      </c>
      <c r="W269" s="4">
        <v>3117.2100000000005</v>
      </c>
      <c r="X269" s="48">
        <v>3583</v>
      </c>
    </row>
    <row r="270" spans="2:24" x14ac:dyDescent="0.35">
      <c r="B270" s="8" t="s">
        <v>7</v>
      </c>
      <c r="C270" s="8" t="s">
        <v>48</v>
      </c>
      <c r="D270" s="8" t="s">
        <v>9</v>
      </c>
      <c r="E270" s="8" t="s">
        <v>23</v>
      </c>
      <c r="F270" s="6" t="s">
        <v>36</v>
      </c>
      <c r="G270" s="8">
        <v>2017</v>
      </c>
      <c r="H270" s="8">
        <v>3</v>
      </c>
      <c r="I270" s="10">
        <v>42795</v>
      </c>
      <c r="J270" s="11">
        <v>2714</v>
      </c>
      <c r="K270" s="51"/>
      <c r="O270" s="1" t="s">
        <v>7</v>
      </c>
      <c r="P270" s="1" t="s">
        <v>48</v>
      </c>
      <c r="Q270" s="1" t="s">
        <v>9</v>
      </c>
      <c r="R270" s="1" t="s">
        <v>23</v>
      </c>
      <c r="S270" t="s">
        <v>36</v>
      </c>
      <c r="T270" s="1">
        <v>2017</v>
      </c>
      <c r="U270" s="1">
        <v>3</v>
      </c>
      <c r="V270" s="50">
        <v>42795</v>
      </c>
      <c r="W270" s="4">
        <v>2334.0400000000004</v>
      </c>
      <c r="X270" s="48">
        <v>2714</v>
      </c>
    </row>
    <row r="271" spans="2:24" x14ac:dyDescent="0.35">
      <c r="B271" s="8" t="s">
        <v>7</v>
      </c>
      <c r="C271" s="8" t="s">
        <v>48</v>
      </c>
      <c r="D271" s="8" t="s">
        <v>9</v>
      </c>
      <c r="E271" s="8" t="s">
        <v>23</v>
      </c>
      <c r="F271" s="8" t="s">
        <v>24</v>
      </c>
      <c r="G271" s="8">
        <v>2017</v>
      </c>
      <c r="H271" s="8">
        <v>3</v>
      </c>
      <c r="I271" s="10">
        <v>42795</v>
      </c>
      <c r="J271" s="11">
        <v>2541</v>
      </c>
      <c r="K271" s="51"/>
      <c r="O271" s="1" t="s">
        <v>7</v>
      </c>
      <c r="P271" s="1" t="s">
        <v>48</v>
      </c>
      <c r="Q271" s="1" t="s">
        <v>9</v>
      </c>
      <c r="R271" s="1" t="s">
        <v>23</v>
      </c>
      <c r="S271" s="1" t="s">
        <v>24</v>
      </c>
      <c r="T271" s="1">
        <v>2017</v>
      </c>
      <c r="U271" s="1">
        <v>3</v>
      </c>
      <c r="V271" s="50">
        <v>42795</v>
      </c>
      <c r="W271" s="4">
        <v>2363.1299999999997</v>
      </c>
      <c r="X271" s="48">
        <v>2541</v>
      </c>
    </row>
    <row r="272" spans="2:24" x14ac:dyDescent="0.35">
      <c r="B272" s="8" t="s">
        <v>7</v>
      </c>
      <c r="C272" s="8" t="s">
        <v>49</v>
      </c>
      <c r="D272" s="8" t="s">
        <v>11</v>
      </c>
      <c r="E272" s="8" t="s">
        <v>23</v>
      </c>
      <c r="F272" s="8" t="s">
        <v>39</v>
      </c>
      <c r="G272" s="8">
        <v>2017</v>
      </c>
      <c r="H272" s="8">
        <v>3</v>
      </c>
      <c r="I272" s="10">
        <v>42795</v>
      </c>
      <c r="J272" s="11">
        <v>2195</v>
      </c>
      <c r="K272" s="51"/>
      <c r="O272" s="1" t="s">
        <v>7</v>
      </c>
      <c r="P272" s="1" t="s">
        <v>49</v>
      </c>
      <c r="Q272" s="1" t="s">
        <v>11</v>
      </c>
      <c r="R272" s="1" t="s">
        <v>23</v>
      </c>
      <c r="S272" s="1" t="s">
        <v>39</v>
      </c>
      <c r="T272" s="1">
        <v>2017</v>
      </c>
      <c r="U272" s="1">
        <v>3</v>
      </c>
      <c r="V272" s="50">
        <v>42795</v>
      </c>
      <c r="W272" s="4">
        <v>2019.3999999999999</v>
      </c>
      <c r="X272" s="48">
        <v>2195</v>
      </c>
    </row>
    <row r="273" spans="2:24" x14ac:dyDescent="0.35">
      <c r="B273" s="8" t="s">
        <v>7</v>
      </c>
      <c r="C273" s="8" t="s">
        <v>49</v>
      </c>
      <c r="D273" s="8" t="s">
        <v>11</v>
      </c>
      <c r="E273" s="8" t="s">
        <v>0</v>
      </c>
      <c r="F273" s="8" t="s">
        <v>42</v>
      </c>
      <c r="G273" s="8">
        <v>2017</v>
      </c>
      <c r="H273" s="8">
        <v>3</v>
      </c>
      <c r="I273" s="10">
        <v>42795</v>
      </c>
      <c r="J273" s="11">
        <v>4258</v>
      </c>
      <c r="K273" s="51"/>
      <c r="O273" s="1" t="s">
        <v>7</v>
      </c>
      <c r="P273" s="1" t="s">
        <v>49</v>
      </c>
      <c r="Q273" s="1" t="s">
        <v>11</v>
      </c>
      <c r="R273" s="1" t="s">
        <v>0</v>
      </c>
      <c r="S273" s="1" t="s">
        <v>42</v>
      </c>
      <c r="T273" s="1">
        <v>2017</v>
      </c>
      <c r="U273" s="1">
        <v>3</v>
      </c>
      <c r="V273" s="50">
        <v>42795</v>
      </c>
      <c r="W273" s="4">
        <v>3832.2</v>
      </c>
      <c r="X273" s="48">
        <v>4258</v>
      </c>
    </row>
    <row r="274" spans="2:24" x14ac:dyDescent="0.35">
      <c r="B274" s="8" t="s">
        <v>12</v>
      </c>
      <c r="C274" s="8" t="s">
        <v>34</v>
      </c>
      <c r="D274" s="8" t="s">
        <v>35</v>
      </c>
      <c r="E274" s="8" t="s">
        <v>0</v>
      </c>
      <c r="F274" s="6" t="s">
        <v>26</v>
      </c>
      <c r="G274" s="8">
        <v>2017</v>
      </c>
      <c r="H274" s="8">
        <v>3</v>
      </c>
      <c r="I274" s="10">
        <v>42795</v>
      </c>
      <c r="J274" s="11">
        <v>3882</v>
      </c>
      <c r="K274" s="51"/>
      <c r="O274" s="1" t="s">
        <v>12</v>
      </c>
      <c r="P274" s="1" t="s">
        <v>34</v>
      </c>
      <c r="Q274" s="1" t="s">
        <v>35</v>
      </c>
      <c r="R274" s="1" t="s">
        <v>0</v>
      </c>
      <c r="S274" t="s">
        <v>26</v>
      </c>
      <c r="T274" s="1">
        <v>2017</v>
      </c>
      <c r="U274" s="1">
        <v>3</v>
      </c>
      <c r="V274" s="50">
        <v>42795</v>
      </c>
      <c r="W274" s="4">
        <v>3610.2599999999998</v>
      </c>
      <c r="X274" s="48">
        <v>3882</v>
      </c>
    </row>
    <row r="275" spans="2:24" x14ac:dyDescent="0.35">
      <c r="B275" s="8" t="s">
        <v>12</v>
      </c>
      <c r="C275" s="8" t="s">
        <v>34</v>
      </c>
      <c r="D275" s="8" t="s">
        <v>35</v>
      </c>
      <c r="E275" s="8" t="s">
        <v>0</v>
      </c>
      <c r="F275" s="6" t="s">
        <v>45</v>
      </c>
      <c r="G275" s="8">
        <v>2017</v>
      </c>
      <c r="H275" s="8">
        <v>3</v>
      </c>
      <c r="I275" s="10">
        <v>42795</v>
      </c>
      <c r="J275" s="11">
        <v>2453</v>
      </c>
      <c r="K275" s="51"/>
      <c r="O275" s="1" t="s">
        <v>12</v>
      </c>
      <c r="P275" s="1" t="s">
        <v>34</v>
      </c>
      <c r="Q275" s="1" t="s">
        <v>35</v>
      </c>
      <c r="R275" s="1" t="s">
        <v>0</v>
      </c>
      <c r="S275" t="s">
        <v>45</v>
      </c>
      <c r="T275" s="1">
        <v>2017</v>
      </c>
      <c r="U275" s="1">
        <v>3</v>
      </c>
      <c r="V275" s="50">
        <v>42795</v>
      </c>
      <c r="W275" s="4">
        <v>2109.5800000000004</v>
      </c>
      <c r="X275" s="48">
        <v>2453</v>
      </c>
    </row>
    <row r="276" spans="2:24" x14ac:dyDescent="0.35">
      <c r="B276" s="8" t="s">
        <v>14</v>
      </c>
      <c r="C276" s="8" t="s">
        <v>37</v>
      </c>
      <c r="D276" s="8" t="s">
        <v>38</v>
      </c>
      <c r="E276" s="8" t="s">
        <v>27</v>
      </c>
      <c r="F276" s="6" t="s">
        <v>28</v>
      </c>
      <c r="G276" s="8">
        <v>2017</v>
      </c>
      <c r="H276" s="8">
        <v>3</v>
      </c>
      <c r="I276" s="10">
        <v>42795</v>
      </c>
      <c r="J276" s="11">
        <v>4902</v>
      </c>
      <c r="K276" s="51"/>
      <c r="O276" s="1" t="s">
        <v>14</v>
      </c>
      <c r="P276" s="1" t="s">
        <v>37</v>
      </c>
      <c r="Q276" s="1" t="s">
        <v>38</v>
      </c>
      <c r="R276" s="1" t="s">
        <v>27</v>
      </c>
      <c r="S276" t="s">
        <v>28</v>
      </c>
      <c r="T276" s="1">
        <v>2017</v>
      </c>
      <c r="U276" s="1">
        <v>3</v>
      </c>
      <c r="V276" s="50">
        <v>42795</v>
      </c>
      <c r="W276" s="4">
        <v>4411.7999999999993</v>
      </c>
      <c r="X276" s="48">
        <v>4902</v>
      </c>
    </row>
    <row r="277" spans="2:24" x14ac:dyDescent="0.35">
      <c r="B277" s="8" t="s">
        <v>14</v>
      </c>
      <c r="C277" s="8" t="s">
        <v>37</v>
      </c>
      <c r="D277" s="8" t="s">
        <v>38</v>
      </c>
      <c r="E277" s="9" t="s">
        <v>27</v>
      </c>
      <c r="F277" s="9" t="s">
        <v>31</v>
      </c>
      <c r="G277" s="8">
        <v>2017</v>
      </c>
      <c r="H277" s="8">
        <v>3</v>
      </c>
      <c r="I277" s="10">
        <v>42795</v>
      </c>
      <c r="J277" s="11">
        <v>3807</v>
      </c>
      <c r="K277" s="51"/>
      <c r="O277" s="1" t="s">
        <v>14</v>
      </c>
      <c r="P277" s="1" t="s">
        <v>37</v>
      </c>
      <c r="Q277" s="1" t="s">
        <v>38</v>
      </c>
      <c r="R277" s="2" t="s">
        <v>27</v>
      </c>
      <c r="S277" s="2" t="s">
        <v>31</v>
      </c>
      <c r="T277" s="1">
        <v>2017</v>
      </c>
      <c r="U277" s="1">
        <v>3</v>
      </c>
      <c r="V277" s="50">
        <v>42795</v>
      </c>
      <c r="W277" s="4">
        <v>3464.37</v>
      </c>
      <c r="X277" s="48">
        <v>3807</v>
      </c>
    </row>
    <row r="278" spans="2:24" x14ac:dyDescent="0.35">
      <c r="B278" s="8" t="s">
        <v>12</v>
      </c>
      <c r="C278" s="8" t="s">
        <v>44</v>
      </c>
      <c r="D278" s="8" t="s">
        <v>13</v>
      </c>
      <c r="E278" s="8" t="s">
        <v>23</v>
      </c>
      <c r="F278" s="9" t="s">
        <v>36</v>
      </c>
      <c r="G278" s="8">
        <v>2017</v>
      </c>
      <c r="H278" s="8">
        <v>3</v>
      </c>
      <c r="I278" s="10">
        <v>42795</v>
      </c>
      <c r="J278" s="11">
        <v>2185</v>
      </c>
      <c r="K278" s="51"/>
      <c r="O278" s="1" t="s">
        <v>12</v>
      </c>
      <c r="P278" s="1" t="s">
        <v>44</v>
      </c>
      <c r="Q278" s="1" t="s">
        <v>13</v>
      </c>
      <c r="R278" s="1" t="s">
        <v>23</v>
      </c>
      <c r="S278" s="2" t="s">
        <v>36</v>
      </c>
      <c r="T278" s="1">
        <v>2017</v>
      </c>
      <c r="U278" s="1">
        <v>3</v>
      </c>
      <c r="V278" s="50">
        <v>42795</v>
      </c>
      <c r="W278" s="4">
        <v>1879.1000000000001</v>
      </c>
      <c r="X278" s="48">
        <v>2185</v>
      </c>
    </row>
    <row r="279" spans="2:24" x14ac:dyDescent="0.35">
      <c r="B279" s="8" t="s">
        <v>14</v>
      </c>
      <c r="C279" s="8" t="s">
        <v>46</v>
      </c>
      <c r="D279" s="8" t="s">
        <v>47</v>
      </c>
      <c r="E279" s="8" t="s">
        <v>23</v>
      </c>
      <c r="F279" s="6" t="s">
        <v>24</v>
      </c>
      <c r="G279" s="8">
        <v>2017</v>
      </c>
      <c r="H279" s="8">
        <v>3</v>
      </c>
      <c r="I279" s="10">
        <v>42795</v>
      </c>
      <c r="J279" s="11">
        <v>3242</v>
      </c>
      <c r="K279" s="51"/>
      <c r="O279" s="1" t="s">
        <v>14</v>
      </c>
      <c r="P279" s="1" t="s">
        <v>46</v>
      </c>
      <c r="Q279" s="1" t="s">
        <v>47</v>
      </c>
      <c r="R279" s="1" t="s">
        <v>23</v>
      </c>
      <c r="S279" t="s">
        <v>24</v>
      </c>
      <c r="T279" s="1">
        <v>2017</v>
      </c>
      <c r="U279" s="1">
        <v>3</v>
      </c>
      <c r="V279" s="50">
        <v>42795</v>
      </c>
      <c r="W279" s="4">
        <v>2788.1200000000003</v>
      </c>
      <c r="X279" s="48">
        <v>3242</v>
      </c>
    </row>
    <row r="280" spans="2:24" x14ac:dyDescent="0.35">
      <c r="B280" s="8" t="s">
        <v>14</v>
      </c>
      <c r="C280" s="8" t="s">
        <v>46</v>
      </c>
      <c r="D280" s="8" t="s">
        <v>47</v>
      </c>
      <c r="E280" s="8" t="s">
        <v>23</v>
      </c>
      <c r="F280" s="8" t="s">
        <v>39</v>
      </c>
      <c r="G280" s="8">
        <v>2017</v>
      </c>
      <c r="H280" s="8">
        <v>3</v>
      </c>
      <c r="I280" s="10">
        <v>42795</v>
      </c>
      <c r="J280" s="11">
        <v>1909</v>
      </c>
      <c r="K280" s="51"/>
      <c r="O280" s="1" t="s">
        <v>14</v>
      </c>
      <c r="P280" s="1" t="s">
        <v>46</v>
      </c>
      <c r="Q280" s="1" t="s">
        <v>47</v>
      </c>
      <c r="R280" s="1" t="s">
        <v>23</v>
      </c>
      <c r="S280" s="1" t="s">
        <v>39</v>
      </c>
      <c r="T280" s="1">
        <v>2017</v>
      </c>
      <c r="U280" s="1">
        <v>3</v>
      </c>
      <c r="V280" s="50">
        <v>42795</v>
      </c>
      <c r="W280" s="4">
        <v>1699.0099999999998</v>
      </c>
      <c r="X280" s="48">
        <v>1909</v>
      </c>
    </row>
    <row r="281" spans="2:24" x14ac:dyDescent="0.35">
      <c r="B281" s="8" t="s">
        <v>7</v>
      </c>
      <c r="C281" s="8" t="s">
        <v>43</v>
      </c>
      <c r="D281" s="8" t="s">
        <v>10</v>
      </c>
      <c r="E281" s="8" t="s">
        <v>0</v>
      </c>
      <c r="F281" s="8" t="s">
        <v>42</v>
      </c>
      <c r="G281" s="8">
        <v>2017</v>
      </c>
      <c r="H281" s="8">
        <v>3</v>
      </c>
      <c r="I281" s="10">
        <v>42795</v>
      </c>
      <c r="J281" s="11">
        <v>4461</v>
      </c>
      <c r="K281" s="51"/>
      <c r="O281" s="1" t="s">
        <v>7</v>
      </c>
      <c r="P281" s="1" t="s">
        <v>43</v>
      </c>
      <c r="Q281" s="1" t="s">
        <v>10</v>
      </c>
      <c r="R281" s="1" t="s">
        <v>0</v>
      </c>
      <c r="S281" s="1" t="s">
        <v>42</v>
      </c>
      <c r="T281" s="1">
        <v>2017</v>
      </c>
      <c r="U281" s="1">
        <v>3</v>
      </c>
      <c r="V281" s="50">
        <v>42795</v>
      </c>
      <c r="W281" s="4">
        <v>4193.34</v>
      </c>
      <c r="X281" s="48">
        <v>4461</v>
      </c>
    </row>
    <row r="282" spans="2:24" x14ac:dyDescent="0.35">
      <c r="B282" s="8" t="s">
        <v>6</v>
      </c>
      <c r="C282" s="8" t="s">
        <v>40</v>
      </c>
      <c r="D282" s="8" t="s">
        <v>41</v>
      </c>
      <c r="E282" s="8" t="s">
        <v>27</v>
      </c>
      <c r="F282" s="8" t="s">
        <v>31</v>
      </c>
      <c r="G282" s="8">
        <v>2017</v>
      </c>
      <c r="H282" s="8">
        <v>3</v>
      </c>
      <c r="I282" s="10">
        <v>42795</v>
      </c>
      <c r="J282" s="11">
        <v>3749</v>
      </c>
      <c r="K282" s="51"/>
      <c r="O282" s="1" t="s">
        <v>6</v>
      </c>
      <c r="P282" s="1" t="s">
        <v>40</v>
      </c>
      <c r="Q282" s="1" t="s">
        <v>41</v>
      </c>
      <c r="R282" s="1" t="s">
        <v>27</v>
      </c>
      <c r="S282" s="1" t="s">
        <v>31</v>
      </c>
      <c r="T282" s="1">
        <v>2017</v>
      </c>
      <c r="U282" s="1">
        <v>3</v>
      </c>
      <c r="V282" s="50">
        <v>42795</v>
      </c>
      <c r="W282" s="4">
        <v>3186.6500000000005</v>
      </c>
      <c r="X282" s="48">
        <v>3749</v>
      </c>
    </row>
    <row r="283" spans="2:24" x14ac:dyDescent="0.35">
      <c r="B283" s="8" t="s">
        <v>3</v>
      </c>
      <c r="C283" s="8" t="s">
        <v>22</v>
      </c>
      <c r="D283" s="8" t="s">
        <v>5</v>
      </c>
      <c r="E283" s="8" t="s">
        <v>23</v>
      </c>
      <c r="F283" s="6" t="s">
        <v>39</v>
      </c>
      <c r="G283" s="8">
        <v>2017</v>
      </c>
      <c r="H283" s="8">
        <v>3</v>
      </c>
      <c r="I283" s="10">
        <v>42795</v>
      </c>
      <c r="J283" s="11">
        <v>2829</v>
      </c>
      <c r="K283" s="51"/>
      <c r="O283" s="1" t="s">
        <v>3</v>
      </c>
      <c r="P283" s="1" t="s">
        <v>22</v>
      </c>
      <c r="Q283" s="1" t="s">
        <v>5</v>
      </c>
      <c r="R283" s="1" t="s">
        <v>23</v>
      </c>
      <c r="S283" t="s">
        <v>39</v>
      </c>
      <c r="T283" s="1">
        <v>2017</v>
      </c>
      <c r="U283" s="1">
        <v>3</v>
      </c>
      <c r="V283" s="50">
        <v>42795</v>
      </c>
      <c r="W283" s="4">
        <v>2461.2300000000005</v>
      </c>
      <c r="X283" s="48">
        <v>2829</v>
      </c>
    </row>
    <row r="284" spans="2:24" x14ac:dyDescent="0.35">
      <c r="B284" s="8" t="s">
        <v>3</v>
      </c>
      <c r="C284" s="8" t="s">
        <v>22</v>
      </c>
      <c r="D284" s="8" t="s">
        <v>5</v>
      </c>
      <c r="E284" s="8" t="s">
        <v>0</v>
      </c>
      <c r="F284" s="6" t="s">
        <v>42</v>
      </c>
      <c r="G284" s="8">
        <v>2017</v>
      </c>
      <c r="H284" s="8">
        <v>3</v>
      </c>
      <c r="I284" s="10">
        <v>42795</v>
      </c>
      <c r="J284" s="11">
        <v>5973</v>
      </c>
      <c r="K284" s="51"/>
      <c r="O284" s="1" t="s">
        <v>3</v>
      </c>
      <c r="P284" s="1" t="s">
        <v>22</v>
      </c>
      <c r="Q284" s="1" t="s">
        <v>5</v>
      </c>
      <c r="R284" s="1" t="s">
        <v>0</v>
      </c>
      <c r="S284" t="s">
        <v>42</v>
      </c>
      <c r="T284" s="1">
        <v>2017</v>
      </c>
      <c r="U284" s="1">
        <v>3</v>
      </c>
      <c r="V284" s="50">
        <v>42795</v>
      </c>
      <c r="W284" s="4">
        <v>5614.62</v>
      </c>
      <c r="X284" s="48">
        <v>5973</v>
      </c>
    </row>
    <row r="285" spans="2:24" x14ac:dyDescent="0.35">
      <c r="B285" s="8" t="s">
        <v>6</v>
      </c>
      <c r="C285" s="8" t="s">
        <v>29</v>
      </c>
      <c r="D285" s="8" t="s">
        <v>30</v>
      </c>
      <c r="E285" s="8" t="s">
        <v>0</v>
      </c>
      <c r="F285" s="6" t="s">
        <v>26</v>
      </c>
      <c r="G285" s="8">
        <v>2017</v>
      </c>
      <c r="H285" s="8">
        <v>3</v>
      </c>
      <c r="I285" s="10">
        <v>42795</v>
      </c>
      <c r="J285" s="11">
        <v>2717</v>
      </c>
      <c r="K285" s="51"/>
      <c r="O285" s="1" t="s">
        <v>6</v>
      </c>
      <c r="P285" s="1" t="s">
        <v>29</v>
      </c>
      <c r="Q285" s="1" t="s">
        <v>30</v>
      </c>
      <c r="R285" s="1" t="s">
        <v>0</v>
      </c>
      <c r="S285" t="s">
        <v>26</v>
      </c>
      <c r="T285" s="1">
        <v>2017</v>
      </c>
      <c r="U285" s="1">
        <v>3</v>
      </c>
      <c r="V285" s="50">
        <v>42795</v>
      </c>
      <c r="W285" s="4">
        <v>2309.4500000000003</v>
      </c>
      <c r="X285" s="48">
        <v>2717</v>
      </c>
    </row>
    <row r="286" spans="2:24" x14ac:dyDescent="0.35">
      <c r="B286" s="8" t="s">
        <v>7</v>
      </c>
      <c r="C286" s="8" t="s">
        <v>48</v>
      </c>
      <c r="D286" s="8" t="s">
        <v>9</v>
      </c>
      <c r="E286" s="9" t="s">
        <v>27</v>
      </c>
      <c r="F286" s="9" t="s">
        <v>28</v>
      </c>
      <c r="G286" s="8">
        <v>2017</v>
      </c>
      <c r="H286" s="8">
        <v>3</v>
      </c>
      <c r="I286" s="10">
        <v>42795</v>
      </c>
      <c r="J286" s="11">
        <v>4626</v>
      </c>
      <c r="K286" s="51"/>
      <c r="O286" s="1" t="s">
        <v>7</v>
      </c>
      <c r="P286" s="1" t="s">
        <v>48</v>
      </c>
      <c r="Q286" s="1" t="s">
        <v>9</v>
      </c>
      <c r="R286" s="2" t="s">
        <v>27</v>
      </c>
      <c r="S286" s="2" t="s">
        <v>28</v>
      </c>
      <c r="T286" s="1">
        <v>2017</v>
      </c>
      <c r="U286" s="1">
        <v>3</v>
      </c>
      <c r="V286" s="50">
        <v>42795</v>
      </c>
      <c r="W286" s="4">
        <v>3978.3600000000006</v>
      </c>
      <c r="X286" s="48">
        <v>4626</v>
      </c>
    </row>
    <row r="287" spans="2:24" x14ac:dyDescent="0.35">
      <c r="B287" s="8" t="s">
        <v>7</v>
      </c>
      <c r="C287" s="8" t="s">
        <v>48</v>
      </c>
      <c r="D287" s="8" t="s">
        <v>9</v>
      </c>
      <c r="E287" s="8" t="s">
        <v>27</v>
      </c>
      <c r="F287" s="9" t="s">
        <v>31</v>
      </c>
      <c r="G287" s="8">
        <v>2017</v>
      </c>
      <c r="H287" s="8">
        <v>3</v>
      </c>
      <c r="I287" s="10">
        <v>42795</v>
      </c>
      <c r="J287" s="11">
        <v>3746</v>
      </c>
      <c r="K287" s="51"/>
      <c r="O287" s="1" t="s">
        <v>7</v>
      </c>
      <c r="P287" s="1" t="s">
        <v>48</v>
      </c>
      <c r="Q287" s="1" t="s">
        <v>9</v>
      </c>
      <c r="R287" s="1" t="s">
        <v>27</v>
      </c>
      <c r="S287" s="2" t="s">
        <v>31</v>
      </c>
      <c r="T287" s="1">
        <v>2017</v>
      </c>
      <c r="U287" s="1">
        <v>3</v>
      </c>
      <c r="V287" s="50">
        <v>42795</v>
      </c>
      <c r="W287" s="4">
        <v>3259.0200000000004</v>
      </c>
      <c r="X287" s="48">
        <v>3746</v>
      </c>
    </row>
    <row r="288" spans="2:24" x14ac:dyDescent="0.35">
      <c r="B288" s="8" t="s">
        <v>7</v>
      </c>
      <c r="C288" s="8" t="s">
        <v>49</v>
      </c>
      <c r="D288" s="8" t="s">
        <v>11</v>
      </c>
      <c r="E288" s="8" t="s">
        <v>27</v>
      </c>
      <c r="F288" s="6" t="s">
        <v>33</v>
      </c>
      <c r="G288" s="8">
        <v>2017</v>
      </c>
      <c r="H288" s="8">
        <v>3</v>
      </c>
      <c r="I288" s="10">
        <v>42795</v>
      </c>
      <c r="J288" s="11">
        <v>3837</v>
      </c>
      <c r="K288" s="51"/>
      <c r="O288" s="1" t="s">
        <v>7</v>
      </c>
      <c r="P288" s="1" t="s">
        <v>49</v>
      </c>
      <c r="Q288" s="1" t="s">
        <v>11</v>
      </c>
      <c r="R288" s="1" t="s">
        <v>27</v>
      </c>
      <c r="S288" t="s">
        <v>33</v>
      </c>
      <c r="T288" s="1">
        <v>2017</v>
      </c>
      <c r="U288" s="1">
        <v>3</v>
      </c>
      <c r="V288" s="50">
        <v>42795</v>
      </c>
      <c r="W288" s="4">
        <v>3606.7799999999997</v>
      </c>
      <c r="X288" s="48">
        <v>3837</v>
      </c>
    </row>
    <row r="289" spans="2:24" x14ac:dyDescent="0.35">
      <c r="B289" s="8" t="s">
        <v>7</v>
      </c>
      <c r="C289" s="8" t="s">
        <v>49</v>
      </c>
      <c r="D289" s="8" t="s">
        <v>11</v>
      </c>
      <c r="E289" s="8" t="s">
        <v>23</v>
      </c>
      <c r="F289" s="8" t="s">
        <v>36</v>
      </c>
      <c r="G289" s="8">
        <v>2017</v>
      </c>
      <c r="H289" s="8">
        <v>3</v>
      </c>
      <c r="I289" s="10">
        <v>42795</v>
      </c>
      <c r="J289" s="11">
        <v>2241</v>
      </c>
      <c r="K289" s="51"/>
      <c r="O289" s="1" t="s">
        <v>7</v>
      </c>
      <c r="P289" s="1" t="s">
        <v>49</v>
      </c>
      <c r="Q289" s="1" t="s">
        <v>11</v>
      </c>
      <c r="R289" s="1" t="s">
        <v>23</v>
      </c>
      <c r="S289" s="1" t="s">
        <v>36</v>
      </c>
      <c r="T289" s="1">
        <v>2017</v>
      </c>
      <c r="U289" s="1">
        <v>3</v>
      </c>
      <c r="V289" s="50">
        <v>42795</v>
      </c>
      <c r="W289" s="4">
        <v>1972.0799999999997</v>
      </c>
      <c r="X289" s="48">
        <v>2241</v>
      </c>
    </row>
    <row r="290" spans="2:24" x14ac:dyDescent="0.35">
      <c r="B290" s="8" t="s">
        <v>7</v>
      </c>
      <c r="C290" s="8" t="s">
        <v>43</v>
      </c>
      <c r="D290" s="8" t="s">
        <v>10</v>
      </c>
      <c r="E290" s="8" t="s">
        <v>23</v>
      </c>
      <c r="F290" s="8" t="s">
        <v>36</v>
      </c>
      <c r="G290" s="8">
        <v>2017</v>
      </c>
      <c r="H290" s="8">
        <v>3</v>
      </c>
      <c r="I290" s="10">
        <v>42795</v>
      </c>
      <c r="J290" s="11">
        <v>1878</v>
      </c>
      <c r="K290" s="51"/>
      <c r="O290" s="1" t="s">
        <v>7</v>
      </c>
      <c r="P290" s="1" t="s">
        <v>43</v>
      </c>
      <c r="Q290" s="1" t="s">
        <v>10</v>
      </c>
      <c r="R290" s="1" t="s">
        <v>23</v>
      </c>
      <c r="S290" s="1" t="s">
        <v>36</v>
      </c>
      <c r="T290" s="1">
        <v>2017</v>
      </c>
      <c r="U290" s="1">
        <v>3</v>
      </c>
      <c r="V290" s="50">
        <v>42795</v>
      </c>
      <c r="W290" s="4">
        <v>1727.7599999999998</v>
      </c>
      <c r="X290" s="48">
        <v>1878</v>
      </c>
    </row>
    <row r="291" spans="2:24" x14ac:dyDescent="0.35">
      <c r="B291" s="8" t="s">
        <v>6</v>
      </c>
      <c r="C291" s="8" t="s">
        <v>40</v>
      </c>
      <c r="D291" s="8" t="s">
        <v>41</v>
      </c>
      <c r="E291" s="8" t="s">
        <v>0</v>
      </c>
      <c r="F291" s="8" t="s">
        <v>45</v>
      </c>
      <c r="G291" s="8">
        <v>2017</v>
      </c>
      <c r="H291" s="8">
        <v>3</v>
      </c>
      <c r="I291" s="10">
        <v>42795</v>
      </c>
      <c r="J291" s="11">
        <v>3270</v>
      </c>
      <c r="K291" s="51"/>
      <c r="O291" s="1" t="s">
        <v>6</v>
      </c>
      <c r="P291" s="1" t="s">
        <v>40</v>
      </c>
      <c r="Q291" s="1" t="s">
        <v>41</v>
      </c>
      <c r="R291" s="1" t="s">
        <v>0</v>
      </c>
      <c r="S291" s="1" t="s">
        <v>45</v>
      </c>
      <c r="T291" s="1">
        <v>2017</v>
      </c>
      <c r="U291" s="1">
        <v>3</v>
      </c>
      <c r="V291" s="50">
        <v>42795</v>
      </c>
      <c r="W291" s="4">
        <v>2844.9000000000005</v>
      </c>
      <c r="X291" s="48">
        <v>3270</v>
      </c>
    </row>
    <row r="292" spans="2:24" x14ac:dyDescent="0.35">
      <c r="B292" s="8" t="s">
        <v>7</v>
      </c>
      <c r="C292" s="8" t="s">
        <v>32</v>
      </c>
      <c r="D292" s="8" t="s">
        <v>8</v>
      </c>
      <c r="E292" s="8" t="s">
        <v>27</v>
      </c>
      <c r="F292" s="6" t="s">
        <v>28</v>
      </c>
      <c r="G292" s="8">
        <v>2017</v>
      </c>
      <c r="H292" s="8">
        <v>3</v>
      </c>
      <c r="I292" s="10">
        <v>42795</v>
      </c>
      <c r="J292" s="11">
        <v>4004</v>
      </c>
      <c r="K292" s="51"/>
      <c r="O292" s="1" t="s">
        <v>7</v>
      </c>
      <c r="P292" s="1" t="s">
        <v>32</v>
      </c>
      <c r="Q292" s="1" t="s">
        <v>8</v>
      </c>
      <c r="R292" s="1" t="s">
        <v>27</v>
      </c>
      <c r="S292" t="s">
        <v>28</v>
      </c>
      <c r="T292" s="1">
        <v>2017</v>
      </c>
      <c r="U292" s="1">
        <v>3</v>
      </c>
      <c r="V292" s="50">
        <v>42795</v>
      </c>
      <c r="W292" s="4">
        <v>3483.4800000000005</v>
      </c>
      <c r="X292" s="48">
        <v>4004</v>
      </c>
    </row>
    <row r="293" spans="2:24" x14ac:dyDescent="0.35">
      <c r="B293" s="8" t="s">
        <v>7</v>
      </c>
      <c r="C293" s="8" t="s">
        <v>32</v>
      </c>
      <c r="D293" s="8" t="s">
        <v>8</v>
      </c>
      <c r="E293" s="8" t="s">
        <v>27</v>
      </c>
      <c r="F293" s="6" t="s">
        <v>31</v>
      </c>
      <c r="G293" s="8">
        <v>2017</v>
      </c>
      <c r="H293" s="8">
        <v>3</v>
      </c>
      <c r="I293" s="10">
        <v>42795</v>
      </c>
      <c r="J293" s="11">
        <v>3732</v>
      </c>
      <c r="K293" s="51"/>
      <c r="O293" s="1" t="s">
        <v>7</v>
      </c>
      <c r="P293" s="1" t="s">
        <v>32</v>
      </c>
      <c r="Q293" s="1" t="s">
        <v>8</v>
      </c>
      <c r="R293" s="1" t="s">
        <v>27</v>
      </c>
      <c r="S293" t="s">
        <v>31</v>
      </c>
      <c r="T293" s="1">
        <v>2017</v>
      </c>
      <c r="U293" s="1">
        <v>3</v>
      </c>
      <c r="V293" s="50">
        <v>42795</v>
      </c>
      <c r="W293" s="4">
        <v>3433.4399999999996</v>
      </c>
      <c r="X293" s="48">
        <v>3732</v>
      </c>
    </row>
    <row r="294" spans="2:24" x14ac:dyDescent="0.35">
      <c r="B294" s="8" t="s">
        <v>6</v>
      </c>
      <c r="C294" s="8" t="s">
        <v>29</v>
      </c>
      <c r="D294" s="8" t="s">
        <v>30</v>
      </c>
      <c r="E294" s="8" t="s">
        <v>23</v>
      </c>
      <c r="F294" s="6" t="s">
        <v>24</v>
      </c>
      <c r="G294" s="8">
        <v>2017</v>
      </c>
      <c r="H294" s="8">
        <v>3</v>
      </c>
      <c r="I294" s="10">
        <v>42795</v>
      </c>
      <c r="J294" s="11">
        <v>2575</v>
      </c>
      <c r="K294" s="51"/>
      <c r="O294" s="1" t="s">
        <v>6</v>
      </c>
      <c r="P294" s="1" t="s">
        <v>29</v>
      </c>
      <c r="Q294" s="1" t="s">
        <v>30</v>
      </c>
      <c r="R294" s="1" t="s">
        <v>23</v>
      </c>
      <c r="S294" t="s">
        <v>24</v>
      </c>
      <c r="T294" s="1">
        <v>2017</v>
      </c>
      <c r="U294" s="1">
        <v>3</v>
      </c>
      <c r="V294" s="50">
        <v>42795</v>
      </c>
      <c r="W294" s="4">
        <v>2291.75</v>
      </c>
      <c r="X294" s="48">
        <v>2575</v>
      </c>
    </row>
    <row r="295" spans="2:24" x14ac:dyDescent="0.35">
      <c r="B295" s="8" t="s">
        <v>7</v>
      </c>
      <c r="C295" s="8" t="s">
        <v>48</v>
      </c>
      <c r="D295" s="8" t="s">
        <v>9</v>
      </c>
      <c r="E295" s="9" t="s">
        <v>0</v>
      </c>
      <c r="F295" s="9" t="s">
        <v>42</v>
      </c>
      <c r="G295" s="8">
        <v>2017</v>
      </c>
      <c r="H295" s="8">
        <v>3</v>
      </c>
      <c r="I295" s="10">
        <v>42795</v>
      </c>
      <c r="J295" s="11">
        <v>4995</v>
      </c>
      <c r="K295" s="51"/>
      <c r="O295" s="1" t="s">
        <v>7</v>
      </c>
      <c r="P295" s="1" t="s">
        <v>48</v>
      </c>
      <c r="Q295" s="1" t="s">
        <v>9</v>
      </c>
      <c r="R295" s="2" t="s">
        <v>0</v>
      </c>
      <c r="S295" s="2" t="s">
        <v>42</v>
      </c>
      <c r="T295" s="1">
        <v>2017</v>
      </c>
      <c r="U295" s="1">
        <v>3</v>
      </c>
      <c r="V295" s="50">
        <v>42795</v>
      </c>
      <c r="W295" s="4">
        <v>4395.5999999999995</v>
      </c>
      <c r="X295" s="48">
        <v>4995</v>
      </c>
    </row>
    <row r="296" spans="2:24" x14ac:dyDescent="0.35">
      <c r="B296" s="8" t="s">
        <v>7</v>
      </c>
      <c r="C296" s="8" t="s">
        <v>48</v>
      </c>
      <c r="D296" s="8" t="s">
        <v>9</v>
      </c>
      <c r="E296" s="8" t="s">
        <v>0</v>
      </c>
      <c r="F296" s="9" t="s">
        <v>26</v>
      </c>
      <c r="G296" s="8">
        <v>2017</v>
      </c>
      <c r="H296" s="8">
        <v>3</v>
      </c>
      <c r="I296" s="10">
        <v>42795</v>
      </c>
      <c r="J296" s="11">
        <v>2706</v>
      </c>
      <c r="K296" s="51"/>
      <c r="O296" s="1" t="s">
        <v>7</v>
      </c>
      <c r="P296" s="1" t="s">
        <v>48</v>
      </c>
      <c r="Q296" s="1" t="s">
        <v>9</v>
      </c>
      <c r="R296" s="1" t="s">
        <v>0</v>
      </c>
      <c r="S296" s="2" t="s">
        <v>26</v>
      </c>
      <c r="T296" s="1">
        <v>2017</v>
      </c>
      <c r="U296" s="1">
        <v>3</v>
      </c>
      <c r="V296" s="50">
        <v>42795</v>
      </c>
      <c r="W296" s="4">
        <v>2435.3999999999996</v>
      </c>
      <c r="X296" s="48">
        <v>2706</v>
      </c>
    </row>
    <row r="297" spans="2:24" x14ac:dyDescent="0.35">
      <c r="B297" s="8" t="s">
        <v>7</v>
      </c>
      <c r="C297" s="8" t="s">
        <v>49</v>
      </c>
      <c r="D297" s="8" t="s">
        <v>11</v>
      </c>
      <c r="E297" s="8" t="s">
        <v>0</v>
      </c>
      <c r="F297" s="6" t="s">
        <v>45</v>
      </c>
      <c r="G297" s="8">
        <v>2017</v>
      </c>
      <c r="H297" s="8">
        <v>3</v>
      </c>
      <c r="I297" s="10">
        <v>42795</v>
      </c>
      <c r="J297" s="11">
        <v>2776</v>
      </c>
      <c r="K297" s="51"/>
      <c r="O297" s="1" t="s">
        <v>7</v>
      </c>
      <c r="P297" s="1" t="s">
        <v>49</v>
      </c>
      <c r="Q297" s="1" t="s">
        <v>11</v>
      </c>
      <c r="R297" s="1" t="s">
        <v>0</v>
      </c>
      <c r="S297" t="s">
        <v>45</v>
      </c>
      <c r="T297" s="1">
        <v>2017</v>
      </c>
      <c r="U297" s="1">
        <v>3</v>
      </c>
      <c r="V297" s="50">
        <v>42795</v>
      </c>
      <c r="W297" s="4">
        <v>2442.8799999999997</v>
      </c>
      <c r="X297" s="48">
        <v>2776</v>
      </c>
    </row>
    <row r="298" spans="2:24" x14ac:dyDescent="0.35">
      <c r="B298" s="8" t="s">
        <v>7</v>
      </c>
      <c r="C298" s="8" t="s">
        <v>49</v>
      </c>
      <c r="D298" s="8" t="s">
        <v>11</v>
      </c>
      <c r="E298" s="8" t="s">
        <v>27</v>
      </c>
      <c r="F298" s="8" t="s">
        <v>28</v>
      </c>
      <c r="G298" s="8">
        <v>2017</v>
      </c>
      <c r="H298" s="8">
        <v>3</v>
      </c>
      <c r="I298" s="10">
        <v>42795</v>
      </c>
      <c r="J298" s="11">
        <v>4139</v>
      </c>
      <c r="K298" s="51"/>
      <c r="O298" s="1" t="s">
        <v>7</v>
      </c>
      <c r="P298" s="1" t="s">
        <v>49</v>
      </c>
      <c r="Q298" s="1" t="s">
        <v>11</v>
      </c>
      <c r="R298" s="1" t="s">
        <v>27</v>
      </c>
      <c r="S298" s="1" t="s">
        <v>28</v>
      </c>
      <c r="T298" s="1">
        <v>2017</v>
      </c>
      <c r="U298" s="1">
        <v>3</v>
      </c>
      <c r="V298" s="50">
        <v>42795</v>
      </c>
      <c r="W298" s="4">
        <v>3600.9300000000003</v>
      </c>
      <c r="X298" s="48">
        <v>4139</v>
      </c>
    </row>
    <row r="299" spans="2:24" x14ac:dyDescent="0.35">
      <c r="B299" s="8" t="s">
        <v>12</v>
      </c>
      <c r="C299" s="8" t="s">
        <v>34</v>
      </c>
      <c r="D299" s="8" t="s">
        <v>35</v>
      </c>
      <c r="E299" s="8" t="s">
        <v>27</v>
      </c>
      <c r="F299" s="8" t="s">
        <v>31</v>
      </c>
      <c r="G299" s="8">
        <v>2017</v>
      </c>
      <c r="H299" s="8">
        <v>3</v>
      </c>
      <c r="I299" s="10">
        <v>42795</v>
      </c>
      <c r="J299" s="11">
        <v>4770</v>
      </c>
      <c r="K299" s="51"/>
      <c r="O299" s="1" t="s">
        <v>12</v>
      </c>
      <c r="P299" s="1" t="s">
        <v>34</v>
      </c>
      <c r="Q299" s="1" t="s">
        <v>35</v>
      </c>
      <c r="R299" s="1" t="s">
        <v>27</v>
      </c>
      <c r="S299" s="1" t="s">
        <v>31</v>
      </c>
      <c r="T299" s="1">
        <v>2017</v>
      </c>
      <c r="U299" s="1">
        <v>3</v>
      </c>
      <c r="V299" s="50">
        <v>42795</v>
      </c>
      <c r="W299" s="4">
        <v>4388.3999999999996</v>
      </c>
      <c r="X299" s="48">
        <v>4770</v>
      </c>
    </row>
    <row r="300" spans="2:24" x14ac:dyDescent="0.35">
      <c r="B300" s="8" t="s">
        <v>12</v>
      </c>
      <c r="C300" s="8" t="s">
        <v>34</v>
      </c>
      <c r="D300" s="8" t="s">
        <v>35</v>
      </c>
      <c r="E300" s="8" t="s">
        <v>27</v>
      </c>
      <c r="F300" s="8" t="s">
        <v>33</v>
      </c>
      <c r="G300" s="8">
        <v>2017</v>
      </c>
      <c r="H300" s="8">
        <v>3</v>
      </c>
      <c r="I300" s="10">
        <v>42795</v>
      </c>
      <c r="J300" s="11">
        <v>3136</v>
      </c>
      <c r="K300" s="51"/>
      <c r="O300" s="1" t="s">
        <v>12</v>
      </c>
      <c r="P300" s="1" t="s">
        <v>34</v>
      </c>
      <c r="Q300" s="1" t="s">
        <v>35</v>
      </c>
      <c r="R300" s="1" t="s">
        <v>27</v>
      </c>
      <c r="S300" s="1" t="s">
        <v>33</v>
      </c>
      <c r="T300" s="1">
        <v>2017</v>
      </c>
      <c r="U300" s="1">
        <v>3</v>
      </c>
      <c r="V300" s="50">
        <v>42795</v>
      </c>
      <c r="W300" s="4">
        <v>2885.12</v>
      </c>
      <c r="X300" s="48">
        <v>3136</v>
      </c>
    </row>
    <row r="301" spans="2:24" x14ac:dyDescent="0.35">
      <c r="B301" s="8" t="s">
        <v>14</v>
      </c>
      <c r="C301" s="8" t="s">
        <v>37</v>
      </c>
      <c r="D301" s="8" t="s">
        <v>38</v>
      </c>
      <c r="E301" s="8" t="s">
        <v>23</v>
      </c>
      <c r="F301" s="6" t="s">
        <v>36</v>
      </c>
      <c r="G301" s="8">
        <v>2017</v>
      </c>
      <c r="H301" s="8">
        <v>3</v>
      </c>
      <c r="I301" s="10">
        <v>42795</v>
      </c>
      <c r="J301" s="11">
        <v>2026</v>
      </c>
      <c r="K301" s="51"/>
      <c r="O301" s="1" t="s">
        <v>14</v>
      </c>
      <c r="P301" s="1" t="s">
        <v>37</v>
      </c>
      <c r="Q301" s="1" t="s">
        <v>38</v>
      </c>
      <c r="R301" s="1" t="s">
        <v>23</v>
      </c>
      <c r="S301" t="s">
        <v>36</v>
      </c>
      <c r="T301" s="1">
        <v>2017</v>
      </c>
      <c r="U301" s="1">
        <v>3</v>
      </c>
      <c r="V301" s="50">
        <v>42795</v>
      </c>
      <c r="W301" s="4">
        <v>1843.6599999999999</v>
      </c>
      <c r="X301" s="48">
        <v>2026</v>
      </c>
    </row>
    <row r="302" spans="2:24" x14ac:dyDescent="0.35">
      <c r="B302" s="8" t="s">
        <v>12</v>
      </c>
      <c r="C302" s="8" t="s">
        <v>44</v>
      </c>
      <c r="D302" s="8" t="s">
        <v>13</v>
      </c>
      <c r="E302" s="8" t="s">
        <v>23</v>
      </c>
      <c r="F302" s="6" t="s">
        <v>39</v>
      </c>
      <c r="G302" s="8">
        <v>2017</v>
      </c>
      <c r="H302" s="8">
        <v>3</v>
      </c>
      <c r="I302" s="10">
        <v>42795</v>
      </c>
      <c r="J302" s="11">
        <v>2777</v>
      </c>
      <c r="K302" s="51"/>
      <c r="O302" s="1" t="s">
        <v>12</v>
      </c>
      <c r="P302" s="1" t="s">
        <v>44</v>
      </c>
      <c r="Q302" s="1" t="s">
        <v>13</v>
      </c>
      <c r="R302" s="1" t="s">
        <v>23</v>
      </c>
      <c r="S302" t="s">
        <v>39</v>
      </c>
      <c r="T302" s="1">
        <v>2017</v>
      </c>
      <c r="U302" s="1">
        <v>3</v>
      </c>
      <c r="V302" s="50">
        <v>42795</v>
      </c>
      <c r="W302" s="4">
        <v>2527.0699999999997</v>
      </c>
      <c r="X302" s="48">
        <v>2777</v>
      </c>
    </row>
    <row r="303" spans="2:24" x14ac:dyDescent="0.35">
      <c r="B303" s="8" t="s">
        <v>12</v>
      </c>
      <c r="C303" s="8" t="s">
        <v>44</v>
      </c>
      <c r="D303" s="8" t="s">
        <v>13</v>
      </c>
      <c r="E303" s="8" t="s">
        <v>0</v>
      </c>
      <c r="F303" s="6" t="s">
        <v>42</v>
      </c>
      <c r="G303" s="8">
        <v>2017</v>
      </c>
      <c r="H303" s="8">
        <v>3</v>
      </c>
      <c r="I303" s="10">
        <v>42795</v>
      </c>
      <c r="J303" s="11">
        <v>4604</v>
      </c>
      <c r="K303" s="51"/>
      <c r="O303" s="1" t="s">
        <v>12</v>
      </c>
      <c r="P303" s="1" t="s">
        <v>44</v>
      </c>
      <c r="Q303" s="1" t="s">
        <v>13</v>
      </c>
      <c r="R303" s="1" t="s">
        <v>0</v>
      </c>
      <c r="S303" t="s">
        <v>42</v>
      </c>
      <c r="T303" s="1">
        <v>2017</v>
      </c>
      <c r="U303" s="1">
        <v>3</v>
      </c>
      <c r="V303" s="50">
        <v>42795</v>
      </c>
      <c r="W303" s="4">
        <v>4143.5999999999995</v>
      </c>
      <c r="X303" s="48">
        <v>4604</v>
      </c>
    </row>
    <row r="304" spans="2:24" x14ac:dyDescent="0.35">
      <c r="B304" s="8" t="s">
        <v>14</v>
      </c>
      <c r="C304" s="8" t="s">
        <v>46</v>
      </c>
      <c r="D304" s="8" t="s">
        <v>47</v>
      </c>
      <c r="E304" s="9" t="s">
        <v>0</v>
      </c>
      <c r="F304" s="9" t="s">
        <v>26</v>
      </c>
      <c r="G304" s="8">
        <v>2017</v>
      </c>
      <c r="H304" s="8">
        <v>3</v>
      </c>
      <c r="I304" s="10">
        <v>42795</v>
      </c>
      <c r="J304" s="11">
        <v>4340</v>
      </c>
      <c r="K304" s="51"/>
      <c r="O304" s="1" t="s">
        <v>14</v>
      </c>
      <c r="P304" s="1" t="s">
        <v>46</v>
      </c>
      <c r="Q304" s="1" t="s">
        <v>47</v>
      </c>
      <c r="R304" s="2" t="s">
        <v>0</v>
      </c>
      <c r="S304" s="2" t="s">
        <v>26</v>
      </c>
      <c r="T304" s="1">
        <v>2017</v>
      </c>
      <c r="U304" s="1">
        <v>3</v>
      </c>
      <c r="V304" s="50">
        <v>42795</v>
      </c>
      <c r="W304" s="4">
        <v>3862.5999999999995</v>
      </c>
      <c r="X304" s="48">
        <v>4340</v>
      </c>
    </row>
    <row r="305" spans="2:24" x14ac:dyDescent="0.35">
      <c r="B305" s="8" t="s">
        <v>14</v>
      </c>
      <c r="C305" s="8" t="s">
        <v>46</v>
      </c>
      <c r="D305" s="8" t="s">
        <v>47</v>
      </c>
      <c r="E305" s="8" t="s">
        <v>0</v>
      </c>
      <c r="F305" s="9" t="s">
        <v>45</v>
      </c>
      <c r="G305" s="8">
        <v>2017</v>
      </c>
      <c r="H305" s="8">
        <v>3</v>
      </c>
      <c r="I305" s="10">
        <v>42795</v>
      </c>
      <c r="J305" s="11">
        <v>2691</v>
      </c>
      <c r="K305" s="51"/>
      <c r="O305" s="1" t="s">
        <v>14</v>
      </c>
      <c r="P305" s="1" t="s">
        <v>46</v>
      </c>
      <c r="Q305" s="1" t="s">
        <v>47</v>
      </c>
      <c r="R305" s="1" t="s">
        <v>0</v>
      </c>
      <c r="S305" s="2" t="s">
        <v>45</v>
      </c>
      <c r="T305" s="1">
        <v>2017</v>
      </c>
      <c r="U305" s="1">
        <v>3</v>
      </c>
      <c r="V305" s="50">
        <v>42795</v>
      </c>
      <c r="W305" s="4">
        <v>2421.8999999999996</v>
      </c>
      <c r="X305" s="48">
        <v>2691</v>
      </c>
    </row>
    <row r="306" spans="2:24" x14ac:dyDescent="0.35">
      <c r="B306" s="8" t="s">
        <v>3</v>
      </c>
      <c r="C306" s="8" t="s">
        <v>25</v>
      </c>
      <c r="D306" s="8" t="s">
        <v>4</v>
      </c>
      <c r="E306" s="8" t="s">
        <v>27</v>
      </c>
      <c r="F306" s="6" t="s">
        <v>33</v>
      </c>
      <c r="G306" s="8">
        <v>2017</v>
      </c>
      <c r="H306" s="8">
        <v>3</v>
      </c>
      <c r="I306" s="10">
        <v>42795</v>
      </c>
      <c r="J306" s="11">
        <v>3068</v>
      </c>
      <c r="K306" s="51"/>
      <c r="O306" s="1" t="s">
        <v>3</v>
      </c>
      <c r="P306" s="1" t="s">
        <v>25</v>
      </c>
      <c r="Q306" s="1" t="s">
        <v>4</v>
      </c>
      <c r="R306" s="1" t="s">
        <v>27</v>
      </c>
      <c r="S306" t="s">
        <v>33</v>
      </c>
      <c r="T306" s="1">
        <v>2017</v>
      </c>
      <c r="U306" s="1">
        <v>3</v>
      </c>
      <c r="V306" s="50">
        <v>42795</v>
      </c>
      <c r="W306" s="4">
        <v>2730.5199999999995</v>
      </c>
      <c r="X306" s="48">
        <v>3068</v>
      </c>
    </row>
    <row r="307" spans="2:24" x14ac:dyDescent="0.35">
      <c r="B307" s="8" t="s">
        <v>3</v>
      </c>
      <c r="C307" s="8" t="s">
        <v>25</v>
      </c>
      <c r="D307" s="8" t="s">
        <v>4</v>
      </c>
      <c r="E307" s="8" t="s">
        <v>23</v>
      </c>
      <c r="F307" s="8" t="s">
        <v>36</v>
      </c>
      <c r="G307" s="8">
        <v>2017</v>
      </c>
      <c r="H307" s="8">
        <v>3</v>
      </c>
      <c r="I307" s="10">
        <v>42795</v>
      </c>
      <c r="J307" s="11">
        <v>2505</v>
      </c>
      <c r="K307" s="51"/>
      <c r="O307" s="1" t="s">
        <v>3</v>
      </c>
      <c r="P307" s="1" t="s">
        <v>25</v>
      </c>
      <c r="Q307" s="1" t="s">
        <v>4</v>
      </c>
      <c r="R307" s="1" t="s">
        <v>23</v>
      </c>
      <c r="S307" s="1" t="s">
        <v>36</v>
      </c>
      <c r="T307" s="1">
        <v>2017</v>
      </c>
      <c r="U307" s="1">
        <v>3</v>
      </c>
      <c r="V307" s="50">
        <v>42795</v>
      </c>
      <c r="W307" s="4">
        <v>2279.5499999999997</v>
      </c>
      <c r="X307" s="48">
        <v>2505</v>
      </c>
    </row>
    <row r="308" spans="2:24" x14ac:dyDescent="0.35">
      <c r="B308" s="8" t="s">
        <v>6</v>
      </c>
      <c r="C308" s="8" t="s">
        <v>40</v>
      </c>
      <c r="D308" s="8" t="s">
        <v>41</v>
      </c>
      <c r="E308" s="8" t="s">
        <v>23</v>
      </c>
      <c r="F308" s="8" t="s">
        <v>39</v>
      </c>
      <c r="G308" s="8">
        <v>2017</v>
      </c>
      <c r="H308" s="8">
        <v>3</v>
      </c>
      <c r="I308" s="10">
        <v>42795</v>
      </c>
      <c r="J308" s="11">
        <v>1340</v>
      </c>
      <c r="K308" s="51"/>
      <c r="O308" s="1" t="s">
        <v>6</v>
      </c>
      <c r="P308" s="1" t="s">
        <v>40</v>
      </c>
      <c r="Q308" s="1" t="s">
        <v>41</v>
      </c>
      <c r="R308" s="1" t="s">
        <v>23</v>
      </c>
      <c r="S308" s="1" t="s">
        <v>39</v>
      </c>
      <c r="T308" s="1">
        <v>2017</v>
      </c>
      <c r="U308" s="1">
        <v>3</v>
      </c>
      <c r="V308" s="50">
        <v>42795</v>
      </c>
      <c r="W308" s="4">
        <v>1165.8000000000002</v>
      </c>
      <c r="X308" s="48">
        <v>1340</v>
      </c>
    </row>
    <row r="309" spans="2:24" x14ac:dyDescent="0.35">
      <c r="B309" s="8" t="s">
        <v>7</v>
      </c>
      <c r="C309" s="8" t="s">
        <v>48</v>
      </c>
      <c r="D309" s="8" t="s">
        <v>9</v>
      </c>
      <c r="E309" s="8" t="s">
        <v>0</v>
      </c>
      <c r="F309" s="8" t="s">
        <v>45</v>
      </c>
      <c r="G309" s="8">
        <v>2017</v>
      </c>
      <c r="H309" s="8">
        <v>3</v>
      </c>
      <c r="I309" s="10">
        <v>42795</v>
      </c>
      <c r="J309" s="11">
        <v>4828</v>
      </c>
      <c r="K309" s="51"/>
      <c r="O309" s="1" t="s">
        <v>7</v>
      </c>
      <c r="P309" s="1" t="s">
        <v>48</v>
      </c>
      <c r="Q309" s="1" t="s">
        <v>9</v>
      </c>
      <c r="R309" s="1" t="s">
        <v>0</v>
      </c>
      <c r="S309" s="1" t="s">
        <v>45</v>
      </c>
      <c r="T309" s="1">
        <v>2017</v>
      </c>
      <c r="U309" s="1">
        <v>3</v>
      </c>
      <c r="V309" s="50">
        <v>42795</v>
      </c>
      <c r="W309" s="4">
        <v>4296.9199999999992</v>
      </c>
      <c r="X309" s="48">
        <v>4828</v>
      </c>
    </row>
    <row r="310" spans="2:24" x14ac:dyDescent="0.35">
      <c r="B310" s="8" t="s">
        <v>7</v>
      </c>
      <c r="C310" s="8" t="s">
        <v>49</v>
      </c>
      <c r="D310" s="8" t="s">
        <v>11</v>
      </c>
      <c r="E310" s="8" t="s">
        <v>27</v>
      </c>
      <c r="F310" s="6" t="s">
        <v>31</v>
      </c>
      <c r="G310" s="8">
        <v>2017</v>
      </c>
      <c r="H310" s="8">
        <v>3</v>
      </c>
      <c r="I310" s="10">
        <v>42795</v>
      </c>
      <c r="J310" s="11">
        <v>4995</v>
      </c>
      <c r="K310" s="51"/>
      <c r="O310" s="1" t="s">
        <v>7</v>
      </c>
      <c r="P310" s="1" t="s">
        <v>49</v>
      </c>
      <c r="Q310" s="1" t="s">
        <v>11</v>
      </c>
      <c r="R310" s="1" t="s">
        <v>27</v>
      </c>
      <c r="S310" t="s">
        <v>31</v>
      </c>
      <c r="T310" s="1">
        <v>2017</v>
      </c>
      <c r="U310" s="1">
        <v>3</v>
      </c>
      <c r="V310" s="50">
        <v>42795</v>
      </c>
      <c r="W310" s="4">
        <v>4395.5999999999995</v>
      </c>
      <c r="X310" s="48">
        <v>4995</v>
      </c>
    </row>
    <row r="311" spans="2:24" x14ac:dyDescent="0.35">
      <c r="B311" s="8" t="s">
        <v>7</v>
      </c>
      <c r="C311" s="8" t="s">
        <v>43</v>
      </c>
      <c r="D311" s="8" t="s">
        <v>10</v>
      </c>
      <c r="E311" s="8" t="s">
        <v>27</v>
      </c>
      <c r="F311" s="6" t="s">
        <v>33</v>
      </c>
      <c r="G311" s="8">
        <v>2017</v>
      </c>
      <c r="H311" s="8">
        <v>3</v>
      </c>
      <c r="I311" s="10">
        <v>42795</v>
      </c>
      <c r="J311" s="11">
        <v>3994</v>
      </c>
      <c r="K311" s="51"/>
      <c r="O311" s="1" t="s">
        <v>7</v>
      </c>
      <c r="P311" s="1" t="s">
        <v>43</v>
      </c>
      <c r="Q311" s="1" t="s">
        <v>10</v>
      </c>
      <c r="R311" s="1" t="s">
        <v>27</v>
      </c>
      <c r="S311" t="s">
        <v>33</v>
      </c>
      <c r="T311" s="1">
        <v>2017</v>
      </c>
      <c r="U311" s="1">
        <v>3</v>
      </c>
      <c r="V311" s="50">
        <v>42795</v>
      </c>
      <c r="W311" s="4">
        <v>3634.5399999999995</v>
      </c>
      <c r="X311" s="48">
        <v>3994</v>
      </c>
    </row>
    <row r="312" spans="2:24" x14ac:dyDescent="0.35">
      <c r="B312" s="8" t="s">
        <v>7</v>
      </c>
      <c r="C312" s="8" t="s">
        <v>32</v>
      </c>
      <c r="D312" s="8" t="s">
        <v>8</v>
      </c>
      <c r="E312" s="8" t="s">
        <v>0</v>
      </c>
      <c r="F312" s="6" t="s">
        <v>45</v>
      </c>
      <c r="G312" s="8">
        <v>2017</v>
      </c>
      <c r="H312" s="8">
        <v>3</v>
      </c>
      <c r="I312" s="10">
        <v>42795</v>
      </c>
      <c r="J312" s="11">
        <v>2111</v>
      </c>
      <c r="K312" s="51"/>
      <c r="O312" s="1" t="s">
        <v>7</v>
      </c>
      <c r="P312" s="1" t="s">
        <v>32</v>
      </c>
      <c r="Q312" s="1" t="s">
        <v>8</v>
      </c>
      <c r="R312" s="1" t="s">
        <v>0</v>
      </c>
      <c r="S312" t="s">
        <v>45</v>
      </c>
      <c r="T312" s="1">
        <v>2017</v>
      </c>
      <c r="U312" s="1">
        <v>3</v>
      </c>
      <c r="V312" s="50">
        <v>42795</v>
      </c>
      <c r="W312" s="4">
        <v>1857.6799999999998</v>
      </c>
      <c r="X312" s="48">
        <v>2111</v>
      </c>
    </row>
    <row r="313" spans="2:24" x14ac:dyDescent="0.35">
      <c r="B313" s="8" t="s">
        <v>7</v>
      </c>
      <c r="C313" s="8" t="s">
        <v>48</v>
      </c>
      <c r="D313" s="8" t="s">
        <v>9</v>
      </c>
      <c r="E313" s="9" t="s">
        <v>23</v>
      </c>
      <c r="F313" s="9" t="s">
        <v>39</v>
      </c>
      <c r="G313" s="8">
        <v>2017</v>
      </c>
      <c r="H313" s="8">
        <v>3</v>
      </c>
      <c r="I313" s="10">
        <v>42795</v>
      </c>
      <c r="J313" s="11">
        <v>1432</v>
      </c>
      <c r="K313" s="51"/>
      <c r="O313" s="1" t="s">
        <v>7</v>
      </c>
      <c r="P313" s="1" t="s">
        <v>48</v>
      </c>
      <c r="Q313" s="1" t="s">
        <v>9</v>
      </c>
      <c r="R313" s="2" t="s">
        <v>23</v>
      </c>
      <c r="S313" s="2" t="s">
        <v>39</v>
      </c>
      <c r="T313" s="1">
        <v>2017</v>
      </c>
      <c r="U313" s="1">
        <v>3</v>
      </c>
      <c r="V313" s="50">
        <v>42795</v>
      </c>
      <c r="W313" s="4">
        <v>1245.8400000000001</v>
      </c>
      <c r="X313" s="48">
        <v>1432</v>
      </c>
    </row>
    <row r="314" spans="2:24" x14ac:dyDescent="0.35">
      <c r="B314" s="8" t="s">
        <v>7</v>
      </c>
      <c r="C314" s="8" t="s">
        <v>49</v>
      </c>
      <c r="D314" s="8" t="s">
        <v>11</v>
      </c>
      <c r="E314" s="8" t="s">
        <v>0</v>
      </c>
      <c r="F314" s="9" t="s">
        <v>26</v>
      </c>
      <c r="G314" s="8">
        <v>2017</v>
      </c>
      <c r="H314" s="8">
        <v>3</v>
      </c>
      <c r="I314" s="10">
        <v>42795</v>
      </c>
      <c r="J314" s="11">
        <v>4147</v>
      </c>
      <c r="K314" s="51"/>
      <c r="O314" s="1" t="s">
        <v>7</v>
      </c>
      <c r="P314" s="1" t="s">
        <v>49</v>
      </c>
      <c r="Q314" s="1" t="s">
        <v>11</v>
      </c>
      <c r="R314" s="1" t="s">
        <v>0</v>
      </c>
      <c r="S314" s="2" t="s">
        <v>26</v>
      </c>
      <c r="T314" s="1">
        <v>2017</v>
      </c>
      <c r="U314" s="1">
        <v>3</v>
      </c>
      <c r="V314" s="50">
        <v>42795</v>
      </c>
      <c r="W314" s="4">
        <v>3566.4200000000005</v>
      </c>
      <c r="X314" s="48">
        <v>4147</v>
      </c>
    </row>
    <row r="315" spans="2:24" x14ac:dyDescent="0.35">
      <c r="B315" s="8" t="s">
        <v>12</v>
      </c>
      <c r="C315" s="8" t="s">
        <v>34</v>
      </c>
      <c r="D315" s="8" t="s">
        <v>35</v>
      </c>
      <c r="E315" s="8" t="s">
        <v>27</v>
      </c>
      <c r="F315" s="6" t="s">
        <v>28</v>
      </c>
      <c r="G315" s="8">
        <v>2017</v>
      </c>
      <c r="H315" s="8">
        <v>3</v>
      </c>
      <c r="I315" s="10">
        <v>42795</v>
      </c>
      <c r="J315" s="11">
        <v>4814</v>
      </c>
      <c r="K315" s="51"/>
      <c r="O315" s="1" t="s">
        <v>12</v>
      </c>
      <c r="P315" s="1" t="s">
        <v>34</v>
      </c>
      <c r="Q315" s="1" t="s">
        <v>35</v>
      </c>
      <c r="R315" s="1" t="s">
        <v>27</v>
      </c>
      <c r="S315" t="s">
        <v>28</v>
      </c>
      <c r="T315" s="1">
        <v>2017</v>
      </c>
      <c r="U315" s="1">
        <v>3</v>
      </c>
      <c r="V315" s="50">
        <v>42795</v>
      </c>
      <c r="W315" s="4">
        <v>4091.9000000000005</v>
      </c>
      <c r="X315" s="48">
        <v>4814</v>
      </c>
    </row>
    <row r="316" spans="2:24" x14ac:dyDescent="0.35">
      <c r="B316" s="8" t="s">
        <v>14</v>
      </c>
      <c r="C316" s="8" t="s">
        <v>37</v>
      </c>
      <c r="D316" s="8" t="s">
        <v>38</v>
      </c>
      <c r="E316" s="8" t="s">
        <v>27</v>
      </c>
      <c r="F316" s="8" t="s">
        <v>33</v>
      </c>
      <c r="G316" s="8">
        <v>2017</v>
      </c>
      <c r="H316" s="8">
        <v>3</v>
      </c>
      <c r="I316" s="10">
        <v>42795</v>
      </c>
      <c r="J316" s="11">
        <v>3093</v>
      </c>
      <c r="K316" s="51"/>
      <c r="O316" s="1" t="s">
        <v>14</v>
      </c>
      <c r="P316" s="1" t="s">
        <v>37</v>
      </c>
      <c r="Q316" s="1" t="s">
        <v>38</v>
      </c>
      <c r="R316" s="1" t="s">
        <v>27</v>
      </c>
      <c r="S316" s="1" t="s">
        <v>33</v>
      </c>
      <c r="T316" s="1">
        <v>2017</v>
      </c>
      <c r="U316" s="1">
        <v>3</v>
      </c>
      <c r="V316" s="50">
        <v>42795</v>
      </c>
      <c r="W316" s="4">
        <v>2845.56</v>
      </c>
      <c r="X316" s="48">
        <v>3093</v>
      </c>
    </row>
    <row r="317" spans="2:24" x14ac:dyDescent="0.35">
      <c r="B317" s="8" t="s">
        <v>12</v>
      </c>
      <c r="C317" s="8" t="s">
        <v>44</v>
      </c>
      <c r="D317" s="8" t="s">
        <v>13</v>
      </c>
      <c r="E317" s="8" t="s">
        <v>23</v>
      </c>
      <c r="F317" s="8" t="s">
        <v>24</v>
      </c>
      <c r="G317" s="8">
        <v>2017</v>
      </c>
      <c r="H317" s="8">
        <v>3</v>
      </c>
      <c r="I317" s="10">
        <v>42795</v>
      </c>
      <c r="J317" s="11">
        <v>1614</v>
      </c>
      <c r="K317" s="51"/>
      <c r="O317" s="1" t="s">
        <v>12</v>
      </c>
      <c r="P317" s="1" t="s">
        <v>44</v>
      </c>
      <c r="Q317" s="1" t="s">
        <v>13</v>
      </c>
      <c r="R317" s="1" t="s">
        <v>23</v>
      </c>
      <c r="S317" s="1" t="s">
        <v>24</v>
      </c>
      <c r="T317" s="1">
        <v>2017</v>
      </c>
      <c r="U317" s="1">
        <v>3</v>
      </c>
      <c r="V317" s="50">
        <v>42795</v>
      </c>
      <c r="W317" s="4">
        <v>1517.1599999999999</v>
      </c>
      <c r="X317" s="48">
        <v>1614</v>
      </c>
    </row>
    <row r="318" spans="2:24" x14ac:dyDescent="0.35">
      <c r="B318" s="8" t="s">
        <v>14</v>
      </c>
      <c r="C318" s="8" t="s">
        <v>46</v>
      </c>
      <c r="D318" s="8" t="s">
        <v>47</v>
      </c>
      <c r="E318" s="8" t="s">
        <v>0</v>
      </c>
      <c r="F318" s="8" t="s">
        <v>42</v>
      </c>
      <c r="G318" s="8">
        <v>2017</v>
      </c>
      <c r="H318" s="8">
        <v>3</v>
      </c>
      <c r="I318" s="10">
        <v>42795</v>
      </c>
      <c r="J318" s="11">
        <v>5991</v>
      </c>
      <c r="K318" s="51"/>
      <c r="O318" s="1" t="s">
        <v>14</v>
      </c>
      <c r="P318" s="1" t="s">
        <v>46</v>
      </c>
      <c r="Q318" s="1" t="s">
        <v>47</v>
      </c>
      <c r="R318" s="1" t="s">
        <v>0</v>
      </c>
      <c r="S318" s="1" t="s">
        <v>42</v>
      </c>
      <c r="T318" s="1">
        <v>2017</v>
      </c>
      <c r="U318" s="1">
        <v>3</v>
      </c>
      <c r="V318" s="50">
        <v>42795</v>
      </c>
      <c r="W318" s="4">
        <v>5331.99</v>
      </c>
      <c r="X318" s="48">
        <v>5991</v>
      </c>
    </row>
    <row r="319" spans="2:24" x14ac:dyDescent="0.35">
      <c r="B319" s="8" t="s">
        <v>7</v>
      </c>
      <c r="C319" s="8" t="s">
        <v>48</v>
      </c>
      <c r="D319" s="8" t="s">
        <v>9</v>
      </c>
      <c r="E319" s="8" t="s">
        <v>27</v>
      </c>
      <c r="F319" s="6" t="s">
        <v>33</v>
      </c>
      <c r="G319" s="8">
        <v>2017</v>
      </c>
      <c r="H319" s="8">
        <v>3</v>
      </c>
      <c r="I319" s="10">
        <v>42795</v>
      </c>
      <c r="J319" s="11">
        <v>4095</v>
      </c>
      <c r="K319" s="51"/>
      <c r="O319" s="1" t="s">
        <v>7</v>
      </c>
      <c r="P319" s="1" t="s">
        <v>48</v>
      </c>
      <c r="Q319" s="1" t="s">
        <v>9</v>
      </c>
      <c r="R319" s="1" t="s">
        <v>27</v>
      </c>
      <c r="S319" t="s">
        <v>33</v>
      </c>
      <c r="T319" s="1">
        <v>2017</v>
      </c>
      <c r="U319" s="1">
        <v>3</v>
      </c>
      <c r="V319" s="50">
        <v>42795</v>
      </c>
      <c r="W319" s="4">
        <v>3603.5999999999995</v>
      </c>
      <c r="X319" s="48">
        <v>4095</v>
      </c>
    </row>
    <row r="320" spans="2:24" x14ac:dyDescent="0.35">
      <c r="B320" s="8" t="s">
        <v>7</v>
      </c>
      <c r="C320" s="8" t="s">
        <v>49</v>
      </c>
      <c r="D320" s="8" t="s">
        <v>11</v>
      </c>
      <c r="E320" s="8" t="s">
        <v>23</v>
      </c>
      <c r="F320" s="6" t="s">
        <v>24</v>
      </c>
      <c r="G320" s="8">
        <v>2017</v>
      </c>
      <c r="H320" s="8">
        <v>3</v>
      </c>
      <c r="I320" s="10">
        <v>42795</v>
      </c>
      <c r="J320" s="11">
        <v>3096</v>
      </c>
      <c r="K320" s="51"/>
      <c r="O320" s="1" t="s">
        <v>7</v>
      </c>
      <c r="P320" s="1" t="s">
        <v>49</v>
      </c>
      <c r="Q320" s="1" t="s">
        <v>11</v>
      </c>
      <c r="R320" s="1" t="s">
        <v>23</v>
      </c>
      <c r="S320" t="s">
        <v>24</v>
      </c>
      <c r="T320" s="1">
        <v>2017</v>
      </c>
      <c r="U320" s="1">
        <v>3</v>
      </c>
      <c r="V320" s="50">
        <v>42795</v>
      </c>
      <c r="W320" s="4">
        <v>2631.6000000000004</v>
      </c>
      <c r="X320" s="48">
        <v>3096</v>
      </c>
    </row>
    <row r="321" spans="2:24" x14ac:dyDescent="0.35">
      <c r="B321" s="8" t="s">
        <v>3</v>
      </c>
      <c r="C321" s="8" t="s">
        <v>22</v>
      </c>
      <c r="D321" s="8" t="s">
        <v>5</v>
      </c>
      <c r="E321" s="8" t="s">
        <v>23</v>
      </c>
      <c r="F321" s="6" t="s">
        <v>24</v>
      </c>
      <c r="G321" s="8">
        <v>2017</v>
      </c>
      <c r="H321" s="8">
        <v>4</v>
      </c>
      <c r="I321" s="10">
        <v>42826</v>
      </c>
      <c r="J321" s="11">
        <v>2256</v>
      </c>
      <c r="K321" s="51"/>
      <c r="O321" s="1" t="s">
        <v>3</v>
      </c>
      <c r="P321" s="1" t="s">
        <v>22</v>
      </c>
      <c r="Q321" s="1" t="s">
        <v>5</v>
      </c>
      <c r="R321" s="1" t="s">
        <v>23</v>
      </c>
      <c r="S321" t="s">
        <v>24</v>
      </c>
      <c r="T321" s="1">
        <v>2017</v>
      </c>
      <c r="U321" s="1">
        <v>4</v>
      </c>
      <c r="V321" s="50">
        <v>42826</v>
      </c>
      <c r="W321" s="4">
        <v>2098.08</v>
      </c>
      <c r="X321" s="48">
        <v>2256</v>
      </c>
    </row>
    <row r="322" spans="2:24" x14ac:dyDescent="0.35">
      <c r="B322" s="8" t="s">
        <v>3</v>
      </c>
      <c r="C322" s="8" t="s">
        <v>25</v>
      </c>
      <c r="D322" s="8" t="s">
        <v>4</v>
      </c>
      <c r="E322" s="9" t="s">
        <v>23</v>
      </c>
      <c r="F322" s="9" t="s">
        <v>24</v>
      </c>
      <c r="G322" s="8">
        <v>2017</v>
      </c>
      <c r="H322" s="8">
        <v>4</v>
      </c>
      <c r="I322" s="10">
        <v>42826</v>
      </c>
      <c r="J322" s="11">
        <v>2061</v>
      </c>
      <c r="K322" s="51"/>
      <c r="O322" s="1" t="s">
        <v>3</v>
      </c>
      <c r="P322" s="1" t="s">
        <v>25</v>
      </c>
      <c r="Q322" s="1" t="s">
        <v>4</v>
      </c>
      <c r="R322" s="2" t="s">
        <v>23</v>
      </c>
      <c r="S322" s="2" t="s">
        <v>24</v>
      </c>
      <c r="T322" s="1">
        <v>2017</v>
      </c>
      <c r="U322" s="1">
        <v>4</v>
      </c>
      <c r="V322" s="50">
        <v>42826</v>
      </c>
      <c r="W322" s="4">
        <v>1834.2899999999997</v>
      </c>
      <c r="X322" s="48">
        <v>2061</v>
      </c>
    </row>
    <row r="323" spans="2:24" x14ac:dyDescent="0.35">
      <c r="B323" s="8" t="s">
        <v>3</v>
      </c>
      <c r="C323" s="8" t="s">
        <v>25</v>
      </c>
      <c r="D323" s="8" t="s">
        <v>4</v>
      </c>
      <c r="E323" s="8" t="s">
        <v>0</v>
      </c>
      <c r="F323" s="9" t="s">
        <v>26</v>
      </c>
      <c r="G323" s="8">
        <v>2017</v>
      </c>
      <c r="H323" s="8">
        <v>4</v>
      </c>
      <c r="I323" s="10">
        <v>42826</v>
      </c>
      <c r="J323" s="11">
        <v>5206</v>
      </c>
      <c r="K323" s="51"/>
      <c r="O323" s="1" t="s">
        <v>3</v>
      </c>
      <c r="P323" s="1" t="s">
        <v>25</v>
      </c>
      <c r="Q323" s="1" t="s">
        <v>4</v>
      </c>
      <c r="R323" s="1" t="s">
        <v>0</v>
      </c>
      <c r="S323" s="2" t="s">
        <v>26</v>
      </c>
      <c r="T323" s="1">
        <v>2017</v>
      </c>
      <c r="U323" s="1">
        <v>4</v>
      </c>
      <c r="V323" s="50">
        <v>42826</v>
      </c>
      <c r="W323" s="4">
        <v>4633.3399999999992</v>
      </c>
      <c r="X323" s="48">
        <v>5206</v>
      </c>
    </row>
    <row r="324" spans="2:24" x14ac:dyDescent="0.35">
      <c r="B324" s="8" t="s">
        <v>3</v>
      </c>
      <c r="C324" s="8" t="s">
        <v>22</v>
      </c>
      <c r="D324" s="8" t="s">
        <v>5</v>
      </c>
      <c r="E324" s="8" t="s">
        <v>0</v>
      </c>
      <c r="F324" s="6" t="s">
        <v>26</v>
      </c>
      <c r="G324" s="8">
        <v>2017</v>
      </c>
      <c r="H324" s="8">
        <v>4</v>
      </c>
      <c r="I324" s="10">
        <v>42826</v>
      </c>
      <c r="J324" s="11">
        <v>4606</v>
      </c>
      <c r="K324" s="51"/>
      <c r="O324" s="1" t="s">
        <v>3</v>
      </c>
      <c r="P324" s="1" t="s">
        <v>22</v>
      </c>
      <c r="Q324" s="1" t="s">
        <v>5</v>
      </c>
      <c r="R324" s="1" t="s">
        <v>0</v>
      </c>
      <c r="S324" t="s">
        <v>26</v>
      </c>
      <c r="T324" s="1">
        <v>2017</v>
      </c>
      <c r="U324" s="1">
        <v>4</v>
      </c>
      <c r="V324" s="50">
        <v>42826</v>
      </c>
      <c r="W324" s="4">
        <v>4283.58</v>
      </c>
      <c r="X324" s="48">
        <v>4606</v>
      </c>
    </row>
    <row r="325" spans="2:24" x14ac:dyDescent="0.35">
      <c r="B325" s="8" t="s">
        <v>3</v>
      </c>
      <c r="C325" s="8" t="s">
        <v>22</v>
      </c>
      <c r="D325" s="8" t="s">
        <v>5</v>
      </c>
      <c r="E325" s="8" t="s">
        <v>27</v>
      </c>
      <c r="F325" s="8" t="s">
        <v>28</v>
      </c>
      <c r="G325" s="8">
        <v>2017</v>
      </c>
      <c r="H325" s="8">
        <v>4</v>
      </c>
      <c r="I325" s="10">
        <v>42826</v>
      </c>
      <c r="J325" s="11">
        <v>3789</v>
      </c>
      <c r="K325" s="51"/>
      <c r="O325" s="1" t="s">
        <v>3</v>
      </c>
      <c r="P325" s="1" t="s">
        <v>22</v>
      </c>
      <c r="Q325" s="1" t="s">
        <v>5</v>
      </c>
      <c r="R325" s="1" t="s">
        <v>27</v>
      </c>
      <c r="S325" s="1" t="s">
        <v>28</v>
      </c>
      <c r="T325" s="1">
        <v>2017</v>
      </c>
      <c r="U325" s="1">
        <v>4</v>
      </c>
      <c r="V325" s="50">
        <v>42826</v>
      </c>
      <c r="W325" s="4">
        <v>3410.0999999999995</v>
      </c>
      <c r="X325" s="48">
        <v>3789</v>
      </c>
    </row>
    <row r="326" spans="2:24" x14ac:dyDescent="0.35">
      <c r="B326" s="8" t="s">
        <v>6</v>
      </c>
      <c r="C326" s="8" t="s">
        <v>29</v>
      </c>
      <c r="D326" s="8" t="s">
        <v>30</v>
      </c>
      <c r="E326" s="8" t="s">
        <v>27</v>
      </c>
      <c r="F326" s="8" t="s">
        <v>31</v>
      </c>
      <c r="G326" s="8">
        <v>2017</v>
      </c>
      <c r="H326" s="8">
        <v>4</v>
      </c>
      <c r="I326" s="10">
        <v>42826</v>
      </c>
      <c r="J326" s="11">
        <v>5261</v>
      </c>
      <c r="K326" s="51"/>
      <c r="O326" s="1" t="s">
        <v>6</v>
      </c>
      <c r="P326" s="1" t="s">
        <v>29</v>
      </c>
      <c r="Q326" s="1" t="s">
        <v>30</v>
      </c>
      <c r="R326" s="1" t="s">
        <v>27</v>
      </c>
      <c r="S326" s="1" t="s">
        <v>31</v>
      </c>
      <c r="T326" s="1">
        <v>2017</v>
      </c>
      <c r="U326" s="1">
        <v>4</v>
      </c>
      <c r="V326" s="50">
        <v>42826</v>
      </c>
      <c r="W326" s="4">
        <v>4945.34</v>
      </c>
      <c r="X326" s="48">
        <v>5261</v>
      </c>
    </row>
    <row r="327" spans="2:24" x14ac:dyDescent="0.35">
      <c r="B327" s="8" t="s">
        <v>7</v>
      </c>
      <c r="C327" s="8" t="s">
        <v>32</v>
      </c>
      <c r="D327" s="8" t="s">
        <v>8</v>
      </c>
      <c r="E327" s="8" t="s">
        <v>27</v>
      </c>
      <c r="F327" s="8" t="s">
        <v>33</v>
      </c>
      <c r="G327" s="8">
        <v>2017</v>
      </c>
      <c r="H327" s="8">
        <v>4</v>
      </c>
      <c r="I327" s="10">
        <v>42826</v>
      </c>
      <c r="J327" s="11">
        <v>3815</v>
      </c>
      <c r="K327" s="51"/>
      <c r="O327" s="1" t="s">
        <v>7</v>
      </c>
      <c r="P327" s="1" t="s">
        <v>32</v>
      </c>
      <c r="Q327" s="1" t="s">
        <v>8</v>
      </c>
      <c r="R327" s="1" t="s">
        <v>27</v>
      </c>
      <c r="S327" s="1" t="s">
        <v>33</v>
      </c>
      <c r="T327" s="1">
        <v>2017</v>
      </c>
      <c r="U327" s="1">
        <v>4</v>
      </c>
      <c r="V327" s="50">
        <v>42826</v>
      </c>
      <c r="W327" s="4">
        <v>3547.95</v>
      </c>
      <c r="X327" s="48">
        <v>3815</v>
      </c>
    </row>
    <row r="328" spans="2:24" x14ac:dyDescent="0.35">
      <c r="B328" s="8" t="s">
        <v>12</v>
      </c>
      <c r="C328" s="8" t="s">
        <v>34</v>
      </c>
      <c r="D328" s="8" t="s">
        <v>35</v>
      </c>
      <c r="E328" s="8" t="s">
        <v>23</v>
      </c>
      <c r="F328" s="6" t="s">
        <v>36</v>
      </c>
      <c r="G328" s="8">
        <v>2017</v>
      </c>
      <c r="H328" s="8">
        <v>4</v>
      </c>
      <c r="I328" s="10">
        <v>42826</v>
      </c>
      <c r="J328" s="11">
        <v>2771</v>
      </c>
      <c r="K328" s="51"/>
      <c r="O328" s="1" t="s">
        <v>12</v>
      </c>
      <c r="P328" s="1" t="s">
        <v>34</v>
      </c>
      <c r="Q328" s="1" t="s">
        <v>35</v>
      </c>
      <c r="R328" s="1" t="s">
        <v>23</v>
      </c>
      <c r="S328" t="s">
        <v>36</v>
      </c>
      <c r="T328" s="1">
        <v>2017</v>
      </c>
      <c r="U328" s="1">
        <v>4</v>
      </c>
      <c r="V328" s="50">
        <v>42826</v>
      </c>
      <c r="W328" s="4">
        <v>2577.0299999999997</v>
      </c>
      <c r="X328" s="48">
        <v>2771</v>
      </c>
    </row>
    <row r="329" spans="2:24" x14ac:dyDescent="0.35">
      <c r="B329" s="8" t="s">
        <v>14</v>
      </c>
      <c r="C329" s="8" t="s">
        <v>37</v>
      </c>
      <c r="D329" s="8" t="s">
        <v>38</v>
      </c>
      <c r="E329" s="8" t="s">
        <v>23</v>
      </c>
      <c r="F329" s="6" t="s">
        <v>24</v>
      </c>
      <c r="G329" s="8">
        <v>2017</v>
      </c>
      <c r="H329" s="8">
        <v>4</v>
      </c>
      <c r="I329" s="10">
        <v>42826</v>
      </c>
      <c r="J329" s="11">
        <v>2988</v>
      </c>
      <c r="K329" s="51"/>
      <c r="O329" s="1" t="s">
        <v>14</v>
      </c>
      <c r="P329" s="1" t="s">
        <v>37</v>
      </c>
      <c r="Q329" s="1" t="s">
        <v>38</v>
      </c>
      <c r="R329" s="1" t="s">
        <v>23</v>
      </c>
      <c r="S329" t="s">
        <v>24</v>
      </c>
      <c r="T329" s="1">
        <v>2017</v>
      </c>
      <c r="U329" s="1">
        <v>4</v>
      </c>
      <c r="V329" s="50">
        <v>42826</v>
      </c>
      <c r="W329" s="4">
        <v>2599.5600000000004</v>
      </c>
      <c r="X329" s="48">
        <v>2988</v>
      </c>
    </row>
    <row r="330" spans="2:24" x14ac:dyDescent="0.35">
      <c r="B330" s="8" t="s">
        <v>3</v>
      </c>
      <c r="C330" s="8" t="s">
        <v>25</v>
      </c>
      <c r="D330" s="8" t="s">
        <v>4</v>
      </c>
      <c r="E330" s="8" t="s">
        <v>23</v>
      </c>
      <c r="F330" s="6" t="s">
        <v>39</v>
      </c>
      <c r="G330" s="8">
        <v>2017</v>
      </c>
      <c r="H330" s="8">
        <v>4</v>
      </c>
      <c r="I330" s="10">
        <v>42826</v>
      </c>
      <c r="J330" s="11">
        <v>2153</v>
      </c>
      <c r="K330" s="51"/>
      <c r="O330" s="1" t="s">
        <v>3</v>
      </c>
      <c r="P330" s="1" t="s">
        <v>25</v>
      </c>
      <c r="Q330" s="1" t="s">
        <v>4</v>
      </c>
      <c r="R330" s="1" t="s">
        <v>23</v>
      </c>
      <c r="S330" t="s">
        <v>39</v>
      </c>
      <c r="T330" s="1">
        <v>2017</v>
      </c>
      <c r="U330" s="1">
        <v>4</v>
      </c>
      <c r="V330" s="50">
        <v>42826</v>
      </c>
      <c r="W330" s="4">
        <v>1873.1100000000001</v>
      </c>
      <c r="X330" s="48">
        <v>2153</v>
      </c>
    </row>
    <row r="331" spans="2:24" x14ac:dyDescent="0.35">
      <c r="B331" s="8" t="s">
        <v>6</v>
      </c>
      <c r="C331" s="8" t="s">
        <v>40</v>
      </c>
      <c r="D331" s="8" t="s">
        <v>41</v>
      </c>
      <c r="E331" s="9" t="s">
        <v>0</v>
      </c>
      <c r="F331" s="9" t="s">
        <v>42</v>
      </c>
      <c r="G331" s="8">
        <v>2017</v>
      </c>
      <c r="H331" s="8">
        <v>4</v>
      </c>
      <c r="I331" s="10">
        <v>42826</v>
      </c>
      <c r="J331" s="11">
        <v>4503</v>
      </c>
      <c r="K331" s="51"/>
      <c r="O331" s="1" t="s">
        <v>6</v>
      </c>
      <c r="P331" s="1" t="s">
        <v>40</v>
      </c>
      <c r="Q331" s="1" t="s">
        <v>41</v>
      </c>
      <c r="R331" s="2" t="s">
        <v>0</v>
      </c>
      <c r="S331" s="2" t="s">
        <v>42</v>
      </c>
      <c r="T331" s="1">
        <v>2017</v>
      </c>
      <c r="U331" s="1">
        <v>4</v>
      </c>
      <c r="V331" s="50">
        <v>42826</v>
      </c>
      <c r="W331" s="4">
        <v>4052.7</v>
      </c>
      <c r="X331" s="48">
        <v>4503</v>
      </c>
    </row>
    <row r="332" spans="2:24" x14ac:dyDescent="0.35">
      <c r="B332" s="8" t="s">
        <v>7</v>
      </c>
      <c r="C332" s="8" t="s">
        <v>43</v>
      </c>
      <c r="D332" s="8" t="s">
        <v>10</v>
      </c>
      <c r="E332" s="8" t="s">
        <v>0</v>
      </c>
      <c r="F332" s="9" t="s">
        <v>26</v>
      </c>
      <c r="G332" s="8">
        <v>2017</v>
      </c>
      <c r="H332" s="8">
        <v>4</v>
      </c>
      <c r="I332" s="10">
        <v>42826</v>
      </c>
      <c r="J332" s="11">
        <v>3900</v>
      </c>
      <c r="K332" s="51"/>
      <c r="O332" s="1" t="s">
        <v>7</v>
      </c>
      <c r="P332" s="1" t="s">
        <v>43</v>
      </c>
      <c r="Q332" s="1" t="s">
        <v>10</v>
      </c>
      <c r="R332" s="1" t="s">
        <v>0</v>
      </c>
      <c r="S332" s="2" t="s">
        <v>26</v>
      </c>
      <c r="T332" s="1">
        <v>2017</v>
      </c>
      <c r="U332" s="1">
        <v>4</v>
      </c>
      <c r="V332" s="50">
        <v>42826</v>
      </c>
      <c r="W332" s="4">
        <v>3431.9999999999995</v>
      </c>
      <c r="X332" s="48">
        <v>3900</v>
      </c>
    </row>
    <row r="333" spans="2:24" x14ac:dyDescent="0.35">
      <c r="B333" s="8" t="s">
        <v>12</v>
      </c>
      <c r="C333" s="8" t="s">
        <v>44</v>
      </c>
      <c r="D333" s="8" t="s">
        <v>13</v>
      </c>
      <c r="E333" s="8" t="s">
        <v>0</v>
      </c>
      <c r="F333" s="6" t="s">
        <v>45</v>
      </c>
      <c r="G333" s="8">
        <v>2017</v>
      </c>
      <c r="H333" s="8">
        <v>4</v>
      </c>
      <c r="I333" s="10">
        <v>42826</v>
      </c>
      <c r="J333" s="11">
        <v>2244</v>
      </c>
      <c r="K333" s="51"/>
      <c r="O333" s="1" t="s">
        <v>12</v>
      </c>
      <c r="P333" s="1" t="s">
        <v>44</v>
      </c>
      <c r="Q333" s="1" t="s">
        <v>13</v>
      </c>
      <c r="R333" s="1" t="s">
        <v>0</v>
      </c>
      <c r="S333" t="s">
        <v>45</v>
      </c>
      <c r="T333" s="1">
        <v>2017</v>
      </c>
      <c r="U333" s="1">
        <v>4</v>
      </c>
      <c r="V333" s="50">
        <v>42826</v>
      </c>
      <c r="W333" s="4">
        <v>2064.48</v>
      </c>
      <c r="X333" s="48">
        <v>2244</v>
      </c>
    </row>
    <row r="334" spans="2:24" x14ac:dyDescent="0.35">
      <c r="B334" s="8" t="s">
        <v>14</v>
      </c>
      <c r="C334" s="8" t="s">
        <v>46</v>
      </c>
      <c r="D334" s="8" t="s">
        <v>47</v>
      </c>
      <c r="E334" s="8" t="s">
        <v>27</v>
      </c>
      <c r="F334" s="8" t="s">
        <v>28</v>
      </c>
      <c r="G334" s="8">
        <v>2017</v>
      </c>
      <c r="H334" s="8">
        <v>4</v>
      </c>
      <c r="I334" s="10">
        <v>42826</v>
      </c>
      <c r="J334" s="11">
        <v>4744</v>
      </c>
      <c r="K334" s="51"/>
      <c r="O334" s="1" t="s">
        <v>14</v>
      </c>
      <c r="P334" s="1" t="s">
        <v>46</v>
      </c>
      <c r="Q334" s="1" t="s">
        <v>47</v>
      </c>
      <c r="R334" s="1" t="s">
        <v>27</v>
      </c>
      <c r="S334" s="1" t="s">
        <v>28</v>
      </c>
      <c r="T334" s="1">
        <v>2017</v>
      </c>
      <c r="U334" s="1">
        <v>4</v>
      </c>
      <c r="V334" s="50">
        <v>42826</v>
      </c>
      <c r="W334" s="4">
        <v>4174.7199999999993</v>
      </c>
      <c r="X334" s="48">
        <v>4744</v>
      </c>
    </row>
    <row r="335" spans="2:24" x14ac:dyDescent="0.35">
      <c r="B335" s="8" t="s">
        <v>3</v>
      </c>
      <c r="C335" s="8" t="s">
        <v>22</v>
      </c>
      <c r="D335" s="8" t="s">
        <v>5</v>
      </c>
      <c r="E335" s="8" t="s">
        <v>27</v>
      </c>
      <c r="F335" s="8" t="s">
        <v>31</v>
      </c>
      <c r="G335" s="8">
        <v>2017</v>
      </c>
      <c r="H335" s="8">
        <v>4</v>
      </c>
      <c r="I335" s="10">
        <v>42826</v>
      </c>
      <c r="J335" s="11">
        <v>2822</v>
      </c>
      <c r="K335" s="51"/>
      <c r="O335" s="1" t="s">
        <v>3</v>
      </c>
      <c r="P335" s="1" t="s">
        <v>22</v>
      </c>
      <c r="Q335" s="1" t="s">
        <v>5</v>
      </c>
      <c r="R335" s="1" t="s">
        <v>27</v>
      </c>
      <c r="S335" s="1" t="s">
        <v>31</v>
      </c>
      <c r="T335" s="1">
        <v>2017</v>
      </c>
      <c r="U335" s="1">
        <v>4</v>
      </c>
      <c r="V335" s="50">
        <v>42826</v>
      </c>
      <c r="W335" s="4">
        <v>2398.7000000000003</v>
      </c>
      <c r="X335" s="48">
        <v>2822</v>
      </c>
    </row>
    <row r="336" spans="2:24" x14ac:dyDescent="0.35">
      <c r="B336" s="8" t="s">
        <v>6</v>
      </c>
      <c r="C336" s="8" t="s">
        <v>29</v>
      </c>
      <c r="D336" s="8" t="s">
        <v>30</v>
      </c>
      <c r="E336" s="8" t="s">
        <v>27</v>
      </c>
      <c r="F336" s="8" t="s">
        <v>33</v>
      </c>
      <c r="G336" s="8">
        <v>2017</v>
      </c>
      <c r="H336" s="8">
        <v>4</v>
      </c>
      <c r="I336" s="10">
        <v>42826</v>
      </c>
      <c r="J336" s="11">
        <v>3578</v>
      </c>
      <c r="K336" s="51"/>
      <c r="O336" s="1" t="s">
        <v>6</v>
      </c>
      <c r="P336" s="1" t="s">
        <v>29</v>
      </c>
      <c r="Q336" s="1" t="s">
        <v>30</v>
      </c>
      <c r="R336" s="1" t="s">
        <v>27</v>
      </c>
      <c r="S336" s="1" t="s">
        <v>33</v>
      </c>
      <c r="T336" s="1">
        <v>2017</v>
      </c>
      <c r="U336" s="1">
        <v>4</v>
      </c>
      <c r="V336" s="50">
        <v>42826</v>
      </c>
      <c r="W336" s="4">
        <v>3291.7599999999998</v>
      </c>
      <c r="X336" s="48">
        <v>3578</v>
      </c>
    </row>
    <row r="337" spans="2:24" x14ac:dyDescent="0.35">
      <c r="B337" s="8" t="s">
        <v>7</v>
      </c>
      <c r="C337" s="8" t="s">
        <v>32</v>
      </c>
      <c r="D337" s="8" t="s">
        <v>8</v>
      </c>
      <c r="E337" s="8" t="s">
        <v>23</v>
      </c>
      <c r="F337" s="6" t="s">
        <v>36</v>
      </c>
      <c r="G337" s="8">
        <v>2017</v>
      </c>
      <c r="H337" s="8">
        <v>4</v>
      </c>
      <c r="I337" s="10">
        <v>42826</v>
      </c>
      <c r="J337" s="11">
        <v>1864</v>
      </c>
      <c r="K337" s="51"/>
      <c r="O337" s="1" t="s">
        <v>7</v>
      </c>
      <c r="P337" s="1" t="s">
        <v>32</v>
      </c>
      <c r="Q337" s="1" t="s">
        <v>8</v>
      </c>
      <c r="R337" s="1" t="s">
        <v>23</v>
      </c>
      <c r="S337" t="s">
        <v>36</v>
      </c>
      <c r="T337" s="1">
        <v>2017</v>
      </c>
      <c r="U337" s="1">
        <v>4</v>
      </c>
      <c r="V337" s="50">
        <v>42826</v>
      </c>
      <c r="W337" s="4">
        <v>1714.8799999999999</v>
      </c>
      <c r="X337" s="48">
        <v>1864</v>
      </c>
    </row>
    <row r="338" spans="2:24" x14ac:dyDescent="0.35">
      <c r="B338" s="8" t="s">
        <v>12</v>
      </c>
      <c r="C338" s="8" t="s">
        <v>34</v>
      </c>
      <c r="D338" s="8" t="s">
        <v>35</v>
      </c>
      <c r="E338" s="8" t="s">
        <v>23</v>
      </c>
      <c r="F338" s="6" t="s">
        <v>24</v>
      </c>
      <c r="G338" s="8">
        <v>2017</v>
      </c>
      <c r="H338" s="8">
        <v>4</v>
      </c>
      <c r="I338" s="10">
        <v>42826</v>
      </c>
      <c r="J338" s="11">
        <v>2835</v>
      </c>
      <c r="K338" s="51"/>
      <c r="O338" s="1" t="s">
        <v>12</v>
      </c>
      <c r="P338" s="1" t="s">
        <v>34</v>
      </c>
      <c r="Q338" s="1" t="s">
        <v>35</v>
      </c>
      <c r="R338" s="1" t="s">
        <v>23</v>
      </c>
      <c r="S338" t="s">
        <v>24</v>
      </c>
      <c r="T338" s="1">
        <v>2017</v>
      </c>
      <c r="U338" s="1">
        <v>4</v>
      </c>
      <c r="V338" s="50">
        <v>42826</v>
      </c>
      <c r="W338" s="4">
        <v>2608.1999999999998</v>
      </c>
      <c r="X338" s="48">
        <v>2835</v>
      </c>
    </row>
    <row r="339" spans="2:24" x14ac:dyDescent="0.35">
      <c r="B339" s="8" t="s">
        <v>14</v>
      </c>
      <c r="C339" s="8" t="s">
        <v>37</v>
      </c>
      <c r="D339" s="8" t="s">
        <v>38</v>
      </c>
      <c r="E339" s="8" t="s">
        <v>23</v>
      </c>
      <c r="F339" s="6" t="s">
        <v>39</v>
      </c>
      <c r="G339" s="8">
        <v>2017</v>
      </c>
      <c r="H339" s="8">
        <v>4</v>
      </c>
      <c r="I339" s="10">
        <v>42826</v>
      </c>
      <c r="J339" s="11">
        <v>1464</v>
      </c>
      <c r="K339" s="51"/>
      <c r="O339" s="1" t="s">
        <v>14</v>
      </c>
      <c r="P339" s="1" t="s">
        <v>37</v>
      </c>
      <c r="Q339" s="1" t="s">
        <v>38</v>
      </c>
      <c r="R339" s="1" t="s">
        <v>23</v>
      </c>
      <c r="S339" t="s">
        <v>39</v>
      </c>
      <c r="T339" s="1">
        <v>2017</v>
      </c>
      <c r="U339" s="1">
        <v>4</v>
      </c>
      <c r="V339" s="50">
        <v>42826</v>
      </c>
      <c r="W339" s="4">
        <v>1288.32</v>
      </c>
      <c r="X339" s="48">
        <v>1464</v>
      </c>
    </row>
    <row r="340" spans="2:24" x14ac:dyDescent="0.35">
      <c r="B340" s="8" t="s">
        <v>3</v>
      </c>
      <c r="C340" s="8" t="s">
        <v>25</v>
      </c>
      <c r="D340" s="8" t="s">
        <v>4</v>
      </c>
      <c r="E340" s="9" t="s">
        <v>0</v>
      </c>
      <c r="F340" s="9" t="s">
        <v>42</v>
      </c>
      <c r="G340" s="8">
        <v>2017</v>
      </c>
      <c r="H340" s="8">
        <v>4</v>
      </c>
      <c r="I340" s="10">
        <v>42826</v>
      </c>
      <c r="J340" s="11">
        <v>5729</v>
      </c>
      <c r="K340" s="51"/>
      <c r="O340" s="1" t="s">
        <v>3</v>
      </c>
      <c r="P340" s="1" t="s">
        <v>25</v>
      </c>
      <c r="Q340" s="1" t="s">
        <v>4</v>
      </c>
      <c r="R340" s="2" t="s">
        <v>0</v>
      </c>
      <c r="S340" s="2" t="s">
        <v>42</v>
      </c>
      <c r="T340" s="1">
        <v>2017</v>
      </c>
      <c r="U340" s="1">
        <v>4</v>
      </c>
      <c r="V340" s="50">
        <v>42826</v>
      </c>
      <c r="W340" s="4">
        <v>4926.9400000000005</v>
      </c>
      <c r="X340" s="48">
        <v>5729</v>
      </c>
    </row>
    <row r="341" spans="2:24" x14ac:dyDescent="0.35">
      <c r="B341" s="8" t="s">
        <v>6</v>
      </c>
      <c r="C341" s="8" t="s">
        <v>40</v>
      </c>
      <c r="D341" s="8" t="s">
        <v>41</v>
      </c>
      <c r="E341" s="8" t="s">
        <v>0</v>
      </c>
      <c r="F341" s="9" t="s">
        <v>26</v>
      </c>
      <c r="G341" s="8">
        <v>2017</v>
      </c>
      <c r="H341" s="8">
        <v>4</v>
      </c>
      <c r="I341" s="10">
        <v>42826</v>
      </c>
      <c r="J341" s="11">
        <v>4266</v>
      </c>
      <c r="K341" s="51"/>
      <c r="O341" s="1" t="s">
        <v>6</v>
      </c>
      <c r="P341" s="1" t="s">
        <v>40</v>
      </c>
      <c r="Q341" s="1" t="s">
        <v>41</v>
      </c>
      <c r="R341" s="1" t="s">
        <v>0</v>
      </c>
      <c r="S341" s="2" t="s">
        <v>26</v>
      </c>
      <c r="T341" s="1">
        <v>2017</v>
      </c>
      <c r="U341" s="1">
        <v>4</v>
      </c>
      <c r="V341" s="50">
        <v>42826</v>
      </c>
      <c r="W341" s="4">
        <v>3882.0599999999995</v>
      </c>
      <c r="X341" s="48">
        <v>4266</v>
      </c>
    </row>
    <row r="342" spans="2:24" x14ac:dyDescent="0.35">
      <c r="B342" s="8" t="s">
        <v>7</v>
      </c>
      <c r="C342" s="8" t="s">
        <v>43</v>
      </c>
      <c r="D342" s="8" t="s">
        <v>10</v>
      </c>
      <c r="E342" s="8" t="s">
        <v>0</v>
      </c>
      <c r="F342" s="6" t="s">
        <v>45</v>
      </c>
      <c r="G342" s="8">
        <v>2017</v>
      </c>
      <c r="H342" s="8">
        <v>4</v>
      </c>
      <c r="I342" s="10">
        <v>42826</v>
      </c>
      <c r="J342" s="11">
        <v>3506</v>
      </c>
      <c r="K342" s="51"/>
      <c r="O342" s="1" t="s">
        <v>7</v>
      </c>
      <c r="P342" s="1" t="s">
        <v>43</v>
      </c>
      <c r="Q342" s="1" t="s">
        <v>10</v>
      </c>
      <c r="R342" s="1" t="s">
        <v>0</v>
      </c>
      <c r="S342" t="s">
        <v>45</v>
      </c>
      <c r="T342" s="1">
        <v>2017</v>
      </c>
      <c r="U342" s="1">
        <v>4</v>
      </c>
      <c r="V342" s="50">
        <v>42826</v>
      </c>
      <c r="W342" s="4">
        <v>3295.64</v>
      </c>
      <c r="X342" s="48">
        <v>3506</v>
      </c>
    </row>
    <row r="343" spans="2:24" x14ac:dyDescent="0.35">
      <c r="B343" s="8" t="s">
        <v>12</v>
      </c>
      <c r="C343" s="8" t="s">
        <v>44</v>
      </c>
      <c r="D343" s="8" t="s">
        <v>13</v>
      </c>
      <c r="E343" s="8" t="s">
        <v>27</v>
      </c>
      <c r="F343" s="8" t="s">
        <v>28</v>
      </c>
      <c r="G343" s="8">
        <v>2017</v>
      </c>
      <c r="H343" s="8">
        <v>4</v>
      </c>
      <c r="I343" s="10">
        <v>42826</v>
      </c>
      <c r="J343" s="11">
        <v>4965</v>
      </c>
      <c r="K343" s="51"/>
      <c r="O343" s="1" t="s">
        <v>12</v>
      </c>
      <c r="P343" s="1" t="s">
        <v>44</v>
      </c>
      <c r="Q343" s="1" t="s">
        <v>13</v>
      </c>
      <c r="R343" s="1" t="s">
        <v>27</v>
      </c>
      <c r="S343" s="1" t="s">
        <v>28</v>
      </c>
      <c r="T343" s="1">
        <v>2017</v>
      </c>
      <c r="U343" s="1">
        <v>4</v>
      </c>
      <c r="V343" s="50">
        <v>42826</v>
      </c>
      <c r="W343" s="4">
        <v>4369.2</v>
      </c>
      <c r="X343" s="48">
        <v>4965</v>
      </c>
    </row>
    <row r="344" spans="2:24" x14ac:dyDescent="0.35">
      <c r="B344" s="8" t="s">
        <v>14</v>
      </c>
      <c r="C344" s="8" t="s">
        <v>46</v>
      </c>
      <c r="D344" s="8" t="s">
        <v>47</v>
      </c>
      <c r="E344" s="8" t="s">
        <v>27</v>
      </c>
      <c r="F344" s="8" t="s">
        <v>31</v>
      </c>
      <c r="G344" s="8">
        <v>2017</v>
      </c>
      <c r="H344" s="8">
        <v>4</v>
      </c>
      <c r="I344" s="10">
        <v>42826</v>
      </c>
      <c r="J344" s="11">
        <v>3174</v>
      </c>
      <c r="K344" s="51"/>
      <c r="O344" s="1" t="s">
        <v>14</v>
      </c>
      <c r="P344" s="1" t="s">
        <v>46</v>
      </c>
      <c r="Q344" s="1" t="s">
        <v>47</v>
      </c>
      <c r="R344" s="1" t="s">
        <v>27</v>
      </c>
      <c r="S344" s="1" t="s">
        <v>31</v>
      </c>
      <c r="T344" s="1">
        <v>2017</v>
      </c>
      <c r="U344" s="1">
        <v>4</v>
      </c>
      <c r="V344" s="50">
        <v>42826</v>
      </c>
      <c r="W344" s="4">
        <v>2697.9</v>
      </c>
      <c r="X344" s="48">
        <v>3174</v>
      </c>
    </row>
    <row r="345" spans="2:24" x14ac:dyDescent="0.35">
      <c r="B345" s="8" t="s">
        <v>3</v>
      </c>
      <c r="C345" s="8" t="s">
        <v>22</v>
      </c>
      <c r="D345" s="8" t="s">
        <v>5</v>
      </c>
      <c r="E345" s="8" t="s">
        <v>27</v>
      </c>
      <c r="F345" s="8" t="s">
        <v>33</v>
      </c>
      <c r="G345" s="8">
        <v>2017</v>
      </c>
      <c r="H345" s="8">
        <v>4</v>
      </c>
      <c r="I345" s="10">
        <v>42826</v>
      </c>
      <c r="J345" s="11">
        <v>2991</v>
      </c>
      <c r="K345" s="51"/>
      <c r="O345" s="1" t="s">
        <v>3</v>
      </c>
      <c r="P345" s="1" t="s">
        <v>22</v>
      </c>
      <c r="Q345" s="1" t="s">
        <v>5</v>
      </c>
      <c r="R345" s="1" t="s">
        <v>27</v>
      </c>
      <c r="S345" s="1" t="s">
        <v>33</v>
      </c>
      <c r="T345" s="1">
        <v>2017</v>
      </c>
      <c r="U345" s="1">
        <v>4</v>
      </c>
      <c r="V345" s="50">
        <v>42826</v>
      </c>
      <c r="W345" s="4">
        <v>2751.72</v>
      </c>
      <c r="X345" s="48">
        <v>2991</v>
      </c>
    </row>
    <row r="346" spans="2:24" x14ac:dyDescent="0.35">
      <c r="B346" s="8" t="s">
        <v>6</v>
      </c>
      <c r="C346" s="8" t="s">
        <v>29</v>
      </c>
      <c r="D346" s="8" t="s">
        <v>30</v>
      </c>
      <c r="E346" s="8" t="s">
        <v>23</v>
      </c>
      <c r="F346" s="6" t="s">
        <v>36</v>
      </c>
      <c r="G346" s="8">
        <v>2017</v>
      </c>
      <c r="H346" s="8">
        <v>4</v>
      </c>
      <c r="I346" s="10">
        <v>42826</v>
      </c>
      <c r="J346" s="11">
        <v>2669</v>
      </c>
      <c r="K346" s="51"/>
      <c r="O346" s="1" t="s">
        <v>6</v>
      </c>
      <c r="P346" s="1" t="s">
        <v>29</v>
      </c>
      <c r="Q346" s="1" t="s">
        <v>30</v>
      </c>
      <c r="R346" s="1" t="s">
        <v>23</v>
      </c>
      <c r="S346" t="s">
        <v>36</v>
      </c>
      <c r="T346" s="1">
        <v>2017</v>
      </c>
      <c r="U346" s="1">
        <v>4</v>
      </c>
      <c r="V346" s="50">
        <v>42826</v>
      </c>
      <c r="W346" s="4">
        <v>2348.7199999999998</v>
      </c>
      <c r="X346" s="48">
        <v>2669</v>
      </c>
    </row>
    <row r="347" spans="2:24" x14ac:dyDescent="0.35">
      <c r="B347" s="8" t="s">
        <v>7</v>
      </c>
      <c r="C347" s="8" t="s">
        <v>32</v>
      </c>
      <c r="D347" s="8" t="s">
        <v>8</v>
      </c>
      <c r="E347" s="8" t="s">
        <v>23</v>
      </c>
      <c r="F347" s="6" t="s">
        <v>24</v>
      </c>
      <c r="G347" s="8">
        <v>2017</v>
      </c>
      <c r="H347" s="8">
        <v>4</v>
      </c>
      <c r="I347" s="10">
        <v>42826</v>
      </c>
      <c r="J347" s="11">
        <v>2022</v>
      </c>
      <c r="K347" s="51"/>
      <c r="O347" s="1" t="s">
        <v>7</v>
      </c>
      <c r="P347" s="1" t="s">
        <v>32</v>
      </c>
      <c r="Q347" s="1" t="s">
        <v>8</v>
      </c>
      <c r="R347" s="1" t="s">
        <v>23</v>
      </c>
      <c r="S347" t="s">
        <v>24</v>
      </c>
      <c r="T347" s="1">
        <v>2017</v>
      </c>
      <c r="U347" s="1">
        <v>4</v>
      </c>
      <c r="V347" s="50">
        <v>42826</v>
      </c>
      <c r="W347" s="4">
        <v>1840.0199999999998</v>
      </c>
      <c r="X347" s="48">
        <v>2022</v>
      </c>
    </row>
    <row r="348" spans="2:24" x14ac:dyDescent="0.35">
      <c r="B348" s="8" t="s">
        <v>12</v>
      </c>
      <c r="C348" s="8" t="s">
        <v>34</v>
      </c>
      <c r="D348" s="8" t="s">
        <v>35</v>
      </c>
      <c r="E348" s="8" t="s">
        <v>23</v>
      </c>
      <c r="F348" s="6" t="s">
        <v>39</v>
      </c>
      <c r="G348" s="8">
        <v>2017</v>
      </c>
      <c r="H348" s="8">
        <v>4</v>
      </c>
      <c r="I348" s="10">
        <v>42826</v>
      </c>
      <c r="J348" s="11">
        <v>1345</v>
      </c>
      <c r="K348" s="51"/>
      <c r="O348" s="1" t="s">
        <v>12</v>
      </c>
      <c r="P348" s="1" t="s">
        <v>34</v>
      </c>
      <c r="Q348" s="1" t="s">
        <v>35</v>
      </c>
      <c r="R348" s="1" t="s">
        <v>23</v>
      </c>
      <c r="S348" t="s">
        <v>39</v>
      </c>
      <c r="T348" s="1">
        <v>2017</v>
      </c>
      <c r="U348" s="1">
        <v>4</v>
      </c>
      <c r="V348" s="50">
        <v>42826</v>
      </c>
      <c r="W348" s="4">
        <v>1143.25</v>
      </c>
      <c r="X348" s="48">
        <v>1345</v>
      </c>
    </row>
    <row r="349" spans="2:24" x14ac:dyDescent="0.35">
      <c r="B349" s="8" t="s">
        <v>14</v>
      </c>
      <c r="C349" s="8" t="s">
        <v>37</v>
      </c>
      <c r="D349" s="8" t="s">
        <v>38</v>
      </c>
      <c r="E349" s="9" t="s">
        <v>0</v>
      </c>
      <c r="F349" s="9" t="s">
        <v>42</v>
      </c>
      <c r="G349" s="8">
        <v>2017</v>
      </c>
      <c r="H349" s="8">
        <v>4</v>
      </c>
      <c r="I349" s="10">
        <v>42826</v>
      </c>
      <c r="J349" s="11">
        <v>4623</v>
      </c>
      <c r="K349" s="51"/>
      <c r="O349" s="1" t="s">
        <v>14</v>
      </c>
      <c r="P349" s="1" t="s">
        <v>37</v>
      </c>
      <c r="Q349" s="1" t="s">
        <v>38</v>
      </c>
      <c r="R349" s="2" t="s">
        <v>0</v>
      </c>
      <c r="S349" s="2" t="s">
        <v>42</v>
      </c>
      <c r="T349" s="1">
        <v>2017</v>
      </c>
      <c r="U349" s="1">
        <v>4</v>
      </c>
      <c r="V349" s="50">
        <v>42826</v>
      </c>
      <c r="W349" s="4">
        <v>4068.24</v>
      </c>
      <c r="X349" s="48">
        <v>4623</v>
      </c>
    </row>
    <row r="350" spans="2:24" x14ac:dyDescent="0.35">
      <c r="B350" s="8" t="s">
        <v>6</v>
      </c>
      <c r="C350" s="8" t="s">
        <v>29</v>
      </c>
      <c r="D350" s="8" t="s">
        <v>30</v>
      </c>
      <c r="E350" s="8" t="s">
        <v>0</v>
      </c>
      <c r="F350" s="9" t="s">
        <v>45</v>
      </c>
      <c r="G350" s="8">
        <v>2017</v>
      </c>
      <c r="H350" s="8">
        <v>4</v>
      </c>
      <c r="I350" s="10">
        <v>42826</v>
      </c>
      <c r="J350" s="11">
        <v>4917</v>
      </c>
      <c r="K350" s="51"/>
      <c r="O350" s="1" t="s">
        <v>6</v>
      </c>
      <c r="P350" s="1" t="s">
        <v>29</v>
      </c>
      <c r="Q350" s="1" t="s">
        <v>30</v>
      </c>
      <c r="R350" s="1" t="s">
        <v>0</v>
      </c>
      <c r="S350" s="2" t="s">
        <v>45</v>
      </c>
      <c r="T350" s="1">
        <v>2017</v>
      </c>
      <c r="U350" s="1">
        <v>4</v>
      </c>
      <c r="V350" s="50">
        <v>42826</v>
      </c>
      <c r="W350" s="4">
        <v>4474.4699999999993</v>
      </c>
      <c r="X350" s="48">
        <v>4917</v>
      </c>
    </row>
    <row r="351" spans="2:24" x14ac:dyDescent="0.35">
      <c r="B351" s="8" t="s">
        <v>7</v>
      </c>
      <c r="C351" s="8" t="s">
        <v>43</v>
      </c>
      <c r="D351" s="8" t="s">
        <v>10</v>
      </c>
      <c r="E351" s="8" t="s">
        <v>27</v>
      </c>
      <c r="F351" s="6" t="s">
        <v>28</v>
      </c>
      <c r="G351" s="8">
        <v>2017</v>
      </c>
      <c r="H351" s="8">
        <v>4</v>
      </c>
      <c r="I351" s="10">
        <v>42826</v>
      </c>
      <c r="J351" s="11">
        <v>4809</v>
      </c>
      <c r="K351" s="51"/>
      <c r="O351" s="1" t="s">
        <v>7</v>
      </c>
      <c r="P351" s="1" t="s">
        <v>43</v>
      </c>
      <c r="Q351" s="1" t="s">
        <v>10</v>
      </c>
      <c r="R351" s="1" t="s">
        <v>27</v>
      </c>
      <c r="S351" t="s">
        <v>28</v>
      </c>
      <c r="T351" s="1">
        <v>2017</v>
      </c>
      <c r="U351" s="1">
        <v>4</v>
      </c>
      <c r="V351" s="50">
        <v>42826</v>
      </c>
      <c r="W351" s="4">
        <v>4376.1899999999996</v>
      </c>
      <c r="X351" s="48">
        <v>4809</v>
      </c>
    </row>
    <row r="352" spans="2:24" x14ac:dyDescent="0.35">
      <c r="B352" s="8" t="s">
        <v>12</v>
      </c>
      <c r="C352" s="8" t="s">
        <v>44</v>
      </c>
      <c r="D352" s="8" t="s">
        <v>13</v>
      </c>
      <c r="E352" s="8" t="s">
        <v>27</v>
      </c>
      <c r="F352" s="8" t="s">
        <v>31</v>
      </c>
      <c r="G352" s="8">
        <v>2017</v>
      </c>
      <c r="H352" s="8">
        <v>4</v>
      </c>
      <c r="I352" s="10">
        <v>42826</v>
      </c>
      <c r="J352" s="11">
        <v>4242</v>
      </c>
      <c r="K352" s="51"/>
      <c r="O352" s="1" t="s">
        <v>12</v>
      </c>
      <c r="P352" s="1" t="s">
        <v>44</v>
      </c>
      <c r="Q352" s="1" t="s">
        <v>13</v>
      </c>
      <c r="R352" s="1" t="s">
        <v>27</v>
      </c>
      <c r="S352" s="1" t="s">
        <v>31</v>
      </c>
      <c r="T352" s="1">
        <v>2017</v>
      </c>
      <c r="U352" s="1">
        <v>4</v>
      </c>
      <c r="V352" s="50">
        <v>42826</v>
      </c>
      <c r="W352" s="4">
        <v>3817.7999999999997</v>
      </c>
      <c r="X352" s="48">
        <v>4242</v>
      </c>
    </row>
    <row r="353" spans="2:24" x14ac:dyDescent="0.35">
      <c r="B353" s="8" t="s">
        <v>14</v>
      </c>
      <c r="C353" s="8" t="s">
        <v>46</v>
      </c>
      <c r="D353" s="8" t="s">
        <v>47</v>
      </c>
      <c r="E353" s="8" t="s">
        <v>27</v>
      </c>
      <c r="F353" s="8" t="s">
        <v>33</v>
      </c>
      <c r="G353" s="8">
        <v>2017</v>
      </c>
      <c r="H353" s="8">
        <v>4</v>
      </c>
      <c r="I353" s="10">
        <v>42826</v>
      </c>
      <c r="J353" s="11">
        <v>3578</v>
      </c>
      <c r="K353" s="51"/>
      <c r="O353" s="1" t="s">
        <v>14</v>
      </c>
      <c r="P353" s="1" t="s">
        <v>46</v>
      </c>
      <c r="Q353" s="1" t="s">
        <v>47</v>
      </c>
      <c r="R353" s="1" t="s">
        <v>27</v>
      </c>
      <c r="S353" s="1" t="s">
        <v>33</v>
      </c>
      <c r="T353" s="1">
        <v>2017</v>
      </c>
      <c r="U353" s="1">
        <v>4</v>
      </c>
      <c r="V353" s="50">
        <v>42826</v>
      </c>
      <c r="W353" s="4">
        <v>3255.9799999999996</v>
      </c>
      <c r="X353" s="48">
        <v>3578</v>
      </c>
    </row>
    <row r="354" spans="2:24" x14ac:dyDescent="0.35">
      <c r="B354" s="8" t="s">
        <v>3</v>
      </c>
      <c r="C354" s="8" t="s">
        <v>22</v>
      </c>
      <c r="D354" s="8" t="s">
        <v>5</v>
      </c>
      <c r="E354" s="8" t="s">
        <v>23</v>
      </c>
      <c r="F354" s="8" t="s">
        <v>36</v>
      </c>
      <c r="G354" s="8">
        <v>2017</v>
      </c>
      <c r="H354" s="8">
        <v>4</v>
      </c>
      <c r="I354" s="10">
        <v>42826</v>
      </c>
      <c r="J354" s="11">
        <v>2738</v>
      </c>
      <c r="K354" s="51"/>
      <c r="O354" s="1" t="s">
        <v>3</v>
      </c>
      <c r="P354" s="1" t="s">
        <v>22</v>
      </c>
      <c r="Q354" s="1" t="s">
        <v>5</v>
      </c>
      <c r="R354" s="1" t="s">
        <v>23</v>
      </c>
      <c r="S354" s="1" t="s">
        <v>36</v>
      </c>
      <c r="T354" s="1">
        <v>2017</v>
      </c>
      <c r="U354" s="1">
        <v>4</v>
      </c>
      <c r="V354" s="50">
        <v>42826</v>
      </c>
      <c r="W354" s="4">
        <v>2409.4399999999996</v>
      </c>
      <c r="X354" s="48">
        <v>2738</v>
      </c>
    </row>
    <row r="355" spans="2:24" x14ac:dyDescent="0.35">
      <c r="B355" s="8" t="s">
        <v>6</v>
      </c>
      <c r="C355" s="8" t="s">
        <v>40</v>
      </c>
      <c r="D355" s="8" t="s">
        <v>41</v>
      </c>
      <c r="E355" s="8" t="s">
        <v>23</v>
      </c>
      <c r="F355" s="6" t="s">
        <v>24</v>
      </c>
      <c r="G355" s="8">
        <v>2017</v>
      </c>
      <c r="H355" s="8">
        <v>4</v>
      </c>
      <c r="I355" s="10">
        <v>42826</v>
      </c>
      <c r="J355" s="11">
        <v>2658</v>
      </c>
      <c r="K355" s="51"/>
      <c r="O355" s="1" t="s">
        <v>6</v>
      </c>
      <c r="P355" s="1" t="s">
        <v>40</v>
      </c>
      <c r="Q355" s="1" t="s">
        <v>41</v>
      </c>
      <c r="R355" s="1" t="s">
        <v>23</v>
      </c>
      <c r="S355" t="s">
        <v>24</v>
      </c>
      <c r="T355" s="1">
        <v>2017</v>
      </c>
      <c r="U355" s="1">
        <v>4</v>
      </c>
      <c r="V355" s="50">
        <v>42826</v>
      </c>
      <c r="W355" s="4">
        <v>2471.9399999999996</v>
      </c>
      <c r="X355" s="48">
        <v>2658</v>
      </c>
    </row>
    <row r="356" spans="2:24" x14ac:dyDescent="0.35">
      <c r="B356" s="8" t="s">
        <v>7</v>
      </c>
      <c r="C356" s="8" t="s">
        <v>32</v>
      </c>
      <c r="D356" s="8" t="s">
        <v>8</v>
      </c>
      <c r="E356" s="8" t="s">
        <v>23</v>
      </c>
      <c r="F356" s="6" t="s">
        <v>39</v>
      </c>
      <c r="G356" s="8">
        <v>2017</v>
      </c>
      <c r="H356" s="8">
        <v>4</v>
      </c>
      <c r="I356" s="10">
        <v>42826</v>
      </c>
      <c r="J356" s="11">
        <v>1967</v>
      </c>
      <c r="K356" s="51"/>
      <c r="O356" s="1" t="s">
        <v>7</v>
      </c>
      <c r="P356" s="1" t="s">
        <v>32</v>
      </c>
      <c r="Q356" s="1" t="s">
        <v>8</v>
      </c>
      <c r="R356" s="1" t="s">
        <v>23</v>
      </c>
      <c r="S356" t="s">
        <v>39</v>
      </c>
      <c r="T356" s="1">
        <v>2017</v>
      </c>
      <c r="U356" s="1">
        <v>4</v>
      </c>
      <c r="V356" s="50">
        <v>42826</v>
      </c>
      <c r="W356" s="4">
        <v>1711.2900000000002</v>
      </c>
      <c r="X356" s="48">
        <v>1967</v>
      </c>
    </row>
    <row r="357" spans="2:24" x14ac:dyDescent="0.35">
      <c r="B357" s="8" t="s">
        <v>12</v>
      </c>
      <c r="C357" s="8" t="s">
        <v>34</v>
      </c>
      <c r="D357" s="8" t="s">
        <v>35</v>
      </c>
      <c r="E357" s="8" t="s">
        <v>0</v>
      </c>
      <c r="F357" s="6" t="s">
        <v>42</v>
      </c>
      <c r="G357" s="8">
        <v>2017</v>
      </c>
      <c r="H357" s="8">
        <v>4</v>
      </c>
      <c r="I357" s="10">
        <v>42826</v>
      </c>
      <c r="J357" s="11">
        <v>5014</v>
      </c>
      <c r="K357" s="51"/>
      <c r="O357" s="1" t="s">
        <v>12</v>
      </c>
      <c r="P357" s="1" t="s">
        <v>34</v>
      </c>
      <c r="Q357" s="1" t="s">
        <v>35</v>
      </c>
      <c r="R357" s="1" t="s">
        <v>0</v>
      </c>
      <c r="S357" t="s">
        <v>42</v>
      </c>
      <c r="T357" s="1">
        <v>2017</v>
      </c>
      <c r="U357" s="1">
        <v>4</v>
      </c>
      <c r="V357" s="50">
        <v>42826</v>
      </c>
      <c r="W357" s="4">
        <v>4362.18</v>
      </c>
      <c r="X357" s="48">
        <v>5014</v>
      </c>
    </row>
    <row r="358" spans="2:24" x14ac:dyDescent="0.35">
      <c r="B358" s="8" t="s">
        <v>14</v>
      </c>
      <c r="C358" s="8" t="s">
        <v>37</v>
      </c>
      <c r="D358" s="8" t="s">
        <v>38</v>
      </c>
      <c r="E358" s="9" t="s">
        <v>0</v>
      </c>
      <c r="F358" s="9" t="s">
        <v>26</v>
      </c>
      <c r="G358" s="8">
        <v>2017</v>
      </c>
      <c r="H358" s="8">
        <v>4</v>
      </c>
      <c r="I358" s="10">
        <v>42826</v>
      </c>
      <c r="J358" s="11">
        <v>5279</v>
      </c>
      <c r="K358" s="51"/>
      <c r="O358" s="1" t="s">
        <v>14</v>
      </c>
      <c r="P358" s="1" t="s">
        <v>37</v>
      </c>
      <c r="Q358" s="1" t="s">
        <v>38</v>
      </c>
      <c r="R358" s="2" t="s">
        <v>0</v>
      </c>
      <c r="S358" s="2" t="s">
        <v>26</v>
      </c>
      <c r="T358" s="1">
        <v>2017</v>
      </c>
      <c r="U358" s="1">
        <v>4</v>
      </c>
      <c r="V358" s="50">
        <v>42826</v>
      </c>
      <c r="W358" s="4">
        <v>4803.8899999999994</v>
      </c>
      <c r="X358" s="48">
        <v>5279</v>
      </c>
    </row>
    <row r="359" spans="2:24" x14ac:dyDescent="0.35">
      <c r="B359" s="8" t="s">
        <v>3</v>
      </c>
      <c r="C359" s="8" t="s">
        <v>25</v>
      </c>
      <c r="D359" s="8" t="s">
        <v>4</v>
      </c>
      <c r="E359" s="8" t="s">
        <v>0</v>
      </c>
      <c r="F359" s="9" t="s">
        <v>45</v>
      </c>
      <c r="G359" s="8">
        <v>2017</v>
      </c>
      <c r="H359" s="8">
        <v>4</v>
      </c>
      <c r="I359" s="10">
        <v>42826</v>
      </c>
      <c r="J359" s="11">
        <v>4476</v>
      </c>
      <c r="K359" s="51"/>
      <c r="O359" s="1" t="s">
        <v>3</v>
      </c>
      <c r="P359" s="1" t="s">
        <v>25</v>
      </c>
      <c r="Q359" s="1" t="s">
        <v>4</v>
      </c>
      <c r="R359" s="1" t="s">
        <v>0</v>
      </c>
      <c r="S359" s="2" t="s">
        <v>45</v>
      </c>
      <c r="T359" s="1">
        <v>2017</v>
      </c>
      <c r="U359" s="1">
        <v>4</v>
      </c>
      <c r="V359" s="50">
        <v>42826</v>
      </c>
      <c r="W359" s="4">
        <v>4028.3999999999996</v>
      </c>
      <c r="X359" s="48">
        <v>4476</v>
      </c>
    </row>
    <row r="360" spans="2:24" x14ac:dyDescent="0.35">
      <c r="B360" s="8" t="s">
        <v>6</v>
      </c>
      <c r="C360" s="8" t="s">
        <v>29</v>
      </c>
      <c r="D360" s="8" t="s">
        <v>30</v>
      </c>
      <c r="E360" s="8" t="s">
        <v>27</v>
      </c>
      <c r="F360" s="6" t="s">
        <v>28</v>
      </c>
      <c r="G360" s="8">
        <v>2017</v>
      </c>
      <c r="H360" s="8">
        <v>4</v>
      </c>
      <c r="I360" s="10">
        <v>42826</v>
      </c>
      <c r="J360" s="11">
        <v>4134</v>
      </c>
      <c r="K360" s="51"/>
      <c r="O360" s="1" t="s">
        <v>6</v>
      </c>
      <c r="P360" s="1" t="s">
        <v>29</v>
      </c>
      <c r="Q360" s="1" t="s">
        <v>30</v>
      </c>
      <c r="R360" s="1" t="s">
        <v>27</v>
      </c>
      <c r="S360" t="s">
        <v>28</v>
      </c>
      <c r="T360" s="1">
        <v>2017</v>
      </c>
      <c r="U360" s="1">
        <v>4</v>
      </c>
      <c r="V360" s="50">
        <v>42826</v>
      </c>
      <c r="W360" s="4">
        <v>3637.9199999999996</v>
      </c>
      <c r="X360" s="48">
        <v>4134</v>
      </c>
    </row>
    <row r="361" spans="2:24" x14ac:dyDescent="0.35">
      <c r="B361" s="8" t="s">
        <v>7</v>
      </c>
      <c r="C361" s="8" t="s">
        <v>43</v>
      </c>
      <c r="D361" s="8" t="s">
        <v>10</v>
      </c>
      <c r="E361" s="8" t="s">
        <v>27</v>
      </c>
      <c r="F361" s="8" t="s">
        <v>31</v>
      </c>
      <c r="G361" s="8">
        <v>2017</v>
      </c>
      <c r="H361" s="8">
        <v>4</v>
      </c>
      <c r="I361" s="10">
        <v>42826</v>
      </c>
      <c r="J361" s="11">
        <v>4475</v>
      </c>
      <c r="K361" s="51"/>
      <c r="O361" s="1" t="s">
        <v>7</v>
      </c>
      <c r="P361" s="1" t="s">
        <v>43</v>
      </c>
      <c r="Q361" s="1" t="s">
        <v>10</v>
      </c>
      <c r="R361" s="1" t="s">
        <v>27</v>
      </c>
      <c r="S361" s="1" t="s">
        <v>31</v>
      </c>
      <c r="T361" s="1">
        <v>2017</v>
      </c>
      <c r="U361" s="1">
        <v>4</v>
      </c>
      <c r="V361" s="50">
        <v>42826</v>
      </c>
      <c r="W361" s="4">
        <v>4206.5</v>
      </c>
      <c r="X361" s="48">
        <v>4475</v>
      </c>
    </row>
    <row r="362" spans="2:24" x14ac:dyDescent="0.35">
      <c r="B362" s="8" t="s">
        <v>12</v>
      </c>
      <c r="C362" s="8" t="s">
        <v>44</v>
      </c>
      <c r="D362" s="8" t="s">
        <v>13</v>
      </c>
      <c r="E362" s="8" t="s">
        <v>27</v>
      </c>
      <c r="F362" s="8" t="s">
        <v>33</v>
      </c>
      <c r="G362" s="8">
        <v>2017</v>
      </c>
      <c r="H362" s="8">
        <v>4</v>
      </c>
      <c r="I362" s="10">
        <v>42826</v>
      </c>
      <c r="J362" s="11">
        <v>3222</v>
      </c>
      <c r="K362" s="51"/>
      <c r="O362" s="1" t="s">
        <v>12</v>
      </c>
      <c r="P362" s="1" t="s">
        <v>44</v>
      </c>
      <c r="Q362" s="1" t="s">
        <v>13</v>
      </c>
      <c r="R362" s="1" t="s">
        <v>27</v>
      </c>
      <c r="S362" s="1" t="s">
        <v>33</v>
      </c>
      <c r="T362" s="1">
        <v>2017</v>
      </c>
      <c r="U362" s="1">
        <v>4</v>
      </c>
      <c r="V362" s="50">
        <v>42826</v>
      </c>
      <c r="W362" s="4">
        <v>2738.7000000000003</v>
      </c>
      <c r="X362" s="48">
        <v>3222</v>
      </c>
    </row>
    <row r="363" spans="2:24" x14ac:dyDescent="0.35">
      <c r="B363" s="8" t="s">
        <v>14</v>
      </c>
      <c r="C363" s="8" t="s">
        <v>46</v>
      </c>
      <c r="D363" s="8" t="s">
        <v>47</v>
      </c>
      <c r="E363" s="8" t="s">
        <v>23</v>
      </c>
      <c r="F363" s="8" t="s">
        <v>36</v>
      </c>
      <c r="G363" s="8">
        <v>2017</v>
      </c>
      <c r="H363" s="8">
        <v>4</v>
      </c>
      <c r="I363" s="10">
        <v>42826</v>
      </c>
      <c r="J363" s="11">
        <v>1774</v>
      </c>
      <c r="K363" s="51"/>
      <c r="O363" s="1" t="s">
        <v>14</v>
      </c>
      <c r="P363" s="1" t="s">
        <v>46</v>
      </c>
      <c r="Q363" s="1" t="s">
        <v>47</v>
      </c>
      <c r="R363" s="1" t="s">
        <v>23</v>
      </c>
      <c r="S363" s="1" t="s">
        <v>36</v>
      </c>
      <c r="T363" s="1">
        <v>2017</v>
      </c>
      <c r="U363" s="1">
        <v>4</v>
      </c>
      <c r="V363" s="50">
        <v>42826</v>
      </c>
      <c r="W363" s="4">
        <v>1649.82</v>
      </c>
      <c r="X363" s="48">
        <v>1774</v>
      </c>
    </row>
    <row r="364" spans="2:24" x14ac:dyDescent="0.35">
      <c r="B364" s="8" t="s">
        <v>6</v>
      </c>
      <c r="C364" s="8" t="s">
        <v>29</v>
      </c>
      <c r="D364" s="8" t="s">
        <v>30</v>
      </c>
      <c r="E364" s="8" t="s">
        <v>23</v>
      </c>
      <c r="F364" s="6" t="s">
        <v>39</v>
      </c>
      <c r="G364" s="8">
        <v>2017</v>
      </c>
      <c r="H364" s="8">
        <v>4</v>
      </c>
      <c r="I364" s="10">
        <v>42826</v>
      </c>
      <c r="J364" s="11">
        <v>1667</v>
      </c>
      <c r="K364" s="51"/>
      <c r="O364" s="1" t="s">
        <v>6</v>
      </c>
      <c r="P364" s="1" t="s">
        <v>29</v>
      </c>
      <c r="Q364" s="1" t="s">
        <v>30</v>
      </c>
      <c r="R364" s="1" t="s">
        <v>23</v>
      </c>
      <c r="S364" t="s">
        <v>39</v>
      </c>
      <c r="T364" s="1">
        <v>2017</v>
      </c>
      <c r="U364" s="1">
        <v>4</v>
      </c>
      <c r="V364" s="50">
        <v>42826</v>
      </c>
      <c r="W364" s="4">
        <v>1450.2900000000002</v>
      </c>
      <c r="X364" s="48">
        <v>1667</v>
      </c>
    </row>
    <row r="365" spans="2:24" x14ac:dyDescent="0.35">
      <c r="B365" s="8" t="s">
        <v>7</v>
      </c>
      <c r="C365" s="8" t="s">
        <v>32</v>
      </c>
      <c r="D365" s="8" t="s">
        <v>8</v>
      </c>
      <c r="E365" s="8" t="s">
        <v>0</v>
      </c>
      <c r="F365" s="6" t="s">
        <v>42</v>
      </c>
      <c r="G365" s="8">
        <v>2017</v>
      </c>
      <c r="H365" s="8">
        <v>4</v>
      </c>
      <c r="I365" s="10">
        <v>42826</v>
      </c>
      <c r="J365" s="11">
        <v>5162</v>
      </c>
      <c r="K365" s="51"/>
      <c r="O365" s="1" t="s">
        <v>7</v>
      </c>
      <c r="P365" s="1" t="s">
        <v>32</v>
      </c>
      <c r="Q365" s="1" t="s">
        <v>8</v>
      </c>
      <c r="R365" s="1" t="s">
        <v>0</v>
      </c>
      <c r="S365" t="s">
        <v>42</v>
      </c>
      <c r="T365" s="1">
        <v>2017</v>
      </c>
      <c r="U365" s="1">
        <v>4</v>
      </c>
      <c r="V365" s="50">
        <v>42826</v>
      </c>
      <c r="W365" s="4">
        <v>4645.7999999999993</v>
      </c>
      <c r="X365" s="48">
        <v>5162</v>
      </c>
    </row>
    <row r="366" spans="2:24" x14ac:dyDescent="0.35">
      <c r="B366" s="8" t="s">
        <v>12</v>
      </c>
      <c r="C366" s="8" t="s">
        <v>44</v>
      </c>
      <c r="D366" s="8" t="s">
        <v>13</v>
      </c>
      <c r="E366" s="8" t="s">
        <v>0</v>
      </c>
      <c r="F366" s="6" t="s">
        <v>26</v>
      </c>
      <c r="G366" s="8">
        <v>2017</v>
      </c>
      <c r="H366" s="8">
        <v>4</v>
      </c>
      <c r="I366" s="10">
        <v>42826</v>
      </c>
      <c r="J366" s="11">
        <v>3580</v>
      </c>
      <c r="K366" s="51"/>
      <c r="O366" s="1" t="s">
        <v>12</v>
      </c>
      <c r="P366" s="1" t="s">
        <v>44</v>
      </c>
      <c r="Q366" s="1" t="s">
        <v>13</v>
      </c>
      <c r="R366" s="1" t="s">
        <v>0</v>
      </c>
      <c r="S366" t="s">
        <v>26</v>
      </c>
      <c r="T366" s="1">
        <v>2017</v>
      </c>
      <c r="U366" s="1">
        <v>4</v>
      </c>
      <c r="V366" s="50">
        <v>42826</v>
      </c>
      <c r="W366" s="4">
        <v>3329.3999999999996</v>
      </c>
      <c r="X366" s="48">
        <v>3580</v>
      </c>
    </row>
    <row r="367" spans="2:24" x14ac:dyDescent="0.35">
      <c r="B367" s="8" t="s">
        <v>14</v>
      </c>
      <c r="C367" s="8" t="s">
        <v>37</v>
      </c>
      <c r="D367" s="8" t="s">
        <v>38</v>
      </c>
      <c r="E367" s="9" t="s">
        <v>0</v>
      </c>
      <c r="F367" s="9" t="s">
        <v>45</v>
      </c>
      <c r="G367" s="8">
        <v>2017</v>
      </c>
      <c r="H367" s="8">
        <v>4</v>
      </c>
      <c r="I367" s="10">
        <v>42826</v>
      </c>
      <c r="J367" s="11">
        <v>2510</v>
      </c>
      <c r="K367" s="51"/>
      <c r="O367" s="1" t="s">
        <v>14</v>
      </c>
      <c r="P367" s="1" t="s">
        <v>37</v>
      </c>
      <c r="Q367" s="1" t="s">
        <v>38</v>
      </c>
      <c r="R367" s="2" t="s">
        <v>0</v>
      </c>
      <c r="S367" s="2" t="s">
        <v>45</v>
      </c>
      <c r="T367" s="1">
        <v>2017</v>
      </c>
      <c r="U367" s="1">
        <v>4</v>
      </c>
      <c r="V367" s="50">
        <v>42826</v>
      </c>
      <c r="W367" s="4">
        <v>2259</v>
      </c>
      <c r="X367" s="48">
        <v>2510</v>
      </c>
    </row>
    <row r="368" spans="2:24" x14ac:dyDescent="0.35">
      <c r="B368" s="8" t="s">
        <v>3</v>
      </c>
      <c r="C368" s="8" t="s">
        <v>25</v>
      </c>
      <c r="D368" s="8" t="s">
        <v>4</v>
      </c>
      <c r="E368" s="8" t="s">
        <v>27</v>
      </c>
      <c r="F368" s="9" t="s">
        <v>28</v>
      </c>
      <c r="G368" s="8">
        <v>2017</v>
      </c>
      <c r="H368" s="8">
        <v>4</v>
      </c>
      <c r="I368" s="10">
        <v>42826</v>
      </c>
      <c r="J368" s="11">
        <v>4552</v>
      </c>
      <c r="K368" s="51"/>
      <c r="O368" s="1" t="s">
        <v>3</v>
      </c>
      <c r="P368" s="1" t="s">
        <v>25</v>
      </c>
      <c r="Q368" s="1" t="s">
        <v>4</v>
      </c>
      <c r="R368" s="1" t="s">
        <v>27</v>
      </c>
      <c r="S368" s="2" t="s">
        <v>28</v>
      </c>
      <c r="T368" s="1">
        <v>2017</v>
      </c>
      <c r="U368" s="1">
        <v>4</v>
      </c>
      <c r="V368" s="50">
        <v>42826</v>
      </c>
      <c r="W368" s="4">
        <v>4051.2799999999997</v>
      </c>
      <c r="X368" s="48">
        <v>4552</v>
      </c>
    </row>
    <row r="369" spans="2:24" x14ac:dyDescent="0.35">
      <c r="B369" s="8" t="s">
        <v>3</v>
      </c>
      <c r="C369" s="8" t="s">
        <v>25</v>
      </c>
      <c r="D369" s="8" t="s">
        <v>4</v>
      </c>
      <c r="E369" s="8" t="s">
        <v>27</v>
      </c>
      <c r="F369" s="6" t="s">
        <v>31</v>
      </c>
      <c r="G369" s="8">
        <v>2017</v>
      </c>
      <c r="H369" s="8">
        <v>4</v>
      </c>
      <c r="I369" s="10">
        <v>42826</v>
      </c>
      <c r="J369" s="11">
        <v>4662</v>
      </c>
      <c r="K369" s="51"/>
      <c r="O369" s="1" t="s">
        <v>3</v>
      </c>
      <c r="P369" s="1" t="s">
        <v>25</v>
      </c>
      <c r="Q369" s="1" t="s">
        <v>4</v>
      </c>
      <c r="R369" s="1" t="s">
        <v>27</v>
      </c>
      <c r="S369" t="s">
        <v>31</v>
      </c>
      <c r="T369" s="1">
        <v>2017</v>
      </c>
      <c r="U369" s="1">
        <v>4</v>
      </c>
      <c r="V369" s="50">
        <v>42826</v>
      </c>
      <c r="W369" s="4">
        <v>4289.04</v>
      </c>
      <c r="X369" s="48">
        <v>4662</v>
      </c>
    </row>
    <row r="370" spans="2:24" x14ac:dyDescent="0.35">
      <c r="B370" s="8" t="s">
        <v>6</v>
      </c>
      <c r="C370" s="8" t="s">
        <v>40</v>
      </c>
      <c r="D370" s="8" t="s">
        <v>41</v>
      </c>
      <c r="E370" s="8" t="s">
        <v>27</v>
      </c>
      <c r="F370" s="8" t="s">
        <v>33</v>
      </c>
      <c r="G370" s="8">
        <v>2017</v>
      </c>
      <c r="H370" s="8">
        <v>4</v>
      </c>
      <c r="I370" s="10">
        <v>42826</v>
      </c>
      <c r="J370" s="11">
        <v>2808</v>
      </c>
      <c r="K370" s="51"/>
      <c r="O370" s="1" t="s">
        <v>6</v>
      </c>
      <c r="P370" s="1" t="s">
        <v>40</v>
      </c>
      <c r="Q370" s="1" t="s">
        <v>41</v>
      </c>
      <c r="R370" s="1" t="s">
        <v>27</v>
      </c>
      <c r="S370" s="1" t="s">
        <v>33</v>
      </c>
      <c r="T370" s="1">
        <v>2017</v>
      </c>
      <c r="U370" s="1">
        <v>4</v>
      </c>
      <c r="V370" s="50">
        <v>42826</v>
      </c>
      <c r="W370" s="4">
        <v>2386.8000000000002</v>
      </c>
      <c r="X370" s="48">
        <v>2808</v>
      </c>
    </row>
    <row r="371" spans="2:24" x14ac:dyDescent="0.35">
      <c r="B371" s="8" t="s">
        <v>6</v>
      </c>
      <c r="C371" s="8" t="s">
        <v>40</v>
      </c>
      <c r="D371" s="8" t="s">
        <v>41</v>
      </c>
      <c r="E371" s="8" t="s">
        <v>23</v>
      </c>
      <c r="F371" s="8" t="s">
        <v>36</v>
      </c>
      <c r="G371" s="8">
        <v>2017</v>
      </c>
      <c r="H371" s="8">
        <v>4</v>
      </c>
      <c r="I371" s="10">
        <v>42826</v>
      </c>
      <c r="J371" s="11">
        <v>1859</v>
      </c>
      <c r="K371" s="51"/>
      <c r="O371" s="1" t="s">
        <v>6</v>
      </c>
      <c r="P371" s="1" t="s">
        <v>40</v>
      </c>
      <c r="Q371" s="1" t="s">
        <v>41</v>
      </c>
      <c r="R371" s="1" t="s">
        <v>23</v>
      </c>
      <c r="S371" s="1" t="s">
        <v>36</v>
      </c>
      <c r="T371" s="1">
        <v>2017</v>
      </c>
      <c r="U371" s="1">
        <v>4</v>
      </c>
      <c r="V371" s="50">
        <v>42826</v>
      </c>
      <c r="W371" s="4">
        <v>1654.5099999999998</v>
      </c>
      <c r="X371" s="48">
        <v>1859</v>
      </c>
    </row>
    <row r="372" spans="2:24" x14ac:dyDescent="0.35">
      <c r="B372" s="8" t="s">
        <v>7</v>
      </c>
      <c r="C372" s="8" t="s">
        <v>43</v>
      </c>
      <c r="D372" s="8" t="s">
        <v>10</v>
      </c>
      <c r="E372" s="8" t="s">
        <v>23</v>
      </c>
      <c r="F372" s="8" t="s">
        <v>24</v>
      </c>
      <c r="G372" s="8">
        <v>2017</v>
      </c>
      <c r="H372" s="8">
        <v>4</v>
      </c>
      <c r="I372" s="10">
        <v>42826</v>
      </c>
      <c r="J372" s="11">
        <v>3227</v>
      </c>
      <c r="K372" s="51"/>
      <c r="O372" s="1" t="s">
        <v>7</v>
      </c>
      <c r="P372" s="1" t="s">
        <v>43</v>
      </c>
      <c r="Q372" s="1" t="s">
        <v>10</v>
      </c>
      <c r="R372" s="1" t="s">
        <v>23</v>
      </c>
      <c r="S372" s="1" t="s">
        <v>24</v>
      </c>
      <c r="T372" s="1">
        <v>2017</v>
      </c>
      <c r="U372" s="1">
        <v>4</v>
      </c>
      <c r="V372" s="50">
        <v>42826</v>
      </c>
      <c r="W372" s="4">
        <v>2872.0299999999997</v>
      </c>
      <c r="X372" s="48">
        <v>3227</v>
      </c>
    </row>
    <row r="373" spans="2:24" x14ac:dyDescent="0.35">
      <c r="B373" s="8" t="s">
        <v>7</v>
      </c>
      <c r="C373" s="8" t="s">
        <v>43</v>
      </c>
      <c r="D373" s="8" t="s">
        <v>10</v>
      </c>
      <c r="E373" s="8" t="s">
        <v>23</v>
      </c>
      <c r="F373" s="6" t="s">
        <v>39</v>
      </c>
      <c r="G373" s="8">
        <v>2017</v>
      </c>
      <c r="H373" s="8">
        <v>4</v>
      </c>
      <c r="I373" s="10">
        <v>42826</v>
      </c>
      <c r="J373" s="11">
        <v>1626</v>
      </c>
      <c r="K373" s="51"/>
      <c r="O373" s="1" t="s">
        <v>7</v>
      </c>
      <c r="P373" s="1" t="s">
        <v>43</v>
      </c>
      <c r="Q373" s="1" t="s">
        <v>10</v>
      </c>
      <c r="R373" s="1" t="s">
        <v>23</v>
      </c>
      <c r="S373" t="s">
        <v>39</v>
      </c>
      <c r="T373" s="1">
        <v>2017</v>
      </c>
      <c r="U373" s="1">
        <v>4</v>
      </c>
      <c r="V373" s="50">
        <v>42826</v>
      </c>
      <c r="W373" s="4">
        <v>1398.3600000000001</v>
      </c>
      <c r="X373" s="48">
        <v>1626</v>
      </c>
    </row>
    <row r="374" spans="2:24" x14ac:dyDescent="0.35">
      <c r="B374" s="8" t="s">
        <v>7</v>
      </c>
      <c r="C374" s="8" t="s">
        <v>32</v>
      </c>
      <c r="D374" s="8" t="s">
        <v>8</v>
      </c>
      <c r="E374" s="8" t="s">
        <v>0</v>
      </c>
      <c r="F374" s="6" t="s">
        <v>26</v>
      </c>
      <c r="G374" s="8">
        <v>2017</v>
      </c>
      <c r="H374" s="8">
        <v>4</v>
      </c>
      <c r="I374" s="10">
        <v>42826</v>
      </c>
      <c r="J374" s="11">
        <v>4706</v>
      </c>
      <c r="K374" s="51"/>
      <c r="O374" s="1" t="s">
        <v>7</v>
      </c>
      <c r="P374" s="1" t="s">
        <v>32</v>
      </c>
      <c r="Q374" s="1" t="s">
        <v>8</v>
      </c>
      <c r="R374" s="1" t="s">
        <v>0</v>
      </c>
      <c r="S374" t="s">
        <v>26</v>
      </c>
      <c r="T374" s="1">
        <v>2017</v>
      </c>
      <c r="U374" s="1">
        <v>4</v>
      </c>
      <c r="V374" s="50">
        <v>42826</v>
      </c>
      <c r="W374" s="4">
        <v>4188.3399999999992</v>
      </c>
      <c r="X374" s="48">
        <v>4706</v>
      </c>
    </row>
    <row r="375" spans="2:24" x14ac:dyDescent="0.35">
      <c r="B375" s="8" t="s">
        <v>3</v>
      </c>
      <c r="C375" s="8" t="s">
        <v>22</v>
      </c>
      <c r="D375" s="8" t="s">
        <v>5</v>
      </c>
      <c r="E375" s="8" t="s">
        <v>0</v>
      </c>
      <c r="F375" s="6" t="s">
        <v>45</v>
      </c>
      <c r="G375" s="8">
        <v>2017</v>
      </c>
      <c r="H375" s="8">
        <v>4</v>
      </c>
      <c r="I375" s="10">
        <v>42826</v>
      </c>
      <c r="J375" s="11">
        <v>3246</v>
      </c>
      <c r="K375" s="51"/>
      <c r="O375" s="1" t="s">
        <v>3</v>
      </c>
      <c r="P375" s="1" t="s">
        <v>22</v>
      </c>
      <c r="Q375" s="1" t="s">
        <v>5</v>
      </c>
      <c r="R375" s="1" t="s">
        <v>0</v>
      </c>
      <c r="S375" t="s">
        <v>45</v>
      </c>
      <c r="T375" s="1">
        <v>2017</v>
      </c>
      <c r="U375" s="1">
        <v>4</v>
      </c>
      <c r="V375" s="50">
        <v>42826</v>
      </c>
      <c r="W375" s="4">
        <v>2953.8599999999997</v>
      </c>
      <c r="X375" s="48">
        <v>3246</v>
      </c>
    </row>
    <row r="376" spans="2:24" x14ac:dyDescent="0.35">
      <c r="B376" s="8" t="s">
        <v>7</v>
      </c>
      <c r="C376" s="8" t="s">
        <v>48</v>
      </c>
      <c r="D376" s="8" t="s">
        <v>9</v>
      </c>
      <c r="E376" s="9" t="s">
        <v>23</v>
      </c>
      <c r="F376" s="9" t="s">
        <v>36</v>
      </c>
      <c r="G376" s="8">
        <v>2017</v>
      </c>
      <c r="H376" s="8">
        <v>4</v>
      </c>
      <c r="I376" s="10">
        <v>42826</v>
      </c>
      <c r="J376" s="11">
        <v>1750</v>
      </c>
      <c r="K376" s="51"/>
      <c r="O376" s="1" t="s">
        <v>7</v>
      </c>
      <c r="P376" s="1" t="s">
        <v>48</v>
      </c>
      <c r="Q376" s="1" t="s">
        <v>9</v>
      </c>
      <c r="R376" s="2" t="s">
        <v>23</v>
      </c>
      <c r="S376" s="2" t="s">
        <v>36</v>
      </c>
      <c r="T376" s="1">
        <v>2017</v>
      </c>
      <c r="U376" s="1">
        <v>4</v>
      </c>
      <c r="V376" s="50">
        <v>42826</v>
      </c>
      <c r="W376" s="4">
        <v>1574.9999999999998</v>
      </c>
      <c r="X376" s="48">
        <v>1750</v>
      </c>
    </row>
    <row r="377" spans="2:24" x14ac:dyDescent="0.35">
      <c r="B377" s="8" t="s">
        <v>7</v>
      </c>
      <c r="C377" s="8" t="s">
        <v>48</v>
      </c>
      <c r="D377" s="8" t="s">
        <v>9</v>
      </c>
      <c r="E377" s="8" t="s">
        <v>23</v>
      </c>
      <c r="F377" s="9" t="s">
        <v>24</v>
      </c>
      <c r="G377" s="8">
        <v>2017</v>
      </c>
      <c r="H377" s="8">
        <v>4</v>
      </c>
      <c r="I377" s="10">
        <v>42826</v>
      </c>
      <c r="J377" s="11">
        <v>2019</v>
      </c>
      <c r="K377" s="51"/>
      <c r="O377" s="1" t="s">
        <v>7</v>
      </c>
      <c r="P377" s="1" t="s">
        <v>48</v>
      </c>
      <c r="Q377" s="1" t="s">
        <v>9</v>
      </c>
      <c r="R377" s="1" t="s">
        <v>23</v>
      </c>
      <c r="S377" s="2" t="s">
        <v>24</v>
      </c>
      <c r="T377" s="1">
        <v>2017</v>
      </c>
      <c r="U377" s="1">
        <v>4</v>
      </c>
      <c r="V377" s="50">
        <v>42826</v>
      </c>
      <c r="W377" s="4">
        <v>1796.9099999999999</v>
      </c>
      <c r="X377" s="48">
        <v>2019</v>
      </c>
    </row>
    <row r="378" spans="2:24" x14ac:dyDescent="0.35">
      <c r="B378" s="8" t="s">
        <v>7</v>
      </c>
      <c r="C378" s="8" t="s">
        <v>49</v>
      </c>
      <c r="D378" s="8" t="s">
        <v>11</v>
      </c>
      <c r="E378" s="8" t="s">
        <v>23</v>
      </c>
      <c r="F378" s="6" t="s">
        <v>39</v>
      </c>
      <c r="G378" s="8">
        <v>2017</v>
      </c>
      <c r="H378" s="8">
        <v>4</v>
      </c>
      <c r="I378" s="10">
        <v>42826</v>
      </c>
      <c r="J378" s="11">
        <v>2862</v>
      </c>
      <c r="K378" s="51"/>
      <c r="O378" s="1" t="s">
        <v>7</v>
      </c>
      <c r="P378" s="1" t="s">
        <v>49</v>
      </c>
      <c r="Q378" s="1" t="s">
        <v>11</v>
      </c>
      <c r="R378" s="1" t="s">
        <v>23</v>
      </c>
      <c r="S378" t="s">
        <v>39</v>
      </c>
      <c r="T378" s="1">
        <v>2017</v>
      </c>
      <c r="U378" s="1">
        <v>4</v>
      </c>
      <c r="V378" s="50">
        <v>42826</v>
      </c>
      <c r="W378" s="4">
        <v>2633.04</v>
      </c>
      <c r="X378" s="48">
        <v>2862</v>
      </c>
    </row>
    <row r="379" spans="2:24" x14ac:dyDescent="0.35">
      <c r="B379" s="8" t="s">
        <v>7</v>
      </c>
      <c r="C379" s="8" t="s">
        <v>49</v>
      </c>
      <c r="D379" s="8" t="s">
        <v>11</v>
      </c>
      <c r="E379" s="8" t="s">
        <v>0</v>
      </c>
      <c r="F379" s="8" t="s">
        <v>42</v>
      </c>
      <c r="G379" s="8">
        <v>2017</v>
      </c>
      <c r="H379" s="8">
        <v>4</v>
      </c>
      <c r="I379" s="10">
        <v>42826</v>
      </c>
      <c r="J379" s="11">
        <v>4280</v>
      </c>
      <c r="K379" s="51"/>
      <c r="O379" s="1" t="s">
        <v>7</v>
      </c>
      <c r="P379" s="1" t="s">
        <v>49</v>
      </c>
      <c r="Q379" s="1" t="s">
        <v>11</v>
      </c>
      <c r="R379" s="1" t="s">
        <v>0</v>
      </c>
      <c r="S379" s="1" t="s">
        <v>42</v>
      </c>
      <c r="T379" s="1">
        <v>2017</v>
      </c>
      <c r="U379" s="1">
        <v>4</v>
      </c>
      <c r="V379" s="50">
        <v>42826</v>
      </c>
      <c r="W379" s="4">
        <v>3723.6000000000004</v>
      </c>
      <c r="X379" s="48">
        <v>4280</v>
      </c>
    </row>
    <row r="380" spans="2:24" x14ac:dyDescent="0.35">
      <c r="B380" s="8" t="s">
        <v>12</v>
      </c>
      <c r="C380" s="8" t="s">
        <v>34</v>
      </c>
      <c r="D380" s="8" t="s">
        <v>35</v>
      </c>
      <c r="E380" s="8" t="s">
        <v>0</v>
      </c>
      <c r="F380" s="8" t="s">
        <v>26</v>
      </c>
      <c r="G380" s="8">
        <v>2017</v>
      </c>
      <c r="H380" s="8">
        <v>4</v>
      </c>
      <c r="I380" s="10">
        <v>42826</v>
      </c>
      <c r="J380" s="11">
        <v>3684</v>
      </c>
      <c r="K380" s="51"/>
      <c r="O380" s="1" t="s">
        <v>12</v>
      </c>
      <c r="P380" s="1" t="s">
        <v>34</v>
      </c>
      <c r="Q380" s="1" t="s">
        <v>35</v>
      </c>
      <c r="R380" s="1" t="s">
        <v>0</v>
      </c>
      <c r="S380" s="1" t="s">
        <v>26</v>
      </c>
      <c r="T380" s="1">
        <v>2017</v>
      </c>
      <c r="U380" s="1">
        <v>4</v>
      </c>
      <c r="V380" s="50">
        <v>42826</v>
      </c>
      <c r="W380" s="4">
        <v>3205.0800000000004</v>
      </c>
      <c r="X380" s="48">
        <v>3684</v>
      </c>
    </row>
    <row r="381" spans="2:24" x14ac:dyDescent="0.35">
      <c r="B381" s="8" t="s">
        <v>12</v>
      </c>
      <c r="C381" s="8" t="s">
        <v>34</v>
      </c>
      <c r="D381" s="8" t="s">
        <v>35</v>
      </c>
      <c r="E381" s="8" t="s">
        <v>0</v>
      </c>
      <c r="F381" s="8" t="s">
        <v>45</v>
      </c>
      <c r="G381" s="8">
        <v>2017</v>
      </c>
      <c r="H381" s="8">
        <v>4</v>
      </c>
      <c r="I381" s="10">
        <v>42826</v>
      </c>
      <c r="J381" s="11">
        <v>4455</v>
      </c>
      <c r="K381" s="51"/>
      <c r="O381" s="1" t="s">
        <v>12</v>
      </c>
      <c r="P381" s="1" t="s">
        <v>34</v>
      </c>
      <c r="Q381" s="1" t="s">
        <v>35</v>
      </c>
      <c r="R381" s="1" t="s">
        <v>0</v>
      </c>
      <c r="S381" s="1" t="s">
        <v>45</v>
      </c>
      <c r="T381" s="1">
        <v>2017</v>
      </c>
      <c r="U381" s="1">
        <v>4</v>
      </c>
      <c r="V381" s="50">
        <v>42826</v>
      </c>
      <c r="W381" s="4">
        <v>3786.7500000000005</v>
      </c>
      <c r="X381" s="48">
        <v>4455</v>
      </c>
    </row>
    <row r="382" spans="2:24" x14ac:dyDescent="0.35">
      <c r="B382" s="8" t="s">
        <v>14</v>
      </c>
      <c r="C382" s="8" t="s">
        <v>37</v>
      </c>
      <c r="D382" s="8" t="s">
        <v>38</v>
      </c>
      <c r="E382" s="8" t="s">
        <v>27</v>
      </c>
      <c r="F382" s="6" t="s">
        <v>28</v>
      </c>
      <c r="G382" s="8">
        <v>2017</v>
      </c>
      <c r="H382" s="8">
        <v>4</v>
      </c>
      <c r="I382" s="10">
        <v>42826</v>
      </c>
      <c r="J382" s="11">
        <v>3906</v>
      </c>
      <c r="K382" s="51"/>
      <c r="O382" s="1" t="s">
        <v>14</v>
      </c>
      <c r="P382" s="1" t="s">
        <v>37</v>
      </c>
      <c r="Q382" s="1" t="s">
        <v>38</v>
      </c>
      <c r="R382" s="1" t="s">
        <v>27</v>
      </c>
      <c r="S382" t="s">
        <v>28</v>
      </c>
      <c r="T382" s="1">
        <v>2017</v>
      </c>
      <c r="U382" s="1">
        <v>4</v>
      </c>
      <c r="V382" s="50">
        <v>42826</v>
      </c>
      <c r="W382" s="4">
        <v>3593.5199999999995</v>
      </c>
      <c r="X382" s="48">
        <v>3906</v>
      </c>
    </row>
    <row r="383" spans="2:24" x14ac:dyDescent="0.35">
      <c r="B383" s="8" t="s">
        <v>14</v>
      </c>
      <c r="C383" s="8" t="s">
        <v>37</v>
      </c>
      <c r="D383" s="8" t="s">
        <v>38</v>
      </c>
      <c r="E383" s="8" t="s">
        <v>27</v>
      </c>
      <c r="F383" s="6" t="s">
        <v>31</v>
      </c>
      <c r="G383" s="8">
        <v>2017</v>
      </c>
      <c r="H383" s="8">
        <v>4</v>
      </c>
      <c r="I383" s="10">
        <v>42826</v>
      </c>
      <c r="J383" s="11">
        <v>3310</v>
      </c>
      <c r="K383" s="51"/>
      <c r="O383" s="1" t="s">
        <v>14</v>
      </c>
      <c r="P383" s="1" t="s">
        <v>37</v>
      </c>
      <c r="Q383" s="1" t="s">
        <v>38</v>
      </c>
      <c r="R383" s="1" t="s">
        <v>27</v>
      </c>
      <c r="S383" t="s">
        <v>31</v>
      </c>
      <c r="T383" s="1">
        <v>2017</v>
      </c>
      <c r="U383" s="1">
        <v>4</v>
      </c>
      <c r="V383" s="50">
        <v>42826</v>
      </c>
      <c r="W383" s="4">
        <v>2813.5000000000005</v>
      </c>
      <c r="X383" s="48">
        <v>3310</v>
      </c>
    </row>
    <row r="384" spans="2:24" x14ac:dyDescent="0.35">
      <c r="B384" s="8" t="s">
        <v>12</v>
      </c>
      <c r="C384" s="8" t="s">
        <v>44</v>
      </c>
      <c r="D384" s="8" t="s">
        <v>13</v>
      </c>
      <c r="E384" s="8" t="s">
        <v>23</v>
      </c>
      <c r="F384" s="6" t="s">
        <v>36</v>
      </c>
      <c r="G384" s="8">
        <v>2017</v>
      </c>
      <c r="H384" s="8">
        <v>4</v>
      </c>
      <c r="I384" s="10">
        <v>42826</v>
      </c>
      <c r="J384" s="11">
        <v>2299</v>
      </c>
      <c r="K384" s="51"/>
      <c r="O384" s="1" t="s">
        <v>12</v>
      </c>
      <c r="P384" s="1" t="s">
        <v>44</v>
      </c>
      <c r="Q384" s="1" t="s">
        <v>13</v>
      </c>
      <c r="R384" s="1" t="s">
        <v>23</v>
      </c>
      <c r="S384" t="s">
        <v>36</v>
      </c>
      <c r="T384" s="1">
        <v>2017</v>
      </c>
      <c r="U384" s="1">
        <v>4</v>
      </c>
      <c r="V384" s="50">
        <v>42826</v>
      </c>
      <c r="W384" s="4">
        <v>2092.0899999999997</v>
      </c>
      <c r="X384" s="48">
        <v>2299</v>
      </c>
    </row>
    <row r="385" spans="2:24" x14ac:dyDescent="0.35">
      <c r="B385" s="8" t="s">
        <v>14</v>
      </c>
      <c r="C385" s="8" t="s">
        <v>46</v>
      </c>
      <c r="D385" s="8" t="s">
        <v>47</v>
      </c>
      <c r="E385" s="9" t="s">
        <v>23</v>
      </c>
      <c r="F385" s="9" t="s">
        <v>24</v>
      </c>
      <c r="G385" s="8">
        <v>2017</v>
      </c>
      <c r="H385" s="8">
        <v>4</v>
      </c>
      <c r="I385" s="10">
        <v>42826</v>
      </c>
      <c r="J385" s="11">
        <v>3029</v>
      </c>
      <c r="K385" s="51"/>
      <c r="O385" s="1" t="s">
        <v>14</v>
      </c>
      <c r="P385" s="1" t="s">
        <v>46</v>
      </c>
      <c r="Q385" s="1" t="s">
        <v>47</v>
      </c>
      <c r="R385" s="2" t="s">
        <v>23</v>
      </c>
      <c r="S385" s="2" t="s">
        <v>24</v>
      </c>
      <c r="T385" s="1">
        <v>2017</v>
      </c>
      <c r="U385" s="1">
        <v>4</v>
      </c>
      <c r="V385" s="50">
        <v>42826</v>
      </c>
      <c r="W385" s="4">
        <v>2847.2599999999998</v>
      </c>
      <c r="X385" s="48">
        <v>3029</v>
      </c>
    </row>
    <row r="386" spans="2:24" x14ac:dyDescent="0.35">
      <c r="B386" s="8" t="s">
        <v>14</v>
      </c>
      <c r="C386" s="8" t="s">
        <v>46</v>
      </c>
      <c r="D386" s="8" t="s">
        <v>47</v>
      </c>
      <c r="E386" s="8" t="s">
        <v>23</v>
      </c>
      <c r="F386" s="9" t="s">
        <v>39</v>
      </c>
      <c r="G386" s="8">
        <v>2017</v>
      </c>
      <c r="H386" s="8">
        <v>4</v>
      </c>
      <c r="I386" s="10">
        <v>42826</v>
      </c>
      <c r="J386" s="11">
        <v>2419</v>
      </c>
      <c r="K386" s="51"/>
      <c r="O386" s="1" t="s">
        <v>14</v>
      </c>
      <c r="P386" s="1" t="s">
        <v>46</v>
      </c>
      <c r="Q386" s="1" t="s">
        <v>47</v>
      </c>
      <c r="R386" s="1" t="s">
        <v>23</v>
      </c>
      <c r="S386" s="2" t="s">
        <v>39</v>
      </c>
      <c r="T386" s="1">
        <v>2017</v>
      </c>
      <c r="U386" s="1">
        <v>4</v>
      </c>
      <c r="V386" s="50">
        <v>42826</v>
      </c>
      <c r="W386" s="4">
        <v>2273.8599999999997</v>
      </c>
      <c r="X386" s="48">
        <v>2419</v>
      </c>
    </row>
    <row r="387" spans="2:24" x14ac:dyDescent="0.35">
      <c r="B387" s="8" t="s">
        <v>7</v>
      </c>
      <c r="C387" s="8" t="s">
        <v>43</v>
      </c>
      <c r="D387" s="8" t="s">
        <v>10</v>
      </c>
      <c r="E387" s="8" t="s">
        <v>0</v>
      </c>
      <c r="F387" s="6" t="s">
        <v>42</v>
      </c>
      <c r="G387" s="8">
        <v>2017</v>
      </c>
      <c r="H387" s="8">
        <v>4</v>
      </c>
      <c r="I387" s="10">
        <v>42826</v>
      </c>
      <c r="J387" s="11">
        <v>4420</v>
      </c>
      <c r="K387" s="51"/>
      <c r="O387" s="1" t="s">
        <v>7</v>
      </c>
      <c r="P387" s="1" t="s">
        <v>43</v>
      </c>
      <c r="Q387" s="1" t="s">
        <v>10</v>
      </c>
      <c r="R387" s="1" t="s">
        <v>0</v>
      </c>
      <c r="S387" t="s">
        <v>42</v>
      </c>
      <c r="T387" s="1">
        <v>2017</v>
      </c>
      <c r="U387" s="1">
        <v>4</v>
      </c>
      <c r="V387" s="50">
        <v>42826</v>
      </c>
      <c r="W387" s="4">
        <v>3889.5999999999995</v>
      </c>
      <c r="X387" s="48">
        <v>4420</v>
      </c>
    </row>
    <row r="388" spans="2:24" x14ac:dyDescent="0.35">
      <c r="B388" s="8" t="s">
        <v>6</v>
      </c>
      <c r="C388" s="8" t="s">
        <v>40</v>
      </c>
      <c r="D388" s="8" t="s">
        <v>41</v>
      </c>
      <c r="E388" s="8" t="s">
        <v>27</v>
      </c>
      <c r="F388" s="8" t="s">
        <v>31</v>
      </c>
      <c r="G388" s="8">
        <v>2017</v>
      </c>
      <c r="H388" s="8">
        <v>4</v>
      </c>
      <c r="I388" s="10">
        <v>42826</v>
      </c>
      <c r="J388" s="11">
        <v>4632</v>
      </c>
      <c r="K388" s="51"/>
      <c r="O388" s="1" t="s">
        <v>6</v>
      </c>
      <c r="P388" s="1" t="s">
        <v>40</v>
      </c>
      <c r="Q388" s="1" t="s">
        <v>41</v>
      </c>
      <c r="R388" s="1" t="s">
        <v>27</v>
      </c>
      <c r="S388" s="1" t="s">
        <v>31</v>
      </c>
      <c r="T388" s="1">
        <v>2017</v>
      </c>
      <c r="U388" s="1">
        <v>4</v>
      </c>
      <c r="V388" s="50">
        <v>42826</v>
      </c>
      <c r="W388" s="4">
        <v>4168.7999999999993</v>
      </c>
      <c r="X388" s="48">
        <v>4632</v>
      </c>
    </row>
    <row r="389" spans="2:24" x14ac:dyDescent="0.35">
      <c r="B389" s="8" t="s">
        <v>3</v>
      </c>
      <c r="C389" s="8" t="s">
        <v>22</v>
      </c>
      <c r="D389" s="8" t="s">
        <v>5</v>
      </c>
      <c r="E389" s="8" t="s">
        <v>23</v>
      </c>
      <c r="F389" s="8" t="s">
        <v>39</v>
      </c>
      <c r="G389" s="8">
        <v>2017</v>
      </c>
      <c r="H389" s="8">
        <v>4</v>
      </c>
      <c r="I389" s="10">
        <v>42826</v>
      </c>
      <c r="J389" s="11">
        <v>1219</v>
      </c>
      <c r="K389" s="51"/>
      <c r="O389" s="1" t="s">
        <v>3</v>
      </c>
      <c r="P389" s="1" t="s">
        <v>22</v>
      </c>
      <c r="Q389" s="1" t="s">
        <v>5</v>
      </c>
      <c r="R389" s="1" t="s">
        <v>23</v>
      </c>
      <c r="S389" s="1" t="s">
        <v>39</v>
      </c>
      <c r="T389" s="1">
        <v>2017</v>
      </c>
      <c r="U389" s="1">
        <v>4</v>
      </c>
      <c r="V389" s="50">
        <v>42826</v>
      </c>
      <c r="W389" s="4">
        <v>1109.29</v>
      </c>
      <c r="X389" s="48">
        <v>1219</v>
      </c>
    </row>
    <row r="390" spans="2:24" x14ac:dyDescent="0.35">
      <c r="B390" s="8" t="s">
        <v>3</v>
      </c>
      <c r="C390" s="8" t="s">
        <v>22</v>
      </c>
      <c r="D390" s="8" t="s">
        <v>5</v>
      </c>
      <c r="E390" s="8" t="s">
        <v>0</v>
      </c>
      <c r="F390" s="8" t="s">
        <v>42</v>
      </c>
      <c r="G390" s="8">
        <v>2017</v>
      </c>
      <c r="H390" s="8">
        <v>4</v>
      </c>
      <c r="I390" s="10">
        <v>42826</v>
      </c>
      <c r="J390" s="11">
        <v>5519</v>
      </c>
      <c r="K390" s="51"/>
      <c r="O390" s="1" t="s">
        <v>3</v>
      </c>
      <c r="P390" s="1" t="s">
        <v>22</v>
      </c>
      <c r="Q390" s="1" t="s">
        <v>5</v>
      </c>
      <c r="R390" s="1" t="s">
        <v>0</v>
      </c>
      <c r="S390" s="1" t="s">
        <v>42</v>
      </c>
      <c r="T390" s="1">
        <v>2017</v>
      </c>
      <c r="U390" s="1">
        <v>4</v>
      </c>
      <c r="V390" s="50">
        <v>42826</v>
      </c>
      <c r="W390" s="4">
        <v>4856.7199999999993</v>
      </c>
      <c r="X390" s="48">
        <v>5519</v>
      </c>
    </row>
    <row r="391" spans="2:24" x14ac:dyDescent="0.35">
      <c r="B391" s="8" t="s">
        <v>6</v>
      </c>
      <c r="C391" s="8" t="s">
        <v>29</v>
      </c>
      <c r="D391" s="8" t="s">
        <v>30</v>
      </c>
      <c r="E391" s="8" t="s">
        <v>0</v>
      </c>
      <c r="F391" s="6" t="s">
        <v>26</v>
      </c>
      <c r="G391" s="8">
        <v>2017</v>
      </c>
      <c r="H391" s="8">
        <v>4</v>
      </c>
      <c r="I391" s="10">
        <v>42826</v>
      </c>
      <c r="J391" s="11">
        <v>3611</v>
      </c>
      <c r="K391" s="51"/>
      <c r="O391" s="1" t="s">
        <v>6</v>
      </c>
      <c r="P391" s="1" t="s">
        <v>29</v>
      </c>
      <c r="Q391" s="1" t="s">
        <v>30</v>
      </c>
      <c r="R391" s="1" t="s">
        <v>0</v>
      </c>
      <c r="S391" t="s">
        <v>26</v>
      </c>
      <c r="T391" s="1">
        <v>2017</v>
      </c>
      <c r="U391" s="1">
        <v>4</v>
      </c>
      <c r="V391" s="50">
        <v>42826</v>
      </c>
      <c r="W391" s="4">
        <v>3213.7899999999995</v>
      </c>
      <c r="X391" s="48">
        <v>3611</v>
      </c>
    </row>
    <row r="392" spans="2:24" x14ac:dyDescent="0.35">
      <c r="B392" s="8" t="s">
        <v>7</v>
      </c>
      <c r="C392" s="8" t="s">
        <v>48</v>
      </c>
      <c r="D392" s="8" t="s">
        <v>9</v>
      </c>
      <c r="E392" s="8" t="s">
        <v>27</v>
      </c>
      <c r="F392" s="6" t="s">
        <v>28</v>
      </c>
      <c r="G392" s="8">
        <v>2017</v>
      </c>
      <c r="H392" s="8">
        <v>4</v>
      </c>
      <c r="I392" s="10">
        <v>42826</v>
      </c>
      <c r="J392" s="11">
        <v>4663</v>
      </c>
      <c r="K392" s="51"/>
      <c r="O392" s="1" t="s">
        <v>7</v>
      </c>
      <c r="P392" s="1" t="s">
        <v>48</v>
      </c>
      <c r="Q392" s="1" t="s">
        <v>9</v>
      </c>
      <c r="R392" s="1" t="s">
        <v>27</v>
      </c>
      <c r="S392" t="s">
        <v>28</v>
      </c>
      <c r="T392" s="1">
        <v>2017</v>
      </c>
      <c r="U392" s="1">
        <v>4</v>
      </c>
      <c r="V392" s="50">
        <v>42826</v>
      </c>
      <c r="W392" s="4">
        <v>4289.96</v>
      </c>
      <c r="X392" s="48">
        <v>4663</v>
      </c>
    </row>
    <row r="393" spans="2:24" x14ac:dyDescent="0.35">
      <c r="B393" s="8" t="s">
        <v>7</v>
      </c>
      <c r="C393" s="8" t="s">
        <v>48</v>
      </c>
      <c r="D393" s="8" t="s">
        <v>9</v>
      </c>
      <c r="E393" s="8" t="s">
        <v>27</v>
      </c>
      <c r="F393" s="6" t="s">
        <v>31</v>
      </c>
      <c r="G393" s="8">
        <v>2017</v>
      </c>
      <c r="H393" s="8">
        <v>4</v>
      </c>
      <c r="I393" s="10">
        <v>42826</v>
      </c>
      <c r="J393" s="11">
        <v>5597</v>
      </c>
      <c r="K393" s="51"/>
      <c r="O393" s="1" t="s">
        <v>7</v>
      </c>
      <c r="P393" s="1" t="s">
        <v>48</v>
      </c>
      <c r="Q393" s="1" t="s">
        <v>9</v>
      </c>
      <c r="R393" s="1" t="s">
        <v>27</v>
      </c>
      <c r="S393" t="s">
        <v>31</v>
      </c>
      <c r="T393" s="1">
        <v>2017</v>
      </c>
      <c r="U393" s="1">
        <v>4</v>
      </c>
      <c r="V393" s="50">
        <v>42826</v>
      </c>
      <c r="W393" s="4">
        <v>4925.3599999999997</v>
      </c>
      <c r="X393" s="48">
        <v>5597</v>
      </c>
    </row>
    <row r="394" spans="2:24" x14ac:dyDescent="0.35">
      <c r="B394" s="8" t="s">
        <v>7</v>
      </c>
      <c r="C394" s="8" t="s">
        <v>49</v>
      </c>
      <c r="D394" s="8" t="s">
        <v>11</v>
      </c>
      <c r="E394" s="9" t="s">
        <v>27</v>
      </c>
      <c r="F394" s="9" t="s">
        <v>33</v>
      </c>
      <c r="G394" s="8">
        <v>2017</v>
      </c>
      <c r="H394" s="8">
        <v>4</v>
      </c>
      <c r="I394" s="10">
        <v>42826</v>
      </c>
      <c r="J394" s="11">
        <v>3981</v>
      </c>
      <c r="K394" s="51"/>
      <c r="O394" s="1" t="s">
        <v>7</v>
      </c>
      <c r="P394" s="1" t="s">
        <v>49</v>
      </c>
      <c r="Q394" s="1" t="s">
        <v>11</v>
      </c>
      <c r="R394" s="2" t="s">
        <v>27</v>
      </c>
      <c r="S394" s="2" t="s">
        <v>33</v>
      </c>
      <c r="T394" s="1">
        <v>2017</v>
      </c>
      <c r="U394" s="1">
        <v>4</v>
      </c>
      <c r="V394" s="50">
        <v>42826</v>
      </c>
      <c r="W394" s="4">
        <v>3582.8999999999996</v>
      </c>
      <c r="X394" s="48">
        <v>3981</v>
      </c>
    </row>
    <row r="395" spans="2:24" x14ac:dyDescent="0.35">
      <c r="B395" s="8" t="s">
        <v>7</v>
      </c>
      <c r="C395" s="8" t="s">
        <v>49</v>
      </c>
      <c r="D395" s="8" t="s">
        <v>11</v>
      </c>
      <c r="E395" s="8" t="s">
        <v>23</v>
      </c>
      <c r="F395" s="9" t="s">
        <v>36</v>
      </c>
      <c r="G395" s="8">
        <v>2017</v>
      </c>
      <c r="H395" s="8">
        <v>4</v>
      </c>
      <c r="I395" s="10">
        <v>42826</v>
      </c>
      <c r="J395" s="11">
        <v>2831</v>
      </c>
      <c r="K395" s="51"/>
      <c r="O395" s="1" t="s">
        <v>7</v>
      </c>
      <c r="P395" s="1" t="s">
        <v>49</v>
      </c>
      <c r="Q395" s="1" t="s">
        <v>11</v>
      </c>
      <c r="R395" s="1" t="s">
        <v>23</v>
      </c>
      <c r="S395" s="2" t="s">
        <v>36</v>
      </c>
      <c r="T395" s="1">
        <v>2017</v>
      </c>
      <c r="U395" s="1">
        <v>4</v>
      </c>
      <c r="V395" s="50">
        <v>42826</v>
      </c>
      <c r="W395" s="4">
        <v>2632.83</v>
      </c>
      <c r="X395" s="48">
        <v>2831</v>
      </c>
    </row>
    <row r="396" spans="2:24" x14ac:dyDescent="0.35">
      <c r="B396" s="8" t="s">
        <v>7</v>
      </c>
      <c r="C396" s="8" t="s">
        <v>43</v>
      </c>
      <c r="D396" s="8" t="s">
        <v>10</v>
      </c>
      <c r="E396" s="8" t="s">
        <v>23</v>
      </c>
      <c r="F396" s="6" t="s">
        <v>36</v>
      </c>
      <c r="G396" s="8">
        <v>2017</v>
      </c>
      <c r="H396" s="8">
        <v>4</v>
      </c>
      <c r="I396" s="10">
        <v>42826</v>
      </c>
      <c r="J396" s="11">
        <v>2234</v>
      </c>
      <c r="K396" s="51"/>
      <c r="O396" s="1" t="s">
        <v>7</v>
      </c>
      <c r="P396" s="1" t="s">
        <v>43</v>
      </c>
      <c r="Q396" s="1" t="s">
        <v>10</v>
      </c>
      <c r="R396" s="1" t="s">
        <v>23</v>
      </c>
      <c r="S396" t="s">
        <v>36</v>
      </c>
      <c r="T396" s="1">
        <v>2017</v>
      </c>
      <c r="U396" s="1">
        <v>4</v>
      </c>
      <c r="V396" s="50">
        <v>42826</v>
      </c>
      <c r="W396" s="4">
        <v>1943.5800000000002</v>
      </c>
      <c r="X396" s="48">
        <v>2234</v>
      </c>
    </row>
    <row r="397" spans="2:24" x14ac:dyDescent="0.35">
      <c r="B397" s="8" t="s">
        <v>6</v>
      </c>
      <c r="C397" s="8" t="s">
        <v>40</v>
      </c>
      <c r="D397" s="8" t="s">
        <v>41</v>
      </c>
      <c r="E397" s="8" t="s">
        <v>0</v>
      </c>
      <c r="F397" s="8" t="s">
        <v>45</v>
      </c>
      <c r="G397" s="8">
        <v>2017</v>
      </c>
      <c r="H397" s="8">
        <v>4</v>
      </c>
      <c r="I397" s="10">
        <v>42826</v>
      </c>
      <c r="J397" s="11">
        <v>2973</v>
      </c>
      <c r="K397" s="51"/>
      <c r="O397" s="1" t="s">
        <v>6</v>
      </c>
      <c r="P397" s="1" t="s">
        <v>40</v>
      </c>
      <c r="Q397" s="1" t="s">
        <v>41</v>
      </c>
      <c r="R397" s="1" t="s">
        <v>0</v>
      </c>
      <c r="S397" s="1" t="s">
        <v>45</v>
      </c>
      <c r="T397" s="1">
        <v>2017</v>
      </c>
      <c r="U397" s="1">
        <v>4</v>
      </c>
      <c r="V397" s="50">
        <v>42826</v>
      </c>
      <c r="W397" s="4">
        <v>2556.7800000000002</v>
      </c>
      <c r="X397" s="48">
        <v>2973</v>
      </c>
    </row>
    <row r="398" spans="2:24" x14ac:dyDescent="0.35">
      <c r="B398" s="8" t="s">
        <v>7</v>
      </c>
      <c r="C398" s="8" t="s">
        <v>32</v>
      </c>
      <c r="D398" s="8" t="s">
        <v>8</v>
      </c>
      <c r="E398" s="8" t="s">
        <v>27</v>
      </c>
      <c r="F398" s="8" t="s">
        <v>28</v>
      </c>
      <c r="G398" s="8">
        <v>2017</v>
      </c>
      <c r="H398" s="8">
        <v>4</v>
      </c>
      <c r="I398" s="10">
        <v>42826</v>
      </c>
      <c r="J398" s="11">
        <v>4686</v>
      </c>
      <c r="K398" s="51"/>
      <c r="O398" s="1" t="s">
        <v>7</v>
      </c>
      <c r="P398" s="1" t="s">
        <v>32</v>
      </c>
      <c r="Q398" s="1" t="s">
        <v>8</v>
      </c>
      <c r="R398" s="1" t="s">
        <v>27</v>
      </c>
      <c r="S398" s="1" t="s">
        <v>28</v>
      </c>
      <c r="T398" s="1">
        <v>2017</v>
      </c>
      <c r="U398" s="1">
        <v>4</v>
      </c>
      <c r="V398" s="50">
        <v>42826</v>
      </c>
      <c r="W398" s="4">
        <v>3983.1000000000004</v>
      </c>
      <c r="X398" s="48">
        <v>4686</v>
      </c>
    </row>
    <row r="399" spans="2:24" x14ac:dyDescent="0.35">
      <c r="B399" s="8" t="s">
        <v>7</v>
      </c>
      <c r="C399" s="8" t="s">
        <v>32</v>
      </c>
      <c r="D399" s="8" t="s">
        <v>8</v>
      </c>
      <c r="E399" s="8" t="s">
        <v>27</v>
      </c>
      <c r="F399" s="8" t="s">
        <v>31</v>
      </c>
      <c r="G399" s="8">
        <v>2017</v>
      </c>
      <c r="H399" s="8">
        <v>4</v>
      </c>
      <c r="I399" s="10">
        <v>42826</v>
      </c>
      <c r="J399" s="11">
        <v>3225</v>
      </c>
      <c r="K399" s="51"/>
      <c r="O399" s="1" t="s">
        <v>7</v>
      </c>
      <c r="P399" s="1" t="s">
        <v>32</v>
      </c>
      <c r="Q399" s="1" t="s">
        <v>8</v>
      </c>
      <c r="R399" s="1" t="s">
        <v>27</v>
      </c>
      <c r="S399" s="1" t="s">
        <v>31</v>
      </c>
      <c r="T399" s="1">
        <v>2017</v>
      </c>
      <c r="U399" s="1">
        <v>4</v>
      </c>
      <c r="V399" s="50">
        <v>42826</v>
      </c>
      <c r="W399" s="4">
        <v>2773.5000000000005</v>
      </c>
      <c r="X399" s="48">
        <v>3225</v>
      </c>
    </row>
    <row r="400" spans="2:24" x14ac:dyDescent="0.35">
      <c r="B400" s="8" t="s">
        <v>6</v>
      </c>
      <c r="C400" s="8" t="s">
        <v>29</v>
      </c>
      <c r="D400" s="8" t="s">
        <v>30</v>
      </c>
      <c r="E400" s="8" t="s">
        <v>23</v>
      </c>
      <c r="F400" s="6" t="s">
        <v>24</v>
      </c>
      <c r="G400" s="8">
        <v>2017</v>
      </c>
      <c r="H400" s="8">
        <v>4</v>
      </c>
      <c r="I400" s="10">
        <v>42826</v>
      </c>
      <c r="J400" s="11">
        <v>1560</v>
      </c>
      <c r="K400" s="51"/>
      <c r="O400" s="1" t="s">
        <v>6</v>
      </c>
      <c r="P400" s="1" t="s">
        <v>29</v>
      </c>
      <c r="Q400" s="1" t="s">
        <v>30</v>
      </c>
      <c r="R400" s="1" t="s">
        <v>23</v>
      </c>
      <c r="S400" t="s">
        <v>24</v>
      </c>
      <c r="T400" s="1">
        <v>2017</v>
      </c>
      <c r="U400" s="1">
        <v>4</v>
      </c>
      <c r="V400" s="50">
        <v>42826</v>
      </c>
      <c r="W400" s="4">
        <v>1388.3999999999999</v>
      </c>
      <c r="X400" s="48">
        <v>1560</v>
      </c>
    </row>
    <row r="401" spans="2:24" x14ac:dyDescent="0.35">
      <c r="B401" s="8" t="s">
        <v>7</v>
      </c>
      <c r="C401" s="8" t="s">
        <v>48</v>
      </c>
      <c r="D401" s="8" t="s">
        <v>9</v>
      </c>
      <c r="E401" s="8" t="s">
        <v>0</v>
      </c>
      <c r="F401" s="6" t="s">
        <v>42</v>
      </c>
      <c r="G401" s="8">
        <v>2017</v>
      </c>
      <c r="H401" s="8">
        <v>4</v>
      </c>
      <c r="I401" s="10">
        <v>42826</v>
      </c>
      <c r="J401" s="11">
        <v>5515</v>
      </c>
      <c r="K401" s="51"/>
      <c r="O401" s="1" t="s">
        <v>7</v>
      </c>
      <c r="P401" s="1" t="s">
        <v>48</v>
      </c>
      <c r="Q401" s="1" t="s">
        <v>9</v>
      </c>
      <c r="R401" s="1" t="s">
        <v>0</v>
      </c>
      <c r="S401" t="s">
        <v>42</v>
      </c>
      <c r="T401" s="1">
        <v>2017</v>
      </c>
      <c r="U401" s="1">
        <v>4</v>
      </c>
      <c r="V401" s="50">
        <v>42826</v>
      </c>
      <c r="W401" s="4">
        <v>5018.6499999999996</v>
      </c>
      <c r="X401" s="48">
        <v>5515</v>
      </c>
    </row>
    <row r="402" spans="2:24" x14ac:dyDescent="0.35">
      <c r="B402" s="8" t="s">
        <v>7</v>
      </c>
      <c r="C402" s="8" t="s">
        <v>48</v>
      </c>
      <c r="D402" s="8" t="s">
        <v>9</v>
      </c>
      <c r="E402" s="8" t="s">
        <v>0</v>
      </c>
      <c r="F402" s="6" t="s">
        <v>26</v>
      </c>
      <c r="G402" s="8">
        <v>2017</v>
      </c>
      <c r="H402" s="8">
        <v>4</v>
      </c>
      <c r="I402" s="10">
        <v>42826</v>
      </c>
      <c r="J402" s="11">
        <v>5599</v>
      </c>
      <c r="K402" s="51"/>
      <c r="O402" s="1" t="s">
        <v>7</v>
      </c>
      <c r="P402" s="1" t="s">
        <v>48</v>
      </c>
      <c r="Q402" s="1" t="s">
        <v>9</v>
      </c>
      <c r="R402" s="1" t="s">
        <v>0</v>
      </c>
      <c r="S402" t="s">
        <v>26</v>
      </c>
      <c r="T402" s="1">
        <v>2017</v>
      </c>
      <c r="U402" s="1">
        <v>4</v>
      </c>
      <c r="V402" s="50">
        <v>42826</v>
      </c>
      <c r="W402" s="4">
        <v>4815.1400000000003</v>
      </c>
      <c r="X402" s="48">
        <v>5599</v>
      </c>
    </row>
    <row r="403" spans="2:24" x14ac:dyDescent="0.35">
      <c r="B403" s="8" t="s">
        <v>7</v>
      </c>
      <c r="C403" s="8" t="s">
        <v>49</v>
      </c>
      <c r="D403" s="8" t="s">
        <v>11</v>
      </c>
      <c r="E403" s="9" t="s">
        <v>0</v>
      </c>
      <c r="F403" s="9" t="s">
        <v>45</v>
      </c>
      <c r="G403" s="8">
        <v>2017</v>
      </c>
      <c r="H403" s="8">
        <v>4</v>
      </c>
      <c r="I403" s="10">
        <v>42826</v>
      </c>
      <c r="J403" s="11">
        <v>4764</v>
      </c>
      <c r="K403" s="51"/>
      <c r="O403" s="1" t="s">
        <v>7</v>
      </c>
      <c r="P403" s="1" t="s">
        <v>49</v>
      </c>
      <c r="Q403" s="1" t="s">
        <v>11</v>
      </c>
      <c r="R403" s="2" t="s">
        <v>0</v>
      </c>
      <c r="S403" s="2" t="s">
        <v>45</v>
      </c>
      <c r="T403" s="1">
        <v>2017</v>
      </c>
      <c r="U403" s="1">
        <v>4</v>
      </c>
      <c r="V403" s="50">
        <v>42826</v>
      </c>
      <c r="W403" s="4">
        <v>4382.8799999999992</v>
      </c>
      <c r="X403" s="48">
        <v>4764</v>
      </c>
    </row>
    <row r="404" spans="2:24" x14ac:dyDescent="0.35">
      <c r="B404" s="8" t="s">
        <v>7</v>
      </c>
      <c r="C404" s="8" t="s">
        <v>49</v>
      </c>
      <c r="D404" s="8" t="s">
        <v>11</v>
      </c>
      <c r="E404" s="8" t="s">
        <v>27</v>
      </c>
      <c r="F404" s="9" t="s">
        <v>28</v>
      </c>
      <c r="G404" s="8">
        <v>2017</v>
      </c>
      <c r="H404" s="8">
        <v>4</v>
      </c>
      <c r="I404" s="10">
        <v>42826</v>
      </c>
      <c r="J404" s="11">
        <v>3424</v>
      </c>
      <c r="K404" s="51"/>
      <c r="O404" s="1" t="s">
        <v>7</v>
      </c>
      <c r="P404" s="1" t="s">
        <v>49</v>
      </c>
      <c r="Q404" s="1" t="s">
        <v>11</v>
      </c>
      <c r="R404" s="1" t="s">
        <v>27</v>
      </c>
      <c r="S404" s="2" t="s">
        <v>28</v>
      </c>
      <c r="T404" s="1">
        <v>2017</v>
      </c>
      <c r="U404" s="1">
        <v>4</v>
      </c>
      <c r="V404" s="50">
        <v>42826</v>
      </c>
      <c r="W404" s="4">
        <v>2944.6400000000003</v>
      </c>
      <c r="X404" s="48">
        <v>3424</v>
      </c>
    </row>
    <row r="405" spans="2:24" x14ac:dyDescent="0.35">
      <c r="B405" s="8" t="s">
        <v>12</v>
      </c>
      <c r="C405" s="8" t="s">
        <v>34</v>
      </c>
      <c r="D405" s="8" t="s">
        <v>35</v>
      </c>
      <c r="E405" s="8" t="s">
        <v>27</v>
      </c>
      <c r="F405" s="6" t="s">
        <v>31</v>
      </c>
      <c r="G405" s="8">
        <v>2017</v>
      </c>
      <c r="H405" s="8">
        <v>4</v>
      </c>
      <c r="I405" s="10">
        <v>42826</v>
      </c>
      <c r="J405" s="11">
        <v>3379</v>
      </c>
      <c r="K405" s="51"/>
      <c r="O405" s="1" t="s">
        <v>12</v>
      </c>
      <c r="P405" s="1" t="s">
        <v>34</v>
      </c>
      <c r="Q405" s="1" t="s">
        <v>35</v>
      </c>
      <c r="R405" s="1" t="s">
        <v>27</v>
      </c>
      <c r="S405" t="s">
        <v>31</v>
      </c>
      <c r="T405" s="1">
        <v>2017</v>
      </c>
      <c r="U405" s="1">
        <v>4</v>
      </c>
      <c r="V405" s="50">
        <v>42826</v>
      </c>
      <c r="W405" s="4">
        <v>3108.68</v>
      </c>
      <c r="X405" s="48">
        <v>3379</v>
      </c>
    </row>
    <row r="406" spans="2:24" x14ac:dyDescent="0.35">
      <c r="B406" s="8" t="s">
        <v>12</v>
      </c>
      <c r="C406" s="8" t="s">
        <v>34</v>
      </c>
      <c r="D406" s="8" t="s">
        <v>35</v>
      </c>
      <c r="E406" s="8" t="s">
        <v>27</v>
      </c>
      <c r="F406" s="8" t="s">
        <v>33</v>
      </c>
      <c r="G406" s="8">
        <v>2017</v>
      </c>
      <c r="H406" s="8">
        <v>4</v>
      </c>
      <c r="I406" s="10">
        <v>42826</v>
      </c>
      <c r="J406" s="11">
        <v>4048</v>
      </c>
      <c r="K406" s="51"/>
      <c r="O406" s="1" t="s">
        <v>12</v>
      </c>
      <c r="P406" s="1" t="s">
        <v>34</v>
      </c>
      <c r="Q406" s="1" t="s">
        <v>35</v>
      </c>
      <c r="R406" s="1" t="s">
        <v>27</v>
      </c>
      <c r="S406" s="1" t="s">
        <v>33</v>
      </c>
      <c r="T406" s="1">
        <v>2017</v>
      </c>
      <c r="U406" s="1">
        <v>4</v>
      </c>
      <c r="V406" s="50">
        <v>42826</v>
      </c>
      <c r="W406" s="4">
        <v>3602.72</v>
      </c>
      <c r="X406" s="48">
        <v>4048</v>
      </c>
    </row>
    <row r="407" spans="2:24" x14ac:dyDescent="0.35">
      <c r="B407" s="8" t="s">
        <v>14</v>
      </c>
      <c r="C407" s="8" t="s">
        <v>37</v>
      </c>
      <c r="D407" s="8" t="s">
        <v>38</v>
      </c>
      <c r="E407" s="8" t="s">
        <v>23</v>
      </c>
      <c r="F407" s="8" t="s">
        <v>36</v>
      </c>
      <c r="G407" s="8">
        <v>2017</v>
      </c>
      <c r="H407" s="8">
        <v>4</v>
      </c>
      <c r="I407" s="10">
        <v>42826</v>
      </c>
      <c r="J407" s="11">
        <v>2990</v>
      </c>
      <c r="K407" s="51"/>
      <c r="O407" s="1" t="s">
        <v>14</v>
      </c>
      <c r="P407" s="1" t="s">
        <v>37</v>
      </c>
      <c r="Q407" s="1" t="s">
        <v>38</v>
      </c>
      <c r="R407" s="1" t="s">
        <v>23</v>
      </c>
      <c r="S407" s="1" t="s">
        <v>36</v>
      </c>
      <c r="T407" s="1">
        <v>2017</v>
      </c>
      <c r="U407" s="1">
        <v>4</v>
      </c>
      <c r="V407" s="50">
        <v>42826</v>
      </c>
      <c r="W407" s="4">
        <v>2631.2</v>
      </c>
      <c r="X407" s="48">
        <v>2990</v>
      </c>
    </row>
    <row r="408" spans="2:24" x14ac:dyDescent="0.35">
      <c r="B408" s="8" t="s">
        <v>12</v>
      </c>
      <c r="C408" s="8" t="s">
        <v>44</v>
      </c>
      <c r="D408" s="8" t="s">
        <v>13</v>
      </c>
      <c r="E408" s="8" t="s">
        <v>23</v>
      </c>
      <c r="F408" s="8" t="s">
        <v>39</v>
      </c>
      <c r="G408" s="8">
        <v>2017</v>
      </c>
      <c r="H408" s="8">
        <v>4</v>
      </c>
      <c r="I408" s="10">
        <v>42826</v>
      </c>
      <c r="J408" s="11">
        <v>2299</v>
      </c>
      <c r="K408" s="51"/>
      <c r="O408" s="1" t="s">
        <v>12</v>
      </c>
      <c r="P408" s="1" t="s">
        <v>44</v>
      </c>
      <c r="Q408" s="1" t="s">
        <v>13</v>
      </c>
      <c r="R408" s="1" t="s">
        <v>23</v>
      </c>
      <c r="S408" s="1" t="s">
        <v>39</v>
      </c>
      <c r="T408" s="1">
        <v>2017</v>
      </c>
      <c r="U408" s="1">
        <v>4</v>
      </c>
      <c r="V408" s="50">
        <v>42826</v>
      </c>
      <c r="W408" s="4">
        <v>2161.06</v>
      </c>
      <c r="X408" s="48">
        <v>2299</v>
      </c>
    </row>
    <row r="409" spans="2:24" x14ac:dyDescent="0.35">
      <c r="B409" s="8" t="s">
        <v>12</v>
      </c>
      <c r="C409" s="8" t="s">
        <v>44</v>
      </c>
      <c r="D409" s="8" t="s">
        <v>13</v>
      </c>
      <c r="E409" s="8" t="s">
        <v>0</v>
      </c>
      <c r="F409" s="6" t="s">
        <v>42</v>
      </c>
      <c r="G409" s="8">
        <v>2017</v>
      </c>
      <c r="H409" s="8">
        <v>4</v>
      </c>
      <c r="I409" s="10">
        <v>42826</v>
      </c>
      <c r="J409" s="11">
        <v>5781</v>
      </c>
      <c r="K409" s="51"/>
      <c r="O409" s="1" t="s">
        <v>12</v>
      </c>
      <c r="P409" s="1" t="s">
        <v>44</v>
      </c>
      <c r="Q409" s="1" t="s">
        <v>13</v>
      </c>
      <c r="R409" s="1" t="s">
        <v>0</v>
      </c>
      <c r="S409" t="s">
        <v>42</v>
      </c>
      <c r="T409" s="1">
        <v>2017</v>
      </c>
      <c r="U409" s="1">
        <v>4</v>
      </c>
      <c r="V409" s="50">
        <v>42826</v>
      </c>
      <c r="W409" s="4">
        <v>5202.8999999999996</v>
      </c>
      <c r="X409" s="48">
        <v>5781</v>
      </c>
    </row>
    <row r="410" spans="2:24" x14ac:dyDescent="0.35">
      <c r="B410" s="8" t="s">
        <v>14</v>
      </c>
      <c r="C410" s="8" t="s">
        <v>46</v>
      </c>
      <c r="D410" s="8" t="s">
        <v>47</v>
      </c>
      <c r="E410" s="8" t="s">
        <v>0</v>
      </c>
      <c r="F410" s="6" t="s">
        <v>26</v>
      </c>
      <c r="G410" s="8">
        <v>2017</v>
      </c>
      <c r="H410" s="8">
        <v>4</v>
      </c>
      <c r="I410" s="10">
        <v>42826</v>
      </c>
      <c r="J410" s="11">
        <v>4397</v>
      </c>
      <c r="K410" s="51"/>
      <c r="O410" s="1" t="s">
        <v>14</v>
      </c>
      <c r="P410" s="1" t="s">
        <v>46</v>
      </c>
      <c r="Q410" s="1" t="s">
        <v>47</v>
      </c>
      <c r="R410" s="1" t="s">
        <v>0</v>
      </c>
      <c r="S410" t="s">
        <v>26</v>
      </c>
      <c r="T410" s="1">
        <v>2017</v>
      </c>
      <c r="U410" s="1">
        <v>4</v>
      </c>
      <c r="V410" s="50">
        <v>42826</v>
      </c>
      <c r="W410" s="4">
        <v>4089.2099999999996</v>
      </c>
      <c r="X410" s="48">
        <v>4397</v>
      </c>
    </row>
    <row r="411" spans="2:24" x14ac:dyDescent="0.35">
      <c r="B411" s="8" t="s">
        <v>14</v>
      </c>
      <c r="C411" s="8" t="s">
        <v>46</v>
      </c>
      <c r="D411" s="8" t="s">
        <v>47</v>
      </c>
      <c r="E411" s="8" t="s">
        <v>0</v>
      </c>
      <c r="F411" s="6" t="s">
        <v>45</v>
      </c>
      <c r="G411" s="8">
        <v>2017</v>
      </c>
      <c r="H411" s="8">
        <v>4</v>
      </c>
      <c r="I411" s="10">
        <v>42826</v>
      </c>
      <c r="J411" s="11">
        <v>4223</v>
      </c>
      <c r="K411" s="51"/>
      <c r="O411" s="1" t="s">
        <v>14</v>
      </c>
      <c r="P411" s="1" t="s">
        <v>46</v>
      </c>
      <c r="Q411" s="1" t="s">
        <v>47</v>
      </c>
      <c r="R411" s="1" t="s">
        <v>0</v>
      </c>
      <c r="S411" t="s">
        <v>45</v>
      </c>
      <c r="T411" s="1">
        <v>2017</v>
      </c>
      <c r="U411" s="1">
        <v>4</v>
      </c>
      <c r="V411" s="50">
        <v>42826</v>
      </c>
      <c r="W411" s="4">
        <v>3800.7</v>
      </c>
      <c r="X411" s="48">
        <v>4223</v>
      </c>
    </row>
    <row r="412" spans="2:24" x14ac:dyDescent="0.35">
      <c r="B412" s="8" t="s">
        <v>3</v>
      </c>
      <c r="C412" s="8" t="s">
        <v>25</v>
      </c>
      <c r="D412" s="8" t="s">
        <v>4</v>
      </c>
      <c r="E412" s="9" t="s">
        <v>27</v>
      </c>
      <c r="F412" s="9" t="s">
        <v>33</v>
      </c>
      <c r="G412" s="8">
        <v>2017</v>
      </c>
      <c r="H412" s="8">
        <v>4</v>
      </c>
      <c r="I412" s="10">
        <v>42826</v>
      </c>
      <c r="J412" s="11">
        <v>2914</v>
      </c>
      <c r="K412" s="51"/>
      <c r="O412" s="1" t="s">
        <v>3</v>
      </c>
      <c r="P412" s="1" t="s">
        <v>25</v>
      </c>
      <c r="Q412" s="1" t="s">
        <v>4</v>
      </c>
      <c r="R412" s="2" t="s">
        <v>27</v>
      </c>
      <c r="S412" s="2" t="s">
        <v>33</v>
      </c>
      <c r="T412" s="1">
        <v>2017</v>
      </c>
      <c r="U412" s="1">
        <v>4</v>
      </c>
      <c r="V412" s="50">
        <v>42826</v>
      </c>
      <c r="W412" s="4">
        <v>2739.16</v>
      </c>
      <c r="X412" s="48">
        <v>2914</v>
      </c>
    </row>
    <row r="413" spans="2:24" x14ac:dyDescent="0.35">
      <c r="B413" s="8" t="s">
        <v>3</v>
      </c>
      <c r="C413" s="8" t="s">
        <v>25</v>
      </c>
      <c r="D413" s="8" t="s">
        <v>4</v>
      </c>
      <c r="E413" s="8" t="s">
        <v>23</v>
      </c>
      <c r="F413" s="9" t="s">
        <v>36</v>
      </c>
      <c r="G413" s="8">
        <v>2017</v>
      </c>
      <c r="H413" s="8">
        <v>4</v>
      </c>
      <c r="I413" s="10">
        <v>42826</v>
      </c>
      <c r="J413" s="11">
        <v>1776</v>
      </c>
      <c r="K413" s="51"/>
      <c r="O413" s="1" t="s">
        <v>3</v>
      </c>
      <c r="P413" s="1" t="s">
        <v>25</v>
      </c>
      <c r="Q413" s="1" t="s">
        <v>4</v>
      </c>
      <c r="R413" s="1" t="s">
        <v>23</v>
      </c>
      <c r="S413" s="2" t="s">
        <v>36</v>
      </c>
      <c r="T413" s="1">
        <v>2017</v>
      </c>
      <c r="U413" s="1">
        <v>4</v>
      </c>
      <c r="V413" s="50">
        <v>42826</v>
      </c>
      <c r="W413" s="4">
        <v>1580.6399999999999</v>
      </c>
      <c r="X413" s="48">
        <v>1776</v>
      </c>
    </row>
    <row r="414" spans="2:24" x14ac:dyDescent="0.35">
      <c r="B414" s="8" t="s">
        <v>6</v>
      </c>
      <c r="C414" s="8" t="s">
        <v>40</v>
      </c>
      <c r="D414" s="8" t="s">
        <v>41</v>
      </c>
      <c r="E414" s="8" t="s">
        <v>23</v>
      </c>
      <c r="F414" s="6" t="s">
        <v>39</v>
      </c>
      <c r="G414" s="8">
        <v>2017</v>
      </c>
      <c r="H414" s="8">
        <v>4</v>
      </c>
      <c r="I414" s="10">
        <v>42826</v>
      </c>
      <c r="J414" s="11">
        <v>1224</v>
      </c>
      <c r="K414" s="51"/>
      <c r="O414" s="1" t="s">
        <v>6</v>
      </c>
      <c r="P414" s="1" t="s">
        <v>40</v>
      </c>
      <c r="Q414" s="1" t="s">
        <v>41</v>
      </c>
      <c r="R414" s="1" t="s">
        <v>23</v>
      </c>
      <c r="S414" t="s">
        <v>39</v>
      </c>
      <c r="T414" s="1">
        <v>2017</v>
      </c>
      <c r="U414" s="1">
        <v>4</v>
      </c>
      <c r="V414" s="50">
        <v>42826</v>
      </c>
      <c r="W414" s="4">
        <v>1040.4000000000001</v>
      </c>
      <c r="X414" s="48">
        <v>1224</v>
      </c>
    </row>
    <row r="415" spans="2:24" x14ac:dyDescent="0.35">
      <c r="B415" s="8" t="s">
        <v>7</v>
      </c>
      <c r="C415" s="8" t="s">
        <v>48</v>
      </c>
      <c r="D415" s="8" t="s">
        <v>9</v>
      </c>
      <c r="E415" s="8" t="s">
        <v>0</v>
      </c>
      <c r="F415" s="8" t="s">
        <v>45</v>
      </c>
      <c r="G415" s="8">
        <v>2017</v>
      </c>
      <c r="H415" s="8">
        <v>4</v>
      </c>
      <c r="I415" s="10">
        <v>42826</v>
      </c>
      <c r="J415" s="11">
        <v>3070</v>
      </c>
      <c r="K415" s="51"/>
      <c r="O415" s="1" t="s">
        <v>7</v>
      </c>
      <c r="P415" s="1" t="s">
        <v>48</v>
      </c>
      <c r="Q415" s="1" t="s">
        <v>9</v>
      </c>
      <c r="R415" s="1" t="s">
        <v>0</v>
      </c>
      <c r="S415" s="1" t="s">
        <v>45</v>
      </c>
      <c r="T415" s="1">
        <v>2017</v>
      </c>
      <c r="U415" s="1">
        <v>4</v>
      </c>
      <c r="V415" s="50">
        <v>42826</v>
      </c>
      <c r="W415" s="4">
        <v>2609.5000000000005</v>
      </c>
      <c r="X415" s="48">
        <v>3070</v>
      </c>
    </row>
    <row r="416" spans="2:24" x14ac:dyDescent="0.35">
      <c r="B416" s="8" t="s">
        <v>7</v>
      </c>
      <c r="C416" s="8" t="s">
        <v>49</v>
      </c>
      <c r="D416" s="8" t="s">
        <v>11</v>
      </c>
      <c r="E416" s="8" t="s">
        <v>27</v>
      </c>
      <c r="F416" s="8" t="s">
        <v>31</v>
      </c>
      <c r="G416" s="8">
        <v>2017</v>
      </c>
      <c r="H416" s="8">
        <v>4</v>
      </c>
      <c r="I416" s="10">
        <v>42826</v>
      </c>
      <c r="J416" s="11">
        <v>3971</v>
      </c>
      <c r="K416" s="51"/>
      <c r="O416" s="1" t="s">
        <v>7</v>
      </c>
      <c r="P416" s="1" t="s">
        <v>49</v>
      </c>
      <c r="Q416" s="1" t="s">
        <v>11</v>
      </c>
      <c r="R416" s="1" t="s">
        <v>27</v>
      </c>
      <c r="S416" s="1" t="s">
        <v>31</v>
      </c>
      <c r="T416" s="1">
        <v>2017</v>
      </c>
      <c r="U416" s="1">
        <v>4</v>
      </c>
      <c r="V416" s="50">
        <v>42826</v>
      </c>
      <c r="W416" s="4">
        <v>3613.6099999999997</v>
      </c>
      <c r="X416" s="48">
        <v>3971</v>
      </c>
    </row>
    <row r="417" spans="2:24" x14ac:dyDescent="0.35">
      <c r="B417" s="8" t="s">
        <v>7</v>
      </c>
      <c r="C417" s="8" t="s">
        <v>43</v>
      </c>
      <c r="D417" s="8" t="s">
        <v>10</v>
      </c>
      <c r="E417" s="8" t="s">
        <v>27</v>
      </c>
      <c r="F417" s="8" t="s">
        <v>33</v>
      </c>
      <c r="G417" s="8">
        <v>2017</v>
      </c>
      <c r="H417" s="8">
        <v>4</v>
      </c>
      <c r="I417" s="10">
        <v>42826</v>
      </c>
      <c r="J417" s="11">
        <v>3279</v>
      </c>
      <c r="K417" s="51"/>
      <c r="O417" s="1" t="s">
        <v>7</v>
      </c>
      <c r="P417" s="1" t="s">
        <v>43</v>
      </c>
      <c r="Q417" s="1" t="s">
        <v>10</v>
      </c>
      <c r="R417" s="1" t="s">
        <v>27</v>
      </c>
      <c r="S417" s="1" t="s">
        <v>33</v>
      </c>
      <c r="T417" s="1">
        <v>2017</v>
      </c>
      <c r="U417" s="1">
        <v>4</v>
      </c>
      <c r="V417" s="50">
        <v>42826</v>
      </c>
      <c r="W417" s="4">
        <v>2983.89</v>
      </c>
      <c r="X417" s="48">
        <v>3279</v>
      </c>
    </row>
    <row r="418" spans="2:24" x14ac:dyDescent="0.35">
      <c r="B418" s="8" t="s">
        <v>7</v>
      </c>
      <c r="C418" s="8" t="s">
        <v>32</v>
      </c>
      <c r="D418" s="8" t="s">
        <v>8</v>
      </c>
      <c r="E418" s="8" t="s">
        <v>0</v>
      </c>
      <c r="F418" s="6" t="s">
        <v>45</v>
      </c>
      <c r="G418" s="8">
        <v>2017</v>
      </c>
      <c r="H418" s="8">
        <v>4</v>
      </c>
      <c r="I418" s="10">
        <v>42826</v>
      </c>
      <c r="J418" s="11">
        <v>4228</v>
      </c>
      <c r="K418" s="51"/>
      <c r="O418" s="1" t="s">
        <v>7</v>
      </c>
      <c r="P418" s="1" t="s">
        <v>32</v>
      </c>
      <c r="Q418" s="1" t="s">
        <v>8</v>
      </c>
      <c r="R418" s="1" t="s">
        <v>0</v>
      </c>
      <c r="S418" t="s">
        <v>45</v>
      </c>
      <c r="T418" s="1">
        <v>2017</v>
      </c>
      <c r="U418" s="1">
        <v>4</v>
      </c>
      <c r="V418" s="50">
        <v>42826</v>
      </c>
      <c r="W418" s="4">
        <v>3720.6399999999994</v>
      </c>
      <c r="X418" s="48">
        <v>4228</v>
      </c>
    </row>
    <row r="419" spans="2:24" x14ac:dyDescent="0.35">
      <c r="B419" s="8" t="s">
        <v>7</v>
      </c>
      <c r="C419" s="8" t="s">
        <v>48</v>
      </c>
      <c r="D419" s="8" t="s">
        <v>9</v>
      </c>
      <c r="E419" s="8" t="s">
        <v>23</v>
      </c>
      <c r="F419" s="6" t="s">
        <v>39</v>
      </c>
      <c r="G419" s="8">
        <v>2017</v>
      </c>
      <c r="H419" s="8">
        <v>4</v>
      </c>
      <c r="I419" s="10">
        <v>42826</v>
      </c>
      <c r="J419" s="11">
        <v>1771</v>
      </c>
      <c r="K419" s="51"/>
      <c r="O419" s="1" t="s">
        <v>7</v>
      </c>
      <c r="P419" s="1" t="s">
        <v>48</v>
      </c>
      <c r="Q419" s="1" t="s">
        <v>9</v>
      </c>
      <c r="R419" s="1" t="s">
        <v>23</v>
      </c>
      <c r="S419" t="s">
        <v>39</v>
      </c>
      <c r="T419" s="1">
        <v>2017</v>
      </c>
      <c r="U419" s="1">
        <v>4</v>
      </c>
      <c r="V419" s="50">
        <v>42826</v>
      </c>
      <c r="W419" s="4">
        <v>1593.8999999999999</v>
      </c>
      <c r="X419" s="48">
        <v>1771</v>
      </c>
    </row>
    <row r="420" spans="2:24" x14ac:dyDescent="0.35">
      <c r="B420" s="8" t="s">
        <v>7</v>
      </c>
      <c r="C420" s="8" t="s">
        <v>49</v>
      </c>
      <c r="D420" s="8" t="s">
        <v>11</v>
      </c>
      <c r="E420" s="8" t="s">
        <v>0</v>
      </c>
      <c r="F420" s="6" t="s">
        <v>26</v>
      </c>
      <c r="G420" s="8">
        <v>2017</v>
      </c>
      <c r="H420" s="8">
        <v>4</v>
      </c>
      <c r="I420" s="10">
        <v>42826</v>
      </c>
      <c r="J420" s="11">
        <v>4694</v>
      </c>
      <c r="K420" s="51"/>
      <c r="O420" s="1" t="s">
        <v>7</v>
      </c>
      <c r="P420" s="1" t="s">
        <v>49</v>
      </c>
      <c r="Q420" s="1" t="s">
        <v>11</v>
      </c>
      <c r="R420" s="1" t="s">
        <v>0</v>
      </c>
      <c r="S420" t="s">
        <v>26</v>
      </c>
      <c r="T420" s="1">
        <v>2017</v>
      </c>
      <c r="U420" s="1">
        <v>4</v>
      </c>
      <c r="V420" s="50">
        <v>42826</v>
      </c>
      <c r="W420" s="4">
        <v>3989.9000000000005</v>
      </c>
      <c r="X420" s="48">
        <v>4694</v>
      </c>
    </row>
    <row r="421" spans="2:24" x14ac:dyDescent="0.35">
      <c r="B421" s="8" t="s">
        <v>12</v>
      </c>
      <c r="C421" s="8" t="s">
        <v>34</v>
      </c>
      <c r="D421" s="8" t="s">
        <v>35</v>
      </c>
      <c r="E421" s="9" t="s">
        <v>27</v>
      </c>
      <c r="F421" s="9" t="s">
        <v>28</v>
      </c>
      <c r="G421" s="8">
        <v>2017</v>
      </c>
      <c r="H421" s="8">
        <v>4</v>
      </c>
      <c r="I421" s="10">
        <v>42826</v>
      </c>
      <c r="J421" s="11">
        <v>4187</v>
      </c>
      <c r="K421" s="51"/>
      <c r="O421" s="1" t="s">
        <v>12</v>
      </c>
      <c r="P421" s="1" t="s">
        <v>34</v>
      </c>
      <c r="Q421" s="1" t="s">
        <v>35</v>
      </c>
      <c r="R421" s="2" t="s">
        <v>27</v>
      </c>
      <c r="S421" s="2" t="s">
        <v>28</v>
      </c>
      <c r="T421" s="1">
        <v>2017</v>
      </c>
      <c r="U421" s="1">
        <v>4</v>
      </c>
      <c r="V421" s="50">
        <v>42826</v>
      </c>
      <c r="W421" s="4">
        <v>3558.9500000000003</v>
      </c>
      <c r="X421" s="48">
        <v>4187</v>
      </c>
    </row>
    <row r="422" spans="2:24" x14ac:dyDescent="0.35">
      <c r="B422" s="8" t="s">
        <v>14</v>
      </c>
      <c r="C422" s="8" t="s">
        <v>37</v>
      </c>
      <c r="D422" s="8" t="s">
        <v>38</v>
      </c>
      <c r="E422" s="8" t="s">
        <v>27</v>
      </c>
      <c r="F422" s="9" t="s">
        <v>33</v>
      </c>
      <c r="G422" s="8">
        <v>2017</v>
      </c>
      <c r="H422" s="8">
        <v>4</v>
      </c>
      <c r="I422" s="10">
        <v>42826</v>
      </c>
      <c r="J422" s="11">
        <v>3282</v>
      </c>
      <c r="K422" s="51"/>
      <c r="O422" s="1" t="s">
        <v>14</v>
      </c>
      <c r="P422" s="1" t="s">
        <v>37</v>
      </c>
      <c r="Q422" s="1" t="s">
        <v>38</v>
      </c>
      <c r="R422" s="1" t="s">
        <v>27</v>
      </c>
      <c r="S422" s="2" t="s">
        <v>33</v>
      </c>
      <c r="T422" s="1">
        <v>2017</v>
      </c>
      <c r="U422" s="1">
        <v>4</v>
      </c>
      <c r="V422" s="50">
        <v>42826</v>
      </c>
      <c r="W422" s="4">
        <v>2789.7000000000003</v>
      </c>
      <c r="X422" s="48">
        <v>3282</v>
      </c>
    </row>
    <row r="423" spans="2:24" x14ac:dyDescent="0.35">
      <c r="B423" s="8" t="s">
        <v>12</v>
      </c>
      <c r="C423" s="8" t="s">
        <v>44</v>
      </c>
      <c r="D423" s="8" t="s">
        <v>13</v>
      </c>
      <c r="E423" s="8" t="s">
        <v>23</v>
      </c>
      <c r="F423" s="6" t="s">
        <v>24</v>
      </c>
      <c r="G423" s="8">
        <v>2017</v>
      </c>
      <c r="H423" s="8">
        <v>4</v>
      </c>
      <c r="I423" s="10">
        <v>42826</v>
      </c>
      <c r="J423" s="11">
        <v>3320</v>
      </c>
      <c r="K423" s="51"/>
      <c r="O423" s="1" t="s">
        <v>12</v>
      </c>
      <c r="P423" s="1" t="s">
        <v>44</v>
      </c>
      <c r="Q423" s="1" t="s">
        <v>13</v>
      </c>
      <c r="R423" s="1" t="s">
        <v>23</v>
      </c>
      <c r="S423" t="s">
        <v>24</v>
      </c>
      <c r="T423" s="1">
        <v>2017</v>
      </c>
      <c r="U423" s="1">
        <v>4</v>
      </c>
      <c r="V423" s="50">
        <v>42826</v>
      </c>
      <c r="W423" s="4">
        <v>2987.9999999999995</v>
      </c>
      <c r="X423" s="48">
        <v>3320</v>
      </c>
    </row>
    <row r="424" spans="2:24" x14ac:dyDescent="0.35">
      <c r="B424" s="8" t="s">
        <v>14</v>
      </c>
      <c r="C424" s="8" t="s">
        <v>46</v>
      </c>
      <c r="D424" s="8" t="s">
        <v>47</v>
      </c>
      <c r="E424" s="8" t="s">
        <v>0</v>
      </c>
      <c r="F424" s="8" t="s">
        <v>42</v>
      </c>
      <c r="G424" s="8">
        <v>2017</v>
      </c>
      <c r="H424" s="8">
        <v>4</v>
      </c>
      <c r="I424" s="10">
        <v>42826</v>
      </c>
      <c r="J424" s="11">
        <v>5610</v>
      </c>
      <c r="K424" s="51"/>
      <c r="O424" s="1" t="s">
        <v>14</v>
      </c>
      <c r="P424" s="1" t="s">
        <v>46</v>
      </c>
      <c r="Q424" s="1" t="s">
        <v>47</v>
      </c>
      <c r="R424" s="1" t="s">
        <v>0</v>
      </c>
      <c r="S424" s="1" t="s">
        <v>42</v>
      </c>
      <c r="T424" s="1">
        <v>2017</v>
      </c>
      <c r="U424" s="1">
        <v>4</v>
      </c>
      <c r="V424" s="50">
        <v>42826</v>
      </c>
      <c r="W424" s="4">
        <v>5217.2999999999993</v>
      </c>
      <c r="X424" s="48">
        <v>5610</v>
      </c>
    </row>
    <row r="425" spans="2:24" x14ac:dyDescent="0.35">
      <c r="B425" s="8" t="s">
        <v>7</v>
      </c>
      <c r="C425" s="8" t="s">
        <v>48</v>
      </c>
      <c r="D425" s="8" t="s">
        <v>9</v>
      </c>
      <c r="E425" s="8" t="s">
        <v>27</v>
      </c>
      <c r="F425" s="8" t="s">
        <v>33</v>
      </c>
      <c r="G425" s="8">
        <v>2017</v>
      </c>
      <c r="H425" s="8">
        <v>4</v>
      </c>
      <c r="I425" s="10">
        <v>42826</v>
      </c>
      <c r="J425" s="11">
        <v>3361</v>
      </c>
      <c r="K425" s="51"/>
      <c r="O425" s="1" t="s">
        <v>7</v>
      </c>
      <c r="P425" s="1" t="s">
        <v>48</v>
      </c>
      <c r="Q425" s="1" t="s">
        <v>9</v>
      </c>
      <c r="R425" s="1" t="s">
        <v>27</v>
      </c>
      <c r="S425" s="1" t="s">
        <v>33</v>
      </c>
      <c r="T425" s="1">
        <v>2017</v>
      </c>
      <c r="U425" s="1">
        <v>4</v>
      </c>
      <c r="V425" s="50">
        <v>42826</v>
      </c>
      <c r="W425" s="4">
        <v>2957.68</v>
      </c>
      <c r="X425" s="48">
        <v>3361</v>
      </c>
    </row>
    <row r="426" spans="2:24" x14ac:dyDescent="0.35">
      <c r="B426" s="8" t="s">
        <v>7</v>
      </c>
      <c r="C426" s="8" t="s">
        <v>49</v>
      </c>
      <c r="D426" s="8" t="s">
        <v>11</v>
      </c>
      <c r="E426" s="8" t="s">
        <v>23</v>
      </c>
      <c r="F426" s="8" t="s">
        <v>24</v>
      </c>
      <c r="G426" s="8">
        <v>2017</v>
      </c>
      <c r="H426" s="8">
        <v>4</v>
      </c>
      <c r="I426" s="10">
        <v>42826</v>
      </c>
      <c r="J426" s="11">
        <v>2375</v>
      </c>
      <c r="K426" s="51"/>
      <c r="O426" s="1" t="s">
        <v>7</v>
      </c>
      <c r="P426" s="1" t="s">
        <v>49</v>
      </c>
      <c r="Q426" s="1" t="s">
        <v>11</v>
      </c>
      <c r="R426" s="1" t="s">
        <v>23</v>
      </c>
      <c r="S426" s="1" t="s">
        <v>24</v>
      </c>
      <c r="T426" s="1">
        <v>2017</v>
      </c>
      <c r="U426" s="1">
        <v>4</v>
      </c>
      <c r="V426" s="50">
        <v>42826</v>
      </c>
      <c r="W426" s="4">
        <v>2066.25</v>
      </c>
      <c r="X426" s="48">
        <v>2375</v>
      </c>
    </row>
    <row r="427" spans="2:24" x14ac:dyDescent="0.35">
      <c r="B427" s="8" t="s">
        <v>3</v>
      </c>
      <c r="C427" s="8" t="s">
        <v>22</v>
      </c>
      <c r="D427" s="8" t="s">
        <v>5</v>
      </c>
      <c r="E427" s="8" t="s">
        <v>23</v>
      </c>
      <c r="F427" s="6" t="s">
        <v>24</v>
      </c>
      <c r="G427" s="8">
        <v>2017</v>
      </c>
      <c r="H427" s="8">
        <v>5</v>
      </c>
      <c r="I427" s="10">
        <v>42856</v>
      </c>
      <c r="J427" s="11">
        <v>3158</v>
      </c>
      <c r="K427" s="51"/>
      <c r="O427" s="1" t="s">
        <v>3</v>
      </c>
      <c r="P427" s="1" t="s">
        <v>22</v>
      </c>
      <c r="Q427" s="1" t="s">
        <v>5</v>
      </c>
      <c r="R427" s="1" t="s">
        <v>23</v>
      </c>
      <c r="S427" t="s">
        <v>24</v>
      </c>
      <c r="T427" s="1">
        <v>2017</v>
      </c>
      <c r="U427" s="1">
        <v>5</v>
      </c>
      <c r="V427" s="50">
        <v>42856</v>
      </c>
      <c r="W427" s="4">
        <v>2779.0399999999995</v>
      </c>
      <c r="X427" s="48">
        <v>3158</v>
      </c>
    </row>
    <row r="428" spans="2:24" x14ac:dyDescent="0.35">
      <c r="B428" s="8" t="s">
        <v>3</v>
      </c>
      <c r="C428" s="8" t="s">
        <v>25</v>
      </c>
      <c r="D428" s="8" t="s">
        <v>4</v>
      </c>
      <c r="E428" s="8" t="s">
        <v>23</v>
      </c>
      <c r="F428" s="6" t="s">
        <v>24</v>
      </c>
      <c r="G428" s="8">
        <v>2017</v>
      </c>
      <c r="H428" s="8">
        <v>5</v>
      </c>
      <c r="I428" s="10">
        <v>42856</v>
      </c>
      <c r="J428" s="11">
        <v>2994</v>
      </c>
      <c r="K428" s="51"/>
      <c r="O428" s="1" t="s">
        <v>3</v>
      </c>
      <c r="P428" s="1" t="s">
        <v>25</v>
      </c>
      <c r="Q428" s="1" t="s">
        <v>4</v>
      </c>
      <c r="R428" s="1" t="s">
        <v>23</v>
      </c>
      <c r="S428" t="s">
        <v>24</v>
      </c>
      <c r="T428" s="1">
        <v>2017</v>
      </c>
      <c r="U428" s="1">
        <v>5</v>
      </c>
      <c r="V428" s="50">
        <v>42856</v>
      </c>
      <c r="W428" s="4">
        <v>2694.6</v>
      </c>
      <c r="X428" s="48">
        <v>2994</v>
      </c>
    </row>
    <row r="429" spans="2:24" x14ac:dyDescent="0.35">
      <c r="B429" s="8" t="s">
        <v>3</v>
      </c>
      <c r="C429" s="8" t="s">
        <v>25</v>
      </c>
      <c r="D429" s="8" t="s">
        <v>4</v>
      </c>
      <c r="E429" s="8" t="s">
        <v>0</v>
      </c>
      <c r="F429" s="6" t="s">
        <v>26</v>
      </c>
      <c r="G429" s="8">
        <v>2017</v>
      </c>
      <c r="H429" s="8">
        <v>5</v>
      </c>
      <c r="I429" s="10">
        <v>42856</v>
      </c>
      <c r="J429" s="11">
        <v>5099</v>
      </c>
      <c r="K429" s="51"/>
      <c r="O429" s="1" t="s">
        <v>3</v>
      </c>
      <c r="P429" s="1" t="s">
        <v>25</v>
      </c>
      <c r="Q429" s="1" t="s">
        <v>4</v>
      </c>
      <c r="R429" s="1" t="s">
        <v>0</v>
      </c>
      <c r="S429" t="s">
        <v>26</v>
      </c>
      <c r="T429" s="1">
        <v>2017</v>
      </c>
      <c r="U429" s="1">
        <v>5</v>
      </c>
      <c r="V429" s="50">
        <v>42856</v>
      </c>
      <c r="W429" s="4">
        <v>4487.119999999999</v>
      </c>
      <c r="X429" s="48">
        <v>5099</v>
      </c>
    </row>
    <row r="430" spans="2:24" x14ac:dyDescent="0.35">
      <c r="B430" s="8" t="s">
        <v>3</v>
      </c>
      <c r="C430" s="8" t="s">
        <v>22</v>
      </c>
      <c r="D430" s="8" t="s">
        <v>5</v>
      </c>
      <c r="E430" s="9" t="s">
        <v>0</v>
      </c>
      <c r="F430" s="9" t="s">
        <v>26</v>
      </c>
      <c r="G430" s="8">
        <v>2017</v>
      </c>
      <c r="H430" s="8">
        <v>5</v>
      </c>
      <c r="I430" s="10">
        <v>42856</v>
      </c>
      <c r="J430" s="11">
        <v>4857</v>
      </c>
      <c r="K430" s="51"/>
      <c r="O430" s="1" t="s">
        <v>3</v>
      </c>
      <c r="P430" s="1" t="s">
        <v>22</v>
      </c>
      <c r="Q430" s="1" t="s">
        <v>5</v>
      </c>
      <c r="R430" s="2" t="s">
        <v>0</v>
      </c>
      <c r="S430" s="2" t="s">
        <v>26</v>
      </c>
      <c r="T430" s="1">
        <v>2017</v>
      </c>
      <c r="U430" s="1">
        <v>5</v>
      </c>
      <c r="V430" s="50">
        <v>42856</v>
      </c>
      <c r="W430" s="4">
        <v>4177.0200000000004</v>
      </c>
      <c r="X430" s="48">
        <v>4857</v>
      </c>
    </row>
    <row r="431" spans="2:24" x14ac:dyDescent="0.35">
      <c r="B431" s="8" t="s">
        <v>3</v>
      </c>
      <c r="C431" s="8" t="s">
        <v>22</v>
      </c>
      <c r="D431" s="8" t="s">
        <v>5</v>
      </c>
      <c r="E431" s="8" t="s">
        <v>27</v>
      </c>
      <c r="F431" s="9" t="s">
        <v>28</v>
      </c>
      <c r="G431" s="8">
        <v>2017</v>
      </c>
      <c r="H431" s="8">
        <v>5</v>
      </c>
      <c r="I431" s="10">
        <v>42856</v>
      </c>
      <c r="J431" s="11">
        <v>4346</v>
      </c>
      <c r="K431" s="51"/>
      <c r="O431" s="1" t="s">
        <v>3</v>
      </c>
      <c r="P431" s="1" t="s">
        <v>22</v>
      </c>
      <c r="Q431" s="1" t="s">
        <v>5</v>
      </c>
      <c r="R431" s="1" t="s">
        <v>27</v>
      </c>
      <c r="S431" s="2" t="s">
        <v>28</v>
      </c>
      <c r="T431" s="1">
        <v>2017</v>
      </c>
      <c r="U431" s="1">
        <v>5</v>
      </c>
      <c r="V431" s="50">
        <v>42856</v>
      </c>
      <c r="W431" s="4">
        <v>3694.1000000000004</v>
      </c>
      <c r="X431" s="48">
        <v>4346</v>
      </c>
    </row>
    <row r="432" spans="2:24" x14ac:dyDescent="0.35">
      <c r="B432" s="8" t="s">
        <v>6</v>
      </c>
      <c r="C432" s="8" t="s">
        <v>29</v>
      </c>
      <c r="D432" s="8" t="s">
        <v>30</v>
      </c>
      <c r="E432" s="8" t="s">
        <v>27</v>
      </c>
      <c r="F432" s="6" t="s">
        <v>31</v>
      </c>
      <c r="G432" s="8">
        <v>2017</v>
      </c>
      <c r="H432" s="8">
        <v>5</v>
      </c>
      <c r="I432" s="10">
        <v>42856</v>
      </c>
      <c r="J432" s="11">
        <v>3461</v>
      </c>
      <c r="K432" s="51"/>
      <c r="O432" s="1" t="s">
        <v>6</v>
      </c>
      <c r="P432" s="1" t="s">
        <v>29</v>
      </c>
      <c r="Q432" s="1" t="s">
        <v>30</v>
      </c>
      <c r="R432" s="1" t="s">
        <v>27</v>
      </c>
      <c r="S432" t="s">
        <v>31</v>
      </c>
      <c r="T432" s="1">
        <v>2017</v>
      </c>
      <c r="U432" s="1">
        <v>5</v>
      </c>
      <c r="V432" s="50">
        <v>42856</v>
      </c>
      <c r="W432" s="4">
        <v>3011.0700000000006</v>
      </c>
      <c r="X432" s="48">
        <v>3461</v>
      </c>
    </row>
    <row r="433" spans="2:24" x14ac:dyDescent="0.35">
      <c r="B433" s="8" t="s">
        <v>7</v>
      </c>
      <c r="C433" s="8" t="s">
        <v>32</v>
      </c>
      <c r="D433" s="8" t="s">
        <v>8</v>
      </c>
      <c r="E433" s="8" t="s">
        <v>27</v>
      </c>
      <c r="F433" s="8" t="s">
        <v>33</v>
      </c>
      <c r="G433" s="8">
        <v>2017</v>
      </c>
      <c r="H433" s="8">
        <v>5</v>
      </c>
      <c r="I433" s="10">
        <v>42856</v>
      </c>
      <c r="J433" s="11">
        <v>3749</v>
      </c>
      <c r="K433" s="51"/>
      <c r="O433" s="1" t="s">
        <v>7</v>
      </c>
      <c r="P433" s="1" t="s">
        <v>32</v>
      </c>
      <c r="Q433" s="1" t="s">
        <v>8</v>
      </c>
      <c r="R433" s="1" t="s">
        <v>27</v>
      </c>
      <c r="S433" s="1" t="s">
        <v>33</v>
      </c>
      <c r="T433" s="1">
        <v>2017</v>
      </c>
      <c r="U433" s="1">
        <v>5</v>
      </c>
      <c r="V433" s="50">
        <v>42856</v>
      </c>
      <c r="W433" s="4">
        <v>3336.6099999999997</v>
      </c>
      <c r="X433" s="48">
        <v>3749</v>
      </c>
    </row>
    <row r="434" spans="2:24" x14ac:dyDescent="0.35">
      <c r="B434" s="8" t="s">
        <v>12</v>
      </c>
      <c r="C434" s="8" t="s">
        <v>34</v>
      </c>
      <c r="D434" s="8" t="s">
        <v>35</v>
      </c>
      <c r="E434" s="8" t="s">
        <v>23</v>
      </c>
      <c r="F434" s="8" t="s">
        <v>36</v>
      </c>
      <c r="G434" s="8">
        <v>2017</v>
      </c>
      <c r="H434" s="8">
        <v>5</v>
      </c>
      <c r="I434" s="10">
        <v>42856</v>
      </c>
      <c r="J434" s="11">
        <v>1824</v>
      </c>
      <c r="K434" s="51"/>
      <c r="O434" s="1" t="s">
        <v>12</v>
      </c>
      <c r="P434" s="1" t="s">
        <v>34</v>
      </c>
      <c r="Q434" s="1" t="s">
        <v>35</v>
      </c>
      <c r="R434" s="1" t="s">
        <v>23</v>
      </c>
      <c r="S434" s="1" t="s">
        <v>36</v>
      </c>
      <c r="T434" s="1">
        <v>2017</v>
      </c>
      <c r="U434" s="1">
        <v>5</v>
      </c>
      <c r="V434" s="50">
        <v>42856</v>
      </c>
      <c r="W434" s="4">
        <v>1550.4</v>
      </c>
      <c r="X434" s="48">
        <v>1824</v>
      </c>
    </row>
    <row r="435" spans="2:24" x14ac:dyDescent="0.35">
      <c r="B435" s="8" t="s">
        <v>14</v>
      </c>
      <c r="C435" s="8" t="s">
        <v>37</v>
      </c>
      <c r="D435" s="8" t="s">
        <v>38</v>
      </c>
      <c r="E435" s="8" t="s">
        <v>23</v>
      </c>
      <c r="F435" s="8" t="s">
        <v>24</v>
      </c>
      <c r="G435" s="8">
        <v>2017</v>
      </c>
      <c r="H435" s="8">
        <v>5</v>
      </c>
      <c r="I435" s="10">
        <v>42856</v>
      </c>
      <c r="J435" s="11">
        <v>3049</v>
      </c>
      <c r="K435" s="51"/>
      <c r="O435" s="1" t="s">
        <v>14</v>
      </c>
      <c r="P435" s="1" t="s">
        <v>37</v>
      </c>
      <c r="Q435" s="1" t="s">
        <v>38</v>
      </c>
      <c r="R435" s="1" t="s">
        <v>23</v>
      </c>
      <c r="S435" s="1" t="s">
        <v>24</v>
      </c>
      <c r="T435" s="1">
        <v>2017</v>
      </c>
      <c r="U435" s="1">
        <v>5</v>
      </c>
      <c r="V435" s="50">
        <v>42856</v>
      </c>
      <c r="W435" s="4">
        <v>2774.5899999999997</v>
      </c>
      <c r="X435" s="48">
        <v>3049</v>
      </c>
    </row>
    <row r="436" spans="2:24" x14ac:dyDescent="0.35">
      <c r="B436" s="8" t="s">
        <v>3</v>
      </c>
      <c r="C436" s="8" t="s">
        <v>25</v>
      </c>
      <c r="D436" s="8" t="s">
        <v>4</v>
      </c>
      <c r="E436" s="8" t="s">
        <v>23</v>
      </c>
      <c r="F436" s="6" t="s">
        <v>39</v>
      </c>
      <c r="G436" s="8">
        <v>2017</v>
      </c>
      <c r="H436" s="8">
        <v>5</v>
      </c>
      <c r="I436" s="10">
        <v>42856</v>
      </c>
      <c r="J436" s="11">
        <v>2117</v>
      </c>
      <c r="K436" s="51"/>
      <c r="O436" s="1" t="s">
        <v>3</v>
      </c>
      <c r="P436" s="1" t="s">
        <v>25</v>
      </c>
      <c r="Q436" s="1" t="s">
        <v>4</v>
      </c>
      <c r="R436" s="1" t="s">
        <v>23</v>
      </c>
      <c r="S436" t="s">
        <v>39</v>
      </c>
      <c r="T436" s="1">
        <v>2017</v>
      </c>
      <c r="U436" s="1">
        <v>5</v>
      </c>
      <c r="V436" s="50">
        <v>42856</v>
      </c>
      <c r="W436" s="4">
        <v>1884.1299999999999</v>
      </c>
      <c r="X436" s="48">
        <v>2117</v>
      </c>
    </row>
    <row r="437" spans="2:24" x14ac:dyDescent="0.35">
      <c r="B437" s="8" t="s">
        <v>6</v>
      </c>
      <c r="C437" s="8" t="s">
        <v>40</v>
      </c>
      <c r="D437" s="8" t="s">
        <v>41</v>
      </c>
      <c r="E437" s="8" t="s">
        <v>0</v>
      </c>
      <c r="F437" s="6" t="s">
        <v>42</v>
      </c>
      <c r="G437" s="8">
        <v>2017</v>
      </c>
      <c r="H437" s="8">
        <v>5</v>
      </c>
      <c r="I437" s="10">
        <v>42856</v>
      </c>
      <c r="J437" s="11">
        <v>4770</v>
      </c>
      <c r="K437" s="51"/>
      <c r="O437" s="1" t="s">
        <v>6</v>
      </c>
      <c r="P437" s="1" t="s">
        <v>40</v>
      </c>
      <c r="Q437" s="1" t="s">
        <v>41</v>
      </c>
      <c r="R437" s="1" t="s">
        <v>0</v>
      </c>
      <c r="S437" t="s">
        <v>42</v>
      </c>
      <c r="T437" s="1">
        <v>2017</v>
      </c>
      <c r="U437" s="1">
        <v>5</v>
      </c>
      <c r="V437" s="50">
        <v>42856</v>
      </c>
      <c r="W437" s="4">
        <v>4149.9000000000005</v>
      </c>
      <c r="X437" s="48">
        <v>4770</v>
      </c>
    </row>
    <row r="438" spans="2:24" x14ac:dyDescent="0.35">
      <c r="B438" s="8" t="s">
        <v>7</v>
      </c>
      <c r="C438" s="8" t="s">
        <v>43</v>
      </c>
      <c r="D438" s="8" t="s">
        <v>10</v>
      </c>
      <c r="E438" s="8" t="s">
        <v>0</v>
      </c>
      <c r="F438" s="6" t="s">
        <v>26</v>
      </c>
      <c r="G438" s="8">
        <v>2017</v>
      </c>
      <c r="H438" s="8">
        <v>5</v>
      </c>
      <c r="I438" s="10">
        <v>42856</v>
      </c>
      <c r="J438" s="11">
        <v>3729</v>
      </c>
      <c r="K438" s="51"/>
      <c r="O438" s="1" t="s">
        <v>7</v>
      </c>
      <c r="P438" s="1" t="s">
        <v>43</v>
      </c>
      <c r="Q438" s="1" t="s">
        <v>10</v>
      </c>
      <c r="R438" s="1" t="s">
        <v>0</v>
      </c>
      <c r="S438" t="s">
        <v>26</v>
      </c>
      <c r="T438" s="1">
        <v>2017</v>
      </c>
      <c r="U438" s="1">
        <v>5</v>
      </c>
      <c r="V438" s="50">
        <v>42856</v>
      </c>
      <c r="W438" s="4">
        <v>3430.68</v>
      </c>
      <c r="X438" s="48">
        <v>3729</v>
      </c>
    </row>
    <row r="439" spans="2:24" x14ac:dyDescent="0.35">
      <c r="B439" s="8" t="s">
        <v>12</v>
      </c>
      <c r="C439" s="8" t="s">
        <v>44</v>
      </c>
      <c r="D439" s="8" t="s">
        <v>13</v>
      </c>
      <c r="E439" s="9" t="s">
        <v>0</v>
      </c>
      <c r="F439" s="9" t="s">
        <v>45</v>
      </c>
      <c r="G439" s="8">
        <v>2017</v>
      </c>
      <c r="H439" s="8">
        <v>5</v>
      </c>
      <c r="I439" s="10">
        <v>42856</v>
      </c>
      <c r="J439" s="11">
        <v>3630</v>
      </c>
      <c r="K439" s="51"/>
      <c r="O439" s="1" t="s">
        <v>12</v>
      </c>
      <c r="P439" s="1" t="s">
        <v>44</v>
      </c>
      <c r="Q439" s="1" t="s">
        <v>13</v>
      </c>
      <c r="R439" s="2" t="s">
        <v>0</v>
      </c>
      <c r="S439" s="2" t="s">
        <v>45</v>
      </c>
      <c r="T439" s="1">
        <v>2017</v>
      </c>
      <c r="U439" s="1">
        <v>5</v>
      </c>
      <c r="V439" s="50">
        <v>42856</v>
      </c>
      <c r="W439" s="4">
        <v>3085.5000000000005</v>
      </c>
      <c r="X439" s="48">
        <v>3630</v>
      </c>
    </row>
    <row r="440" spans="2:24" x14ac:dyDescent="0.35">
      <c r="B440" s="8" t="s">
        <v>14</v>
      </c>
      <c r="C440" s="8" t="s">
        <v>46</v>
      </c>
      <c r="D440" s="8" t="s">
        <v>47</v>
      </c>
      <c r="E440" s="8" t="s">
        <v>27</v>
      </c>
      <c r="F440" s="9" t="s">
        <v>28</v>
      </c>
      <c r="G440" s="8">
        <v>2017</v>
      </c>
      <c r="H440" s="8">
        <v>5</v>
      </c>
      <c r="I440" s="10">
        <v>42856</v>
      </c>
      <c r="J440" s="11">
        <v>4539</v>
      </c>
      <c r="K440" s="51"/>
      <c r="O440" s="1" t="s">
        <v>14</v>
      </c>
      <c r="P440" s="1" t="s">
        <v>46</v>
      </c>
      <c r="Q440" s="1" t="s">
        <v>47</v>
      </c>
      <c r="R440" s="1" t="s">
        <v>27</v>
      </c>
      <c r="S440" s="2" t="s">
        <v>28</v>
      </c>
      <c r="T440" s="1">
        <v>2017</v>
      </c>
      <c r="U440" s="1">
        <v>5</v>
      </c>
      <c r="V440" s="50">
        <v>42856</v>
      </c>
      <c r="W440" s="4">
        <v>4085.0999999999995</v>
      </c>
      <c r="X440" s="48">
        <v>4539</v>
      </c>
    </row>
    <row r="441" spans="2:24" x14ac:dyDescent="0.35">
      <c r="B441" s="8" t="s">
        <v>3</v>
      </c>
      <c r="C441" s="8" t="s">
        <v>22</v>
      </c>
      <c r="D441" s="8" t="s">
        <v>5</v>
      </c>
      <c r="E441" s="8" t="s">
        <v>27</v>
      </c>
      <c r="F441" s="6" t="s">
        <v>31</v>
      </c>
      <c r="G441" s="8">
        <v>2017</v>
      </c>
      <c r="H441" s="8">
        <v>5</v>
      </c>
      <c r="I441" s="10">
        <v>42856</v>
      </c>
      <c r="J441" s="11">
        <v>5114</v>
      </c>
      <c r="K441" s="51"/>
      <c r="O441" s="1" t="s">
        <v>3</v>
      </c>
      <c r="P441" s="1" t="s">
        <v>22</v>
      </c>
      <c r="Q441" s="1" t="s">
        <v>5</v>
      </c>
      <c r="R441" s="1" t="s">
        <v>27</v>
      </c>
      <c r="S441" t="s">
        <v>31</v>
      </c>
      <c r="T441" s="1">
        <v>2017</v>
      </c>
      <c r="U441" s="1">
        <v>5</v>
      </c>
      <c r="V441" s="50">
        <v>42856</v>
      </c>
      <c r="W441" s="4">
        <v>4346.9000000000005</v>
      </c>
      <c r="X441" s="48">
        <v>5114</v>
      </c>
    </row>
    <row r="442" spans="2:24" x14ac:dyDescent="0.35">
      <c r="B442" s="8" t="s">
        <v>6</v>
      </c>
      <c r="C442" s="8" t="s">
        <v>29</v>
      </c>
      <c r="D442" s="8" t="s">
        <v>30</v>
      </c>
      <c r="E442" s="8" t="s">
        <v>27</v>
      </c>
      <c r="F442" s="8" t="s">
        <v>33</v>
      </c>
      <c r="G442" s="8">
        <v>2017</v>
      </c>
      <c r="H442" s="8">
        <v>5</v>
      </c>
      <c r="I442" s="10">
        <v>42856</v>
      </c>
      <c r="J442" s="11">
        <v>3885</v>
      </c>
      <c r="K442" s="51"/>
      <c r="O442" s="1" t="s">
        <v>6</v>
      </c>
      <c r="P442" s="1" t="s">
        <v>29</v>
      </c>
      <c r="Q442" s="1" t="s">
        <v>30</v>
      </c>
      <c r="R442" s="1" t="s">
        <v>27</v>
      </c>
      <c r="S442" s="1" t="s">
        <v>33</v>
      </c>
      <c r="T442" s="1">
        <v>2017</v>
      </c>
      <c r="U442" s="1">
        <v>5</v>
      </c>
      <c r="V442" s="50">
        <v>42856</v>
      </c>
      <c r="W442" s="4">
        <v>3535.3499999999995</v>
      </c>
      <c r="X442" s="48">
        <v>3885</v>
      </c>
    </row>
    <row r="443" spans="2:24" x14ac:dyDescent="0.35">
      <c r="B443" s="8" t="s">
        <v>7</v>
      </c>
      <c r="C443" s="8" t="s">
        <v>32</v>
      </c>
      <c r="D443" s="8" t="s">
        <v>8</v>
      </c>
      <c r="E443" s="8" t="s">
        <v>23</v>
      </c>
      <c r="F443" s="8" t="s">
        <v>36</v>
      </c>
      <c r="G443" s="8">
        <v>2017</v>
      </c>
      <c r="H443" s="8">
        <v>5</v>
      </c>
      <c r="I443" s="10">
        <v>42856</v>
      </c>
      <c r="J443" s="11">
        <v>1978</v>
      </c>
      <c r="K443" s="51"/>
      <c r="O443" s="1" t="s">
        <v>7</v>
      </c>
      <c r="P443" s="1" t="s">
        <v>32</v>
      </c>
      <c r="Q443" s="1" t="s">
        <v>8</v>
      </c>
      <c r="R443" s="1" t="s">
        <v>23</v>
      </c>
      <c r="S443" s="1" t="s">
        <v>36</v>
      </c>
      <c r="T443" s="1">
        <v>2017</v>
      </c>
      <c r="U443" s="1">
        <v>5</v>
      </c>
      <c r="V443" s="50">
        <v>42856</v>
      </c>
      <c r="W443" s="4">
        <v>1819.7599999999998</v>
      </c>
      <c r="X443" s="48">
        <v>1978</v>
      </c>
    </row>
    <row r="444" spans="2:24" x14ac:dyDescent="0.35">
      <c r="B444" s="8" t="s">
        <v>12</v>
      </c>
      <c r="C444" s="8" t="s">
        <v>34</v>
      </c>
      <c r="D444" s="8" t="s">
        <v>35</v>
      </c>
      <c r="E444" s="8" t="s">
        <v>23</v>
      </c>
      <c r="F444" s="8" t="s">
        <v>24</v>
      </c>
      <c r="G444" s="8">
        <v>2017</v>
      </c>
      <c r="H444" s="8">
        <v>5</v>
      </c>
      <c r="I444" s="10">
        <v>42856</v>
      </c>
      <c r="J444" s="11">
        <v>2909</v>
      </c>
      <c r="K444" s="51"/>
      <c r="O444" s="1" t="s">
        <v>12</v>
      </c>
      <c r="P444" s="1" t="s">
        <v>34</v>
      </c>
      <c r="Q444" s="1" t="s">
        <v>35</v>
      </c>
      <c r="R444" s="1" t="s">
        <v>23</v>
      </c>
      <c r="S444" s="1" t="s">
        <v>24</v>
      </c>
      <c r="T444" s="1">
        <v>2017</v>
      </c>
      <c r="U444" s="1">
        <v>5</v>
      </c>
      <c r="V444" s="50">
        <v>42856</v>
      </c>
      <c r="W444" s="4">
        <v>2472.65</v>
      </c>
      <c r="X444" s="48">
        <v>2909</v>
      </c>
    </row>
    <row r="445" spans="2:24" x14ac:dyDescent="0.35">
      <c r="B445" s="8" t="s">
        <v>14</v>
      </c>
      <c r="C445" s="8" t="s">
        <v>37</v>
      </c>
      <c r="D445" s="8" t="s">
        <v>38</v>
      </c>
      <c r="E445" s="8" t="s">
        <v>23</v>
      </c>
      <c r="F445" s="6" t="s">
        <v>39</v>
      </c>
      <c r="G445" s="8">
        <v>2017</v>
      </c>
      <c r="H445" s="8">
        <v>5</v>
      </c>
      <c r="I445" s="10">
        <v>42856</v>
      </c>
      <c r="J445" s="11">
        <v>2663</v>
      </c>
      <c r="K445" s="51"/>
      <c r="O445" s="1" t="s">
        <v>14</v>
      </c>
      <c r="P445" s="1" t="s">
        <v>37</v>
      </c>
      <c r="Q445" s="1" t="s">
        <v>38</v>
      </c>
      <c r="R445" s="1" t="s">
        <v>23</v>
      </c>
      <c r="S445" t="s">
        <v>39</v>
      </c>
      <c r="T445" s="1">
        <v>2017</v>
      </c>
      <c r="U445" s="1">
        <v>5</v>
      </c>
      <c r="V445" s="50">
        <v>42856</v>
      </c>
      <c r="W445" s="4">
        <v>2290.1800000000003</v>
      </c>
      <c r="X445" s="48">
        <v>2663</v>
      </c>
    </row>
    <row r="446" spans="2:24" x14ac:dyDescent="0.35">
      <c r="B446" s="8" t="s">
        <v>3</v>
      </c>
      <c r="C446" s="8" t="s">
        <v>25</v>
      </c>
      <c r="D446" s="8" t="s">
        <v>4</v>
      </c>
      <c r="E446" s="8" t="s">
        <v>0</v>
      </c>
      <c r="F446" s="6" t="s">
        <v>42</v>
      </c>
      <c r="G446" s="8">
        <v>2017</v>
      </c>
      <c r="H446" s="8">
        <v>5</v>
      </c>
      <c r="I446" s="10">
        <v>42856</v>
      </c>
      <c r="J446" s="11">
        <v>4920</v>
      </c>
      <c r="K446" s="51"/>
      <c r="O446" s="1" t="s">
        <v>3</v>
      </c>
      <c r="P446" s="1" t="s">
        <v>25</v>
      </c>
      <c r="Q446" s="1" t="s">
        <v>4</v>
      </c>
      <c r="R446" s="1" t="s">
        <v>0</v>
      </c>
      <c r="S446" t="s">
        <v>42</v>
      </c>
      <c r="T446" s="1">
        <v>2017</v>
      </c>
      <c r="U446" s="1">
        <v>5</v>
      </c>
      <c r="V446" s="50">
        <v>42856</v>
      </c>
      <c r="W446" s="4">
        <v>4624.7999999999993</v>
      </c>
      <c r="X446" s="48">
        <v>4920</v>
      </c>
    </row>
    <row r="447" spans="2:24" x14ac:dyDescent="0.35">
      <c r="B447" s="8" t="s">
        <v>6</v>
      </c>
      <c r="C447" s="8" t="s">
        <v>40</v>
      </c>
      <c r="D447" s="8" t="s">
        <v>41</v>
      </c>
      <c r="E447" s="8" t="s">
        <v>0</v>
      </c>
      <c r="F447" s="6" t="s">
        <v>26</v>
      </c>
      <c r="G447" s="8">
        <v>2017</v>
      </c>
      <c r="H447" s="8">
        <v>5</v>
      </c>
      <c r="I447" s="10">
        <v>42856</v>
      </c>
      <c r="J447" s="11">
        <v>3678</v>
      </c>
      <c r="K447" s="51"/>
      <c r="O447" s="1" t="s">
        <v>6</v>
      </c>
      <c r="P447" s="1" t="s">
        <v>40</v>
      </c>
      <c r="Q447" s="1" t="s">
        <v>41</v>
      </c>
      <c r="R447" s="1" t="s">
        <v>0</v>
      </c>
      <c r="S447" t="s">
        <v>26</v>
      </c>
      <c r="T447" s="1">
        <v>2017</v>
      </c>
      <c r="U447" s="1">
        <v>5</v>
      </c>
      <c r="V447" s="50">
        <v>42856</v>
      </c>
      <c r="W447" s="4">
        <v>3383.7599999999998</v>
      </c>
      <c r="X447" s="48">
        <v>3678</v>
      </c>
    </row>
    <row r="448" spans="2:24" x14ac:dyDescent="0.35">
      <c r="B448" s="8" t="s">
        <v>7</v>
      </c>
      <c r="C448" s="8" t="s">
        <v>43</v>
      </c>
      <c r="D448" s="8" t="s">
        <v>10</v>
      </c>
      <c r="E448" s="9" t="s">
        <v>0</v>
      </c>
      <c r="F448" s="9" t="s">
        <v>45</v>
      </c>
      <c r="G448" s="8">
        <v>2017</v>
      </c>
      <c r="H448" s="8">
        <v>5</v>
      </c>
      <c r="I448" s="10">
        <v>42856</v>
      </c>
      <c r="J448" s="11">
        <v>3872</v>
      </c>
      <c r="K448" s="51"/>
      <c r="O448" s="1" t="s">
        <v>7</v>
      </c>
      <c r="P448" s="1" t="s">
        <v>43</v>
      </c>
      <c r="Q448" s="1" t="s">
        <v>10</v>
      </c>
      <c r="R448" s="2" t="s">
        <v>0</v>
      </c>
      <c r="S448" s="2" t="s">
        <v>45</v>
      </c>
      <c r="T448" s="1">
        <v>2017</v>
      </c>
      <c r="U448" s="1">
        <v>5</v>
      </c>
      <c r="V448" s="50">
        <v>42856</v>
      </c>
      <c r="W448" s="4">
        <v>3291.2000000000003</v>
      </c>
      <c r="X448" s="48">
        <v>3872</v>
      </c>
    </row>
    <row r="449" spans="2:24" x14ac:dyDescent="0.35">
      <c r="B449" s="8" t="s">
        <v>12</v>
      </c>
      <c r="C449" s="8" t="s">
        <v>44</v>
      </c>
      <c r="D449" s="8" t="s">
        <v>13</v>
      </c>
      <c r="E449" s="8" t="s">
        <v>27</v>
      </c>
      <c r="F449" s="9" t="s">
        <v>28</v>
      </c>
      <c r="G449" s="8">
        <v>2017</v>
      </c>
      <c r="H449" s="8">
        <v>5</v>
      </c>
      <c r="I449" s="10">
        <v>42856</v>
      </c>
      <c r="J449" s="11">
        <v>4127</v>
      </c>
      <c r="K449" s="51"/>
      <c r="O449" s="1" t="s">
        <v>12</v>
      </c>
      <c r="P449" s="1" t="s">
        <v>44</v>
      </c>
      <c r="Q449" s="1" t="s">
        <v>13</v>
      </c>
      <c r="R449" s="1" t="s">
        <v>27</v>
      </c>
      <c r="S449" s="2" t="s">
        <v>28</v>
      </c>
      <c r="T449" s="1">
        <v>2017</v>
      </c>
      <c r="U449" s="1">
        <v>5</v>
      </c>
      <c r="V449" s="50">
        <v>42856</v>
      </c>
      <c r="W449" s="4">
        <v>3507.9500000000003</v>
      </c>
      <c r="X449" s="48">
        <v>4127</v>
      </c>
    </row>
    <row r="450" spans="2:24" x14ac:dyDescent="0.35">
      <c r="B450" s="8" t="s">
        <v>14</v>
      </c>
      <c r="C450" s="8" t="s">
        <v>46</v>
      </c>
      <c r="D450" s="8" t="s">
        <v>47</v>
      </c>
      <c r="E450" s="8" t="s">
        <v>27</v>
      </c>
      <c r="F450" s="6" t="s">
        <v>31</v>
      </c>
      <c r="G450" s="8">
        <v>2017</v>
      </c>
      <c r="H450" s="8">
        <v>5</v>
      </c>
      <c r="I450" s="10">
        <v>42856</v>
      </c>
      <c r="J450" s="11">
        <v>4512</v>
      </c>
      <c r="K450" s="51"/>
      <c r="O450" s="1" t="s">
        <v>14</v>
      </c>
      <c r="P450" s="1" t="s">
        <v>46</v>
      </c>
      <c r="Q450" s="1" t="s">
        <v>47</v>
      </c>
      <c r="R450" s="1" t="s">
        <v>27</v>
      </c>
      <c r="S450" t="s">
        <v>31</v>
      </c>
      <c r="T450" s="1">
        <v>2017</v>
      </c>
      <c r="U450" s="1">
        <v>5</v>
      </c>
      <c r="V450" s="50">
        <v>42856</v>
      </c>
      <c r="W450" s="4">
        <v>4196.16</v>
      </c>
      <c r="X450" s="48">
        <v>4512</v>
      </c>
    </row>
    <row r="451" spans="2:24" x14ac:dyDescent="0.35">
      <c r="B451" s="8" t="s">
        <v>3</v>
      </c>
      <c r="C451" s="8" t="s">
        <v>22</v>
      </c>
      <c r="D451" s="8" t="s">
        <v>5</v>
      </c>
      <c r="E451" s="8" t="s">
        <v>27</v>
      </c>
      <c r="F451" s="8" t="s">
        <v>33</v>
      </c>
      <c r="G451" s="8">
        <v>2017</v>
      </c>
      <c r="H451" s="8">
        <v>5</v>
      </c>
      <c r="I451" s="10">
        <v>42856</v>
      </c>
      <c r="J451" s="11">
        <v>3420</v>
      </c>
      <c r="K451" s="51"/>
      <c r="O451" s="1" t="s">
        <v>3</v>
      </c>
      <c r="P451" s="1" t="s">
        <v>22</v>
      </c>
      <c r="Q451" s="1" t="s">
        <v>5</v>
      </c>
      <c r="R451" s="1" t="s">
        <v>27</v>
      </c>
      <c r="S451" s="1" t="s">
        <v>33</v>
      </c>
      <c r="T451" s="1">
        <v>2017</v>
      </c>
      <c r="U451" s="1">
        <v>5</v>
      </c>
      <c r="V451" s="50">
        <v>42856</v>
      </c>
      <c r="W451" s="4">
        <v>3146.3999999999996</v>
      </c>
      <c r="X451" s="48">
        <v>3420</v>
      </c>
    </row>
    <row r="452" spans="2:24" x14ac:dyDescent="0.35">
      <c r="B452" s="8" t="s">
        <v>6</v>
      </c>
      <c r="C452" s="8" t="s">
        <v>29</v>
      </c>
      <c r="D452" s="8" t="s">
        <v>30</v>
      </c>
      <c r="E452" s="8" t="s">
        <v>23</v>
      </c>
      <c r="F452" s="8" t="s">
        <v>36</v>
      </c>
      <c r="G452" s="8">
        <v>2017</v>
      </c>
      <c r="H452" s="8">
        <v>5</v>
      </c>
      <c r="I452" s="10">
        <v>42856</v>
      </c>
      <c r="J452" s="11">
        <v>2810</v>
      </c>
      <c r="K452" s="51"/>
      <c r="O452" s="1" t="s">
        <v>6</v>
      </c>
      <c r="P452" s="1" t="s">
        <v>29</v>
      </c>
      <c r="Q452" s="1" t="s">
        <v>30</v>
      </c>
      <c r="R452" s="1" t="s">
        <v>23</v>
      </c>
      <c r="S452" s="1" t="s">
        <v>36</v>
      </c>
      <c r="T452" s="1">
        <v>2017</v>
      </c>
      <c r="U452" s="1">
        <v>5</v>
      </c>
      <c r="V452" s="50">
        <v>42856</v>
      </c>
      <c r="W452" s="4">
        <v>2585.1999999999998</v>
      </c>
      <c r="X452" s="48">
        <v>2810</v>
      </c>
    </row>
    <row r="453" spans="2:24" x14ac:dyDescent="0.35">
      <c r="B453" s="8" t="s">
        <v>7</v>
      </c>
      <c r="C453" s="8" t="s">
        <v>32</v>
      </c>
      <c r="D453" s="8" t="s">
        <v>8</v>
      </c>
      <c r="E453" s="8" t="s">
        <v>23</v>
      </c>
      <c r="F453" s="8" t="s">
        <v>24</v>
      </c>
      <c r="G453" s="8">
        <v>2017</v>
      </c>
      <c r="H453" s="8">
        <v>5</v>
      </c>
      <c r="I453" s="10">
        <v>42856</v>
      </c>
      <c r="J453" s="11">
        <v>1907</v>
      </c>
      <c r="K453" s="51"/>
      <c r="O453" s="1" t="s">
        <v>7</v>
      </c>
      <c r="P453" s="1" t="s">
        <v>32</v>
      </c>
      <c r="Q453" s="1" t="s">
        <v>8</v>
      </c>
      <c r="R453" s="1" t="s">
        <v>23</v>
      </c>
      <c r="S453" s="1" t="s">
        <v>24</v>
      </c>
      <c r="T453" s="1">
        <v>2017</v>
      </c>
      <c r="U453" s="1">
        <v>5</v>
      </c>
      <c r="V453" s="50">
        <v>42856</v>
      </c>
      <c r="W453" s="4">
        <v>1716.2999999999997</v>
      </c>
      <c r="X453" s="48">
        <v>1907</v>
      </c>
    </row>
    <row r="454" spans="2:24" x14ac:dyDescent="0.35">
      <c r="B454" s="8" t="s">
        <v>12</v>
      </c>
      <c r="C454" s="8" t="s">
        <v>34</v>
      </c>
      <c r="D454" s="8" t="s">
        <v>35</v>
      </c>
      <c r="E454" s="8" t="s">
        <v>23</v>
      </c>
      <c r="F454" s="6" t="s">
        <v>39</v>
      </c>
      <c r="G454" s="8">
        <v>2017</v>
      </c>
      <c r="H454" s="8">
        <v>5</v>
      </c>
      <c r="I454" s="10">
        <v>42856</v>
      </c>
      <c r="J454" s="11">
        <v>1310</v>
      </c>
      <c r="K454" s="51"/>
      <c r="O454" s="1" t="s">
        <v>12</v>
      </c>
      <c r="P454" s="1" t="s">
        <v>34</v>
      </c>
      <c r="Q454" s="1" t="s">
        <v>35</v>
      </c>
      <c r="R454" s="1" t="s">
        <v>23</v>
      </c>
      <c r="S454" t="s">
        <v>39</v>
      </c>
      <c r="T454" s="1">
        <v>2017</v>
      </c>
      <c r="U454" s="1">
        <v>5</v>
      </c>
      <c r="V454" s="50">
        <v>42856</v>
      </c>
      <c r="W454" s="4">
        <v>1139.7</v>
      </c>
      <c r="X454" s="48">
        <v>1310</v>
      </c>
    </row>
    <row r="455" spans="2:24" x14ac:dyDescent="0.35">
      <c r="B455" s="8" t="s">
        <v>14</v>
      </c>
      <c r="C455" s="8" t="s">
        <v>37</v>
      </c>
      <c r="D455" s="8" t="s">
        <v>38</v>
      </c>
      <c r="E455" s="8" t="s">
        <v>0</v>
      </c>
      <c r="F455" s="6" t="s">
        <v>42</v>
      </c>
      <c r="G455" s="8">
        <v>2017</v>
      </c>
      <c r="H455" s="8">
        <v>5</v>
      </c>
      <c r="I455" s="10">
        <v>42856</v>
      </c>
      <c r="J455" s="11">
        <v>5826</v>
      </c>
      <c r="K455" s="51"/>
      <c r="O455" s="1" t="s">
        <v>14</v>
      </c>
      <c r="P455" s="1" t="s">
        <v>37</v>
      </c>
      <c r="Q455" s="1" t="s">
        <v>38</v>
      </c>
      <c r="R455" s="1" t="s">
        <v>0</v>
      </c>
      <c r="S455" t="s">
        <v>42</v>
      </c>
      <c r="T455" s="1">
        <v>2017</v>
      </c>
      <c r="U455" s="1">
        <v>5</v>
      </c>
      <c r="V455" s="50">
        <v>42856</v>
      </c>
      <c r="W455" s="4">
        <v>5010.3600000000006</v>
      </c>
      <c r="X455" s="48">
        <v>5826</v>
      </c>
    </row>
    <row r="456" spans="2:24" x14ac:dyDescent="0.35">
      <c r="B456" s="8" t="s">
        <v>6</v>
      </c>
      <c r="C456" s="8" t="s">
        <v>29</v>
      </c>
      <c r="D456" s="8" t="s">
        <v>30</v>
      </c>
      <c r="E456" s="8" t="s">
        <v>0</v>
      </c>
      <c r="F456" s="6" t="s">
        <v>45</v>
      </c>
      <c r="G456" s="8">
        <v>2017</v>
      </c>
      <c r="H456" s="8">
        <v>5</v>
      </c>
      <c r="I456" s="10">
        <v>42856</v>
      </c>
      <c r="J456" s="11">
        <v>4977</v>
      </c>
      <c r="K456" s="51"/>
      <c r="O456" s="1" t="s">
        <v>6</v>
      </c>
      <c r="P456" s="1" t="s">
        <v>29</v>
      </c>
      <c r="Q456" s="1" t="s">
        <v>30</v>
      </c>
      <c r="R456" s="1" t="s">
        <v>0</v>
      </c>
      <c r="S456" t="s">
        <v>45</v>
      </c>
      <c r="T456" s="1">
        <v>2017</v>
      </c>
      <c r="U456" s="1">
        <v>5</v>
      </c>
      <c r="V456" s="50">
        <v>42856</v>
      </c>
      <c r="W456" s="4">
        <v>4628.6099999999997</v>
      </c>
      <c r="X456" s="48">
        <v>4977</v>
      </c>
    </row>
    <row r="457" spans="2:24" x14ac:dyDescent="0.35">
      <c r="B457" s="8" t="s">
        <v>7</v>
      </c>
      <c r="C457" s="8" t="s">
        <v>43</v>
      </c>
      <c r="D457" s="8" t="s">
        <v>10</v>
      </c>
      <c r="E457" s="9" t="s">
        <v>27</v>
      </c>
      <c r="F457" s="9" t="s">
        <v>28</v>
      </c>
      <c r="G457" s="8">
        <v>2017</v>
      </c>
      <c r="H457" s="8">
        <v>5</v>
      </c>
      <c r="I457" s="10">
        <v>42856</v>
      </c>
      <c r="J457" s="11">
        <v>4210</v>
      </c>
      <c r="K457" s="51"/>
      <c r="O457" s="1" t="s">
        <v>7</v>
      </c>
      <c r="P457" s="1" t="s">
        <v>43</v>
      </c>
      <c r="Q457" s="1" t="s">
        <v>10</v>
      </c>
      <c r="R457" s="2" t="s">
        <v>27</v>
      </c>
      <c r="S457" s="2" t="s">
        <v>28</v>
      </c>
      <c r="T457" s="1">
        <v>2017</v>
      </c>
      <c r="U457" s="1">
        <v>5</v>
      </c>
      <c r="V457" s="50">
        <v>42856</v>
      </c>
      <c r="W457" s="4">
        <v>3620.6000000000004</v>
      </c>
      <c r="X457" s="48">
        <v>4210</v>
      </c>
    </row>
    <row r="458" spans="2:24" x14ac:dyDescent="0.35">
      <c r="B458" s="8" t="s">
        <v>12</v>
      </c>
      <c r="C458" s="8" t="s">
        <v>44</v>
      </c>
      <c r="D458" s="8" t="s">
        <v>13</v>
      </c>
      <c r="E458" s="8" t="s">
        <v>27</v>
      </c>
      <c r="F458" s="9" t="s">
        <v>31</v>
      </c>
      <c r="G458" s="8">
        <v>2017</v>
      </c>
      <c r="H458" s="8">
        <v>5</v>
      </c>
      <c r="I458" s="10">
        <v>42856</v>
      </c>
      <c r="J458" s="11">
        <v>3965</v>
      </c>
      <c r="K458" s="51"/>
      <c r="O458" s="1" t="s">
        <v>12</v>
      </c>
      <c r="P458" s="1" t="s">
        <v>44</v>
      </c>
      <c r="Q458" s="1" t="s">
        <v>13</v>
      </c>
      <c r="R458" s="1" t="s">
        <v>27</v>
      </c>
      <c r="S458" s="2" t="s">
        <v>31</v>
      </c>
      <c r="T458" s="1">
        <v>2017</v>
      </c>
      <c r="U458" s="1">
        <v>5</v>
      </c>
      <c r="V458" s="50">
        <v>42856</v>
      </c>
      <c r="W458" s="4">
        <v>3528.8499999999995</v>
      </c>
      <c r="X458" s="48">
        <v>3965</v>
      </c>
    </row>
    <row r="459" spans="2:24" x14ac:dyDescent="0.35">
      <c r="B459" s="8" t="s">
        <v>14</v>
      </c>
      <c r="C459" s="8" t="s">
        <v>46</v>
      </c>
      <c r="D459" s="8" t="s">
        <v>47</v>
      </c>
      <c r="E459" s="8" t="s">
        <v>27</v>
      </c>
      <c r="F459" s="6" t="s">
        <v>33</v>
      </c>
      <c r="G459" s="8">
        <v>2017</v>
      </c>
      <c r="H459" s="8">
        <v>5</v>
      </c>
      <c r="I459" s="10">
        <v>42856</v>
      </c>
      <c r="J459" s="11">
        <v>3484</v>
      </c>
      <c r="K459" s="51"/>
      <c r="O459" s="1" t="s">
        <v>14</v>
      </c>
      <c r="P459" s="1" t="s">
        <v>46</v>
      </c>
      <c r="Q459" s="1" t="s">
        <v>47</v>
      </c>
      <c r="R459" s="1" t="s">
        <v>27</v>
      </c>
      <c r="S459" t="s">
        <v>33</v>
      </c>
      <c r="T459" s="1">
        <v>2017</v>
      </c>
      <c r="U459" s="1">
        <v>5</v>
      </c>
      <c r="V459" s="50">
        <v>42856</v>
      </c>
      <c r="W459" s="4">
        <v>3065.9199999999996</v>
      </c>
      <c r="X459" s="48">
        <v>3484</v>
      </c>
    </row>
    <row r="460" spans="2:24" x14ac:dyDescent="0.35">
      <c r="B460" s="8" t="s">
        <v>3</v>
      </c>
      <c r="C460" s="8" t="s">
        <v>22</v>
      </c>
      <c r="D460" s="8" t="s">
        <v>5</v>
      </c>
      <c r="E460" s="8" t="s">
        <v>23</v>
      </c>
      <c r="F460" s="8" t="s">
        <v>36</v>
      </c>
      <c r="G460" s="8">
        <v>2017</v>
      </c>
      <c r="H460" s="8">
        <v>5</v>
      </c>
      <c r="I460" s="10">
        <v>42856</v>
      </c>
      <c r="J460" s="11">
        <v>2349</v>
      </c>
      <c r="K460" s="51"/>
      <c r="O460" s="1" t="s">
        <v>3</v>
      </c>
      <c r="P460" s="1" t="s">
        <v>22</v>
      </c>
      <c r="Q460" s="1" t="s">
        <v>5</v>
      </c>
      <c r="R460" s="1" t="s">
        <v>23</v>
      </c>
      <c r="S460" s="1" t="s">
        <v>36</v>
      </c>
      <c r="T460" s="1">
        <v>2017</v>
      </c>
      <c r="U460" s="1">
        <v>5</v>
      </c>
      <c r="V460" s="50">
        <v>42856</v>
      </c>
      <c r="W460" s="4">
        <v>2067.12</v>
      </c>
      <c r="X460" s="48">
        <v>2349</v>
      </c>
    </row>
    <row r="461" spans="2:24" x14ac:dyDescent="0.35">
      <c r="B461" s="8" t="s">
        <v>6</v>
      </c>
      <c r="C461" s="8" t="s">
        <v>40</v>
      </c>
      <c r="D461" s="8" t="s">
        <v>41</v>
      </c>
      <c r="E461" s="8" t="s">
        <v>23</v>
      </c>
      <c r="F461" s="8" t="s">
        <v>24</v>
      </c>
      <c r="G461" s="8">
        <v>2017</v>
      </c>
      <c r="H461" s="8">
        <v>5</v>
      </c>
      <c r="I461" s="10">
        <v>42856</v>
      </c>
      <c r="J461" s="11">
        <v>2598</v>
      </c>
      <c r="K461" s="51"/>
      <c r="O461" s="1" t="s">
        <v>6</v>
      </c>
      <c r="P461" s="1" t="s">
        <v>40</v>
      </c>
      <c r="Q461" s="1" t="s">
        <v>41</v>
      </c>
      <c r="R461" s="1" t="s">
        <v>23</v>
      </c>
      <c r="S461" s="1" t="s">
        <v>24</v>
      </c>
      <c r="T461" s="1">
        <v>2017</v>
      </c>
      <c r="U461" s="1">
        <v>5</v>
      </c>
      <c r="V461" s="50">
        <v>42856</v>
      </c>
      <c r="W461" s="4">
        <v>2286.2399999999998</v>
      </c>
      <c r="X461" s="48">
        <v>2598</v>
      </c>
    </row>
    <row r="462" spans="2:24" x14ac:dyDescent="0.35">
      <c r="B462" s="8" t="s">
        <v>7</v>
      </c>
      <c r="C462" s="8" t="s">
        <v>32</v>
      </c>
      <c r="D462" s="8" t="s">
        <v>8</v>
      </c>
      <c r="E462" s="8" t="s">
        <v>23</v>
      </c>
      <c r="F462" s="8" t="s">
        <v>39</v>
      </c>
      <c r="G462" s="8">
        <v>2017</v>
      </c>
      <c r="H462" s="8">
        <v>5</v>
      </c>
      <c r="I462" s="10">
        <v>42856</v>
      </c>
      <c r="J462" s="11">
        <v>1807</v>
      </c>
      <c r="K462" s="51"/>
      <c r="O462" s="1" t="s">
        <v>7</v>
      </c>
      <c r="P462" s="1" t="s">
        <v>32</v>
      </c>
      <c r="Q462" s="1" t="s">
        <v>8</v>
      </c>
      <c r="R462" s="1" t="s">
        <v>23</v>
      </c>
      <c r="S462" s="1" t="s">
        <v>39</v>
      </c>
      <c r="T462" s="1">
        <v>2017</v>
      </c>
      <c r="U462" s="1">
        <v>5</v>
      </c>
      <c r="V462" s="50">
        <v>42856</v>
      </c>
      <c r="W462" s="4">
        <v>1590.1599999999999</v>
      </c>
      <c r="X462" s="48">
        <v>1807</v>
      </c>
    </row>
    <row r="463" spans="2:24" x14ac:dyDescent="0.35">
      <c r="B463" s="8" t="s">
        <v>12</v>
      </c>
      <c r="C463" s="8" t="s">
        <v>34</v>
      </c>
      <c r="D463" s="8" t="s">
        <v>35</v>
      </c>
      <c r="E463" s="8" t="s">
        <v>0</v>
      </c>
      <c r="F463" s="6" t="s">
        <v>42</v>
      </c>
      <c r="G463" s="8">
        <v>2017</v>
      </c>
      <c r="H463" s="8">
        <v>5</v>
      </c>
      <c r="I463" s="10">
        <v>42856</v>
      </c>
      <c r="J463" s="11">
        <v>5511</v>
      </c>
      <c r="K463" s="51"/>
      <c r="O463" s="1" t="s">
        <v>12</v>
      </c>
      <c r="P463" s="1" t="s">
        <v>34</v>
      </c>
      <c r="Q463" s="1" t="s">
        <v>35</v>
      </c>
      <c r="R463" s="1" t="s">
        <v>0</v>
      </c>
      <c r="S463" t="s">
        <v>42</v>
      </c>
      <c r="T463" s="1">
        <v>2017</v>
      </c>
      <c r="U463" s="1">
        <v>5</v>
      </c>
      <c r="V463" s="50">
        <v>42856</v>
      </c>
      <c r="W463" s="4">
        <v>4794.5700000000006</v>
      </c>
      <c r="X463" s="48">
        <v>5511</v>
      </c>
    </row>
    <row r="464" spans="2:24" x14ac:dyDescent="0.35">
      <c r="B464" s="8" t="s">
        <v>14</v>
      </c>
      <c r="C464" s="8" t="s">
        <v>37</v>
      </c>
      <c r="D464" s="8" t="s">
        <v>38</v>
      </c>
      <c r="E464" s="8" t="s">
        <v>0</v>
      </c>
      <c r="F464" s="6" t="s">
        <v>26</v>
      </c>
      <c r="G464" s="8">
        <v>2017</v>
      </c>
      <c r="H464" s="8">
        <v>5</v>
      </c>
      <c r="I464" s="10">
        <v>42856</v>
      </c>
      <c r="J464" s="11">
        <v>5009</v>
      </c>
      <c r="K464" s="51"/>
      <c r="O464" s="1" t="s">
        <v>14</v>
      </c>
      <c r="P464" s="1" t="s">
        <v>37</v>
      </c>
      <c r="Q464" s="1" t="s">
        <v>38</v>
      </c>
      <c r="R464" s="1" t="s">
        <v>0</v>
      </c>
      <c r="S464" t="s">
        <v>26</v>
      </c>
      <c r="T464" s="1">
        <v>2017</v>
      </c>
      <c r="U464" s="1">
        <v>5</v>
      </c>
      <c r="V464" s="50">
        <v>42856</v>
      </c>
      <c r="W464" s="4">
        <v>4508.0999999999995</v>
      </c>
      <c r="X464" s="48">
        <v>5009</v>
      </c>
    </row>
    <row r="465" spans="2:24" x14ac:dyDescent="0.35">
      <c r="B465" s="8" t="s">
        <v>3</v>
      </c>
      <c r="C465" s="8" t="s">
        <v>25</v>
      </c>
      <c r="D465" s="8" t="s">
        <v>4</v>
      </c>
      <c r="E465" s="8" t="s">
        <v>0</v>
      </c>
      <c r="F465" s="6" t="s">
        <v>45</v>
      </c>
      <c r="G465" s="8">
        <v>2017</v>
      </c>
      <c r="H465" s="8">
        <v>5</v>
      </c>
      <c r="I465" s="10">
        <v>42856</v>
      </c>
      <c r="J465" s="11">
        <v>4218</v>
      </c>
      <c r="K465" s="51"/>
      <c r="O465" s="1" t="s">
        <v>3</v>
      </c>
      <c r="P465" s="1" t="s">
        <v>25</v>
      </c>
      <c r="Q465" s="1" t="s">
        <v>4</v>
      </c>
      <c r="R465" s="1" t="s">
        <v>0</v>
      </c>
      <c r="S465" t="s">
        <v>45</v>
      </c>
      <c r="T465" s="1">
        <v>2017</v>
      </c>
      <c r="U465" s="1">
        <v>5</v>
      </c>
      <c r="V465" s="50">
        <v>42856</v>
      </c>
      <c r="W465" s="4">
        <v>3796.2</v>
      </c>
      <c r="X465" s="48">
        <v>4218</v>
      </c>
    </row>
    <row r="466" spans="2:24" x14ac:dyDescent="0.35">
      <c r="B466" s="8" t="s">
        <v>6</v>
      </c>
      <c r="C466" s="8" t="s">
        <v>29</v>
      </c>
      <c r="D466" s="8" t="s">
        <v>30</v>
      </c>
      <c r="E466" s="9" t="s">
        <v>27</v>
      </c>
      <c r="F466" s="9" t="s">
        <v>28</v>
      </c>
      <c r="G466" s="8">
        <v>2017</v>
      </c>
      <c r="H466" s="8">
        <v>5</v>
      </c>
      <c r="I466" s="10">
        <v>42856</v>
      </c>
      <c r="J466" s="11">
        <v>4611</v>
      </c>
      <c r="K466" s="51"/>
      <c r="O466" s="1" t="s">
        <v>6</v>
      </c>
      <c r="P466" s="1" t="s">
        <v>29</v>
      </c>
      <c r="Q466" s="1" t="s">
        <v>30</v>
      </c>
      <c r="R466" s="2" t="s">
        <v>27</v>
      </c>
      <c r="S466" s="2" t="s">
        <v>28</v>
      </c>
      <c r="T466" s="1">
        <v>2017</v>
      </c>
      <c r="U466" s="1">
        <v>5</v>
      </c>
      <c r="V466" s="50">
        <v>42856</v>
      </c>
      <c r="W466" s="4">
        <v>4196.0099999999993</v>
      </c>
      <c r="X466" s="48">
        <v>4611</v>
      </c>
    </row>
    <row r="467" spans="2:24" x14ac:dyDescent="0.35">
      <c r="B467" s="8" t="s">
        <v>7</v>
      </c>
      <c r="C467" s="8" t="s">
        <v>43</v>
      </c>
      <c r="D467" s="8" t="s">
        <v>10</v>
      </c>
      <c r="E467" s="8" t="s">
        <v>27</v>
      </c>
      <c r="F467" s="9" t="s">
        <v>31</v>
      </c>
      <c r="G467" s="8">
        <v>2017</v>
      </c>
      <c r="H467" s="8">
        <v>5</v>
      </c>
      <c r="I467" s="10">
        <v>42856</v>
      </c>
      <c r="J467" s="11">
        <v>3910</v>
      </c>
      <c r="K467" s="51"/>
      <c r="O467" s="1" t="s">
        <v>7</v>
      </c>
      <c r="P467" s="1" t="s">
        <v>43</v>
      </c>
      <c r="Q467" s="1" t="s">
        <v>10</v>
      </c>
      <c r="R467" s="1" t="s">
        <v>27</v>
      </c>
      <c r="S467" s="2" t="s">
        <v>31</v>
      </c>
      <c r="T467" s="1">
        <v>2017</v>
      </c>
      <c r="U467" s="1">
        <v>5</v>
      </c>
      <c r="V467" s="50">
        <v>42856</v>
      </c>
      <c r="W467" s="4">
        <v>3323.5000000000005</v>
      </c>
      <c r="X467" s="48">
        <v>3910</v>
      </c>
    </row>
    <row r="468" spans="2:24" x14ac:dyDescent="0.35">
      <c r="B468" s="8" t="s">
        <v>12</v>
      </c>
      <c r="C468" s="8" t="s">
        <v>44</v>
      </c>
      <c r="D468" s="8" t="s">
        <v>13</v>
      </c>
      <c r="E468" s="8" t="s">
        <v>27</v>
      </c>
      <c r="F468" s="6" t="s">
        <v>33</v>
      </c>
      <c r="G468" s="8">
        <v>2017</v>
      </c>
      <c r="H468" s="8">
        <v>5</v>
      </c>
      <c r="I468" s="10">
        <v>42856</v>
      </c>
      <c r="J468" s="11">
        <v>4097</v>
      </c>
      <c r="K468" s="51"/>
      <c r="O468" s="1" t="s">
        <v>12</v>
      </c>
      <c r="P468" s="1" t="s">
        <v>44</v>
      </c>
      <c r="Q468" s="1" t="s">
        <v>13</v>
      </c>
      <c r="R468" s="1" t="s">
        <v>27</v>
      </c>
      <c r="S468" t="s">
        <v>33</v>
      </c>
      <c r="T468" s="1">
        <v>2017</v>
      </c>
      <c r="U468" s="1">
        <v>5</v>
      </c>
      <c r="V468" s="50">
        <v>42856</v>
      </c>
      <c r="W468" s="4">
        <v>3523.4200000000005</v>
      </c>
      <c r="X468" s="48">
        <v>4097</v>
      </c>
    </row>
    <row r="469" spans="2:24" x14ac:dyDescent="0.35">
      <c r="B469" s="8" t="s">
        <v>14</v>
      </c>
      <c r="C469" s="8" t="s">
        <v>46</v>
      </c>
      <c r="D469" s="8" t="s">
        <v>47</v>
      </c>
      <c r="E469" s="8" t="s">
        <v>23</v>
      </c>
      <c r="F469" s="8" t="s">
        <v>36</v>
      </c>
      <c r="G469" s="8">
        <v>2017</v>
      </c>
      <c r="H469" s="8">
        <v>5</v>
      </c>
      <c r="I469" s="10">
        <v>42856</v>
      </c>
      <c r="J469" s="11">
        <v>2828</v>
      </c>
      <c r="K469" s="51"/>
      <c r="O469" s="1" t="s">
        <v>14</v>
      </c>
      <c r="P469" s="1" t="s">
        <v>46</v>
      </c>
      <c r="Q469" s="1" t="s">
        <v>47</v>
      </c>
      <c r="R469" s="1" t="s">
        <v>23</v>
      </c>
      <c r="S469" s="1" t="s">
        <v>36</v>
      </c>
      <c r="T469" s="1">
        <v>2017</v>
      </c>
      <c r="U469" s="1">
        <v>5</v>
      </c>
      <c r="V469" s="50">
        <v>42856</v>
      </c>
      <c r="W469" s="4">
        <v>2601.7599999999998</v>
      </c>
      <c r="X469" s="48">
        <v>2828</v>
      </c>
    </row>
    <row r="470" spans="2:24" x14ac:dyDescent="0.35">
      <c r="B470" s="8" t="s">
        <v>6</v>
      </c>
      <c r="C470" s="8" t="s">
        <v>29</v>
      </c>
      <c r="D470" s="8" t="s">
        <v>30</v>
      </c>
      <c r="E470" s="8" t="s">
        <v>23</v>
      </c>
      <c r="F470" s="8" t="s">
        <v>39</v>
      </c>
      <c r="G470" s="8">
        <v>2017</v>
      </c>
      <c r="H470" s="8">
        <v>5</v>
      </c>
      <c r="I470" s="10">
        <v>42856</v>
      </c>
      <c r="J470" s="11">
        <v>2741</v>
      </c>
      <c r="K470" s="51"/>
      <c r="O470" s="1" t="s">
        <v>6</v>
      </c>
      <c r="P470" s="1" t="s">
        <v>29</v>
      </c>
      <c r="Q470" s="1" t="s">
        <v>30</v>
      </c>
      <c r="R470" s="1" t="s">
        <v>23</v>
      </c>
      <c r="S470" s="1" t="s">
        <v>39</v>
      </c>
      <c r="T470" s="1">
        <v>2017</v>
      </c>
      <c r="U470" s="1">
        <v>5</v>
      </c>
      <c r="V470" s="50">
        <v>42856</v>
      </c>
      <c r="W470" s="4">
        <v>2357.2600000000002</v>
      </c>
      <c r="X470" s="48">
        <v>2741</v>
      </c>
    </row>
    <row r="471" spans="2:24" x14ac:dyDescent="0.35">
      <c r="B471" s="8" t="s">
        <v>7</v>
      </c>
      <c r="C471" s="8" t="s">
        <v>32</v>
      </c>
      <c r="D471" s="8" t="s">
        <v>8</v>
      </c>
      <c r="E471" s="8" t="s">
        <v>0</v>
      </c>
      <c r="F471" s="8" t="s">
        <v>42</v>
      </c>
      <c r="G471" s="8">
        <v>2017</v>
      </c>
      <c r="H471" s="8">
        <v>5</v>
      </c>
      <c r="I471" s="10">
        <v>42856</v>
      </c>
      <c r="J471" s="11">
        <v>4689</v>
      </c>
      <c r="K471" s="51"/>
      <c r="O471" s="1" t="s">
        <v>7</v>
      </c>
      <c r="P471" s="1" t="s">
        <v>32</v>
      </c>
      <c r="Q471" s="1" t="s">
        <v>8</v>
      </c>
      <c r="R471" s="1" t="s">
        <v>0</v>
      </c>
      <c r="S471" s="1" t="s">
        <v>42</v>
      </c>
      <c r="T471" s="1">
        <v>2017</v>
      </c>
      <c r="U471" s="1">
        <v>5</v>
      </c>
      <c r="V471" s="50">
        <v>42856</v>
      </c>
      <c r="W471" s="4">
        <v>4360.7699999999995</v>
      </c>
      <c r="X471" s="48">
        <v>4689</v>
      </c>
    </row>
    <row r="472" spans="2:24" x14ac:dyDescent="0.35">
      <c r="B472" s="8" t="s">
        <v>12</v>
      </c>
      <c r="C472" s="8" t="s">
        <v>44</v>
      </c>
      <c r="D472" s="8" t="s">
        <v>13</v>
      </c>
      <c r="E472" s="8" t="s">
        <v>0</v>
      </c>
      <c r="F472" s="6" t="s">
        <v>26</v>
      </c>
      <c r="G472" s="8">
        <v>2017</v>
      </c>
      <c r="H472" s="8">
        <v>5</v>
      </c>
      <c r="I472" s="10">
        <v>42856</v>
      </c>
      <c r="J472" s="11">
        <v>3070</v>
      </c>
      <c r="K472" s="51"/>
      <c r="O472" s="1" t="s">
        <v>12</v>
      </c>
      <c r="P472" s="1" t="s">
        <v>44</v>
      </c>
      <c r="Q472" s="1" t="s">
        <v>13</v>
      </c>
      <c r="R472" s="1" t="s">
        <v>0</v>
      </c>
      <c r="S472" t="s">
        <v>26</v>
      </c>
      <c r="T472" s="1">
        <v>2017</v>
      </c>
      <c r="U472" s="1">
        <v>5</v>
      </c>
      <c r="V472" s="50">
        <v>42856</v>
      </c>
      <c r="W472" s="4">
        <v>2855.1</v>
      </c>
      <c r="X472" s="48">
        <v>3070</v>
      </c>
    </row>
    <row r="473" spans="2:24" x14ac:dyDescent="0.35">
      <c r="B473" s="8" t="s">
        <v>14</v>
      </c>
      <c r="C473" s="8" t="s">
        <v>37</v>
      </c>
      <c r="D473" s="8" t="s">
        <v>38</v>
      </c>
      <c r="E473" s="8" t="s">
        <v>0</v>
      </c>
      <c r="F473" s="6" t="s">
        <v>45</v>
      </c>
      <c r="G473" s="8">
        <v>2017</v>
      </c>
      <c r="H473" s="8">
        <v>5</v>
      </c>
      <c r="I473" s="10">
        <v>42856</v>
      </c>
      <c r="J473" s="11">
        <v>4819</v>
      </c>
      <c r="K473" s="51"/>
      <c r="O473" s="1" t="s">
        <v>14</v>
      </c>
      <c r="P473" s="1" t="s">
        <v>37</v>
      </c>
      <c r="Q473" s="1" t="s">
        <v>38</v>
      </c>
      <c r="R473" s="1" t="s">
        <v>0</v>
      </c>
      <c r="S473" t="s">
        <v>45</v>
      </c>
      <c r="T473" s="1">
        <v>2017</v>
      </c>
      <c r="U473" s="1">
        <v>5</v>
      </c>
      <c r="V473" s="50">
        <v>42856</v>
      </c>
      <c r="W473" s="4">
        <v>4288.91</v>
      </c>
      <c r="X473" s="48">
        <v>4819</v>
      </c>
    </row>
    <row r="474" spans="2:24" x14ac:dyDescent="0.35">
      <c r="B474" s="8" t="s">
        <v>3</v>
      </c>
      <c r="C474" s="8" t="s">
        <v>25</v>
      </c>
      <c r="D474" s="8" t="s">
        <v>4</v>
      </c>
      <c r="E474" s="8" t="s">
        <v>27</v>
      </c>
      <c r="F474" s="6" t="s">
        <v>28</v>
      </c>
      <c r="G474" s="8">
        <v>2017</v>
      </c>
      <c r="H474" s="8">
        <v>5</v>
      </c>
      <c r="I474" s="10">
        <v>42856</v>
      </c>
      <c r="J474" s="11">
        <v>3793</v>
      </c>
      <c r="K474" s="51"/>
      <c r="O474" s="1" t="s">
        <v>3</v>
      </c>
      <c r="P474" s="1" t="s">
        <v>25</v>
      </c>
      <c r="Q474" s="1" t="s">
        <v>4</v>
      </c>
      <c r="R474" s="1" t="s">
        <v>27</v>
      </c>
      <c r="S474" t="s">
        <v>28</v>
      </c>
      <c r="T474" s="1">
        <v>2017</v>
      </c>
      <c r="U474" s="1">
        <v>5</v>
      </c>
      <c r="V474" s="50">
        <v>42856</v>
      </c>
      <c r="W474" s="4">
        <v>3375.7699999999995</v>
      </c>
      <c r="X474" s="48">
        <v>3793</v>
      </c>
    </row>
    <row r="475" spans="2:24" x14ac:dyDescent="0.35">
      <c r="B475" s="8" t="s">
        <v>3</v>
      </c>
      <c r="C475" s="8" t="s">
        <v>25</v>
      </c>
      <c r="D475" s="8" t="s">
        <v>4</v>
      </c>
      <c r="E475" s="9" t="s">
        <v>27</v>
      </c>
      <c r="F475" s="9" t="s">
        <v>31</v>
      </c>
      <c r="G475" s="8">
        <v>2017</v>
      </c>
      <c r="H475" s="8">
        <v>5</v>
      </c>
      <c r="I475" s="10">
        <v>42856</v>
      </c>
      <c r="J475" s="11">
        <v>4590</v>
      </c>
      <c r="K475" s="51"/>
      <c r="O475" s="1" t="s">
        <v>3</v>
      </c>
      <c r="P475" s="1" t="s">
        <v>25</v>
      </c>
      <c r="Q475" s="1" t="s">
        <v>4</v>
      </c>
      <c r="R475" s="2" t="s">
        <v>27</v>
      </c>
      <c r="S475" s="2" t="s">
        <v>31</v>
      </c>
      <c r="T475" s="1">
        <v>2017</v>
      </c>
      <c r="U475" s="1">
        <v>5</v>
      </c>
      <c r="V475" s="50">
        <v>42856</v>
      </c>
      <c r="W475" s="4">
        <v>3947.4000000000005</v>
      </c>
      <c r="X475" s="48">
        <v>4590</v>
      </c>
    </row>
    <row r="476" spans="2:24" x14ac:dyDescent="0.35">
      <c r="B476" s="8" t="s">
        <v>6</v>
      </c>
      <c r="C476" s="8" t="s">
        <v>40</v>
      </c>
      <c r="D476" s="8" t="s">
        <v>41</v>
      </c>
      <c r="E476" s="8" t="s">
        <v>27</v>
      </c>
      <c r="F476" s="9" t="s">
        <v>33</v>
      </c>
      <c r="G476" s="8">
        <v>2017</v>
      </c>
      <c r="H476" s="8">
        <v>5</v>
      </c>
      <c r="I476" s="10">
        <v>42856</v>
      </c>
      <c r="J476" s="11">
        <v>3850</v>
      </c>
      <c r="K476" s="51"/>
      <c r="O476" s="1" t="s">
        <v>6</v>
      </c>
      <c r="P476" s="1" t="s">
        <v>40</v>
      </c>
      <c r="Q476" s="1" t="s">
        <v>41</v>
      </c>
      <c r="R476" s="1" t="s">
        <v>27</v>
      </c>
      <c r="S476" s="2" t="s">
        <v>33</v>
      </c>
      <c r="T476" s="1">
        <v>2017</v>
      </c>
      <c r="U476" s="1">
        <v>5</v>
      </c>
      <c r="V476" s="50">
        <v>42856</v>
      </c>
      <c r="W476" s="4">
        <v>3426.4999999999995</v>
      </c>
      <c r="X476" s="48">
        <v>3850</v>
      </c>
    </row>
    <row r="477" spans="2:24" x14ac:dyDescent="0.35">
      <c r="B477" s="8" t="s">
        <v>6</v>
      </c>
      <c r="C477" s="8" t="s">
        <v>40</v>
      </c>
      <c r="D477" s="8" t="s">
        <v>41</v>
      </c>
      <c r="E477" s="8" t="s">
        <v>23</v>
      </c>
      <c r="F477" s="6" t="s">
        <v>36</v>
      </c>
      <c r="G477" s="8">
        <v>2017</v>
      </c>
      <c r="H477" s="8">
        <v>5</v>
      </c>
      <c r="I477" s="10">
        <v>42856</v>
      </c>
      <c r="J477" s="11">
        <v>2507</v>
      </c>
      <c r="K477" s="51"/>
      <c r="O477" s="1" t="s">
        <v>6</v>
      </c>
      <c r="P477" s="1" t="s">
        <v>40</v>
      </c>
      <c r="Q477" s="1" t="s">
        <v>41</v>
      </c>
      <c r="R477" s="1" t="s">
        <v>23</v>
      </c>
      <c r="S477" t="s">
        <v>36</v>
      </c>
      <c r="T477" s="1">
        <v>2017</v>
      </c>
      <c r="U477" s="1">
        <v>5</v>
      </c>
      <c r="V477" s="50">
        <v>42856</v>
      </c>
      <c r="W477" s="4">
        <v>2181.09</v>
      </c>
      <c r="X477" s="48">
        <v>2507</v>
      </c>
    </row>
    <row r="478" spans="2:24" x14ac:dyDescent="0.35">
      <c r="B478" s="8" t="s">
        <v>7</v>
      </c>
      <c r="C478" s="8" t="s">
        <v>43</v>
      </c>
      <c r="D478" s="8" t="s">
        <v>10</v>
      </c>
      <c r="E478" s="8" t="s">
        <v>23</v>
      </c>
      <c r="F478" s="8" t="s">
        <v>24</v>
      </c>
      <c r="G478" s="8">
        <v>2017</v>
      </c>
      <c r="H478" s="8">
        <v>5</v>
      </c>
      <c r="I478" s="10">
        <v>42856</v>
      </c>
      <c r="J478" s="11">
        <v>2888</v>
      </c>
      <c r="K478" s="51"/>
      <c r="O478" s="1" t="s">
        <v>7</v>
      </c>
      <c r="P478" s="1" t="s">
        <v>43</v>
      </c>
      <c r="Q478" s="1" t="s">
        <v>10</v>
      </c>
      <c r="R478" s="1" t="s">
        <v>23</v>
      </c>
      <c r="S478" s="1" t="s">
        <v>24</v>
      </c>
      <c r="T478" s="1">
        <v>2017</v>
      </c>
      <c r="U478" s="1">
        <v>5</v>
      </c>
      <c r="V478" s="50">
        <v>42856</v>
      </c>
      <c r="W478" s="4">
        <v>2483.6800000000003</v>
      </c>
      <c r="X478" s="48">
        <v>2888</v>
      </c>
    </row>
    <row r="479" spans="2:24" x14ac:dyDescent="0.35">
      <c r="B479" s="8" t="s">
        <v>7</v>
      </c>
      <c r="C479" s="8" t="s">
        <v>43</v>
      </c>
      <c r="D479" s="8" t="s">
        <v>10</v>
      </c>
      <c r="E479" s="8" t="s">
        <v>23</v>
      </c>
      <c r="F479" s="8" t="s">
        <v>39</v>
      </c>
      <c r="G479" s="8">
        <v>2017</v>
      </c>
      <c r="H479" s="8">
        <v>5</v>
      </c>
      <c r="I479" s="10">
        <v>42856</v>
      </c>
      <c r="J479" s="11">
        <v>1734</v>
      </c>
      <c r="K479" s="51"/>
      <c r="O479" s="1" t="s">
        <v>7</v>
      </c>
      <c r="P479" s="1" t="s">
        <v>43</v>
      </c>
      <c r="Q479" s="1" t="s">
        <v>10</v>
      </c>
      <c r="R479" s="1" t="s">
        <v>23</v>
      </c>
      <c r="S479" s="1" t="s">
        <v>39</v>
      </c>
      <c r="T479" s="1">
        <v>2017</v>
      </c>
      <c r="U479" s="1">
        <v>5</v>
      </c>
      <c r="V479" s="50">
        <v>42856</v>
      </c>
      <c r="W479" s="4">
        <v>1560.6</v>
      </c>
      <c r="X479" s="48">
        <v>1734</v>
      </c>
    </row>
    <row r="480" spans="2:24" x14ac:dyDescent="0.35">
      <c r="B480" s="8" t="s">
        <v>7</v>
      </c>
      <c r="C480" s="8" t="s">
        <v>32</v>
      </c>
      <c r="D480" s="8" t="s">
        <v>8</v>
      </c>
      <c r="E480" s="8" t="s">
        <v>0</v>
      </c>
      <c r="F480" s="8" t="s">
        <v>26</v>
      </c>
      <c r="G480" s="8">
        <v>2017</v>
      </c>
      <c r="H480" s="8">
        <v>5</v>
      </c>
      <c r="I480" s="10">
        <v>42856</v>
      </c>
      <c r="J480" s="11">
        <v>4289</v>
      </c>
      <c r="K480" s="51"/>
      <c r="O480" s="1" t="s">
        <v>7</v>
      </c>
      <c r="P480" s="1" t="s">
        <v>32</v>
      </c>
      <c r="Q480" s="1" t="s">
        <v>8</v>
      </c>
      <c r="R480" s="1" t="s">
        <v>0</v>
      </c>
      <c r="S480" s="1" t="s">
        <v>26</v>
      </c>
      <c r="T480" s="1">
        <v>2017</v>
      </c>
      <c r="U480" s="1">
        <v>5</v>
      </c>
      <c r="V480" s="50">
        <v>42856</v>
      </c>
      <c r="W480" s="4">
        <v>3860.0999999999995</v>
      </c>
      <c r="X480" s="48">
        <v>4289</v>
      </c>
    </row>
    <row r="481" spans="2:24" x14ac:dyDescent="0.35">
      <c r="B481" s="8" t="s">
        <v>3</v>
      </c>
      <c r="C481" s="8" t="s">
        <v>22</v>
      </c>
      <c r="D481" s="8" t="s">
        <v>5</v>
      </c>
      <c r="E481" s="8" t="s">
        <v>0</v>
      </c>
      <c r="F481" s="6" t="s">
        <v>45</v>
      </c>
      <c r="G481" s="8">
        <v>2017</v>
      </c>
      <c r="H481" s="8">
        <v>5</v>
      </c>
      <c r="I481" s="10">
        <v>42856</v>
      </c>
      <c r="J481" s="11">
        <v>4345</v>
      </c>
      <c r="K481" s="51"/>
      <c r="O481" s="1" t="s">
        <v>3</v>
      </c>
      <c r="P481" s="1" t="s">
        <v>22</v>
      </c>
      <c r="Q481" s="1" t="s">
        <v>5</v>
      </c>
      <c r="R481" s="1" t="s">
        <v>0</v>
      </c>
      <c r="S481" t="s">
        <v>45</v>
      </c>
      <c r="T481" s="1">
        <v>2017</v>
      </c>
      <c r="U481" s="1">
        <v>5</v>
      </c>
      <c r="V481" s="50">
        <v>42856</v>
      </c>
      <c r="W481" s="4">
        <v>3823.5999999999995</v>
      </c>
      <c r="X481" s="48">
        <v>4345</v>
      </c>
    </row>
    <row r="482" spans="2:24" x14ac:dyDescent="0.35">
      <c r="B482" s="8" t="s">
        <v>7</v>
      </c>
      <c r="C482" s="8" t="s">
        <v>48</v>
      </c>
      <c r="D482" s="8" t="s">
        <v>9</v>
      </c>
      <c r="E482" s="8" t="s">
        <v>23</v>
      </c>
      <c r="F482" s="6" t="s">
        <v>36</v>
      </c>
      <c r="G482" s="8">
        <v>2017</v>
      </c>
      <c r="H482" s="8">
        <v>5</v>
      </c>
      <c r="I482" s="10">
        <v>42856</v>
      </c>
      <c r="J482" s="11">
        <v>2539</v>
      </c>
      <c r="K482" s="51"/>
      <c r="O482" s="1" t="s">
        <v>7</v>
      </c>
      <c r="P482" s="1" t="s">
        <v>48</v>
      </c>
      <c r="Q482" s="1" t="s">
        <v>9</v>
      </c>
      <c r="R482" s="1" t="s">
        <v>23</v>
      </c>
      <c r="S482" t="s">
        <v>36</v>
      </c>
      <c r="T482" s="1">
        <v>2017</v>
      </c>
      <c r="U482" s="1">
        <v>5</v>
      </c>
      <c r="V482" s="50">
        <v>42856</v>
      </c>
      <c r="W482" s="4">
        <v>2335.8799999999997</v>
      </c>
      <c r="X482" s="48">
        <v>2539</v>
      </c>
    </row>
    <row r="483" spans="2:24" x14ac:dyDescent="0.35">
      <c r="B483" s="8" t="s">
        <v>7</v>
      </c>
      <c r="C483" s="8" t="s">
        <v>48</v>
      </c>
      <c r="D483" s="8" t="s">
        <v>9</v>
      </c>
      <c r="E483" s="8" t="s">
        <v>23</v>
      </c>
      <c r="F483" s="6" t="s">
        <v>24</v>
      </c>
      <c r="G483" s="8">
        <v>2017</v>
      </c>
      <c r="H483" s="8">
        <v>5</v>
      </c>
      <c r="I483" s="10">
        <v>42856</v>
      </c>
      <c r="J483" s="11">
        <v>1907</v>
      </c>
      <c r="K483" s="51"/>
      <c r="O483" s="1" t="s">
        <v>7</v>
      </c>
      <c r="P483" s="1" t="s">
        <v>48</v>
      </c>
      <c r="Q483" s="1" t="s">
        <v>9</v>
      </c>
      <c r="R483" s="1" t="s">
        <v>23</v>
      </c>
      <c r="S483" t="s">
        <v>24</v>
      </c>
      <c r="T483" s="1">
        <v>2017</v>
      </c>
      <c r="U483" s="1">
        <v>5</v>
      </c>
      <c r="V483" s="50">
        <v>42856</v>
      </c>
      <c r="W483" s="4">
        <v>1716.2999999999997</v>
      </c>
      <c r="X483" s="48">
        <v>1907</v>
      </c>
    </row>
    <row r="484" spans="2:24" x14ac:dyDescent="0.35">
      <c r="B484" s="8" t="s">
        <v>7</v>
      </c>
      <c r="C484" s="8" t="s">
        <v>49</v>
      </c>
      <c r="D484" s="8" t="s">
        <v>11</v>
      </c>
      <c r="E484" s="9" t="s">
        <v>23</v>
      </c>
      <c r="F484" s="9" t="s">
        <v>39</v>
      </c>
      <c r="G484" s="8">
        <v>2017</v>
      </c>
      <c r="H484" s="8">
        <v>5</v>
      </c>
      <c r="I484" s="10">
        <v>42856</v>
      </c>
      <c r="J484" s="11">
        <v>1402</v>
      </c>
      <c r="K484" s="51"/>
      <c r="O484" s="1" t="s">
        <v>7</v>
      </c>
      <c r="P484" s="1" t="s">
        <v>49</v>
      </c>
      <c r="Q484" s="1" t="s">
        <v>11</v>
      </c>
      <c r="R484" s="2" t="s">
        <v>23</v>
      </c>
      <c r="S484" s="2" t="s">
        <v>39</v>
      </c>
      <c r="T484" s="1">
        <v>2017</v>
      </c>
      <c r="U484" s="1">
        <v>5</v>
      </c>
      <c r="V484" s="50">
        <v>42856</v>
      </c>
      <c r="W484" s="4">
        <v>1219.7400000000002</v>
      </c>
      <c r="X484" s="48">
        <v>1402</v>
      </c>
    </row>
    <row r="485" spans="2:24" x14ac:dyDescent="0.35">
      <c r="B485" s="8" t="s">
        <v>7</v>
      </c>
      <c r="C485" s="8" t="s">
        <v>49</v>
      </c>
      <c r="D485" s="8" t="s">
        <v>11</v>
      </c>
      <c r="E485" s="8" t="s">
        <v>0</v>
      </c>
      <c r="F485" s="9" t="s">
        <v>42</v>
      </c>
      <c r="G485" s="8">
        <v>2017</v>
      </c>
      <c r="H485" s="8">
        <v>5</v>
      </c>
      <c r="I485" s="10">
        <v>42856</v>
      </c>
      <c r="J485" s="11">
        <v>5201</v>
      </c>
      <c r="K485" s="51"/>
      <c r="O485" s="1" t="s">
        <v>7</v>
      </c>
      <c r="P485" s="1" t="s">
        <v>49</v>
      </c>
      <c r="Q485" s="1" t="s">
        <v>11</v>
      </c>
      <c r="R485" s="1" t="s">
        <v>0</v>
      </c>
      <c r="S485" s="2" t="s">
        <v>42</v>
      </c>
      <c r="T485" s="1">
        <v>2017</v>
      </c>
      <c r="U485" s="1">
        <v>5</v>
      </c>
      <c r="V485" s="50">
        <v>42856</v>
      </c>
      <c r="W485" s="4">
        <v>4732.91</v>
      </c>
      <c r="X485" s="48">
        <v>5201</v>
      </c>
    </row>
    <row r="486" spans="2:24" x14ac:dyDescent="0.35">
      <c r="B486" s="8" t="s">
        <v>12</v>
      </c>
      <c r="C486" s="8" t="s">
        <v>34</v>
      </c>
      <c r="D486" s="8" t="s">
        <v>35</v>
      </c>
      <c r="E486" s="8" t="s">
        <v>0</v>
      </c>
      <c r="F486" s="6" t="s">
        <v>26</v>
      </c>
      <c r="G486" s="8">
        <v>2017</v>
      </c>
      <c r="H486" s="8">
        <v>5</v>
      </c>
      <c r="I486" s="10">
        <v>42856</v>
      </c>
      <c r="J486" s="11">
        <v>4142</v>
      </c>
      <c r="K486" s="51"/>
      <c r="O486" s="1" t="s">
        <v>12</v>
      </c>
      <c r="P486" s="1" t="s">
        <v>34</v>
      </c>
      <c r="Q486" s="1" t="s">
        <v>35</v>
      </c>
      <c r="R486" s="1" t="s">
        <v>0</v>
      </c>
      <c r="S486" t="s">
        <v>26</v>
      </c>
      <c r="T486" s="1">
        <v>2017</v>
      </c>
      <c r="U486" s="1">
        <v>5</v>
      </c>
      <c r="V486" s="50">
        <v>42856</v>
      </c>
      <c r="W486" s="4">
        <v>3893.4799999999996</v>
      </c>
      <c r="X486" s="48">
        <v>4142</v>
      </c>
    </row>
    <row r="487" spans="2:24" x14ac:dyDescent="0.35">
      <c r="B487" s="8" t="s">
        <v>12</v>
      </c>
      <c r="C487" s="8" t="s">
        <v>34</v>
      </c>
      <c r="D487" s="8" t="s">
        <v>35</v>
      </c>
      <c r="E487" s="8" t="s">
        <v>0</v>
      </c>
      <c r="F487" s="8" t="s">
        <v>45</v>
      </c>
      <c r="G487" s="8">
        <v>2017</v>
      </c>
      <c r="H487" s="8">
        <v>5</v>
      </c>
      <c r="I487" s="10">
        <v>42856</v>
      </c>
      <c r="J487" s="11">
        <v>3124</v>
      </c>
      <c r="K487" s="51"/>
      <c r="O487" s="1" t="s">
        <v>12</v>
      </c>
      <c r="P487" s="1" t="s">
        <v>34</v>
      </c>
      <c r="Q487" s="1" t="s">
        <v>35</v>
      </c>
      <c r="R487" s="1" t="s">
        <v>0</v>
      </c>
      <c r="S487" s="1" t="s">
        <v>45</v>
      </c>
      <c r="T487" s="1">
        <v>2017</v>
      </c>
      <c r="U487" s="1">
        <v>5</v>
      </c>
      <c r="V487" s="50">
        <v>42856</v>
      </c>
      <c r="W487" s="4">
        <v>2842.8399999999997</v>
      </c>
      <c r="X487" s="48">
        <v>3124</v>
      </c>
    </row>
    <row r="488" spans="2:24" x14ac:dyDescent="0.35">
      <c r="B488" s="8" t="s">
        <v>14</v>
      </c>
      <c r="C488" s="8" t="s">
        <v>37</v>
      </c>
      <c r="D488" s="8" t="s">
        <v>38</v>
      </c>
      <c r="E488" s="8" t="s">
        <v>27</v>
      </c>
      <c r="F488" s="8" t="s">
        <v>28</v>
      </c>
      <c r="G488" s="8">
        <v>2017</v>
      </c>
      <c r="H488" s="8">
        <v>5</v>
      </c>
      <c r="I488" s="10">
        <v>42856</v>
      </c>
      <c r="J488" s="11">
        <v>3217</v>
      </c>
      <c r="K488" s="51"/>
      <c r="O488" s="1" t="s">
        <v>14</v>
      </c>
      <c r="P488" s="1" t="s">
        <v>37</v>
      </c>
      <c r="Q488" s="1" t="s">
        <v>38</v>
      </c>
      <c r="R488" s="1" t="s">
        <v>27</v>
      </c>
      <c r="S488" s="1" t="s">
        <v>28</v>
      </c>
      <c r="T488" s="1">
        <v>2017</v>
      </c>
      <c r="U488" s="1">
        <v>5</v>
      </c>
      <c r="V488" s="50">
        <v>42856</v>
      </c>
      <c r="W488" s="4">
        <v>2863.1299999999997</v>
      </c>
      <c r="X488" s="48">
        <v>3217</v>
      </c>
    </row>
    <row r="489" spans="2:24" x14ac:dyDescent="0.35">
      <c r="B489" s="8" t="s">
        <v>14</v>
      </c>
      <c r="C489" s="8" t="s">
        <v>37</v>
      </c>
      <c r="D489" s="8" t="s">
        <v>38</v>
      </c>
      <c r="E489" s="8" t="s">
        <v>27</v>
      </c>
      <c r="F489" s="8" t="s">
        <v>31</v>
      </c>
      <c r="G489" s="8">
        <v>2017</v>
      </c>
      <c r="H489" s="8">
        <v>5</v>
      </c>
      <c r="I489" s="10">
        <v>42856</v>
      </c>
      <c r="J489" s="11">
        <v>4376</v>
      </c>
      <c r="K489" s="51"/>
      <c r="O489" s="1" t="s">
        <v>14</v>
      </c>
      <c r="P489" s="1" t="s">
        <v>37</v>
      </c>
      <c r="Q489" s="1" t="s">
        <v>38</v>
      </c>
      <c r="R489" s="1" t="s">
        <v>27</v>
      </c>
      <c r="S489" s="1" t="s">
        <v>31</v>
      </c>
      <c r="T489" s="1">
        <v>2017</v>
      </c>
      <c r="U489" s="1">
        <v>5</v>
      </c>
      <c r="V489" s="50">
        <v>42856</v>
      </c>
      <c r="W489" s="4">
        <v>4113.4399999999996</v>
      </c>
      <c r="X489" s="48">
        <v>4376</v>
      </c>
    </row>
    <row r="490" spans="2:24" x14ac:dyDescent="0.35">
      <c r="B490" s="8" t="s">
        <v>12</v>
      </c>
      <c r="C490" s="8" t="s">
        <v>44</v>
      </c>
      <c r="D490" s="8" t="s">
        <v>13</v>
      </c>
      <c r="E490" s="8" t="s">
        <v>23</v>
      </c>
      <c r="F490" s="6" t="s">
        <v>36</v>
      </c>
      <c r="G490" s="8">
        <v>2017</v>
      </c>
      <c r="H490" s="8">
        <v>5</v>
      </c>
      <c r="I490" s="10">
        <v>42856</v>
      </c>
      <c r="J490" s="11">
        <v>2815</v>
      </c>
      <c r="K490" s="51"/>
      <c r="O490" s="1" t="s">
        <v>12</v>
      </c>
      <c r="P490" s="1" t="s">
        <v>44</v>
      </c>
      <c r="Q490" s="1" t="s">
        <v>13</v>
      </c>
      <c r="R490" s="1" t="s">
        <v>23</v>
      </c>
      <c r="S490" t="s">
        <v>36</v>
      </c>
      <c r="T490" s="1">
        <v>2017</v>
      </c>
      <c r="U490" s="1">
        <v>5</v>
      </c>
      <c r="V490" s="50">
        <v>42856</v>
      </c>
      <c r="W490" s="4">
        <v>2505.35</v>
      </c>
      <c r="X490" s="48">
        <v>2815</v>
      </c>
    </row>
    <row r="491" spans="2:24" x14ac:dyDescent="0.35">
      <c r="B491" s="8" t="s">
        <v>14</v>
      </c>
      <c r="C491" s="8" t="s">
        <v>46</v>
      </c>
      <c r="D491" s="8" t="s">
        <v>47</v>
      </c>
      <c r="E491" s="8" t="s">
        <v>23</v>
      </c>
      <c r="F491" s="6" t="s">
        <v>24</v>
      </c>
      <c r="G491" s="8">
        <v>2017</v>
      </c>
      <c r="H491" s="8">
        <v>5</v>
      </c>
      <c r="I491" s="10">
        <v>42856</v>
      </c>
      <c r="J491" s="11">
        <v>2962</v>
      </c>
      <c r="K491" s="51"/>
      <c r="O491" s="1" t="s">
        <v>14</v>
      </c>
      <c r="P491" s="1" t="s">
        <v>46</v>
      </c>
      <c r="Q491" s="1" t="s">
        <v>47</v>
      </c>
      <c r="R491" s="1" t="s">
        <v>23</v>
      </c>
      <c r="S491" t="s">
        <v>24</v>
      </c>
      <c r="T491" s="1">
        <v>2017</v>
      </c>
      <c r="U491" s="1">
        <v>5</v>
      </c>
      <c r="V491" s="50">
        <v>42856</v>
      </c>
      <c r="W491" s="4">
        <v>2547.3200000000002</v>
      </c>
      <c r="X491" s="48">
        <v>2962</v>
      </c>
    </row>
    <row r="492" spans="2:24" x14ac:dyDescent="0.35">
      <c r="B492" s="8" t="s">
        <v>14</v>
      </c>
      <c r="C492" s="8" t="s">
        <v>46</v>
      </c>
      <c r="D492" s="8" t="s">
        <v>47</v>
      </c>
      <c r="E492" s="8" t="s">
        <v>23</v>
      </c>
      <c r="F492" s="6" t="s">
        <v>39</v>
      </c>
      <c r="G492" s="8">
        <v>2017</v>
      </c>
      <c r="H492" s="8">
        <v>5</v>
      </c>
      <c r="I492" s="10">
        <v>42856</v>
      </c>
      <c r="J492" s="11">
        <v>1835</v>
      </c>
      <c r="K492" s="51"/>
      <c r="O492" s="1" t="s">
        <v>14</v>
      </c>
      <c r="P492" s="1" t="s">
        <v>46</v>
      </c>
      <c r="Q492" s="1" t="s">
        <v>47</v>
      </c>
      <c r="R492" s="1" t="s">
        <v>23</v>
      </c>
      <c r="S492" t="s">
        <v>39</v>
      </c>
      <c r="T492" s="1">
        <v>2017</v>
      </c>
      <c r="U492" s="1">
        <v>5</v>
      </c>
      <c r="V492" s="50">
        <v>42856</v>
      </c>
      <c r="W492" s="4">
        <v>1614.7999999999997</v>
      </c>
      <c r="X492" s="48">
        <v>1835</v>
      </c>
    </row>
    <row r="493" spans="2:24" x14ac:dyDescent="0.35">
      <c r="B493" s="8" t="s">
        <v>7</v>
      </c>
      <c r="C493" s="8" t="s">
        <v>43</v>
      </c>
      <c r="D493" s="8" t="s">
        <v>10</v>
      </c>
      <c r="E493" s="9" t="s">
        <v>0</v>
      </c>
      <c r="F493" s="9" t="s">
        <v>42</v>
      </c>
      <c r="G493" s="8">
        <v>2017</v>
      </c>
      <c r="H493" s="8">
        <v>5</v>
      </c>
      <c r="I493" s="10">
        <v>42856</v>
      </c>
      <c r="J493" s="11">
        <v>6984</v>
      </c>
      <c r="K493" s="51"/>
      <c r="O493" s="1" t="s">
        <v>7</v>
      </c>
      <c r="P493" s="1" t="s">
        <v>43</v>
      </c>
      <c r="Q493" s="1" t="s">
        <v>10</v>
      </c>
      <c r="R493" s="2" t="s">
        <v>0</v>
      </c>
      <c r="S493" s="2" t="s">
        <v>42</v>
      </c>
      <c r="T493" s="1">
        <v>2017</v>
      </c>
      <c r="U493" s="1">
        <v>5</v>
      </c>
      <c r="V493" s="50">
        <v>42856</v>
      </c>
      <c r="W493" s="4">
        <v>6145.9199999999992</v>
      </c>
      <c r="X493" s="48">
        <v>6984</v>
      </c>
    </row>
    <row r="494" spans="2:24" x14ac:dyDescent="0.35">
      <c r="B494" s="8" t="s">
        <v>6</v>
      </c>
      <c r="C494" s="8" t="s">
        <v>40</v>
      </c>
      <c r="D494" s="8" t="s">
        <v>41</v>
      </c>
      <c r="E494" s="8" t="s">
        <v>27</v>
      </c>
      <c r="F494" s="9" t="s">
        <v>31</v>
      </c>
      <c r="G494" s="8">
        <v>2017</v>
      </c>
      <c r="H494" s="8">
        <v>5</v>
      </c>
      <c r="I494" s="10">
        <v>42856</v>
      </c>
      <c r="J494" s="11">
        <v>5563</v>
      </c>
      <c r="K494" s="51"/>
      <c r="O494" s="1" t="s">
        <v>6</v>
      </c>
      <c r="P494" s="1" t="s">
        <v>40</v>
      </c>
      <c r="Q494" s="1" t="s">
        <v>41</v>
      </c>
      <c r="R494" s="1" t="s">
        <v>27</v>
      </c>
      <c r="S494" s="2" t="s">
        <v>31</v>
      </c>
      <c r="T494" s="1">
        <v>2017</v>
      </c>
      <c r="U494" s="1">
        <v>5</v>
      </c>
      <c r="V494" s="50">
        <v>42856</v>
      </c>
      <c r="W494" s="4">
        <v>5062.33</v>
      </c>
      <c r="X494" s="48">
        <v>5563</v>
      </c>
    </row>
    <row r="495" spans="2:24" x14ac:dyDescent="0.35">
      <c r="B495" s="8" t="s">
        <v>3</v>
      </c>
      <c r="C495" s="8" t="s">
        <v>22</v>
      </c>
      <c r="D495" s="8" t="s">
        <v>5</v>
      </c>
      <c r="E495" s="8" t="s">
        <v>23</v>
      </c>
      <c r="F495" s="6" t="s">
        <v>39</v>
      </c>
      <c r="G495" s="8">
        <v>2017</v>
      </c>
      <c r="H495" s="8">
        <v>5</v>
      </c>
      <c r="I495" s="10">
        <v>42856</v>
      </c>
      <c r="J495" s="11">
        <v>2313</v>
      </c>
      <c r="K495" s="51"/>
      <c r="O495" s="1" t="s">
        <v>3</v>
      </c>
      <c r="P495" s="1" t="s">
        <v>22</v>
      </c>
      <c r="Q495" s="1" t="s">
        <v>5</v>
      </c>
      <c r="R495" s="1" t="s">
        <v>23</v>
      </c>
      <c r="S495" t="s">
        <v>39</v>
      </c>
      <c r="T495" s="1">
        <v>2017</v>
      </c>
      <c r="U495" s="1">
        <v>5</v>
      </c>
      <c r="V495" s="50">
        <v>42856</v>
      </c>
      <c r="W495" s="4">
        <v>2127.96</v>
      </c>
      <c r="X495" s="48">
        <v>2313</v>
      </c>
    </row>
    <row r="496" spans="2:24" x14ac:dyDescent="0.35">
      <c r="B496" s="8" t="s">
        <v>3</v>
      </c>
      <c r="C496" s="8" t="s">
        <v>22</v>
      </c>
      <c r="D496" s="8" t="s">
        <v>5</v>
      </c>
      <c r="E496" s="8" t="s">
        <v>0</v>
      </c>
      <c r="F496" s="8" t="s">
        <v>42</v>
      </c>
      <c r="G496" s="8">
        <v>2017</v>
      </c>
      <c r="H496" s="8">
        <v>5</v>
      </c>
      <c r="I496" s="10">
        <v>42856</v>
      </c>
      <c r="J496" s="11">
        <v>4048</v>
      </c>
      <c r="K496" s="51"/>
      <c r="O496" s="1" t="s">
        <v>3</v>
      </c>
      <c r="P496" s="1" t="s">
        <v>22</v>
      </c>
      <c r="Q496" s="1" t="s">
        <v>5</v>
      </c>
      <c r="R496" s="1" t="s">
        <v>0</v>
      </c>
      <c r="S496" s="1" t="s">
        <v>42</v>
      </c>
      <c r="T496" s="1">
        <v>2017</v>
      </c>
      <c r="U496" s="1">
        <v>5</v>
      </c>
      <c r="V496" s="50">
        <v>42856</v>
      </c>
      <c r="W496" s="4">
        <v>3683.68</v>
      </c>
      <c r="X496" s="48">
        <v>4048</v>
      </c>
    </row>
    <row r="497" spans="2:24" x14ac:dyDescent="0.35">
      <c r="B497" s="8" t="s">
        <v>6</v>
      </c>
      <c r="C497" s="8" t="s">
        <v>29</v>
      </c>
      <c r="D497" s="8" t="s">
        <v>30</v>
      </c>
      <c r="E497" s="8" t="s">
        <v>0</v>
      </c>
      <c r="F497" s="8" t="s">
        <v>26</v>
      </c>
      <c r="G497" s="8">
        <v>2017</v>
      </c>
      <c r="H497" s="8">
        <v>5</v>
      </c>
      <c r="I497" s="10">
        <v>42856</v>
      </c>
      <c r="J497" s="11">
        <v>3626</v>
      </c>
      <c r="K497" s="51"/>
      <c r="O497" s="1" t="s">
        <v>6</v>
      </c>
      <c r="P497" s="1" t="s">
        <v>29</v>
      </c>
      <c r="Q497" s="1" t="s">
        <v>30</v>
      </c>
      <c r="R497" s="1" t="s">
        <v>0</v>
      </c>
      <c r="S497" s="1" t="s">
        <v>26</v>
      </c>
      <c r="T497" s="1">
        <v>2017</v>
      </c>
      <c r="U497" s="1">
        <v>5</v>
      </c>
      <c r="V497" s="50">
        <v>42856</v>
      </c>
      <c r="W497" s="4">
        <v>3154.6200000000003</v>
      </c>
      <c r="X497" s="48">
        <v>3626</v>
      </c>
    </row>
    <row r="498" spans="2:24" x14ac:dyDescent="0.35">
      <c r="B498" s="8" t="s">
        <v>7</v>
      </c>
      <c r="C498" s="8" t="s">
        <v>48</v>
      </c>
      <c r="D498" s="8" t="s">
        <v>9</v>
      </c>
      <c r="E498" s="8" t="s">
        <v>27</v>
      </c>
      <c r="F498" s="8" t="s">
        <v>28</v>
      </c>
      <c r="G498" s="8">
        <v>2017</v>
      </c>
      <c r="H498" s="8">
        <v>5</v>
      </c>
      <c r="I498" s="10">
        <v>42856</v>
      </c>
      <c r="J498" s="11">
        <v>3449</v>
      </c>
      <c r="K498" s="51"/>
      <c r="O498" s="1" t="s">
        <v>7</v>
      </c>
      <c r="P498" s="1" t="s">
        <v>48</v>
      </c>
      <c r="Q498" s="1" t="s">
        <v>9</v>
      </c>
      <c r="R498" s="1" t="s">
        <v>27</v>
      </c>
      <c r="S498" s="1" t="s">
        <v>28</v>
      </c>
      <c r="T498" s="1">
        <v>2017</v>
      </c>
      <c r="U498" s="1">
        <v>5</v>
      </c>
      <c r="V498" s="50">
        <v>42856</v>
      </c>
      <c r="W498" s="4">
        <v>3173.08</v>
      </c>
      <c r="X498" s="48">
        <v>3449</v>
      </c>
    </row>
    <row r="499" spans="2:24" x14ac:dyDescent="0.35">
      <c r="B499" s="8" t="s">
        <v>7</v>
      </c>
      <c r="C499" s="8" t="s">
        <v>48</v>
      </c>
      <c r="D499" s="8" t="s">
        <v>9</v>
      </c>
      <c r="E499" s="8" t="s">
        <v>27</v>
      </c>
      <c r="F499" s="6" t="s">
        <v>31</v>
      </c>
      <c r="G499" s="8">
        <v>2017</v>
      </c>
      <c r="H499" s="8">
        <v>5</v>
      </c>
      <c r="I499" s="10">
        <v>42856</v>
      </c>
      <c r="J499" s="11">
        <v>4387</v>
      </c>
      <c r="K499" s="51"/>
      <c r="O499" s="1" t="s">
        <v>7</v>
      </c>
      <c r="P499" s="1" t="s">
        <v>48</v>
      </c>
      <c r="Q499" s="1" t="s">
        <v>9</v>
      </c>
      <c r="R499" s="1" t="s">
        <v>27</v>
      </c>
      <c r="S499" t="s">
        <v>31</v>
      </c>
      <c r="T499" s="1">
        <v>2017</v>
      </c>
      <c r="U499" s="1">
        <v>5</v>
      </c>
      <c r="V499" s="50">
        <v>42856</v>
      </c>
      <c r="W499" s="4">
        <v>4036.0399999999995</v>
      </c>
      <c r="X499" s="48">
        <v>4387</v>
      </c>
    </row>
    <row r="500" spans="2:24" x14ac:dyDescent="0.35">
      <c r="B500" s="8" t="s">
        <v>7</v>
      </c>
      <c r="C500" s="8" t="s">
        <v>49</v>
      </c>
      <c r="D500" s="8" t="s">
        <v>11</v>
      </c>
      <c r="E500" s="8" t="s">
        <v>27</v>
      </c>
      <c r="F500" s="6" t="s">
        <v>33</v>
      </c>
      <c r="G500" s="8">
        <v>2017</v>
      </c>
      <c r="H500" s="8">
        <v>5</v>
      </c>
      <c r="I500" s="10">
        <v>42856</v>
      </c>
      <c r="J500" s="11">
        <v>3652</v>
      </c>
      <c r="K500" s="51"/>
      <c r="O500" s="1" t="s">
        <v>7</v>
      </c>
      <c r="P500" s="1" t="s">
        <v>49</v>
      </c>
      <c r="Q500" s="1" t="s">
        <v>11</v>
      </c>
      <c r="R500" s="1" t="s">
        <v>27</v>
      </c>
      <c r="S500" t="s">
        <v>33</v>
      </c>
      <c r="T500" s="1">
        <v>2017</v>
      </c>
      <c r="U500" s="1">
        <v>5</v>
      </c>
      <c r="V500" s="50">
        <v>42856</v>
      </c>
      <c r="W500" s="4">
        <v>3177.2400000000002</v>
      </c>
      <c r="X500" s="48">
        <v>3652</v>
      </c>
    </row>
    <row r="501" spans="2:24" x14ac:dyDescent="0.35">
      <c r="B501" s="8" t="s">
        <v>7</v>
      </c>
      <c r="C501" s="8" t="s">
        <v>49</v>
      </c>
      <c r="D501" s="8" t="s">
        <v>11</v>
      </c>
      <c r="E501" s="8" t="s">
        <v>23</v>
      </c>
      <c r="F501" s="6" t="s">
        <v>36</v>
      </c>
      <c r="G501" s="8">
        <v>2017</v>
      </c>
      <c r="H501" s="8">
        <v>5</v>
      </c>
      <c r="I501" s="10">
        <v>42856</v>
      </c>
      <c r="J501" s="11">
        <v>1656</v>
      </c>
      <c r="K501" s="51"/>
      <c r="O501" s="1" t="s">
        <v>7</v>
      </c>
      <c r="P501" s="1" t="s">
        <v>49</v>
      </c>
      <c r="Q501" s="1" t="s">
        <v>11</v>
      </c>
      <c r="R501" s="1" t="s">
        <v>23</v>
      </c>
      <c r="S501" t="s">
        <v>36</v>
      </c>
      <c r="T501" s="1">
        <v>2017</v>
      </c>
      <c r="U501" s="1">
        <v>5</v>
      </c>
      <c r="V501" s="50">
        <v>42856</v>
      </c>
      <c r="W501" s="4">
        <v>1473.84</v>
      </c>
      <c r="X501" s="48">
        <v>1656</v>
      </c>
    </row>
    <row r="502" spans="2:24" x14ac:dyDescent="0.35">
      <c r="B502" s="8" t="s">
        <v>7</v>
      </c>
      <c r="C502" s="8" t="s">
        <v>43</v>
      </c>
      <c r="D502" s="8" t="s">
        <v>10</v>
      </c>
      <c r="E502" s="9" t="s">
        <v>23</v>
      </c>
      <c r="F502" s="9" t="s">
        <v>36</v>
      </c>
      <c r="G502" s="8">
        <v>2017</v>
      </c>
      <c r="H502" s="8">
        <v>5</v>
      </c>
      <c r="I502" s="10">
        <v>42856</v>
      </c>
      <c r="J502" s="11">
        <v>2408</v>
      </c>
      <c r="K502" s="51"/>
      <c r="O502" s="1" t="s">
        <v>7</v>
      </c>
      <c r="P502" s="1" t="s">
        <v>43</v>
      </c>
      <c r="Q502" s="1" t="s">
        <v>10</v>
      </c>
      <c r="R502" s="2" t="s">
        <v>23</v>
      </c>
      <c r="S502" s="2" t="s">
        <v>36</v>
      </c>
      <c r="T502" s="1">
        <v>2017</v>
      </c>
      <c r="U502" s="1">
        <v>5</v>
      </c>
      <c r="V502" s="50">
        <v>42856</v>
      </c>
      <c r="W502" s="4">
        <v>2119.04</v>
      </c>
      <c r="X502" s="48">
        <v>2408</v>
      </c>
    </row>
    <row r="503" spans="2:24" x14ac:dyDescent="0.35">
      <c r="B503" s="8" t="s">
        <v>6</v>
      </c>
      <c r="C503" s="8" t="s">
        <v>40</v>
      </c>
      <c r="D503" s="8" t="s">
        <v>41</v>
      </c>
      <c r="E503" s="8" t="s">
        <v>0</v>
      </c>
      <c r="F503" s="9" t="s">
        <v>45</v>
      </c>
      <c r="G503" s="8">
        <v>2017</v>
      </c>
      <c r="H503" s="8">
        <v>5</v>
      </c>
      <c r="I503" s="10">
        <v>42856</v>
      </c>
      <c r="J503" s="11">
        <v>2194</v>
      </c>
      <c r="K503" s="51"/>
      <c r="O503" s="1" t="s">
        <v>6</v>
      </c>
      <c r="P503" s="1" t="s">
        <v>40</v>
      </c>
      <c r="Q503" s="1" t="s">
        <v>41</v>
      </c>
      <c r="R503" s="1" t="s">
        <v>0</v>
      </c>
      <c r="S503" s="2" t="s">
        <v>45</v>
      </c>
      <c r="T503" s="1">
        <v>2017</v>
      </c>
      <c r="U503" s="1">
        <v>5</v>
      </c>
      <c r="V503" s="50">
        <v>42856</v>
      </c>
      <c r="W503" s="4">
        <v>2018.4799999999998</v>
      </c>
      <c r="X503" s="48">
        <v>2194</v>
      </c>
    </row>
    <row r="504" spans="2:24" x14ac:dyDescent="0.35">
      <c r="B504" s="8" t="s">
        <v>7</v>
      </c>
      <c r="C504" s="8" t="s">
        <v>32</v>
      </c>
      <c r="D504" s="8" t="s">
        <v>8</v>
      </c>
      <c r="E504" s="8" t="s">
        <v>27</v>
      </c>
      <c r="F504" s="6" t="s">
        <v>28</v>
      </c>
      <c r="G504" s="8">
        <v>2017</v>
      </c>
      <c r="H504" s="8">
        <v>5</v>
      </c>
      <c r="I504" s="10">
        <v>42856</v>
      </c>
      <c r="J504" s="11">
        <v>3848</v>
      </c>
      <c r="K504" s="51"/>
      <c r="O504" s="1" t="s">
        <v>7</v>
      </c>
      <c r="P504" s="1" t="s">
        <v>32</v>
      </c>
      <c r="Q504" s="1" t="s">
        <v>8</v>
      </c>
      <c r="R504" s="1" t="s">
        <v>27</v>
      </c>
      <c r="S504" t="s">
        <v>28</v>
      </c>
      <c r="T504" s="1">
        <v>2017</v>
      </c>
      <c r="U504" s="1">
        <v>5</v>
      </c>
      <c r="V504" s="50">
        <v>42856</v>
      </c>
      <c r="W504" s="4">
        <v>3386.24</v>
      </c>
      <c r="X504" s="48">
        <v>3848</v>
      </c>
    </row>
    <row r="505" spans="2:24" x14ac:dyDescent="0.35">
      <c r="B505" s="8" t="s">
        <v>7</v>
      </c>
      <c r="C505" s="8" t="s">
        <v>32</v>
      </c>
      <c r="D505" s="8" t="s">
        <v>8</v>
      </c>
      <c r="E505" s="8" t="s">
        <v>27</v>
      </c>
      <c r="F505" s="8" t="s">
        <v>31</v>
      </c>
      <c r="G505" s="8">
        <v>2017</v>
      </c>
      <c r="H505" s="8">
        <v>5</v>
      </c>
      <c r="I505" s="10">
        <v>42856</v>
      </c>
      <c r="J505" s="11">
        <v>4301</v>
      </c>
      <c r="K505" s="51"/>
      <c r="O505" s="1" t="s">
        <v>7</v>
      </c>
      <c r="P505" s="1" t="s">
        <v>32</v>
      </c>
      <c r="Q505" s="1" t="s">
        <v>8</v>
      </c>
      <c r="R505" s="1" t="s">
        <v>27</v>
      </c>
      <c r="S505" s="1" t="s">
        <v>31</v>
      </c>
      <c r="T505" s="1">
        <v>2017</v>
      </c>
      <c r="U505" s="1">
        <v>5</v>
      </c>
      <c r="V505" s="50">
        <v>42856</v>
      </c>
      <c r="W505" s="4">
        <v>4042.9399999999996</v>
      </c>
      <c r="X505" s="48">
        <v>4301</v>
      </c>
    </row>
    <row r="506" spans="2:24" x14ac:dyDescent="0.35">
      <c r="B506" s="8" t="s">
        <v>6</v>
      </c>
      <c r="C506" s="8" t="s">
        <v>29</v>
      </c>
      <c r="D506" s="8" t="s">
        <v>30</v>
      </c>
      <c r="E506" s="8" t="s">
        <v>23</v>
      </c>
      <c r="F506" s="8" t="s">
        <v>24</v>
      </c>
      <c r="G506" s="8">
        <v>2017</v>
      </c>
      <c r="H506" s="8">
        <v>5</v>
      </c>
      <c r="I506" s="10">
        <v>42856</v>
      </c>
      <c r="J506" s="11">
        <v>2798</v>
      </c>
      <c r="K506" s="51"/>
      <c r="O506" s="1" t="s">
        <v>6</v>
      </c>
      <c r="P506" s="1" t="s">
        <v>29</v>
      </c>
      <c r="Q506" s="1" t="s">
        <v>30</v>
      </c>
      <c r="R506" s="1" t="s">
        <v>23</v>
      </c>
      <c r="S506" s="1" t="s">
        <v>24</v>
      </c>
      <c r="T506" s="1">
        <v>2017</v>
      </c>
      <c r="U506" s="1">
        <v>5</v>
      </c>
      <c r="V506" s="50">
        <v>42856</v>
      </c>
      <c r="W506" s="4">
        <v>2574.16</v>
      </c>
      <c r="X506" s="48">
        <v>2798</v>
      </c>
    </row>
    <row r="507" spans="2:24" x14ac:dyDescent="0.35">
      <c r="B507" s="8" t="s">
        <v>7</v>
      </c>
      <c r="C507" s="8" t="s">
        <v>48</v>
      </c>
      <c r="D507" s="8" t="s">
        <v>9</v>
      </c>
      <c r="E507" s="8" t="s">
        <v>0</v>
      </c>
      <c r="F507" s="8" t="s">
        <v>42</v>
      </c>
      <c r="G507" s="8">
        <v>2017</v>
      </c>
      <c r="H507" s="8">
        <v>5</v>
      </c>
      <c r="I507" s="10">
        <v>42856</v>
      </c>
      <c r="J507" s="11">
        <v>5207</v>
      </c>
      <c r="K507" s="51"/>
      <c r="O507" s="1" t="s">
        <v>7</v>
      </c>
      <c r="P507" s="1" t="s">
        <v>48</v>
      </c>
      <c r="Q507" s="1" t="s">
        <v>9</v>
      </c>
      <c r="R507" s="1" t="s">
        <v>0</v>
      </c>
      <c r="S507" s="1" t="s">
        <v>42</v>
      </c>
      <c r="T507" s="1">
        <v>2017</v>
      </c>
      <c r="U507" s="1">
        <v>5</v>
      </c>
      <c r="V507" s="50">
        <v>42856</v>
      </c>
      <c r="W507" s="4">
        <v>4478.0200000000004</v>
      </c>
      <c r="X507" s="48">
        <v>5207</v>
      </c>
    </row>
    <row r="508" spans="2:24" x14ac:dyDescent="0.35">
      <c r="B508" s="8" t="s">
        <v>7</v>
      </c>
      <c r="C508" s="8" t="s">
        <v>48</v>
      </c>
      <c r="D508" s="8" t="s">
        <v>9</v>
      </c>
      <c r="E508" s="8" t="s">
        <v>0</v>
      </c>
      <c r="F508" s="6" t="s">
        <v>26</v>
      </c>
      <c r="G508" s="8">
        <v>2017</v>
      </c>
      <c r="H508" s="8">
        <v>5</v>
      </c>
      <c r="I508" s="10">
        <v>42856</v>
      </c>
      <c r="J508" s="11">
        <v>3902</v>
      </c>
      <c r="K508" s="51"/>
      <c r="O508" s="1" t="s">
        <v>7</v>
      </c>
      <c r="P508" s="1" t="s">
        <v>48</v>
      </c>
      <c r="Q508" s="1" t="s">
        <v>9</v>
      </c>
      <c r="R508" s="1" t="s">
        <v>0</v>
      </c>
      <c r="S508" t="s">
        <v>26</v>
      </c>
      <c r="T508" s="1">
        <v>2017</v>
      </c>
      <c r="U508" s="1">
        <v>5</v>
      </c>
      <c r="V508" s="50">
        <v>42856</v>
      </c>
      <c r="W508" s="4">
        <v>3433.7599999999998</v>
      </c>
      <c r="X508" s="48">
        <v>3902</v>
      </c>
    </row>
    <row r="509" spans="2:24" x14ac:dyDescent="0.35">
      <c r="B509" s="8" t="s">
        <v>7</v>
      </c>
      <c r="C509" s="8" t="s">
        <v>49</v>
      </c>
      <c r="D509" s="8" t="s">
        <v>11</v>
      </c>
      <c r="E509" s="8" t="s">
        <v>0</v>
      </c>
      <c r="F509" s="6" t="s">
        <v>45</v>
      </c>
      <c r="G509" s="8">
        <v>2017</v>
      </c>
      <c r="H509" s="8">
        <v>5</v>
      </c>
      <c r="I509" s="10">
        <v>42856</v>
      </c>
      <c r="J509" s="11">
        <v>4371</v>
      </c>
      <c r="K509" s="51"/>
      <c r="O509" s="1" t="s">
        <v>7</v>
      </c>
      <c r="P509" s="1" t="s">
        <v>49</v>
      </c>
      <c r="Q509" s="1" t="s">
        <v>11</v>
      </c>
      <c r="R509" s="1" t="s">
        <v>0</v>
      </c>
      <c r="S509" t="s">
        <v>45</v>
      </c>
      <c r="T509" s="1">
        <v>2017</v>
      </c>
      <c r="U509" s="1">
        <v>5</v>
      </c>
      <c r="V509" s="50">
        <v>42856</v>
      </c>
      <c r="W509" s="4">
        <v>3977.6099999999997</v>
      </c>
      <c r="X509" s="48">
        <v>4371</v>
      </c>
    </row>
    <row r="510" spans="2:24" x14ac:dyDescent="0.35">
      <c r="B510" s="8" t="s">
        <v>7</v>
      </c>
      <c r="C510" s="8" t="s">
        <v>49</v>
      </c>
      <c r="D510" s="8" t="s">
        <v>11</v>
      </c>
      <c r="E510" s="8" t="s">
        <v>27</v>
      </c>
      <c r="F510" s="6" t="s">
        <v>28</v>
      </c>
      <c r="G510" s="8">
        <v>2017</v>
      </c>
      <c r="H510" s="8">
        <v>5</v>
      </c>
      <c r="I510" s="10">
        <v>42856</v>
      </c>
      <c r="J510" s="11">
        <v>3834</v>
      </c>
      <c r="K510" s="51"/>
      <c r="O510" s="1" t="s">
        <v>7</v>
      </c>
      <c r="P510" s="1" t="s">
        <v>49</v>
      </c>
      <c r="Q510" s="1" t="s">
        <v>11</v>
      </c>
      <c r="R510" s="1" t="s">
        <v>27</v>
      </c>
      <c r="S510" t="s">
        <v>28</v>
      </c>
      <c r="T510" s="1">
        <v>2017</v>
      </c>
      <c r="U510" s="1">
        <v>5</v>
      </c>
      <c r="V510" s="50">
        <v>42856</v>
      </c>
      <c r="W510" s="4">
        <v>3297.2400000000002</v>
      </c>
      <c r="X510" s="48">
        <v>3834</v>
      </c>
    </row>
    <row r="511" spans="2:24" x14ac:dyDescent="0.35">
      <c r="B511" s="8" t="s">
        <v>12</v>
      </c>
      <c r="C511" s="8" t="s">
        <v>34</v>
      </c>
      <c r="D511" s="8" t="s">
        <v>35</v>
      </c>
      <c r="E511" s="9" t="s">
        <v>27</v>
      </c>
      <c r="F511" s="9" t="s">
        <v>31</v>
      </c>
      <c r="G511" s="8">
        <v>2017</v>
      </c>
      <c r="H511" s="8">
        <v>5</v>
      </c>
      <c r="I511" s="10">
        <v>42856</v>
      </c>
      <c r="J511" s="11">
        <v>3203</v>
      </c>
      <c r="K511" s="51"/>
      <c r="O511" s="1" t="s">
        <v>12</v>
      </c>
      <c r="P511" s="1" t="s">
        <v>34</v>
      </c>
      <c r="Q511" s="1" t="s">
        <v>35</v>
      </c>
      <c r="R511" s="2" t="s">
        <v>27</v>
      </c>
      <c r="S511" s="2" t="s">
        <v>31</v>
      </c>
      <c r="T511" s="1">
        <v>2017</v>
      </c>
      <c r="U511" s="1">
        <v>5</v>
      </c>
      <c r="V511" s="50">
        <v>42856</v>
      </c>
      <c r="W511" s="4">
        <v>2818.6399999999994</v>
      </c>
      <c r="X511" s="48">
        <v>3203</v>
      </c>
    </row>
    <row r="512" spans="2:24" x14ac:dyDescent="0.35">
      <c r="B512" s="8" t="s">
        <v>12</v>
      </c>
      <c r="C512" s="8" t="s">
        <v>34</v>
      </c>
      <c r="D512" s="8" t="s">
        <v>35</v>
      </c>
      <c r="E512" s="8" t="s">
        <v>27</v>
      </c>
      <c r="F512" s="9" t="s">
        <v>33</v>
      </c>
      <c r="G512" s="8">
        <v>2017</v>
      </c>
      <c r="H512" s="8">
        <v>5</v>
      </c>
      <c r="I512" s="10">
        <v>42856</v>
      </c>
      <c r="J512" s="11">
        <v>3068</v>
      </c>
      <c r="K512" s="51"/>
      <c r="O512" s="1" t="s">
        <v>12</v>
      </c>
      <c r="P512" s="1" t="s">
        <v>34</v>
      </c>
      <c r="Q512" s="1" t="s">
        <v>35</v>
      </c>
      <c r="R512" s="1" t="s">
        <v>27</v>
      </c>
      <c r="S512" s="2" t="s">
        <v>33</v>
      </c>
      <c r="T512" s="1">
        <v>2017</v>
      </c>
      <c r="U512" s="1">
        <v>5</v>
      </c>
      <c r="V512" s="50">
        <v>42856</v>
      </c>
      <c r="W512" s="4">
        <v>2822.56</v>
      </c>
      <c r="X512" s="48">
        <v>3068</v>
      </c>
    </row>
    <row r="513" spans="2:24" x14ac:dyDescent="0.35">
      <c r="B513" s="8" t="s">
        <v>14</v>
      </c>
      <c r="C513" s="8" t="s">
        <v>37</v>
      </c>
      <c r="D513" s="8" t="s">
        <v>38</v>
      </c>
      <c r="E513" s="8" t="s">
        <v>23</v>
      </c>
      <c r="F513" s="6" t="s">
        <v>36</v>
      </c>
      <c r="G513" s="8">
        <v>2017</v>
      </c>
      <c r="H513" s="8">
        <v>5</v>
      </c>
      <c r="I513" s="10">
        <v>42856</v>
      </c>
      <c r="J513" s="11">
        <v>2465</v>
      </c>
      <c r="K513" s="51"/>
      <c r="O513" s="1" t="s">
        <v>14</v>
      </c>
      <c r="P513" s="1" t="s">
        <v>37</v>
      </c>
      <c r="Q513" s="1" t="s">
        <v>38</v>
      </c>
      <c r="R513" s="1" t="s">
        <v>23</v>
      </c>
      <c r="S513" t="s">
        <v>36</v>
      </c>
      <c r="T513" s="1">
        <v>2017</v>
      </c>
      <c r="U513" s="1">
        <v>5</v>
      </c>
      <c r="V513" s="50">
        <v>42856</v>
      </c>
      <c r="W513" s="4">
        <v>2169.1999999999998</v>
      </c>
      <c r="X513" s="48">
        <v>2465</v>
      </c>
    </row>
    <row r="514" spans="2:24" x14ac:dyDescent="0.35">
      <c r="B514" s="8" t="s">
        <v>12</v>
      </c>
      <c r="C514" s="8" t="s">
        <v>44</v>
      </c>
      <c r="D514" s="8" t="s">
        <v>13</v>
      </c>
      <c r="E514" s="8" t="s">
        <v>23</v>
      </c>
      <c r="F514" s="8" t="s">
        <v>39</v>
      </c>
      <c r="G514" s="8">
        <v>2017</v>
      </c>
      <c r="H514" s="8">
        <v>5</v>
      </c>
      <c r="I514" s="10">
        <v>42856</v>
      </c>
      <c r="J514" s="11">
        <v>1210</v>
      </c>
      <c r="K514" s="51"/>
      <c r="O514" s="1" t="s">
        <v>12</v>
      </c>
      <c r="P514" s="1" t="s">
        <v>44</v>
      </c>
      <c r="Q514" s="1" t="s">
        <v>13</v>
      </c>
      <c r="R514" s="1" t="s">
        <v>23</v>
      </c>
      <c r="S514" s="1" t="s">
        <v>39</v>
      </c>
      <c r="T514" s="1">
        <v>2017</v>
      </c>
      <c r="U514" s="1">
        <v>5</v>
      </c>
      <c r="V514" s="50">
        <v>42856</v>
      </c>
      <c r="W514" s="4">
        <v>1089</v>
      </c>
      <c r="X514" s="48">
        <v>1210</v>
      </c>
    </row>
    <row r="515" spans="2:24" x14ac:dyDescent="0.35">
      <c r="B515" s="8" t="s">
        <v>12</v>
      </c>
      <c r="C515" s="8" t="s">
        <v>44</v>
      </c>
      <c r="D515" s="8" t="s">
        <v>13</v>
      </c>
      <c r="E515" s="8" t="s">
        <v>0</v>
      </c>
      <c r="F515" s="8" t="s">
        <v>42</v>
      </c>
      <c r="G515" s="8">
        <v>2017</v>
      </c>
      <c r="H515" s="8">
        <v>5</v>
      </c>
      <c r="I515" s="10">
        <v>42856</v>
      </c>
      <c r="J515" s="11">
        <v>5166</v>
      </c>
      <c r="K515" s="51"/>
      <c r="O515" s="1" t="s">
        <v>12</v>
      </c>
      <c r="P515" s="1" t="s">
        <v>44</v>
      </c>
      <c r="Q515" s="1" t="s">
        <v>13</v>
      </c>
      <c r="R515" s="1" t="s">
        <v>0</v>
      </c>
      <c r="S515" s="1" t="s">
        <v>42</v>
      </c>
      <c r="T515" s="1">
        <v>2017</v>
      </c>
      <c r="U515" s="1">
        <v>5</v>
      </c>
      <c r="V515" s="50">
        <v>42856</v>
      </c>
      <c r="W515" s="4">
        <v>4546.08</v>
      </c>
      <c r="X515" s="48">
        <v>5166</v>
      </c>
    </row>
    <row r="516" spans="2:24" x14ac:dyDescent="0.35">
      <c r="B516" s="8" t="s">
        <v>14</v>
      </c>
      <c r="C516" s="8" t="s">
        <v>46</v>
      </c>
      <c r="D516" s="8" t="s">
        <v>47</v>
      </c>
      <c r="E516" s="8" t="s">
        <v>0</v>
      </c>
      <c r="F516" s="8" t="s">
        <v>26</v>
      </c>
      <c r="G516" s="8">
        <v>2017</v>
      </c>
      <c r="H516" s="8">
        <v>5</v>
      </c>
      <c r="I516" s="10">
        <v>42856</v>
      </c>
      <c r="J516" s="11">
        <v>2825</v>
      </c>
      <c r="K516" s="51"/>
      <c r="O516" s="1" t="s">
        <v>14</v>
      </c>
      <c r="P516" s="1" t="s">
        <v>46</v>
      </c>
      <c r="Q516" s="1" t="s">
        <v>47</v>
      </c>
      <c r="R516" s="1" t="s">
        <v>0</v>
      </c>
      <c r="S516" s="1" t="s">
        <v>26</v>
      </c>
      <c r="T516" s="1">
        <v>2017</v>
      </c>
      <c r="U516" s="1">
        <v>5</v>
      </c>
      <c r="V516" s="50">
        <v>42856</v>
      </c>
      <c r="W516" s="4">
        <v>2655.5</v>
      </c>
      <c r="X516" s="48">
        <v>2825</v>
      </c>
    </row>
    <row r="517" spans="2:24" x14ac:dyDescent="0.35">
      <c r="B517" s="8" t="s">
        <v>14</v>
      </c>
      <c r="C517" s="8" t="s">
        <v>46</v>
      </c>
      <c r="D517" s="8" t="s">
        <v>47</v>
      </c>
      <c r="E517" s="8" t="s">
        <v>0</v>
      </c>
      <c r="F517" s="6" t="s">
        <v>45</v>
      </c>
      <c r="G517" s="8">
        <v>2017</v>
      </c>
      <c r="H517" s="8">
        <v>5</v>
      </c>
      <c r="I517" s="10">
        <v>42856</v>
      </c>
      <c r="J517" s="11">
        <v>2904</v>
      </c>
      <c r="K517" s="51"/>
      <c r="O517" s="1" t="s">
        <v>14</v>
      </c>
      <c r="P517" s="1" t="s">
        <v>46</v>
      </c>
      <c r="Q517" s="1" t="s">
        <v>47</v>
      </c>
      <c r="R517" s="1" t="s">
        <v>0</v>
      </c>
      <c r="S517" t="s">
        <v>45</v>
      </c>
      <c r="T517" s="1">
        <v>2017</v>
      </c>
      <c r="U517" s="1">
        <v>5</v>
      </c>
      <c r="V517" s="50">
        <v>42856</v>
      </c>
      <c r="W517" s="4">
        <v>2700.72</v>
      </c>
      <c r="X517" s="48">
        <v>2904</v>
      </c>
    </row>
    <row r="518" spans="2:24" x14ac:dyDescent="0.35">
      <c r="B518" s="8" t="s">
        <v>3</v>
      </c>
      <c r="C518" s="8" t="s">
        <v>25</v>
      </c>
      <c r="D518" s="8" t="s">
        <v>4</v>
      </c>
      <c r="E518" s="8" t="s">
        <v>27</v>
      </c>
      <c r="F518" s="6" t="s">
        <v>33</v>
      </c>
      <c r="G518" s="8">
        <v>2017</v>
      </c>
      <c r="H518" s="8">
        <v>5</v>
      </c>
      <c r="I518" s="10">
        <v>42856</v>
      </c>
      <c r="J518" s="11">
        <v>3333</v>
      </c>
      <c r="K518" s="51"/>
      <c r="O518" s="1" t="s">
        <v>3</v>
      </c>
      <c r="P518" s="1" t="s">
        <v>25</v>
      </c>
      <c r="Q518" s="1" t="s">
        <v>4</v>
      </c>
      <c r="R518" s="1" t="s">
        <v>27</v>
      </c>
      <c r="S518" t="s">
        <v>33</v>
      </c>
      <c r="T518" s="1">
        <v>2017</v>
      </c>
      <c r="U518" s="1">
        <v>5</v>
      </c>
      <c r="V518" s="50">
        <v>42856</v>
      </c>
      <c r="W518" s="4">
        <v>2866.38</v>
      </c>
      <c r="X518" s="48">
        <v>3333</v>
      </c>
    </row>
    <row r="519" spans="2:24" x14ac:dyDescent="0.35">
      <c r="B519" s="8" t="s">
        <v>3</v>
      </c>
      <c r="C519" s="8" t="s">
        <v>25</v>
      </c>
      <c r="D519" s="8" t="s">
        <v>4</v>
      </c>
      <c r="E519" s="8" t="s">
        <v>23</v>
      </c>
      <c r="F519" s="6" t="s">
        <v>36</v>
      </c>
      <c r="G519" s="8">
        <v>2017</v>
      </c>
      <c r="H519" s="8">
        <v>5</v>
      </c>
      <c r="I519" s="10">
        <v>42856</v>
      </c>
      <c r="J519" s="11">
        <v>1528</v>
      </c>
      <c r="K519" s="51"/>
      <c r="O519" s="1" t="s">
        <v>3</v>
      </c>
      <c r="P519" s="1" t="s">
        <v>25</v>
      </c>
      <c r="Q519" s="1" t="s">
        <v>4</v>
      </c>
      <c r="R519" s="1" t="s">
        <v>23</v>
      </c>
      <c r="S519" t="s">
        <v>36</v>
      </c>
      <c r="T519" s="1">
        <v>2017</v>
      </c>
      <c r="U519" s="1">
        <v>5</v>
      </c>
      <c r="V519" s="50">
        <v>42856</v>
      </c>
      <c r="W519" s="4">
        <v>1421.04</v>
      </c>
      <c r="X519" s="48">
        <v>1528</v>
      </c>
    </row>
    <row r="520" spans="2:24" x14ac:dyDescent="0.35">
      <c r="B520" s="8" t="s">
        <v>6</v>
      </c>
      <c r="C520" s="8" t="s">
        <v>40</v>
      </c>
      <c r="D520" s="8" t="s">
        <v>41</v>
      </c>
      <c r="E520" s="9" t="s">
        <v>23</v>
      </c>
      <c r="F520" s="9" t="s">
        <v>39</v>
      </c>
      <c r="G520" s="8">
        <v>2017</v>
      </c>
      <c r="H520" s="8">
        <v>5</v>
      </c>
      <c r="I520" s="10">
        <v>42856</v>
      </c>
      <c r="J520" s="11">
        <v>2802</v>
      </c>
      <c r="K520" s="51"/>
      <c r="O520" s="1" t="s">
        <v>6</v>
      </c>
      <c r="P520" s="1" t="s">
        <v>40</v>
      </c>
      <c r="Q520" s="1" t="s">
        <v>41</v>
      </c>
      <c r="R520" s="2" t="s">
        <v>23</v>
      </c>
      <c r="S520" s="2" t="s">
        <v>39</v>
      </c>
      <c r="T520" s="1">
        <v>2017</v>
      </c>
      <c r="U520" s="1">
        <v>5</v>
      </c>
      <c r="V520" s="50">
        <v>42856</v>
      </c>
      <c r="W520" s="4">
        <v>2549.8199999999997</v>
      </c>
      <c r="X520" s="48">
        <v>2802</v>
      </c>
    </row>
    <row r="521" spans="2:24" x14ac:dyDescent="0.35">
      <c r="B521" s="8" t="s">
        <v>7</v>
      </c>
      <c r="C521" s="8" t="s">
        <v>48</v>
      </c>
      <c r="D521" s="8" t="s">
        <v>9</v>
      </c>
      <c r="E521" s="8" t="s">
        <v>0</v>
      </c>
      <c r="F521" s="9" t="s">
        <v>45</v>
      </c>
      <c r="G521" s="8">
        <v>2017</v>
      </c>
      <c r="H521" s="8">
        <v>5</v>
      </c>
      <c r="I521" s="10">
        <v>42856</v>
      </c>
      <c r="J521" s="11">
        <v>2662</v>
      </c>
      <c r="K521" s="51"/>
      <c r="O521" s="1" t="s">
        <v>7</v>
      </c>
      <c r="P521" s="1" t="s">
        <v>48</v>
      </c>
      <c r="Q521" s="1" t="s">
        <v>9</v>
      </c>
      <c r="R521" s="1" t="s">
        <v>0</v>
      </c>
      <c r="S521" s="2" t="s">
        <v>45</v>
      </c>
      <c r="T521" s="1">
        <v>2017</v>
      </c>
      <c r="U521" s="1">
        <v>5</v>
      </c>
      <c r="V521" s="50">
        <v>42856</v>
      </c>
      <c r="W521" s="4">
        <v>2342.5599999999995</v>
      </c>
      <c r="X521" s="48">
        <v>2662</v>
      </c>
    </row>
    <row r="522" spans="2:24" x14ac:dyDescent="0.35">
      <c r="B522" s="8" t="s">
        <v>7</v>
      </c>
      <c r="C522" s="8" t="s">
        <v>49</v>
      </c>
      <c r="D522" s="8" t="s">
        <v>11</v>
      </c>
      <c r="E522" s="8" t="s">
        <v>27</v>
      </c>
      <c r="F522" s="6" t="s">
        <v>31</v>
      </c>
      <c r="G522" s="8">
        <v>2017</v>
      </c>
      <c r="H522" s="8">
        <v>5</v>
      </c>
      <c r="I522" s="10">
        <v>42856</v>
      </c>
      <c r="J522" s="11">
        <v>5166</v>
      </c>
      <c r="K522" s="51"/>
      <c r="O522" s="1" t="s">
        <v>7</v>
      </c>
      <c r="P522" s="1" t="s">
        <v>49</v>
      </c>
      <c r="Q522" s="1" t="s">
        <v>11</v>
      </c>
      <c r="R522" s="1" t="s">
        <v>27</v>
      </c>
      <c r="S522" t="s">
        <v>31</v>
      </c>
      <c r="T522" s="1">
        <v>2017</v>
      </c>
      <c r="U522" s="1">
        <v>5</v>
      </c>
      <c r="V522" s="50">
        <v>42856</v>
      </c>
      <c r="W522" s="4">
        <v>4649.3999999999996</v>
      </c>
      <c r="X522" s="48">
        <v>5166</v>
      </c>
    </row>
    <row r="523" spans="2:24" x14ac:dyDescent="0.35">
      <c r="B523" s="8" t="s">
        <v>7</v>
      </c>
      <c r="C523" s="8" t="s">
        <v>43</v>
      </c>
      <c r="D523" s="8" t="s">
        <v>10</v>
      </c>
      <c r="E523" s="8" t="s">
        <v>27</v>
      </c>
      <c r="F523" s="8" t="s">
        <v>33</v>
      </c>
      <c r="G523" s="8">
        <v>2017</v>
      </c>
      <c r="H523" s="8">
        <v>5</v>
      </c>
      <c r="I523" s="10">
        <v>42856</v>
      </c>
      <c r="J523" s="11">
        <v>2820</v>
      </c>
      <c r="K523" s="51"/>
      <c r="O523" s="1" t="s">
        <v>7</v>
      </c>
      <c r="P523" s="1" t="s">
        <v>43</v>
      </c>
      <c r="Q523" s="1" t="s">
        <v>10</v>
      </c>
      <c r="R523" s="1" t="s">
        <v>27</v>
      </c>
      <c r="S523" s="1" t="s">
        <v>33</v>
      </c>
      <c r="T523" s="1">
        <v>2017</v>
      </c>
      <c r="U523" s="1">
        <v>5</v>
      </c>
      <c r="V523" s="50">
        <v>42856</v>
      </c>
      <c r="W523" s="4">
        <v>2397</v>
      </c>
      <c r="X523" s="48">
        <v>2820</v>
      </c>
    </row>
    <row r="524" spans="2:24" x14ac:dyDescent="0.35">
      <c r="B524" s="8" t="s">
        <v>7</v>
      </c>
      <c r="C524" s="8" t="s">
        <v>32</v>
      </c>
      <c r="D524" s="8" t="s">
        <v>8</v>
      </c>
      <c r="E524" s="8" t="s">
        <v>0</v>
      </c>
      <c r="F524" s="8" t="s">
        <v>45</v>
      </c>
      <c r="G524" s="8">
        <v>2017</v>
      </c>
      <c r="H524" s="8">
        <v>5</v>
      </c>
      <c r="I524" s="10">
        <v>42856</v>
      </c>
      <c r="J524" s="11">
        <v>4455</v>
      </c>
      <c r="K524" s="51"/>
      <c r="O524" s="1" t="s">
        <v>7</v>
      </c>
      <c r="P524" s="1" t="s">
        <v>32</v>
      </c>
      <c r="Q524" s="1" t="s">
        <v>8</v>
      </c>
      <c r="R524" s="1" t="s">
        <v>0</v>
      </c>
      <c r="S524" s="1" t="s">
        <v>45</v>
      </c>
      <c r="T524" s="1">
        <v>2017</v>
      </c>
      <c r="U524" s="1">
        <v>5</v>
      </c>
      <c r="V524" s="50">
        <v>42856</v>
      </c>
      <c r="W524" s="4">
        <v>3786.7500000000005</v>
      </c>
      <c r="X524" s="48">
        <v>4455</v>
      </c>
    </row>
    <row r="525" spans="2:24" x14ac:dyDescent="0.35">
      <c r="B525" s="8" t="s">
        <v>7</v>
      </c>
      <c r="C525" s="8" t="s">
        <v>48</v>
      </c>
      <c r="D525" s="8" t="s">
        <v>9</v>
      </c>
      <c r="E525" s="8" t="s">
        <v>23</v>
      </c>
      <c r="F525" s="8" t="s">
        <v>39</v>
      </c>
      <c r="G525" s="8">
        <v>2017</v>
      </c>
      <c r="H525" s="8">
        <v>5</v>
      </c>
      <c r="I525" s="10">
        <v>42856</v>
      </c>
      <c r="J525" s="11">
        <v>2270</v>
      </c>
      <c r="K525" s="51"/>
      <c r="O525" s="1" t="s">
        <v>7</v>
      </c>
      <c r="P525" s="1" t="s">
        <v>48</v>
      </c>
      <c r="Q525" s="1" t="s">
        <v>9</v>
      </c>
      <c r="R525" s="1" t="s">
        <v>23</v>
      </c>
      <c r="S525" s="1" t="s">
        <v>39</v>
      </c>
      <c r="T525" s="1">
        <v>2017</v>
      </c>
      <c r="U525" s="1">
        <v>5</v>
      </c>
      <c r="V525" s="50">
        <v>42856</v>
      </c>
      <c r="W525" s="4">
        <v>1974.9000000000003</v>
      </c>
      <c r="X525" s="48">
        <v>2270</v>
      </c>
    </row>
    <row r="526" spans="2:24" x14ac:dyDescent="0.35">
      <c r="B526" s="8" t="s">
        <v>7</v>
      </c>
      <c r="C526" s="8" t="s">
        <v>49</v>
      </c>
      <c r="D526" s="8" t="s">
        <v>11</v>
      </c>
      <c r="E526" s="8" t="s">
        <v>0</v>
      </c>
      <c r="F526" s="6" t="s">
        <v>26</v>
      </c>
      <c r="G526" s="8">
        <v>2017</v>
      </c>
      <c r="H526" s="8">
        <v>5</v>
      </c>
      <c r="I526" s="10">
        <v>42856</v>
      </c>
      <c r="J526" s="11">
        <v>4263</v>
      </c>
      <c r="K526" s="51"/>
      <c r="O526" s="1" t="s">
        <v>7</v>
      </c>
      <c r="P526" s="1" t="s">
        <v>49</v>
      </c>
      <c r="Q526" s="1" t="s">
        <v>11</v>
      </c>
      <c r="R526" s="1" t="s">
        <v>0</v>
      </c>
      <c r="S526" t="s">
        <v>26</v>
      </c>
      <c r="T526" s="1">
        <v>2017</v>
      </c>
      <c r="U526" s="1">
        <v>5</v>
      </c>
      <c r="V526" s="50">
        <v>42856</v>
      </c>
      <c r="W526" s="4">
        <v>3666.1800000000003</v>
      </c>
      <c r="X526" s="48">
        <v>4263</v>
      </c>
    </row>
    <row r="527" spans="2:24" x14ac:dyDescent="0.35">
      <c r="B527" s="8" t="s">
        <v>12</v>
      </c>
      <c r="C527" s="8" t="s">
        <v>34</v>
      </c>
      <c r="D527" s="8" t="s">
        <v>35</v>
      </c>
      <c r="E527" s="8" t="s">
        <v>27</v>
      </c>
      <c r="F527" s="6" t="s">
        <v>28</v>
      </c>
      <c r="G527" s="8">
        <v>2017</v>
      </c>
      <c r="H527" s="8">
        <v>5</v>
      </c>
      <c r="I527" s="10">
        <v>42856</v>
      </c>
      <c r="J527" s="11">
        <v>5054</v>
      </c>
      <c r="K527" s="51"/>
      <c r="O527" s="1" t="s">
        <v>12</v>
      </c>
      <c r="P527" s="1" t="s">
        <v>34</v>
      </c>
      <c r="Q527" s="1" t="s">
        <v>35</v>
      </c>
      <c r="R527" s="1" t="s">
        <v>27</v>
      </c>
      <c r="S527" t="s">
        <v>28</v>
      </c>
      <c r="T527" s="1">
        <v>2017</v>
      </c>
      <c r="U527" s="1">
        <v>5</v>
      </c>
      <c r="V527" s="50">
        <v>42856</v>
      </c>
      <c r="W527" s="4">
        <v>4295.9000000000005</v>
      </c>
      <c r="X527" s="48">
        <v>5054</v>
      </c>
    </row>
    <row r="528" spans="2:24" x14ac:dyDescent="0.35">
      <c r="B528" s="8" t="s">
        <v>14</v>
      </c>
      <c r="C528" s="8" t="s">
        <v>37</v>
      </c>
      <c r="D528" s="8" t="s">
        <v>38</v>
      </c>
      <c r="E528" s="8" t="s">
        <v>27</v>
      </c>
      <c r="F528" s="6" t="s">
        <v>33</v>
      </c>
      <c r="G528" s="8">
        <v>2017</v>
      </c>
      <c r="H528" s="8">
        <v>5</v>
      </c>
      <c r="I528" s="10">
        <v>42856</v>
      </c>
      <c r="J528" s="11">
        <v>3956</v>
      </c>
      <c r="K528" s="51"/>
      <c r="O528" s="1" t="s">
        <v>14</v>
      </c>
      <c r="P528" s="1" t="s">
        <v>37</v>
      </c>
      <c r="Q528" s="1" t="s">
        <v>38</v>
      </c>
      <c r="R528" s="1" t="s">
        <v>27</v>
      </c>
      <c r="S528" t="s">
        <v>33</v>
      </c>
      <c r="T528" s="1">
        <v>2017</v>
      </c>
      <c r="U528" s="1">
        <v>5</v>
      </c>
      <c r="V528" s="50">
        <v>42856</v>
      </c>
      <c r="W528" s="4">
        <v>3718.64</v>
      </c>
      <c r="X528" s="48">
        <v>3956</v>
      </c>
    </row>
    <row r="529" spans="2:24" x14ac:dyDescent="0.35">
      <c r="B529" s="8" t="s">
        <v>12</v>
      </c>
      <c r="C529" s="8" t="s">
        <v>44</v>
      </c>
      <c r="D529" s="8" t="s">
        <v>13</v>
      </c>
      <c r="E529" s="9" t="s">
        <v>23</v>
      </c>
      <c r="F529" s="9" t="s">
        <v>24</v>
      </c>
      <c r="G529" s="8">
        <v>2017</v>
      </c>
      <c r="H529" s="8">
        <v>5</v>
      </c>
      <c r="I529" s="10">
        <v>42856</v>
      </c>
      <c r="J529" s="11">
        <v>3206</v>
      </c>
      <c r="K529" s="51"/>
      <c r="O529" s="1" t="s">
        <v>12</v>
      </c>
      <c r="P529" s="1" t="s">
        <v>44</v>
      </c>
      <c r="Q529" s="1" t="s">
        <v>13</v>
      </c>
      <c r="R529" s="2" t="s">
        <v>23</v>
      </c>
      <c r="S529" s="2" t="s">
        <v>24</v>
      </c>
      <c r="T529" s="1">
        <v>2017</v>
      </c>
      <c r="U529" s="1">
        <v>5</v>
      </c>
      <c r="V529" s="50">
        <v>42856</v>
      </c>
      <c r="W529" s="4">
        <v>2821.2799999999997</v>
      </c>
      <c r="X529" s="48">
        <v>3206</v>
      </c>
    </row>
    <row r="530" spans="2:24" x14ac:dyDescent="0.35">
      <c r="B530" s="8" t="s">
        <v>14</v>
      </c>
      <c r="C530" s="8" t="s">
        <v>46</v>
      </c>
      <c r="D530" s="8" t="s">
        <v>47</v>
      </c>
      <c r="E530" s="8" t="s">
        <v>0</v>
      </c>
      <c r="F530" s="9" t="s">
        <v>42</v>
      </c>
      <c r="G530" s="8">
        <v>2017</v>
      </c>
      <c r="H530" s="8">
        <v>5</v>
      </c>
      <c r="I530" s="10">
        <v>42856</v>
      </c>
      <c r="J530" s="11">
        <v>5194</v>
      </c>
      <c r="K530" s="51"/>
      <c r="O530" s="1" t="s">
        <v>14</v>
      </c>
      <c r="P530" s="1" t="s">
        <v>46</v>
      </c>
      <c r="Q530" s="1" t="s">
        <v>47</v>
      </c>
      <c r="R530" s="1" t="s">
        <v>0</v>
      </c>
      <c r="S530" s="2" t="s">
        <v>42</v>
      </c>
      <c r="T530" s="1">
        <v>2017</v>
      </c>
      <c r="U530" s="1">
        <v>5</v>
      </c>
      <c r="V530" s="50">
        <v>42856</v>
      </c>
      <c r="W530" s="4">
        <v>4674.5999999999995</v>
      </c>
      <c r="X530" s="48">
        <v>5194</v>
      </c>
    </row>
    <row r="531" spans="2:24" x14ac:dyDescent="0.35">
      <c r="B531" s="8" t="s">
        <v>7</v>
      </c>
      <c r="C531" s="8" t="s">
        <v>48</v>
      </c>
      <c r="D531" s="8" t="s">
        <v>9</v>
      </c>
      <c r="E531" s="8" t="s">
        <v>27</v>
      </c>
      <c r="F531" s="6" t="s">
        <v>33</v>
      </c>
      <c r="G531" s="8">
        <v>2017</v>
      </c>
      <c r="H531" s="8">
        <v>5</v>
      </c>
      <c r="I531" s="10">
        <v>42856</v>
      </c>
      <c r="J531" s="11">
        <v>3157</v>
      </c>
      <c r="K531" s="51"/>
      <c r="O531" s="1" t="s">
        <v>7</v>
      </c>
      <c r="P531" s="1" t="s">
        <v>48</v>
      </c>
      <c r="Q531" s="1" t="s">
        <v>9</v>
      </c>
      <c r="R531" s="1" t="s">
        <v>27</v>
      </c>
      <c r="S531" t="s">
        <v>33</v>
      </c>
      <c r="T531" s="1">
        <v>2017</v>
      </c>
      <c r="U531" s="1">
        <v>5</v>
      </c>
      <c r="V531" s="50">
        <v>42856</v>
      </c>
      <c r="W531" s="4">
        <v>2778.16</v>
      </c>
      <c r="X531" s="48">
        <v>3157</v>
      </c>
    </row>
    <row r="532" spans="2:24" x14ac:dyDescent="0.35">
      <c r="B532" s="8" t="s">
        <v>7</v>
      </c>
      <c r="C532" s="8" t="s">
        <v>49</v>
      </c>
      <c r="D532" s="8" t="s">
        <v>11</v>
      </c>
      <c r="E532" s="8" t="s">
        <v>23</v>
      </c>
      <c r="F532" s="8" t="s">
        <v>24</v>
      </c>
      <c r="G532" s="8">
        <v>2017</v>
      </c>
      <c r="H532" s="8">
        <v>5</v>
      </c>
      <c r="I532" s="10">
        <v>42856</v>
      </c>
      <c r="J532" s="11">
        <v>2843</v>
      </c>
      <c r="K532" s="51"/>
      <c r="O532" s="1" t="s">
        <v>7</v>
      </c>
      <c r="P532" s="1" t="s">
        <v>49</v>
      </c>
      <c r="Q532" s="1" t="s">
        <v>11</v>
      </c>
      <c r="R532" s="1" t="s">
        <v>23</v>
      </c>
      <c r="S532" s="1" t="s">
        <v>24</v>
      </c>
      <c r="T532" s="1">
        <v>2017</v>
      </c>
      <c r="U532" s="1">
        <v>5</v>
      </c>
      <c r="V532" s="50">
        <v>42856</v>
      </c>
      <c r="W532" s="4">
        <v>2615.56</v>
      </c>
      <c r="X532" s="48">
        <v>2843</v>
      </c>
    </row>
    <row r="533" spans="2:24" x14ac:dyDescent="0.35">
      <c r="B533" s="8" t="s">
        <v>3</v>
      </c>
      <c r="C533" s="8" t="s">
        <v>22</v>
      </c>
      <c r="D533" s="8" t="s">
        <v>5</v>
      </c>
      <c r="E533" s="8" t="s">
        <v>23</v>
      </c>
      <c r="F533" s="8" t="s">
        <v>24</v>
      </c>
      <c r="G533" s="8">
        <v>2017</v>
      </c>
      <c r="H533" s="8">
        <v>6</v>
      </c>
      <c r="I533" s="10">
        <v>42887</v>
      </c>
      <c r="J533" s="11">
        <v>2301</v>
      </c>
      <c r="K533" s="51"/>
      <c r="O533" s="1" t="s">
        <v>3</v>
      </c>
      <c r="P533" s="1" t="s">
        <v>22</v>
      </c>
      <c r="Q533" s="1" t="s">
        <v>5</v>
      </c>
      <c r="R533" s="1" t="s">
        <v>23</v>
      </c>
      <c r="S533" s="1" t="s">
        <v>24</v>
      </c>
      <c r="T533" s="1">
        <v>2017</v>
      </c>
      <c r="U533" s="1">
        <v>6</v>
      </c>
      <c r="V533" s="50">
        <v>42887</v>
      </c>
      <c r="W533" s="4">
        <v>2047.8899999999999</v>
      </c>
      <c r="X533" s="48">
        <v>2301</v>
      </c>
    </row>
    <row r="534" spans="2:24" x14ac:dyDescent="0.35">
      <c r="B534" s="8" t="s">
        <v>3</v>
      </c>
      <c r="C534" s="8" t="s">
        <v>25</v>
      </c>
      <c r="D534" s="8" t="s">
        <v>4</v>
      </c>
      <c r="E534" s="8" t="s">
        <v>23</v>
      </c>
      <c r="F534" s="8" t="s">
        <v>24</v>
      </c>
      <c r="G534" s="8">
        <v>2017</v>
      </c>
      <c r="H534" s="8">
        <v>6</v>
      </c>
      <c r="I534" s="10">
        <v>42887</v>
      </c>
      <c r="J534" s="11">
        <v>2411</v>
      </c>
      <c r="K534" s="51"/>
      <c r="O534" s="1" t="s">
        <v>3</v>
      </c>
      <c r="P534" s="1" t="s">
        <v>25</v>
      </c>
      <c r="Q534" s="1" t="s">
        <v>4</v>
      </c>
      <c r="R534" s="1" t="s">
        <v>23</v>
      </c>
      <c r="S534" s="1" t="s">
        <v>24</v>
      </c>
      <c r="T534" s="1">
        <v>2017</v>
      </c>
      <c r="U534" s="1">
        <v>6</v>
      </c>
      <c r="V534" s="50">
        <v>42887</v>
      </c>
      <c r="W534" s="4">
        <v>2097.5700000000002</v>
      </c>
      <c r="X534" s="48">
        <v>2411</v>
      </c>
    </row>
    <row r="535" spans="2:24" x14ac:dyDescent="0.35">
      <c r="B535" s="8" t="s">
        <v>3</v>
      </c>
      <c r="C535" s="8" t="s">
        <v>25</v>
      </c>
      <c r="D535" s="8" t="s">
        <v>4</v>
      </c>
      <c r="E535" s="8" t="s">
        <v>0</v>
      </c>
      <c r="F535" s="6" t="s">
        <v>26</v>
      </c>
      <c r="G535" s="8">
        <v>2017</v>
      </c>
      <c r="H535" s="8">
        <v>6</v>
      </c>
      <c r="I535" s="10">
        <v>42887</v>
      </c>
      <c r="J535" s="11">
        <v>5343</v>
      </c>
      <c r="K535" s="51"/>
      <c r="O535" s="1" t="s">
        <v>3</v>
      </c>
      <c r="P535" s="1" t="s">
        <v>25</v>
      </c>
      <c r="Q535" s="1" t="s">
        <v>4</v>
      </c>
      <c r="R535" s="1" t="s">
        <v>0</v>
      </c>
      <c r="S535" t="s">
        <v>26</v>
      </c>
      <c r="T535" s="1">
        <v>2017</v>
      </c>
      <c r="U535" s="1">
        <v>6</v>
      </c>
      <c r="V535" s="50">
        <v>42887</v>
      </c>
      <c r="W535" s="4">
        <v>4915.5599999999995</v>
      </c>
      <c r="X535" s="48">
        <v>5343</v>
      </c>
    </row>
    <row r="536" spans="2:24" x14ac:dyDescent="0.35">
      <c r="B536" s="8" t="s">
        <v>3</v>
      </c>
      <c r="C536" s="8" t="s">
        <v>22</v>
      </c>
      <c r="D536" s="8" t="s">
        <v>5</v>
      </c>
      <c r="E536" s="8" t="s">
        <v>0</v>
      </c>
      <c r="F536" s="6" t="s">
        <v>26</v>
      </c>
      <c r="G536" s="8">
        <v>2017</v>
      </c>
      <c r="H536" s="8">
        <v>6</v>
      </c>
      <c r="I536" s="10">
        <v>42887</v>
      </c>
      <c r="J536" s="11">
        <v>4955</v>
      </c>
      <c r="K536" s="51"/>
      <c r="O536" s="1" t="s">
        <v>3</v>
      </c>
      <c r="P536" s="1" t="s">
        <v>22</v>
      </c>
      <c r="Q536" s="1" t="s">
        <v>5</v>
      </c>
      <c r="R536" s="1" t="s">
        <v>0</v>
      </c>
      <c r="S536" t="s">
        <v>26</v>
      </c>
      <c r="T536" s="1">
        <v>2017</v>
      </c>
      <c r="U536" s="1">
        <v>6</v>
      </c>
      <c r="V536" s="50">
        <v>42887</v>
      </c>
      <c r="W536" s="4">
        <v>4360.3999999999996</v>
      </c>
      <c r="X536" s="48">
        <v>4955</v>
      </c>
    </row>
    <row r="537" spans="2:24" x14ac:dyDescent="0.35">
      <c r="B537" s="8" t="s">
        <v>3</v>
      </c>
      <c r="C537" s="8" t="s">
        <v>22</v>
      </c>
      <c r="D537" s="8" t="s">
        <v>5</v>
      </c>
      <c r="E537" s="8" t="s">
        <v>27</v>
      </c>
      <c r="F537" s="6" t="s">
        <v>28</v>
      </c>
      <c r="G537" s="8">
        <v>2017</v>
      </c>
      <c r="H537" s="8">
        <v>6</v>
      </c>
      <c r="I537" s="10">
        <v>42887</v>
      </c>
      <c r="J537" s="11">
        <v>4022</v>
      </c>
      <c r="K537" s="51"/>
      <c r="O537" s="1" t="s">
        <v>3</v>
      </c>
      <c r="P537" s="1" t="s">
        <v>22</v>
      </c>
      <c r="Q537" s="1" t="s">
        <v>5</v>
      </c>
      <c r="R537" s="1" t="s">
        <v>27</v>
      </c>
      <c r="S537" t="s">
        <v>28</v>
      </c>
      <c r="T537" s="1">
        <v>2017</v>
      </c>
      <c r="U537" s="1">
        <v>6</v>
      </c>
      <c r="V537" s="50">
        <v>42887</v>
      </c>
      <c r="W537" s="4">
        <v>3619.7999999999997</v>
      </c>
      <c r="X537" s="48">
        <v>4022</v>
      </c>
    </row>
    <row r="538" spans="2:24" x14ac:dyDescent="0.35">
      <c r="B538" s="8" t="s">
        <v>6</v>
      </c>
      <c r="C538" s="8" t="s">
        <v>29</v>
      </c>
      <c r="D538" s="8" t="s">
        <v>30</v>
      </c>
      <c r="E538" s="9" t="s">
        <v>27</v>
      </c>
      <c r="F538" s="9" t="s">
        <v>31</v>
      </c>
      <c r="G538" s="8">
        <v>2017</v>
      </c>
      <c r="H538" s="8">
        <v>6</v>
      </c>
      <c r="I538" s="10">
        <v>42887</v>
      </c>
      <c r="J538" s="11">
        <v>3565</v>
      </c>
      <c r="K538" s="51"/>
      <c r="O538" s="1" t="s">
        <v>6</v>
      </c>
      <c r="P538" s="1" t="s">
        <v>29</v>
      </c>
      <c r="Q538" s="1" t="s">
        <v>30</v>
      </c>
      <c r="R538" s="2" t="s">
        <v>27</v>
      </c>
      <c r="S538" s="2" t="s">
        <v>31</v>
      </c>
      <c r="T538" s="1">
        <v>2017</v>
      </c>
      <c r="U538" s="1">
        <v>6</v>
      </c>
      <c r="V538" s="50">
        <v>42887</v>
      </c>
      <c r="W538" s="4">
        <v>3137.2</v>
      </c>
      <c r="X538" s="48">
        <v>3565</v>
      </c>
    </row>
    <row r="539" spans="2:24" x14ac:dyDescent="0.35">
      <c r="B539" s="8" t="s">
        <v>7</v>
      </c>
      <c r="C539" s="8" t="s">
        <v>32</v>
      </c>
      <c r="D539" s="8" t="s">
        <v>8</v>
      </c>
      <c r="E539" s="8" t="s">
        <v>27</v>
      </c>
      <c r="F539" s="9" t="s">
        <v>33</v>
      </c>
      <c r="G539" s="8">
        <v>2017</v>
      </c>
      <c r="H539" s="8">
        <v>6</v>
      </c>
      <c r="I539" s="10">
        <v>42887</v>
      </c>
      <c r="J539" s="11">
        <v>3841</v>
      </c>
      <c r="K539" s="51"/>
      <c r="O539" s="1" t="s">
        <v>7</v>
      </c>
      <c r="P539" s="1" t="s">
        <v>32</v>
      </c>
      <c r="Q539" s="1" t="s">
        <v>8</v>
      </c>
      <c r="R539" s="1" t="s">
        <v>27</v>
      </c>
      <c r="S539" s="2" t="s">
        <v>33</v>
      </c>
      <c r="T539" s="1">
        <v>2017</v>
      </c>
      <c r="U539" s="1">
        <v>6</v>
      </c>
      <c r="V539" s="50">
        <v>42887</v>
      </c>
      <c r="W539" s="4">
        <v>3341.6700000000005</v>
      </c>
      <c r="X539" s="48">
        <v>3841</v>
      </c>
    </row>
    <row r="540" spans="2:24" x14ac:dyDescent="0.35">
      <c r="B540" s="8" t="s">
        <v>12</v>
      </c>
      <c r="C540" s="8" t="s">
        <v>34</v>
      </c>
      <c r="D540" s="8" t="s">
        <v>35</v>
      </c>
      <c r="E540" s="8" t="s">
        <v>23</v>
      </c>
      <c r="F540" s="6" t="s">
        <v>36</v>
      </c>
      <c r="G540" s="8">
        <v>2017</v>
      </c>
      <c r="H540" s="8">
        <v>6</v>
      </c>
      <c r="I540" s="10">
        <v>42887</v>
      </c>
      <c r="J540" s="11">
        <v>2694</v>
      </c>
      <c r="K540" s="51"/>
      <c r="O540" s="1" t="s">
        <v>12</v>
      </c>
      <c r="P540" s="1" t="s">
        <v>34</v>
      </c>
      <c r="Q540" s="1" t="s">
        <v>35</v>
      </c>
      <c r="R540" s="1" t="s">
        <v>23</v>
      </c>
      <c r="S540" t="s">
        <v>36</v>
      </c>
      <c r="T540" s="1">
        <v>2017</v>
      </c>
      <c r="U540" s="1">
        <v>6</v>
      </c>
      <c r="V540" s="50">
        <v>42887</v>
      </c>
      <c r="W540" s="4">
        <v>2289.9</v>
      </c>
      <c r="X540" s="48">
        <v>2694</v>
      </c>
    </row>
    <row r="541" spans="2:24" x14ac:dyDescent="0.35">
      <c r="B541" s="8" t="s">
        <v>14</v>
      </c>
      <c r="C541" s="8" t="s">
        <v>37</v>
      </c>
      <c r="D541" s="8" t="s">
        <v>38</v>
      </c>
      <c r="E541" s="8" t="s">
        <v>23</v>
      </c>
      <c r="F541" s="8" t="s">
        <v>24</v>
      </c>
      <c r="G541" s="8">
        <v>2017</v>
      </c>
      <c r="H541" s="8">
        <v>6</v>
      </c>
      <c r="I541" s="10">
        <v>42887</v>
      </c>
      <c r="J541" s="11">
        <v>2300</v>
      </c>
      <c r="K541" s="51"/>
      <c r="O541" s="1" t="s">
        <v>14</v>
      </c>
      <c r="P541" s="1" t="s">
        <v>37</v>
      </c>
      <c r="Q541" s="1" t="s">
        <v>38</v>
      </c>
      <c r="R541" s="1" t="s">
        <v>23</v>
      </c>
      <c r="S541" s="1" t="s">
        <v>24</v>
      </c>
      <c r="T541" s="1">
        <v>2017</v>
      </c>
      <c r="U541" s="1">
        <v>6</v>
      </c>
      <c r="V541" s="50">
        <v>42887</v>
      </c>
      <c r="W541" s="4">
        <v>2070</v>
      </c>
      <c r="X541" s="48">
        <v>2300</v>
      </c>
    </row>
    <row r="542" spans="2:24" x14ac:dyDescent="0.35">
      <c r="B542" s="8" t="s">
        <v>3</v>
      </c>
      <c r="C542" s="8" t="s">
        <v>25</v>
      </c>
      <c r="D542" s="8" t="s">
        <v>4</v>
      </c>
      <c r="E542" s="8" t="s">
        <v>23</v>
      </c>
      <c r="F542" s="8" t="s">
        <v>39</v>
      </c>
      <c r="G542" s="8">
        <v>2017</v>
      </c>
      <c r="H542" s="8">
        <v>6</v>
      </c>
      <c r="I542" s="10">
        <v>42887</v>
      </c>
      <c r="J542" s="11">
        <v>2258</v>
      </c>
      <c r="K542" s="51"/>
      <c r="O542" s="1" t="s">
        <v>3</v>
      </c>
      <c r="P542" s="1" t="s">
        <v>25</v>
      </c>
      <c r="Q542" s="1" t="s">
        <v>4</v>
      </c>
      <c r="R542" s="1" t="s">
        <v>23</v>
      </c>
      <c r="S542" s="1" t="s">
        <v>39</v>
      </c>
      <c r="T542" s="1">
        <v>2017</v>
      </c>
      <c r="U542" s="1">
        <v>6</v>
      </c>
      <c r="V542" s="50">
        <v>42887</v>
      </c>
      <c r="W542" s="4">
        <v>2009.62</v>
      </c>
      <c r="X542" s="48">
        <v>2258</v>
      </c>
    </row>
    <row r="543" spans="2:24" x14ac:dyDescent="0.35">
      <c r="B543" s="8" t="s">
        <v>6</v>
      </c>
      <c r="C543" s="8" t="s">
        <v>40</v>
      </c>
      <c r="D543" s="8" t="s">
        <v>41</v>
      </c>
      <c r="E543" s="8" t="s">
        <v>0</v>
      </c>
      <c r="F543" s="8" t="s">
        <v>42</v>
      </c>
      <c r="G543" s="8">
        <v>2017</v>
      </c>
      <c r="H543" s="8">
        <v>6</v>
      </c>
      <c r="I543" s="10">
        <v>42887</v>
      </c>
      <c r="J543" s="11">
        <v>5362</v>
      </c>
      <c r="K543" s="51"/>
      <c r="O543" s="1" t="s">
        <v>6</v>
      </c>
      <c r="P543" s="1" t="s">
        <v>40</v>
      </c>
      <c r="Q543" s="1" t="s">
        <v>41</v>
      </c>
      <c r="R543" s="1" t="s">
        <v>0</v>
      </c>
      <c r="S543" s="1" t="s">
        <v>42</v>
      </c>
      <c r="T543" s="1">
        <v>2017</v>
      </c>
      <c r="U543" s="1">
        <v>6</v>
      </c>
      <c r="V543" s="50">
        <v>42887</v>
      </c>
      <c r="W543" s="4">
        <v>4611.3200000000006</v>
      </c>
      <c r="X543" s="48">
        <v>5362</v>
      </c>
    </row>
    <row r="544" spans="2:24" x14ac:dyDescent="0.35">
      <c r="B544" s="8" t="s">
        <v>7</v>
      </c>
      <c r="C544" s="8" t="s">
        <v>43</v>
      </c>
      <c r="D544" s="8" t="s">
        <v>10</v>
      </c>
      <c r="E544" s="8" t="s">
        <v>0</v>
      </c>
      <c r="F544" s="6" t="s">
        <v>26</v>
      </c>
      <c r="G544" s="8">
        <v>2017</v>
      </c>
      <c r="H544" s="8">
        <v>6</v>
      </c>
      <c r="I544" s="10">
        <v>42887</v>
      </c>
      <c r="J544" s="11">
        <v>3124</v>
      </c>
      <c r="K544" s="51"/>
      <c r="O544" s="1" t="s">
        <v>7</v>
      </c>
      <c r="P544" s="1" t="s">
        <v>43</v>
      </c>
      <c r="Q544" s="1" t="s">
        <v>10</v>
      </c>
      <c r="R544" s="1" t="s">
        <v>0</v>
      </c>
      <c r="S544" t="s">
        <v>26</v>
      </c>
      <c r="T544" s="1">
        <v>2017</v>
      </c>
      <c r="U544" s="1">
        <v>6</v>
      </c>
      <c r="V544" s="50">
        <v>42887</v>
      </c>
      <c r="W544" s="4">
        <v>2780.3599999999997</v>
      </c>
      <c r="X544" s="48">
        <v>3124</v>
      </c>
    </row>
    <row r="545" spans="2:24" x14ac:dyDescent="0.35">
      <c r="B545" s="8" t="s">
        <v>12</v>
      </c>
      <c r="C545" s="8" t="s">
        <v>44</v>
      </c>
      <c r="D545" s="8" t="s">
        <v>13</v>
      </c>
      <c r="E545" s="8" t="s">
        <v>0</v>
      </c>
      <c r="F545" s="6" t="s">
        <v>45</v>
      </c>
      <c r="G545" s="8">
        <v>2017</v>
      </c>
      <c r="H545" s="8">
        <v>6</v>
      </c>
      <c r="I545" s="10">
        <v>42887</v>
      </c>
      <c r="J545" s="11">
        <v>4405</v>
      </c>
      <c r="K545" s="51"/>
      <c r="O545" s="1" t="s">
        <v>12</v>
      </c>
      <c r="P545" s="1" t="s">
        <v>44</v>
      </c>
      <c r="Q545" s="1" t="s">
        <v>13</v>
      </c>
      <c r="R545" s="1" t="s">
        <v>0</v>
      </c>
      <c r="S545" t="s">
        <v>45</v>
      </c>
      <c r="T545" s="1">
        <v>2017</v>
      </c>
      <c r="U545" s="1">
        <v>6</v>
      </c>
      <c r="V545" s="50">
        <v>42887</v>
      </c>
      <c r="W545" s="4">
        <v>3920.45</v>
      </c>
      <c r="X545" s="48">
        <v>4405</v>
      </c>
    </row>
    <row r="546" spans="2:24" x14ac:dyDescent="0.35">
      <c r="B546" s="8" t="s">
        <v>14</v>
      </c>
      <c r="C546" s="8" t="s">
        <v>46</v>
      </c>
      <c r="D546" s="8" t="s">
        <v>47</v>
      </c>
      <c r="E546" s="8" t="s">
        <v>27</v>
      </c>
      <c r="F546" s="6" t="s">
        <v>28</v>
      </c>
      <c r="G546" s="8">
        <v>2017</v>
      </c>
      <c r="H546" s="8">
        <v>6</v>
      </c>
      <c r="I546" s="10">
        <v>42887</v>
      </c>
      <c r="J546" s="11">
        <v>3442</v>
      </c>
      <c r="K546" s="51"/>
      <c r="O546" s="1" t="s">
        <v>14</v>
      </c>
      <c r="P546" s="1" t="s">
        <v>46</v>
      </c>
      <c r="Q546" s="1" t="s">
        <v>47</v>
      </c>
      <c r="R546" s="1" t="s">
        <v>27</v>
      </c>
      <c r="S546" t="s">
        <v>28</v>
      </c>
      <c r="T546" s="1">
        <v>2017</v>
      </c>
      <c r="U546" s="1">
        <v>6</v>
      </c>
      <c r="V546" s="50">
        <v>42887</v>
      </c>
      <c r="W546" s="4">
        <v>3132.22</v>
      </c>
      <c r="X546" s="48">
        <v>3442</v>
      </c>
    </row>
    <row r="547" spans="2:24" x14ac:dyDescent="0.35">
      <c r="B547" s="8" t="s">
        <v>3</v>
      </c>
      <c r="C547" s="8" t="s">
        <v>22</v>
      </c>
      <c r="D547" s="8" t="s">
        <v>5</v>
      </c>
      <c r="E547" s="9" t="s">
        <v>27</v>
      </c>
      <c r="F547" s="9" t="s">
        <v>31</v>
      </c>
      <c r="G547" s="8">
        <v>2017</v>
      </c>
      <c r="H547" s="8">
        <v>6</v>
      </c>
      <c r="I547" s="10">
        <v>42887</v>
      </c>
      <c r="J547" s="11">
        <v>4643</v>
      </c>
      <c r="K547" s="51"/>
      <c r="O547" s="1" t="s">
        <v>3</v>
      </c>
      <c r="P547" s="1" t="s">
        <v>22</v>
      </c>
      <c r="Q547" s="1" t="s">
        <v>5</v>
      </c>
      <c r="R547" s="2" t="s">
        <v>27</v>
      </c>
      <c r="S547" s="2" t="s">
        <v>31</v>
      </c>
      <c r="T547" s="1">
        <v>2017</v>
      </c>
      <c r="U547" s="1">
        <v>6</v>
      </c>
      <c r="V547" s="50">
        <v>42887</v>
      </c>
      <c r="W547" s="4">
        <v>4364.42</v>
      </c>
      <c r="X547" s="48">
        <v>4643</v>
      </c>
    </row>
    <row r="548" spans="2:24" x14ac:dyDescent="0.35">
      <c r="B548" s="8" t="s">
        <v>6</v>
      </c>
      <c r="C548" s="8" t="s">
        <v>29</v>
      </c>
      <c r="D548" s="8" t="s">
        <v>30</v>
      </c>
      <c r="E548" s="8" t="s">
        <v>27</v>
      </c>
      <c r="F548" s="9" t="s">
        <v>33</v>
      </c>
      <c r="G548" s="8">
        <v>2017</v>
      </c>
      <c r="H548" s="8">
        <v>6</v>
      </c>
      <c r="I548" s="10">
        <v>42887</v>
      </c>
      <c r="J548" s="11">
        <v>3061</v>
      </c>
      <c r="K548" s="51"/>
      <c r="O548" s="1" t="s">
        <v>6</v>
      </c>
      <c r="P548" s="1" t="s">
        <v>29</v>
      </c>
      <c r="Q548" s="1" t="s">
        <v>30</v>
      </c>
      <c r="R548" s="1" t="s">
        <v>27</v>
      </c>
      <c r="S548" s="2" t="s">
        <v>33</v>
      </c>
      <c r="T548" s="1">
        <v>2017</v>
      </c>
      <c r="U548" s="1">
        <v>6</v>
      </c>
      <c r="V548" s="50">
        <v>42887</v>
      </c>
      <c r="W548" s="4">
        <v>2663.07</v>
      </c>
      <c r="X548" s="48">
        <v>3061</v>
      </c>
    </row>
    <row r="549" spans="2:24" x14ac:dyDescent="0.35">
      <c r="B549" s="8" t="s">
        <v>7</v>
      </c>
      <c r="C549" s="8" t="s">
        <v>32</v>
      </c>
      <c r="D549" s="8" t="s">
        <v>8</v>
      </c>
      <c r="E549" s="8" t="s">
        <v>23</v>
      </c>
      <c r="F549" s="6" t="s">
        <v>36</v>
      </c>
      <c r="G549" s="8">
        <v>2017</v>
      </c>
      <c r="H549" s="8">
        <v>6</v>
      </c>
      <c r="I549" s="10">
        <v>42887</v>
      </c>
      <c r="J549" s="11">
        <v>2533</v>
      </c>
      <c r="K549" s="51"/>
      <c r="O549" s="1" t="s">
        <v>7</v>
      </c>
      <c r="P549" s="1" t="s">
        <v>32</v>
      </c>
      <c r="Q549" s="1" t="s">
        <v>8</v>
      </c>
      <c r="R549" s="1" t="s">
        <v>23</v>
      </c>
      <c r="S549" t="s">
        <v>36</v>
      </c>
      <c r="T549" s="1">
        <v>2017</v>
      </c>
      <c r="U549" s="1">
        <v>6</v>
      </c>
      <c r="V549" s="50">
        <v>42887</v>
      </c>
      <c r="W549" s="4">
        <v>2305.0299999999997</v>
      </c>
      <c r="X549" s="48">
        <v>2533</v>
      </c>
    </row>
    <row r="550" spans="2:24" x14ac:dyDescent="0.35">
      <c r="B550" s="8" t="s">
        <v>12</v>
      </c>
      <c r="C550" s="8" t="s">
        <v>34</v>
      </c>
      <c r="D550" s="8" t="s">
        <v>35</v>
      </c>
      <c r="E550" s="8" t="s">
        <v>23</v>
      </c>
      <c r="F550" s="8" t="s">
        <v>24</v>
      </c>
      <c r="G550" s="8">
        <v>2017</v>
      </c>
      <c r="H550" s="8">
        <v>6</v>
      </c>
      <c r="I550" s="10">
        <v>42887</v>
      </c>
      <c r="J550" s="11">
        <v>2605</v>
      </c>
      <c r="K550" s="51"/>
      <c r="O550" s="1" t="s">
        <v>12</v>
      </c>
      <c r="P550" s="1" t="s">
        <v>34</v>
      </c>
      <c r="Q550" s="1" t="s">
        <v>35</v>
      </c>
      <c r="R550" s="1" t="s">
        <v>23</v>
      </c>
      <c r="S550" s="1" t="s">
        <v>24</v>
      </c>
      <c r="T550" s="1">
        <v>2017</v>
      </c>
      <c r="U550" s="1">
        <v>6</v>
      </c>
      <c r="V550" s="50">
        <v>42887</v>
      </c>
      <c r="W550" s="4">
        <v>2344.5</v>
      </c>
      <c r="X550" s="48">
        <v>2605</v>
      </c>
    </row>
    <row r="551" spans="2:24" x14ac:dyDescent="0.35">
      <c r="B551" s="8" t="s">
        <v>14</v>
      </c>
      <c r="C551" s="8" t="s">
        <v>37</v>
      </c>
      <c r="D551" s="8" t="s">
        <v>38</v>
      </c>
      <c r="E551" s="8" t="s">
        <v>23</v>
      </c>
      <c r="F551" s="8" t="s">
        <v>39</v>
      </c>
      <c r="G551" s="8">
        <v>2017</v>
      </c>
      <c r="H551" s="8">
        <v>6</v>
      </c>
      <c r="I551" s="10">
        <v>42887</v>
      </c>
      <c r="J551" s="11">
        <v>1889</v>
      </c>
      <c r="K551" s="51"/>
      <c r="O551" s="1" t="s">
        <v>14</v>
      </c>
      <c r="P551" s="1" t="s">
        <v>37</v>
      </c>
      <c r="Q551" s="1" t="s">
        <v>38</v>
      </c>
      <c r="R551" s="1" t="s">
        <v>23</v>
      </c>
      <c r="S551" s="1" t="s">
        <v>39</v>
      </c>
      <c r="T551" s="1">
        <v>2017</v>
      </c>
      <c r="U551" s="1">
        <v>6</v>
      </c>
      <c r="V551" s="50">
        <v>42887</v>
      </c>
      <c r="W551" s="4">
        <v>1737.8799999999999</v>
      </c>
      <c r="X551" s="48">
        <v>1889</v>
      </c>
    </row>
    <row r="552" spans="2:24" x14ac:dyDescent="0.35">
      <c r="B552" s="8" t="s">
        <v>3</v>
      </c>
      <c r="C552" s="8" t="s">
        <v>25</v>
      </c>
      <c r="D552" s="8" t="s">
        <v>4</v>
      </c>
      <c r="E552" s="8" t="s">
        <v>0</v>
      </c>
      <c r="F552" s="8" t="s">
        <v>42</v>
      </c>
      <c r="G552" s="8">
        <v>2017</v>
      </c>
      <c r="H552" s="8">
        <v>6</v>
      </c>
      <c r="I552" s="10">
        <v>42887</v>
      </c>
      <c r="J552" s="11">
        <v>4490</v>
      </c>
      <c r="K552" s="51"/>
      <c r="O552" s="1" t="s">
        <v>3</v>
      </c>
      <c r="P552" s="1" t="s">
        <v>25</v>
      </c>
      <c r="Q552" s="1" t="s">
        <v>4</v>
      </c>
      <c r="R552" s="1" t="s">
        <v>0</v>
      </c>
      <c r="S552" s="1" t="s">
        <v>42</v>
      </c>
      <c r="T552" s="1">
        <v>2017</v>
      </c>
      <c r="U552" s="1">
        <v>6</v>
      </c>
      <c r="V552" s="50">
        <v>42887</v>
      </c>
      <c r="W552" s="4">
        <v>3816.5000000000005</v>
      </c>
      <c r="X552" s="48">
        <v>4490</v>
      </c>
    </row>
    <row r="553" spans="2:24" x14ac:dyDescent="0.35">
      <c r="B553" s="8" t="s">
        <v>6</v>
      </c>
      <c r="C553" s="8" t="s">
        <v>40</v>
      </c>
      <c r="D553" s="8" t="s">
        <v>41</v>
      </c>
      <c r="E553" s="8" t="s">
        <v>0</v>
      </c>
      <c r="F553" s="6" t="s">
        <v>26</v>
      </c>
      <c r="G553" s="8">
        <v>2017</v>
      </c>
      <c r="H553" s="8">
        <v>6</v>
      </c>
      <c r="I553" s="10">
        <v>42887</v>
      </c>
      <c r="J553" s="11">
        <v>4529</v>
      </c>
      <c r="K553" s="51"/>
      <c r="O553" s="1" t="s">
        <v>6</v>
      </c>
      <c r="P553" s="1" t="s">
        <v>40</v>
      </c>
      <c r="Q553" s="1" t="s">
        <v>41</v>
      </c>
      <c r="R553" s="1" t="s">
        <v>0</v>
      </c>
      <c r="S553" t="s">
        <v>26</v>
      </c>
      <c r="T553" s="1">
        <v>2017</v>
      </c>
      <c r="U553" s="1">
        <v>6</v>
      </c>
      <c r="V553" s="50">
        <v>42887</v>
      </c>
      <c r="W553" s="4">
        <v>4121.3899999999994</v>
      </c>
      <c r="X553" s="48">
        <v>4529</v>
      </c>
    </row>
    <row r="554" spans="2:24" x14ac:dyDescent="0.35">
      <c r="B554" s="8" t="s">
        <v>7</v>
      </c>
      <c r="C554" s="8" t="s">
        <v>43</v>
      </c>
      <c r="D554" s="8" t="s">
        <v>10</v>
      </c>
      <c r="E554" s="8" t="s">
        <v>0</v>
      </c>
      <c r="F554" s="6" t="s">
        <v>45</v>
      </c>
      <c r="G554" s="8">
        <v>2017</v>
      </c>
      <c r="H554" s="8">
        <v>6</v>
      </c>
      <c r="I554" s="10">
        <v>42887</v>
      </c>
      <c r="J554" s="11">
        <v>3890</v>
      </c>
      <c r="K554" s="51"/>
      <c r="O554" s="1" t="s">
        <v>7</v>
      </c>
      <c r="P554" s="1" t="s">
        <v>43</v>
      </c>
      <c r="Q554" s="1" t="s">
        <v>10</v>
      </c>
      <c r="R554" s="1" t="s">
        <v>0</v>
      </c>
      <c r="S554" t="s">
        <v>45</v>
      </c>
      <c r="T554" s="1">
        <v>2017</v>
      </c>
      <c r="U554" s="1">
        <v>6</v>
      </c>
      <c r="V554" s="50">
        <v>42887</v>
      </c>
      <c r="W554" s="4">
        <v>3578.7999999999997</v>
      </c>
      <c r="X554" s="48">
        <v>3890</v>
      </c>
    </row>
    <row r="555" spans="2:24" x14ac:dyDescent="0.35">
      <c r="B555" s="8" t="s">
        <v>12</v>
      </c>
      <c r="C555" s="8" t="s">
        <v>44</v>
      </c>
      <c r="D555" s="8" t="s">
        <v>13</v>
      </c>
      <c r="E555" s="8" t="s">
        <v>27</v>
      </c>
      <c r="F555" s="6" t="s">
        <v>28</v>
      </c>
      <c r="G555" s="8">
        <v>2017</v>
      </c>
      <c r="H555" s="8">
        <v>6</v>
      </c>
      <c r="I555" s="10">
        <v>42887</v>
      </c>
      <c r="J555" s="11">
        <v>4714</v>
      </c>
      <c r="K555" s="51"/>
      <c r="O555" s="1" t="s">
        <v>12</v>
      </c>
      <c r="P555" s="1" t="s">
        <v>44</v>
      </c>
      <c r="Q555" s="1" t="s">
        <v>13</v>
      </c>
      <c r="R555" s="1" t="s">
        <v>27</v>
      </c>
      <c r="S555" t="s">
        <v>28</v>
      </c>
      <c r="T555" s="1">
        <v>2017</v>
      </c>
      <c r="U555" s="1">
        <v>6</v>
      </c>
      <c r="V555" s="50">
        <v>42887</v>
      </c>
      <c r="W555" s="4">
        <v>4242.5999999999995</v>
      </c>
      <c r="X555" s="48">
        <v>4714</v>
      </c>
    </row>
    <row r="556" spans="2:24" x14ac:dyDescent="0.35">
      <c r="B556" s="8" t="s">
        <v>14</v>
      </c>
      <c r="C556" s="8" t="s">
        <v>46</v>
      </c>
      <c r="D556" s="8" t="s">
        <v>47</v>
      </c>
      <c r="E556" s="9" t="s">
        <v>27</v>
      </c>
      <c r="F556" s="9" t="s">
        <v>31</v>
      </c>
      <c r="G556" s="8">
        <v>2017</v>
      </c>
      <c r="H556" s="8">
        <v>6</v>
      </c>
      <c r="I556" s="10">
        <v>42887</v>
      </c>
      <c r="J556" s="11">
        <v>4445</v>
      </c>
      <c r="K556" s="51"/>
      <c r="O556" s="1" t="s">
        <v>14</v>
      </c>
      <c r="P556" s="1" t="s">
        <v>46</v>
      </c>
      <c r="Q556" s="1" t="s">
        <v>47</v>
      </c>
      <c r="R556" s="2" t="s">
        <v>27</v>
      </c>
      <c r="S556" s="2" t="s">
        <v>31</v>
      </c>
      <c r="T556" s="1">
        <v>2017</v>
      </c>
      <c r="U556" s="1">
        <v>6</v>
      </c>
      <c r="V556" s="50">
        <v>42887</v>
      </c>
      <c r="W556" s="4">
        <v>4044.95</v>
      </c>
      <c r="X556" s="48">
        <v>4445</v>
      </c>
    </row>
    <row r="557" spans="2:24" x14ac:dyDescent="0.35">
      <c r="B557" s="8" t="s">
        <v>3</v>
      </c>
      <c r="C557" s="8" t="s">
        <v>22</v>
      </c>
      <c r="D557" s="8" t="s">
        <v>5</v>
      </c>
      <c r="E557" s="8" t="s">
        <v>27</v>
      </c>
      <c r="F557" s="9" t="s">
        <v>33</v>
      </c>
      <c r="G557" s="8">
        <v>2017</v>
      </c>
      <c r="H557" s="8">
        <v>6</v>
      </c>
      <c r="I557" s="10">
        <v>42887</v>
      </c>
      <c r="J557" s="11">
        <v>4000</v>
      </c>
      <c r="K557" s="51"/>
      <c r="O557" s="1" t="s">
        <v>3</v>
      </c>
      <c r="P557" s="1" t="s">
        <v>22</v>
      </c>
      <c r="Q557" s="1" t="s">
        <v>5</v>
      </c>
      <c r="R557" s="1" t="s">
        <v>27</v>
      </c>
      <c r="S557" s="2" t="s">
        <v>33</v>
      </c>
      <c r="T557" s="1">
        <v>2017</v>
      </c>
      <c r="U557" s="1">
        <v>6</v>
      </c>
      <c r="V557" s="50">
        <v>42887</v>
      </c>
      <c r="W557" s="4">
        <v>3519.9999999999995</v>
      </c>
      <c r="X557" s="48">
        <v>4000</v>
      </c>
    </row>
    <row r="558" spans="2:24" x14ac:dyDescent="0.35">
      <c r="B558" s="8" t="s">
        <v>6</v>
      </c>
      <c r="C558" s="8" t="s">
        <v>29</v>
      </c>
      <c r="D558" s="8" t="s">
        <v>30</v>
      </c>
      <c r="E558" s="8" t="s">
        <v>23</v>
      </c>
      <c r="F558" s="6" t="s">
        <v>36</v>
      </c>
      <c r="G558" s="8">
        <v>2017</v>
      </c>
      <c r="H558" s="8">
        <v>6</v>
      </c>
      <c r="I558" s="10">
        <v>42887</v>
      </c>
      <c r="J558" s="11">
        <v>1810</v>
      </c>
      <c r="K558" s="51"/>
      <c r="O558" s="1" t="s">
        <v>6</v>
      </c>
      <c r="P558" s="1" t="s">
        <v>29</v>
      </c>
      <c r="Q558" s="1" t="s">
        <v>30</v>
      </c>
      <c r="R558" s="1" t="s">
        <v>23</v>
      </c>
      <c r="S558" t="s">
        <v>36</v>
      </c>
      <c r="T558" s="1">
        <v>2017</v>
      </c>
      <c r="U558" s="1">
        <v>6</v>
      </c>
      <c r="V558" s="50">
        <v>42887</v>
      </c>
      <c r="W558" s="4">
        <v>1628.9999999999998</v>
      </c>
      <c r="X558" s="48">
        <v>1810</v>
      </c>
    </row>
    <row r="559" spans="2:24" x14ac:dyDescent="0.35">
      <c r="B559" s="8" t="s">
        <v>7</v>
      </c>
      <c r="C559" s="8" t="s">
        <v>32</v>
      </c>
      <c r="D559" s="8" t="s">
        <v>8</v>
      </c>
      <c r="E559" s="8" t="s">
        <v>23</v>
      </c>
      <c r="F559" s="8" t="s">
        <v>24</v>
      </c>
      <c r="G559" s="8">
        <v>2017</v>
      </c>
      <c r="H559" s="8">
        <v>6</v>
      </c>
      <c r="I559" s="10">
        <v>42887</v>
      </c>
      <c r="J559" s="11">
        <v>3376</v>
      </c>
      <c r="K559" s="51"/>
      <c r="O559" s="1" t="s">
        <v>7</v>
      </c>
      <c r="P559" s="1" t="s">
        <v>32</v>
      </c>
      <c r="Q559" s="1" t="s">
        <v>8</v>
      </c>
      <c r="R559" s="1" t="s">
        <v>23</v>
      </c>
      <c r="S559" s="1" t="s">
        <v>24</v>
      </c>
      <c r="T559" s="1">
        <v>2017</v>
      </c>
      <c r="U559" s="1">
        <v>6</v>
      </c>
      <c r="V559" s="50">
        <v>42887</v>
      </c>
      <c r="W559" s="4">
        <v>3072.16</v>
      </c>
      <c r="X559" s="48">
        <v>3376</v>
      </c>
    </row>
    <row r="560" spans="2:24" x14ac:dyDescent="0.35">
      <c r="B560" s="8" t="s">
        <v>12</v>
      </c>
      <c r="C560" s="8" t="s">
        <v>34</v>
      </c>
      <c r="D560" s="8" t="s">
        <v>35</v>
      </c>
      <c r="E560" s="8" t="s">
        <v>23</v>
      </c>
      <c r="F560" s="8" t="s">
        <v>39</v>
      </c>
      <c r="G560" s="8">
        <v>2017</v>
      </c>
      <c r="H560" s="8">
        <v>6</v>
      </c>
      <c r="I560" s="10">
        <v>42887</v>
      </c>
      <c r="J560" s="11">
        <v>1696</v>
      </c>
      <c r="K560" s="51"/>
      <c r="O560" s="1" t="s">
        <v>12</v>
      </c>
      <c r="P560" s="1" t="s">
        <v>34</v>
      </c>
      <c r="Q560" s="1" t="s">
        <v>35</v>
      </c>
      <c r="R560" s="1" t="s">
        <v>23</v>
      </c>
      <c r="S560" s="1" t="s">
        <v>39</v>
      </c>
      <c r="T560" s="1">
        <v>2017</v>
      </c>
      <c r="U560" s="1">
        <v>6</v>
      </c>
      <c r="V560" s="50">
        <v>42887</v>
      </c>
      <c r="W560" s="4">
        <v>1577.28</v>
      </c>
      <c r="X560" s="48">
        <v>1696</v>
      </c>
    </row>
    <row r="561" spans="2:24" x14ac:dyDescent="0.35">
      <c r="B561" s="8" t="s">
        <v>14</v>
      </c>
      <c r="C561" s="8" t="s">
        <v>37</v>
      </c>
      <c r="D561" s="8" t="s">
        <v>38</v>
      </c>
      <c r="E561" s="8" t="s">
        <v>0</v>
      </c>
      <c r="F561" s="8" t="s">
        <v>42</v>
      </c>
      <c r="G561" s="8">
        <v>2017</v>
      </c>
      <c r="H561" s="8">
        <v>6</v>
      </c>
      <c r="I561" s="10">
        <v>42887</v>
      </c>
      <c r="J561" s="11">
        <v>4442</v>
      </c>
      <c r="K561" s="51"/>
      <c r="O561" s="1" t="s">
        <v>14</v>
      </c>
      <c r="P561" s="1" t="s">
        <v>37</v>
      </c>
      <c r="Q561" s="1" t="s">
        <v>38</v>
      </c>
      <c r="R561" s="1" t="s">
        <v>0</v>
      </c>
      <c r="S561" s="1" t="s">
        <v>42</v>
      </c>
      <c r="T561" s="1">
        <v>2017</v>
      </c>
      <c r="U561" s="1">
        <v>6</v>
      </c>
      <c r="V561" s="50">
        <v>42887</v>
      </c>
      <c r="W561" s="4">
        <v>3953.3799999999997</v>
      </c>
      <c r="X561" s="48">
        <v>4442</v>
      </c>
    </row>
    <row r="562" spans="2:24" x14ac:dyDescent="0.35">
      <c r="B562" s="8" t="s">
        <v>6</v>
      </c>
      <c r="C562" s="8" t="s">
        <v>29</v>
      </c>
      <c r="D562" s="8" t="s">
        <v>30</v>
      </c>
      <c r="E562" s="8" t="s">
        <v>0</v>
      </c>
      <c r="F562" s="6" t="s">
        <v>45</v>
      </c>
      <c r="G562" s="8">
        <v>2017</v>
      </c>
      <c r="H562" s="8">
        <v>6</v>
      </c>
      <c r="I562" s="10">
        <v>42887</v>
      </c>
      <c r="J562" s="11">
        <v>2740</v>
      </c>
      <c r="K562" s="51"/>
      <c r="O562" s="1" t="s">
        <v>6</v>
      </c>
      <c r="P562" s="1" t="s">
        <v>29</v>
      </c>
      <c r="Q562" s="1" t="s">
        <v>30</v>
      </c>
      <c r="R562" s="1" t="s">
        <v>0</v>
      </c>
      <c r="S562" t="s">
        <v>45</v>
      </c>
      <c r="T562" s="1">
        <v>2017</v>
      </c>
      <c r="U562" s="1">
        <v>6</v>
      </c>
      <c r="V562" s="50">
        <v>42887</v>
      </c>
      <c r="W562" s="4">
        <v>2329</v>
      </c>
      <c r="X562" s="48">
        <v>2740</v>
      </c>
    </row>
    <row r="563" spans="2:24" x14ac:dyDescent="0.35">
      <c r="B563" s="8" t="s">
        <v>7</v>
      </c>
      <c r="C563" s="8" t="s">
        <v>43</v>
      </c>
      <c r="D563" s="8" t="s">
        <v>10</v>
      </c>
      <c r="E563" s="8" t="s">
        <v>27</v>
      </c>
      <c r="F563" s="6" t="s">
        <v>28</v>
      </c>
      <c r="G563" s="8">
        <v>2017</v>
      </c>
      <c r="H563" s="8">
        <v>6</v>
      </c>
      <c r="I563" s="10">
        <v>42887</v>
      </c>
      <c r="J563" s="11">
        <v>3379</v>
      </c>
      <c r="K563" s="51"/>
      <c r="O563" s="1" t="s">
        <v>7</v>
      </c>
      <c r="P563" s="1" t="s">
        <v>43</v>
      </c>
      <c r="Q563" s="1" t="s">
        <v>10</v>
      </c>
      <c r="R563" s="1" t="s">
        <v>27</v>
      </c>
      <c r="S563" t="s">
        <v>28</v>
      </c>
      <c r="T563" s="1">
        <v>2017</v>
      </c>
      <c r="U563" s="1">
        <v>6</v>
      </c>
      <c r="V563" s="50">
        <v>42887</v>
      </c>
      <c r="W563" s="4">
        <v>3176.2599999999998</v>
      </c>
      <c r="X563" s="48">
        <v>3379</v>
      </c>
    </row>
    <row r="564" spans="2:24" x14ac:dyDescent="0.35">
      <c r="B564" s="8" t="s">
        <v>12</v>
      </c>
      <c r="C564" s="8" t="s">
        <v>44</v>
      </c>
      <c r="D564" s="8" t="s">
        <v>13</v>
      </c>
      <c r="E564" s="8" t="s">
        <v>27</v>
      </c>
      <c r="F564" s="6" t="s">
        <v>31</v>
      </c>
      <c r="G564" s="8">
        <v>2017</v>
      </c>
      <c r="H564" s="8">
        <v>6</v>
      </c>
      <c r="I564" s="10">
        <v>42887</v>
      </c>
      <c r="J564" s="11">
        <v>4065</v>
      </c>
      <c r="K564" s="51"/>
      <c r="O564" s="1" t="s">
        <v>12</v>
      </c>
      <c r="P564" s="1" t="s">
        <v>44</v>
      </c>
      <c r="Q564" s="1" t="s">
        <v>13</v>
      </c>
      <c r="R564" s="1" t="s">
        <v>27</v>
      </c>
      <c r="S564" t="s">
        <v>31</v>
      </c>
      <c r="T564" s="1">
        <v>2017</v>
      </c>
      <c r="U564" s="1">
        <v>6</v>
      </c>
      <c r="V564" s="50">
        <v>42887</v>
      </c>
      <c r="W564" s="4">
        <v>3658.4999999999995</v>
      </c>
      <c r="X564" s="48">
        <v>4065</v>
      </c>
    </row>
    <row r="565" spans="2:24" x14ac:dyDescent="0.35">
      <c r="B565" s="8" t="s">
        <v>14</v>
      </c>
      <c r="C565" s="8" t="s">
        <v>46</v>
      </c>
      <c r="D565" s="8" t="s">
        <v>47</v>
      </c>
      <c r="E565" s="9" t="s">
        <v>27</v>
      </c>
      <c r="F565" s="9" t="s">
        <v>33</v>
      </c>
      <c r="G565" s="8">
        <v>2017</v>
      </c>
      <c r="H565" s="8">
        <v>6</v>
      </c>
      <c r="I565" s="10">
        <v>42887</v>
      </c>
      <c r="J565" s="11">
        <v>3964</v>
      </c>
      <c r="K565" s="51"/>
      <c r="O565" s="1" t="s">
        <v>14</v>
      </c>
      <c r="P565" s="1" t="s">
        <v>46</v>
      </c>
      <c r="Q565" s="1" t="s">
        <v>47</v>
      </c>
      <c r="R565" s="2" t="s">
        <v>27</v>
      </c>
      <c r="S565" s="2" t="s">
        <v>33</v>
      </c>
      <c r="T565" s="1">
        <v>2017</v>
      </c>
      <c r="U565" s="1">
        <v>6</v>
      </c>
      <c r="V565" s="50">
        <v>42887</v>
      </c>
      <c r="W565" s="4">
        <v>3527.9599999999996</v>
      </c>
      <c r="X565" s="48">
        <v>3964</v>
      </c>
    </row>
    <row r="566" spans="2:24" x14ac:dyDescent="0.35">
      <c r="B566" s="8" t="s">
        <v>3</v>
      </c>
      <c r="C566" s="8" t="s">
        <v>22</v>
      </c>
      <c r="D566" s="8" t="s">
        <v>5</v>
      </c>
      <c r="E566" s="8" t="s">
        <v>23</v>
      </c>
      <c r="F566" s="9" t="s">
        <v>36</v>
      </c>
      <c r="G566" s="8">
        <v>2017</v>
      </c>
      <c r="H566" s="8">
        <v>6</v>
      </c>
      <c r="I566" s="10">
        <v>42887</v>
      </c>
      <c r="J566" s="11">
        <v>2100</v>
      </c>
      <c r="K566" s="51"/>
      <c r="O566" s="1" t="s">
        <v>3</v>
      </c>
      <c r="P566" s="1" t="s">
        <v>22</v>
      </c>
      <c r="Q566" s="1" t="s">
        <v>5</v>
      </c>
      <c r="R566" s="1" t="s">
        <v>23</v>
      </c>
      <c r="S566" s="2" t="s">
        <v>36</v>
      </c>
      <c r="T566" s="1">
        <v>2017</v>
      </c>
      <c r="U566" s="1">
        <v>6</v>
      </c>
      <c r="V566" s="50">
        <v>42887</v>
      </c>
      <c r="W566" s="4">
        <v>1910.9999999999998</v>
      </c>
      <c r="X566" s="48">
        <v>2100</v>
      </c>
    </row>
    <row r="567" spans="2:24" x14ac:dyDescent="0.35">
      <c r="B567" s="8" t="s">
        <v>6</v>
      </c>
      <c r="C567" s="8" t="s">
        <v>40</v>
      </c>
      <c r="D567" s="8" t="s">
        <v>41</v>
      </c>
      <c r="E567" s="8" t="s">
        <v>23</v>
      </c>
      <c r="F567" s="6" t="s">
        <v>24</v>
      </c>
      <c r="G567" s="8">
        <v>2017</v>
      </c>
      <c r="H567" s="8">
        <v>6</v>
      </c>
      <c r="I567" s="10">
        <v>42887</v>
      </c>
      <c r="J567" s="11">
        <v>1875</v>
      </c>
      <c r="K567" s="51"/>
      <c r="O567" s="1" t="s">
        <v>6</v>
      </c>
      <c r="P567" s="1" t="s">
        <v>40</v>
      </c>
      <c r="Q567" s="1" t="s">
        <v>41</v>
      </c>
      <c r="R567" s="1" t="s">
        <v>23</v>
      </c>
      <c r="S567" t="s">
        <v>24</v>
      </c>
      <c r="T567" s="1">
        <v>2017</v>
      </c>
      <c r="U567" s="1">
        <v>6</v>
      </c>
      <c r="V567" s="50">
        <v>42887</v>
      </c>
      <c r="W567" s="4">
        <v>1724.9999999999998</v>
      </c>
      <c r="X567" s="48">
        <v>1875</v>
      </c>
    </row>
    <row r="568" spans="2:24" x14ac:dyDescent="0.35">
      <c r="B568" s="8" t="s">
        <v>7</v>
      </c>
      <c r="C568" s="8" t="s">
        <v>32</v>
      </c>
      <c r="D568" s="8" t="s">
        <v>8</v>
      </c>
      <c r="E568" s="8" t="s">
        <v>23</v>
      </c>
      <c r="F568" s="8" t="s">
        <v>39</v>
      </c>
      <c r="G568" s="8">
        <v>2017</v>
      </c>
      <c r="H568" s="8">
        <v>6</v>
      </c>
      <c r="I568" s="10">
        <v>42887</v>
      </c>
      <c r="J568" s="11">
        <v>2634</v>
      </c>
      <c r="K568" s="51"/>
      <c r="O568" s="1" t="s">
        <v>7</v>
      </c>
      <c r="P568" s="1" t="s">
        <v>32</v>
      </c>
      <c r="Q568" s="1" t="s">
        <v>8</v>
      </c>
      <c r="R568" s="1" t="s">
        <v>23</v>
      </c>
      <c r="S568" s="1" t="s">
        <v>39</v>
      </c>
      <c r="T568" s="1">
        <v>2017</v>
      </c>
      <c r="U568" s="1">
        <v>6</v>
      </c>
      <c r="V568" s="50">
        <v>42887</v>
      </c>
      <c r="W568" s="4">
        <v>2291.5800000000004</v>
      </c>
      <c r="X568" s="48">
        <v>2634</v>
      </c>
    </row>
    <row r="569" spans="2:24" x14ac:dyDescent="0.35">
      <c r="B569" s="8" t="s">
        <v>12</v>
      </c>
      <c r="C569" s="8" t="s">
        <v>34</v>
      </c>
      <c r="D569" s="8" t="s">
        <v>35</v>
      </c>
      <c r="E569" s="8" t="s">
        <v>0</v>
      </c>
      <c r="F569" s="8" t="s">
        <v>42</v>
      </c>
      <c r="G569" s="8">
        <v>2017</v>
      </c>
      <c r="H569" s="8">
        <v>6</v>
      </c>
      <c r="I569" s="10">
        <v>42887</v>
      </c>
      <c r="J569" s="11">
        <v>6810</v>
      </c>
      <c r="K569" s="51"/>
      <c r="O569" s="1" t="s">
        <v>12</v>
      </c>
      <c r="P569" s="1" t="s">
        <v>34</v>
      </c>
      <c r="Q569" s="1" t="s">
        <v>35</v>
      </c>
      <c r="R569" s="1" t="s">
        <v>0</v>
      </c>
      <c r="S569" s="1" t="s">
        <v>42</v>
      </c>
      <c r="T569" s="1">
        <v>2017</v>
      </c>
      <c r="U569" s="1">
        <v>6</v>
      </c>
      <c r="V569" s="50">
        <v>42887</v>
      </c>
      <c r="W569" s="4">
        <v>5788.5000000000009</v>
      </c>
      <c r="X569" s="48">
        <v>6810</v>
      </c>
    </row>
    <row r="570" spans="2:24" x14ac:dyDescent="0.35">
      <c r="B570" s="8" t="s">
        <v>14</v>
      </c>
      <c r="C570" s="8" t="s">
        <v>37</v>
      </c>
      <c r="D570" s="8" t="s">
        <v>38</v>
      </c>
      <c r="E570" s="8" t="s">
        <v>0</v>
      </c>
      <c r="F570" s="8" t="s">
        <v>26</v>
      </c>
      <c r="G570" s="8">
        <v>2017</v>
      </c>
      <c r="H570" s="8">
        <v>6</v>
      </c>
      <c r="I570" s="10">
        <v>42887</v>
      </c>
      <c r="J570" s="11">
        <v>4909</v>
      </c>
      <c r="K570" s="51"/>
      <c r="O570" s="1" t="s">
        <v>14</v>
      </c>
      <c r="P570" s="1" t="s">
        <v>37</v>
      </c>
      <c r="Q570" s="1" t="s">
        <v>38</v>
      </c>
      <c r="R570" s="1" t="s">
        <v>0</v>
      </c>
      <c r="S570" s="1" t="s">
        <v>26</v>
      </c>
      <c r="T570" s="1">
        <v>2017</v>
      </c>
      <c r="U570" s="1">
        <v>6</v>
      </c>
      <c r="V570" s="50">
        <v>42887</v>
      </c>
      <c r="W570" s="4">
        <v>4172.6500000000005</v>
      </c>
      <c r="X570" s="48">
        <v>4909</v>
      </c>
    </row>
    <row r="571" spans="2:24" x14ac:dyDescent="0.35">
      <c r="B571" s="8" t="s">
        <v>3</v>
      </c>
      <c r="C571" s="8" t="s">
        <v>25</v>
      </c>
      <c r="D571" s="8" t="s">
        <v>4</v>
      </c>
      <c r="E571" s="8" t="s">
        <v>0</v>
      </c>
      <c r="F571" s="6" t="s">
        <v>45</v>
      </c>
      <c r="G571" s="8">
        <v>2017</v>
      </c>
      <c r="H571" s="8">
        <v>6</v>
      </c>
      <c r="I571" s="10">
        <v>42887</v>
      </c>
      <c r="J571" s="11">
        <v>2953</v>
      </c>
      <c r="K571" s="51"/>
      <c r="O571" s="1" t="s">
        <v>3</v>
      </c>
      <c r="P571" s="1" t="s">
        <v>25</v>
      </c>
      <c r="Q571" s="1" t="s">
        <v>4</v>
      </c>
      <c r="R571" s="1" t="s">
        <v>0</v>
      </c>
      <c r="S571" t="s">
        <v>45</v>
      </c>
      <c r="T571" s="1">
        <v>2017</v>
      </c>
      <c r="U571" s="1">
        <v>6</v>
      </c>
      <c r="V571" s="50">
        <v>42887</v>
      </c>
      <c r="W571" s="4">
        <v>2746.29</v>
      </c>
      <c r="X571" s="48">
        <v>2953</v>
      </c>
    </row>
    <row r="572" spans="2:24" x14ac:dyDescent="0.35">
      <c r="B572" s="8" t="s">
        <v>6</v>
      </c>
      <c r="C572" s="8" t="s">
        <v>29</v>
      </c>
      <c r="D572" s="8" t="s">
        <v>30</v>
      </c>
      <c r="E572" s="8" t="s">
        <v>27</v>
      </c>
      <c r="F572" s="6" t="s">
        <v>28</v>
      </c>
      <c r="G572" s="8">
        <v>2017</v>
      </c>
      <c r="H572" s="8">
        <v>6</v>
      </c>
      <c r="I572" s="10">
        <v>42887</v>
      </c>
      <c r="J572" s="11">
        <v>3817</v>
      </c>
      <c r="K572" s="51"/>
      <c r="O572" s="1" t="s">
        <v>6</v>
      </c>
      <c r="P572" s="1" t="s">
        <v>29</v>
      </c>
      <c r="Q572" s="1" t="s">
        <v>30</v>
      </c>
      <c r="R572" s="1" t="s">
        <v>27</v>
      </c>
      <c r="S572" t="s">
        <v>28</v>
      </c>
      <c r="T572" s="1">
        <v>2017</v>
      </c>
      <c r="U572" s="1">
        <v>6</v>
      </c>
      <c r="V572" s="50">
        <v>42887</v>
      </c>
      <c r="W572" s="4">
        <v>3473.47</v>
      </c>
      <c r="X572" s="48">
        <v>3817</v>
      </c>
    </row>
    <row r="573" spans="2:24" x14ac:dyDescent="0.35">
      <c r="B573" s="8" t="s">
        <v>7</v>
      </c>
      <c r="C573" s="8" t="s">
        <v>43</v>
      </c>
      <c r="D573" s="8" t="s">
        <v>10</v>
      </c>
      <c r="E573" s="8" t="s">
        <v>27</v>
      </c>
      <c r="F573" s="6" t="s">
        <v>31</v>
      </c>
      <c r="G573" s="8">
        <v>2017</v>
      </c>
      <c r="H573" s="8">
        <v>6</v>
      </c>
      <c r="I573" s="10">
        <v>42887</v>
      </c>
      <c r="J573" s="11">
        <v>4740</v>
      </c>
      <c r="K573" s="51"/>
      <c r="O573" s="1" t="s">
        <v>7</v>
      </c>
      <c r="P573" s="1" t="s">
        <v>43</v>
      </c>
      <c r="Q573" s="1" t="s">
        <v>10</v>
      </c>
      <c r="R573" s="1" t="s">
        <v>27</v>
      </c>
      <c r="S573" t="s">
        <v>31</v>
      </c>
      <c r="T573" s="1">
        <v>2017</v>
      </c>
      <c r="U573" s="1">
        <v>6</v>
      </c>
      <c r="V573" s="50">
        <v>42887</v>
      </c>
      <c r="W573" s="4">
        <v>4171.2</v>
      </c>
      <c r="X573" s="48">
        <v>4740</v>
      </c>
    </row>
    <row r="574" spans="2:24" x14ac:dyDescent="0.35">
      <c r="B574" s="8" t="s">
        <v>12</v>
      </c>
      <c r="C574" s="8" t="s">
        <v>44</v>
      </c>
      <c r="D574" s="8" t="s">
        <v>13</v>
      </c>
      <c r="E574" s="9" t="s">
        <v>27</v>
      </c>
      <c r="F574" s="9" t="s">
        <v>33</v>
      </c>
      <c r="G574" s="8">
        <v>2017</v>
      </c>
      <c r="H574" s="8">
        <v>6</v>
      </c>
      <c r="I574" s="10">
        <v>42887</v>
      </c>
      <c r="J574" s="11">
        <v>3841</v>
      </c>
      <c r="K574" s="51"/>
      <c r="O574" s="1" t="s">
        <v>12</v>
      </c>
      <c r="P574" s="1" t="s">
        <v>44</v>
      </c>
      <c r="Q574" s="1" t="s">
        <v>13</v>
      </c>
      <c r="R574" s="2" t="s">
        <v>27</v>
      </c>
      <c r="S574" s="2" t="s">
        <v>33</v>
      </c>
      <c r="T574" s="1">
        <v>2017</v>
      </c>
      <c r="U574" s="1">
        <v>6</v>
      </c>
      <c r="V574" s="50">
        <v>42887</v>
      </c>
      <c r="W574" s="4">
        <v>3418.49</v>
      </c>
      <c r="X574" s="48">
        <v>3841</v>
      </c>
    </row>
    <row r="575" spans="2:24" x14ac:dyDescent="0.35">
      <c r="B575" s="8" t="s">
        <v>14</v>
      </c>
      <c r="C575" s="8" t="s">
        <v>46</v>
      </c>
      <c r="D575" s="8" t="s">
        <v>47</v>
      </c>
      <c r="E575" s="8" t="s">
        <v>23</v>
      </c>
      <c r="F575" s="9" t="s">
        <v>36</v>
      </c>
      <c r="G575" s="8">
        <v>2017</v>
      </c>
      <c r="H575" s="8">
        <v>6</v>
      </c>
      <c r="I575" s="10">
        <v>42887</v>
      </c>
      <c r="J575" s="11">
        <v>1855</v>
      </c>
      <c r="K575" s="51"/>
      <c r="O575" s="1" t="s">
        <v>14</v>
      </c>
      <c r="P575" s="1" t="s">
        <v>46</v>
      </c>
      <c r="Q575" s="1" t="s">
        <v>47</v>
      </c>
      <c r="R575" s="1" t="s">
        <v>23</v>
      </c>
      <c r="S575" s="2" t="s">
        <v>36</v>
      </c>
      <c r="T575" s="1">
        <v>2017</v>
      </c>
      <c r="U575" s="1">
        <v>6</v>
      </c>
      <c r="V575" s="50">
        <v>42887</v>
      </c>
      <c r="W575" s="4">
        <v>1576.7500000000002</v>
      </c>
      <c r="X575" s="48">
        <v>1855</v>
      </c>
    </row>
    <row r="576" spans="2:24" x14ac:dyDescent="0.35">
      <c r="B576" s="8" t="s">
        <v>6</v>
      </c>
      <c r="C576" s="8" t="s">
        <v>29</v>
      </c>
      <c r="D576" s="8" t="s">
        <v>30</v>
      </c>
      <c r="E576" s="8" t="s">
        <v>23</v>
      </c>
      <c r="F576" s="6" t="s">
        <v>39</v>
      </c>
      <c r="G576" s="8">
        <v>2017</v>
      </c>
      <c r="H576" s="8">
        <v>6</v>
      </c>
      <c r="I576" s="10">
        <v>42887</v>
      </c>
      <c r="J576" s="11">
        <v>1891</v>
      </c>
      <c r="K576" s="51"/>
      <c r="O576" s="1" t="s">
        <v>6</v>
      </c>
      <c r="P576" s="1" t="s">
        <v>29</v>
      </c>
      <c r="Q576" s="1" t="s">
        <v>30</v>
      </c>
      <c r="R576" s="1" t="s">
        <v>23</v>
      </c>
      <c r="S576" t="s">
        <v>39</v>
      </c>
      <c r="T576" s="1">
        <v>2017</v>
      </c>
      <c r="U576" s="1">
        <v>6</v>
      </c>
      <c r="V576" s="50">
        <v>42887</v>
      </c>
      <c r="W576" s="4">
        <v>1720.81</v>
      </c>
      <c r="X576" s="48">
        <v>1891</v>
      </c>
    </row>
    <row r="577" spans="2:24" x14ac:dyDescent="0.35">
      <c r="B577" s="8" t="s">
        <v>7</v>
      </c>
      <c r="C577" s="8" t="s">
        <v>32</v>
      </c>
      <c r="D577" s="8" t="s">
        <v>8</v>
      </c>
      <c r="E577" s="8" t="s">
        <v>0</v>
      </c>
      <c r="F577" s="8" t="s">
        <v>42</v>
      </c>
      <c r="G577" s="8">
        <v>2017</v>
      </c>
      <c r="H577" s="8">
        <v>6</v>
      </c>
      <c r="I577" s="10">
        <v>42887</v>
      </c>
      <c r="J577" s="11">
        <v>5878</v>
      </c>
      <c r="K577" s="51"/>
      <c r="O577" s="1" t="s">
        <v>7</v>
      </c>
      <c r="P577" s="1" t="s">
        <v>32</v>
      </c>
      <c r="Q577" s="1" t="s">
        <v>8</v>
      </c>
      <c r="R577" s="1" t="s">
        <v>0</v>
      </c>
      <c r="S577" s="1" t="s">
        <v>42</v>
      </c>
      <c r="T577" s="1">
        <v>2017</v>
      </c>
      <c r="U577" s="1">
        <v>6</v>
      </c>
      <c r="V577" s="50">
        <v>42887</v>
      </c>
      <c r="W577" s="4">
        <v>5348.98</v>
      </c>
      <c r="X577" s="48">
        <v>5878</v>
      </c>
    </row>
    <row r="578" spans="2:24" x14ac:dyDescent="0.35">
      <c r="B578" s="8" t="s">
        <v>12</v>
      </c>
      <c r="C578" s="8" t="s">
        <v>44</v>
      </c>
      <c r="D578" s="8" t="s">
        <v>13</v>
      </c>
      <c r="E578" s="8" t="s">
        <v>0</v>
      </c>
      <c r="F578" s="8" t="s">
        <v>26</v>
      </c>
      <c r="G578" s="8">
        <v>2017</v>
      </c>
      <c r="H578" s="8">
        <v>6</v>
      </c>
      <c r="I578" s="10">
        <v>42887</v>
      </c>
      <c r="J578" s="11">
        <v>3924</v>
      </c>
      <c r="K578" s="51"/>
      <c r="O578" s="1" t="s">
        <v>12</v>
      </c>
      <c r="P578" s="1" t="s">
        <v>44</v>
      </c>
      <c r="Q578" s="1" t="s">
        <v>13</v>
      </c>
      <c r="R578" s="1" t="s">
        <v>0</v>
      </c>
      <c r="S578" s="1" t="s">
        <v>26</v>
      </c>
      <c r="T578" s="1">
        <v>2017</v>
      </c>
      <c r="U578" s="1">
        <v>6</v>
      </c>
      <c r="V578" s="50">
        <v>42887</v>
      </c>
      <c r="W578" s="4">
        <v>3374.6400000000003</v>
      </c>
      <c r="X578" s="48">
        <v>3924</v>
      </c>
    </row>
    <row r="579" spans="2:24" x14ac:dyDescent="0.35">
      <c r="B579" s="8" t="s">
        <v>14</v>
      </c>
      <c r="C579" s="8" t="s">
        <v>37</v>
      </c>
      <c r="D579" s="8" t="s">
        <v>38</v>
      </c>
      <c r="E579" s="8" t="s">
        <v>0</v>
      </c>
      <c r="F579" s="8" t="s">
        <v>45</v>
      </c>
      <c r="G579" s="8">
        <v>2017</v>
      </c>
      <c r="H579" s="8">
        <v>6</v>
      </c>
      <c r="I579" s="10">
        <v>42887</v>
      </c>
      <c r="J579" s="11">
        <v>2899</v>
      </c>
      <c r="K579" s="51"/>
      <c r="O579" s="1" t="s">
        <v>14</v>
      </c>
      <c r="P579" s="1" t="s">
        <v>37</v>
      </c>
      <c r="Q579" s="1" t="s">
        <v>38</v>
      </c>
      <c r="R579" s="1" t="s">
        <v>0</v>
      </c>
      <c r="S579" s="1" t="s">
        <v>45</v>
      </c>
      <c r="T579" s="1">
        <v>2017</v>
      </c>
      <c r="U579" s="1">
        <v>6</v>
      </c>
      <c r="V579" s="50">
        <v>42887</v>
      </c>
      <c r="W579" s="4">
        <v>2638.0899999999997</v>
      </c>
      <c r="X579" s="48">
        <v>2899</v>
      </c>
    </row>
    <row r="580" spans="2:24" x14ac:dyDescent="0.35">
      <c r="B580" s="8" t="s">
        <v>3</v>
      </c>
      <c r="C580" s="8" t="s">
        <v>25</v>
      </c>
      <c r="D580" s="8" t="s">
        <v>4</v>
      </c>
      <c r="E580" s="8" t="s">
        <v>27</v>
      </c>
      <c r="F580" s="6" t="s">
        <v>28</v>
      </c>
      <c r="G580" s="8">
        <v>2017</v>
      </c>
      <c r="H580" s="8">
        <v>6</v>
      </c>
      <c r="I580" s="10">
        <v>42887</v>
      </c>
      <c r="J580" s="11">
        <v>4324</v>
      </c>
      <c r="K580" s="51"/>
      <c r="O580" s="1" t="s">
        <v>3</v>
      </c>
      <c r="P580" s="1" t="s">
        <v>25</v>
      </c>
      <c r="Q580" s="1" t="s">
        <v>4</v>
      </c>
      <c r="R580" s="1" t="s">
        <v>27</v>
      </c>
      <c r="S580" t="s">
        <v>28</v>
      </c>
      <c r="T580" s="1">
        <v>2017</v>
      </c>
      <c r="U580" s="1">
        <v>6</v>
      </c>
      <c r="V580" s="50">
        <v>42887</v>
      </c>
      <c r="W580" s="4">
        <v>4021.3199999999997</v>
      </c>
      <c r="X580" s="48">
        <v>4324</v>
      </c>
    </row>
    <row r="581" spans="2:24" x14ac:dyDescent="0.35">
      <c r="B581" s="8" t="s">
        <v>3</v>
      </c>
      <c r="C581" s="8" t="s">
        <v>25</v>
      </c>
      <c r="D581" s="8" t="s">
        <v>4</v>
      </c>
      <c r="E581" s="8" t="s">
        <v>27</v>
      </c>
      <c r="F581" s="6" t="s">
        <v>31</v>
      </c>
      <c r="G581" s="8">
        <v>2017</v>
      </c>
      <c r="H581" s="8">
        <v>6</v>
      </c>
      <c r="I581" s="10">
        <v>42887</v>
      </c>
      <c r="J581" s="11">
        <v>2749</v>
      </c>
      <c r="K581" s="51"/>
      <c r="O581" s="1" t="s">
        <v>3</v>
      </c>
      <c r="P581" s="1" t="s">
        <v>25</v>
      </c>
      <c r="Q581" s="1" t="s">
        <v>4</v>
      </c>
      <c r="R581" s="1" t="s">
        <v>27</v>
      </c>
      <c r="S581" t="s">
        <v>31</v>
      </c>
      <c r="T581" s="1">
        <v>2017</v>
      </c>
      <c r="U581" s="1">
        <v>6</v>
      </c>
      <c r="V581" s="50">
        <v>42887</v>
      </c>
      <c r="W581" s="4">
        <v>2556.5699999999997</v>
      </c>
      <c r="X581" s="48">
        <v>2749</v>
      </c>
    </row>
    <row r="582" spans="2:24" x14ac:dyDescent="0.35">
      <c r="B582" s="8" t="s">
        <v>6</v>
      </c>
      <c r="C582" s="8" t="s">
        <v>40</v>
      </c>
      <c r="D582" s="8" t="s">
        <v>41</v>
      </c>
      <c r="E582" s="8" t="s">
        <v>27</v>
      </c>
      <c r="F582" s="6" t="s">
        <v>33</v>
      </c>
      <c r="G582" s="8">
        <v>2017</v>
      </c>
      <c r="H582" s="8">
        <v>6</v>
      </c>
      <c r="I582" s="10">
        <v>42887</v>
      </c>
      <c r="J582" s="11">
        <v>2867</v>
      </c>
      <c r="K582" s="51"/>
      <c r="O582" s="1" t="s">
        <v>6</v>
      </c>
      <c r="P582" s="1" t="s">
        <v>40</v>
      </c>
      <c r="Q582" s="1" t="s">
        <v>41</v>
      </c>
      <c r="R582" s="1" t="s">
        <v>27</v>
      </c>
      <c r="S582" t="s">
        <v>33</v>
      </c>
      <c r="T582" s="1">
        <v>2017</v>
      </c>
      <c r="U582" s="1">
        <v>6</v>
      </c>
      <c r="V582" s="50">
        <v>42887</v>
      </c>
      <c r="W582" s="4">
        <v>2637.64</v>
      </c>
      <c r="X582" s="48">
        <v>2867</v>
      </c>
    </row>
    <row r="583" spans="2:24" x14ac:dyDescent="0.35">
      <c r="B583" s="8" t="s">
        <v>6</v>
      </c>
      <c r="C583" s="8" t="s">
        <v>40</v>
      </c>
      <c r="D583" s="8" t="s">
        <v>41</v>
      </c>
      <c r="E583" s="9" t="s">
        <v>23</v>
      </c>
      <c r="F583" s="9" t="s">
        <v>36</v>
      </c>
      <c r="G583" s="8">
        <v>2017</v>
      </c>
      <c r="H583" s="8">
        <v>6</v>
      </c>
      <c r="I583" s="10">
        <v>42887</v>
      </c>
      <c r="J583" s="11">
        <v>1971</v>
      </c>
      <c r="K583" s="51"/>
      <c r="O583" s="1" t="s">
        <v>6</v>
      </c>
      <c r="P583" s="1" t="s">
        <v>40</v>
      </c>
      <c r="Q583" s="1" t="s">
        <v>41</v>
      </c>
      <c r="R583" s="2" t="s">
        <v>23</v>
      </c>
      <c r="S583" s="2" t="s">
        <v>36</v>
      </c>
      <c r="T583" s="1">
        <v>2017</v>
      </c>
      <c r="U583" s="1">
        <v>6</v>
      </c>
      <c r="V583" s="50">
        <v>42887</v>
      </c>
      <c r="W583" s="4">
        <v>1734.4799999999998</v>
      </c>
      <c r="X583" s="48">
        <v>1971</v>
      </c>
    </row>
    <row r="584" spans="2:24" x14ac:dyDescent="0.35">
      <c r="B584" s="8" t="s">
        <v>7</v>
      </c>
      <c r="C584" s="8" t="s">
        <v>43</v>
      </c>
      <c r="D584" s="8" t="s">
        <v>10</v>
      </c>
      <c r="E584" s="8" t="s">
        <v>23</v>
      </c>
      <c r="F584" s="9" t="s">
        <v>24</v>
      </c>
      <c r="G584" s="8">
        <v>2017</v>
      </c>
      <c r="H584" s="8">
        <v>6</v>
      </c>
      <c r="I584" s="10">
        <v>42887</v>
      </c>
      <c r="J584" s="11">
        <v>1651</v>
      </c>
      <c r="K584" s="51"/>
      <c r="O584" s="1" t="s">
        <v>7</v>
      </c>
      <c r="P584" s="1" t="s">
        <v>43</v>
      </c>
      <c r="Q584" s="1" t="s">
        <v>10</v>
      </c>
      <c r="R584" s="1" t="s">
        <v>23</v>
      </c>
      <c r="S584" s="2" t="s">
        <v>24</v>
      </c>
      <c r="T584" s="1">
        <v>2017</v>
      </c>
      <c r="U584" s="1">
        <v>6</v>
      </c>
      <c r="V584" s="50">
        <v>42887</v>
      </c>
      <c r="W584" s="4">
        <v>1403.3500000000001</v>
      </c>
      <c r="X584" s="48">
        <v>1651</v>
      </c>
    </row>
    <row r="585" spans="2:24" x14ac:dyDescent="0.35">
      <c r="B585" s="8" t="s">
        <v>7</v>
      </c>
      <c r="C585" s="8" t="s">
        <v>43</v>
      </c>
      <c r="D585" s="8" t="s">
        <v>10</v>
      </c>
      <c r="E585" s="8" t="s">
        <v>23</v>
      </c>
      <c r="F585" s="6" t="s">
        <v>39</v>
      </c>
      <c r="G585" s="8">
        <v>2017</v>
      </c>
      <c r="H585" s="8">
        <v>6</v>
      </c>
      <c r="I585" s="10">
        <v>42887</v>
      </c>
      <c r="J585" s="11">
        <v>2593</v>
      </c>
      <c r="K585" s="51"/>
      <c r="O585" s="1" t="s">
        <v>7</v>
      </c>
      <c r="P585" s="1" t="s">
        <v>43</v>
      </c>
      <c r="Q585" s="1" t="s">
        <v>10</v>
      </c>
      <c r="R585" s="1" t="s">
        <v>23</v>
      </c>
      <c r="S585" t="s">
        <v>39</v>
      </c>
      <c r="T585" s="1">
        <v>2017</v>
      </c>
      <c r="U585" s="1">
        <v>6</v>
      </c>
      <c r="V585" s="50">
        <v>42887</v>
      </c>
      <c r="W585" s="4">
        <v>2255.9100000000003</v>
      </c>
      <c r="X585" s="48">
        <v>2593</v>
      </c>
    </row>
    <row r="586" spans="2:24" x14ac:dyDescent="0.35">
      <c r="B586" s="8" t="s">
        <v>7</v>
      </c>
      <c r="C586" s="8" t="s">
        <v>32</v>
      </c>
      <c r="D586" s="8" t="s">
        <v>8</v>
      </c>
      <c r="E586" s="8" t="s">
        <v>0</v>
      </c>
      <c r="F586" s="8" t="s">
        <v>26</v>
      </c>
      <c r="G586" s="8">
        <v>2017</v>
      </c>
      <c r="H586" s="8">
        <v>6</v>
      </c>
      <c r="I586" s="10">
        <v>42887</v>
      </c>
      <c r="J586" s="11">
        <v>2775</v>
      </c>
      <c r="K586" s="51"/>
      <c r="O586" s="1" t="s">
        <v>7</v>
      </c>
      <c r="P586" s="1" t="s">
        <v>32</v>
      </c>
      <c r="Q586" s="1" t="s">
        <v>8</v>
      </c>
      <c r="R586" s="1" t="s">
        <v>0</v>
      </c>
      <c r="S586" s="1" t="s">
        <v>26</v>
      </c>
      <c r="T586" s="1">
        <v>2017</v>
      </c>
      <c r="U586" s="1">
        <v>6</v>
      </c>
      <c r="V586" s="50">
        <v>42887</v>
      </c>
      <c r="W586" s="4">
        <v>2553</v>
      </c>
      <c r="X586" s="48">
        <v>2775</v>
      </c>
    </row>
    <row r="587" spans="2:24" x14ac:dyDescent="0.35">
      <c r="B587" s="8" t="s">
        <v>3</v>
      </c>
      <c r="C587" s="8" t="s">
        <v>22</v>
      </c>
      <c r="D587" s="8" t="s">
        <v>5</v>
      </c>
      <c r="E587" s="8" t="s">
        <v>0</v>
      </c>
      <c r="F587" s="8" t="s">
        <v>45</v>
      </c>
      <c r="G587" s="8">
        <v>2017</v>
      </c>
      <c r="H587" s="8">
        <v>6</v>
      </c>
      <c r="I587" s="10">
        <v>42887</v>
      </c>
      <c r="J587" s="11">
        <v>2109</v>
      </c>
      <c r="K587" s="51"/>
      <c r="O587" s="1" t="s">
        <v>3</v>
      </c>
      <c r="P587" s="1" t="s">
        <v>22</v>
      </c>
      <c r="Q587" s="1" t="s">
        <v>5</v>
      </c>
      <c r="R587" s="1" t="s">
        <v>0</v>
      </c>
      <c r="S587" s="1" t="s">
        <v>45</v>
      </c>
      <c r="T587" s="1">
        <v>2017</v>
      </c>
      <c r="U587" s="1">
        <v>6</v>
      </c>
      <c r="V587" s="50">
        <v>42887</v>
      </c>
      <c r="W587" s="4">
        <v>1855.9199999999998</v>
      </c>
      <c r="X587" s="48">
        <v>2109</v>
      </c>
    </row>
    <row r="588" spans="2:24" x14ac:dyDescent="0.35">
      <c r="B588" s="8" t="s">
        <v>7</v>
      </c>
      <c r="C588" s="8" t="s">
        <v>48</v>
      </c>
      <c r="D588" s="8" t="s">
        <v>9</v>
      </c>
      <c r="E588" s="8" t="s">
        <v>23</v>
      </c>
      <c r="F588" s="8" t="s">
        <v>36</v>
      </c>
      <c r="G588" s="8">
        <v>2017</v>
      </c>
      <c r="H588" s="8">
        <v>6</v>
      </c>
      <c r="I588" s="10">
        <v>42887</v>
      </c>
      <c r="J588" s="11">
        <v>2020</v>
      </c>
      <c r="K588" s="51"/>
      <c r="O588" s="1" t="s">
        <v>7</v>
      </c>
      <c r="P588" s="1" t="s">
        <v>48</v>
      </c>
      <c r="Q588" s="1" t="s">
        <v>9</v>
      </c>
      <c r="R588" s="1" t="s">
        <v>23</v>
      </c>
      <c r="S588" s="1" t="s">
        <v>36</v>
      </c>
      <c r="T588" s="1">
        <v>2017</v>
      </c>
      <c r="U588" s="1">
        <v>6</v>
      </c>
      <c r="V588" s="50">
        <v>42887</v>
      </c>
      <c r="W588" s="4">
        <v>1898.8</v>
      </c>
      <c r="X588" s="48">
        <v>2020</v>
      </c>
    </row>
    <row r="589" spans="2:24" x14ac:dyDescent="0.35">
      <c r="B589" s="8" t="s">
        <v>7</v>
      </c>
      <c r="C589" s="8" t="s">
        <v>48</v>
      </c>
      <c r="D589" s="8" t="s">
        <v>9</v>
      </c>
      <c r="E589" s="8" t="s">
        <v>23</v>
      </c>
      <c r="F589" s="6" t="s">
        <v>24</v>
      </c>
      <c r="G589" s="8">
        <v>2017</v>
      </c>
      <c r="H589" s="8">
        <v>6</v>
      </c>
      <c r="I589" s="10">
        <v>42887</v>
      </c>
      <c r="J589" s="11">
        <v>2067</v>
      </c>
      <c r="K589" s="51"/>
      <c r="O589" s="1" t="s">
        <v>7</v>
      </c>
      <c r="P589" s="1" t="s">
        <v>48</v>
      </c>
      <c r="Q589" s="1" t="s">
        <v>9</v>
      </c>
      <c r="R589" s="1" t="s">
        <v>23</v>
      </c>
      <c r="S589" t="s">
        <v>24</v>
      </c>
      <c r="T589" s="1">
        <v>2017</v>
      </c>
      <c r="U589" s="1">
        <v>6</v>
      </c>
      <c r="V589" s="50">
        <v>42887</v>
      </c>
      <c r="W589" s="4">
        <v>1880.9699999999998</v>
      </c>
      <c r="X589" s="48">
        <v>2067</v>
      </c>
    </row>
    <row r="590" spans="2:24" x14ac:dyDescent="0.35">
      <c r="B590" s="8" t="s">
        <v>7</v>
      </c>
      <c r="C590" s="8" t="s">
        <v>49</v>
      </c>
      <c r="D590" s="8" t="s">
        <v>11</v>
      </c>
      <c r="E590" s="8" t="s">
        <v>23</v>
      </c>
      <c r="F590" s="6" t="s">
        <v>39</v>
      </c>
      <c r="G590" s="8">
        <v>2017</v>
      </c>
      <c r="H590" s="8">
        <v>6</v>
      </c>
      <c r="I590" s="10">
        <v>42887</v>
      </c>
      <c r="J590" s="11">
        <v>2388</v>
      </c>
      <c r="K590" s="51"/>
      <c r="O590" s="1" t="s">
        <v>7</v>
      </c>
      <c r="P590" s="1" t="s">
        <v>49</v>
      </c>
      <c r="Q590" s="1" t="s">
        <v>11</v>
      </c>
      <c r="R590" s="1" t="s">
        <v>23</v>
      </c>
      <c r="S590" t="s">
        <v>39</v>
      </c>
      <c r="T590" s="1">
        <v>2017</v>
      </c>
      <c r="U590" s="1">
        <v>6</v>
      </c>
      <c r="V590" s="50">
        <v>42887</v>
      </c>
      <c r="W590" s="4">
        <v>2101.4399999999996</v>
      </c>
      <c r="X590" s="48">
        <v>2388</v>
      </c>
    </row>
    <row r="591" spans="2:24" x14ac:dyDescent="0.35">
      <c r="B591" s="8" t="s">
        <v>7</v>
      </c>
      <c r="C591" s="8" t="s">
        <v>49</v>
      </c>
      <c r="D591" s="8" t="s">
        <v>11</v>
      </c>
      <c r="E591" s="8" t="s">
        <v>0</v>
      </c>
      <c r="F591" s="6" t="s">
        <v>42</v>
      </c>
      <c r="G591" s="8">
        <v>2017</v>
      </c>
      <c r="H591" s="8">
        <v>6</v>
      </c>
      <c r="I591" s="10">
        <v>42887</v>
      </c>
      <c r="J591" s="11">
        <v>5807</v>
      </c>
      <c r="K591" s="51"/>
      <c r="O591" s="1" t="s">
        <v>7</v>
      </c>
      <c r="P591" s="1" t="s">
        <v>49</v>
      </c>
      <c r="Q591" s="1" t="s">
        <v>11</v>
      </c>
      <c r="R591" s="1" t="s">
        <v>0</v>
      </c>
      <c r="S591" t="s">
        <v>42</v>
      </c>
      <c r="T591" s="1">
        <v>2017</v>
      </c>
      <c r="U591" s="1">
        <v>6</v>
      </c>
      <c r="V591" s="50">
        <v>42887</v>
      </c>
      <c r="W591" s="4">
        <v>5168.2299999999996</v>
      </c>
      <c r="X591" s="48">
        <v>5807</v>
      </c>
    </row>
    <row r="592" spans="2:24" x14ac:dyDescent="0.35">
      <c r="B592" s="8" t="s">
        <v>12</v>
      </c>
      <c r="C592" s="8" t="s">
        <v>34</v>
      </c>
      <c r="D592" s="8" t="s">
        <v>35</v>
      </c>
      <c r="E592" s="9" t="s">
        <v>0</v>
      </c>
      <c r="F592" s="9" t="s">
        <v>26</v>
      </c>
      <c r="G592" s="8">
        <v>2017</v>
      </c>
      <c r="H592" s="8">
        <v>6</v>
      </c>
      <c r="I592" s="10">
        <v>42887</v>
      </c>
      <c r="J592" s="11">
        <v>3981</v>
      </c>
      <c r="K592" s="51"/>
      <c r="O592" s="1" t="s">
        <v>12</v>
      </c>
      <c r="P592" s="1" t="s">
        <v>34</v>
      </c>
      <c r="Q592" s="1" t="s">
        <v>35</v>
      </c>
      <c r="R592" s="2" t="s">
        <v>0</v>
      </c>
      <c r="S592" s="2" t="s">
        <v>26</v>
      </c>
      <c r="T592" s="1">
        <v>2017</v>
      </c>
      <c r="U592" s="1">
        <v>6</v>
      </c>
      <c r="V592" s="50">
        <v>42887</v>
      </c>
      <c r="W592" s="4">
        <v>3742.14</v>
      </c>
      <c r="X592" s="48">
        <v>3981</v>
      </c>
    </row>
    <row r="593" spans="2:24" x14ac:dyDescent="0.35">
      <c r="B593" s="8" t="s">
        <v>12</v>
      </c>
      <c r="C593" s="8" t="s">
        <v>34</v>
      </c>
      <c r="D593" s="8" t="s">
        <v>35</v>
      </c>
      <c r="E593" s="8" t="s">
        <v>0</v>
      </c>
      <c r="F593" s="9" t="s">
        <v>45</v>
      </c>
      <c r="G593" s="8">
        <v>2017</v>
      </c>
      <c r="H593" s="8">
        <v>6</v>
      </c>
      <c r="I593" s="10">
        <v>42887</v>
      </c>
      <c r="J593" s="11">
        <v>3158</v>
      </c>
      <c r="K593" s="51"/>
      <c r="O593" s="1" t="s">
        <v>12</v>
      </c>
      <c r="P593" s="1" t="s">
        <v>34</v>
      </c>
      <c r="Q593" s="1" t="s">
        <v>35</v>
      </c>
      <c r="R593" s="1" t="s">
        <v>0</v>
      </c>
      <c r="S593" s="2" t="s">
        <v>45</v>
      </c>
      <c r="T593" s="1">
        <v>2017</v>
      </c>
      <c r="U593" s="1">
        <v>6</v>
      </c>
      <c r="V593" s="50">
        <v>42887</v>
      </c>
      <c r="W593" s="4">
        <v>2810.62</v>
      </c>
      <c r="X593" s="48">
        <v>3158</v>
      </c>
    </row>
    <row r="594" spans="2:24" x14ac:dyDescent="0.35">
      <c r="B594" s="8" t="s">
        <v>14</v>
      </c>
      <c r="C594" s="8" t="s">
        <v>37</v>
      </c>
      <c r="D594" s="8" t="s">
        <v>38</v>
      </c>
      <c r="E594" s="8" t="s">
        <v>27</v>
      </c>
      <c r="F594" s="6" t="s">
        <v>28</v>
      </c>
      <c r="G594" s="8">
        <v>2017</v>
      </c>
      <c r="H594" s="8">
        <v>6</v>
      </c>
      <c r="I594" s="10">
        <v>42887</v>
      </c>
      <c r="J594" s="11">
        <v>4167</v>
      </c>
      <c r="K594" s="51"/>
      <c r="O594" s="1" t="s">
        <v>14</v>
      </c>
      <c r="P594" s="1" t="s">
        <v>37</v>
      </c>
      <c r="Q594" s="1" t="s">
        <v>38</v>
      </c>
      <c r="R594" s="1" t="s">
        <v>27</v>
      </c>
      <c r="S594" t="s">
        <v>28</v>
      </c>
      <c r="T594" s="1">
        <v>2017</v>
      </c>
      <c r="U594" s="1">
        <v>6</v>
      </c>
      <c r="V594" s="50">
        <v>42887</v>
      </c>
      <c r="W594" s="4">
        <v>3625.2900000000004</v>
      </c>
      <c r="X594" s="48">
        <v>4167</v>
      </c>
    </row>
    <row r="595" spans="2:24" x14ac:dyDescent="0.35">
      <c r="B595" s="8" t="s">
        <v>14</v>
      </c>
      <c r="C595" s="8" t="s">
        <v>37</v>
      </c>
      <c r="D595" s="8" t="s">
        <v>38</v>
      </c>
      <c r="E595" s="8" t="s">
        <v>27</v>
      </c>
      <c r="F595" s="8" t="s">
        <v>31</v>
      </c>
      <c r="G595" s="8">
        <v>2017</v>
      </c>
      <c r="H595" s="8">
        <v>6</v>
      </c>
      <c r="I595" s="10">
        <v>42887</v>
      </c>
      <c r="J595" s="11">
        <v>3672</v>
      </c>
      <c r="K595" s="51"/>
      <c r="O595" s="1" t="s">
        <v>14</v>
      </c>
      <c r="P595" s="1" t="s">
        <v>37</v>
      </c>
      <c r="Q595" s="1" t="s">
        <v>38</v>
      </c>
      <c r="R595" s="1" t="s">
        <v>27</v>
      </c>
      <c r="S595" s="1" t="s">
        <v>31</v>
      </c>
      <c r="T595" s="1">
        <v>2017</v>
      </c>
      <c r="U595" s="1">
        <v>6</v>
      </c>
      <c r="V595" s="50">
        <v>42887</v>
      </c>
      <c r="W595" s="4">
        <v>3231.3599999999997</v>
      </c>
      <c r="X595" s="48">
        <v>3672</v>
      </c>
    </row>
    <row r="596" spans="2:24" x14ac:dyDescent="0.35">
      <c r="B596" s="8" t="s">
        <v>12</v>
      </c>
      <c r="C596" s="8" t="s">
        <v>44</v>
      </c>
      <c r="D596" s="8" t="s">
        <v>13</v>
      </c>
      <c r="E596" s="8" t="s">
        <v>23</v>
      </c>
      <c r="F596" s="8" t="s">
        <v>36</v>
      </c>
      <c r="G596" s="8">
        <v>2017</v>
      </c>
      <c r="H596" s="8">
        <v>6</v>
      </c>
      <c r="I596" s="10">
        <v>42887</v>
      </c>
      <c r="J596" s="11">
        <v>2516</v>
      </c>
      <c r="K596" s="51"/>
      <c r="O596" s="1" t="s">
        <v>12</v>
      </c>
      <c r="P596" s="1" t="s">
        <v>44</v>
      </c>
      <c r="Q596" s="1" t="s">
        <v>13</v>
      </c>
      <c r="R596" s="1" t="s">
        <v>23</v>
      </c>
      <c r="S596" s="1" t="s">
        <v>36</v>
      </c>
      <c r="T596" s="1">
        <v>2017</v>
      </c>
      <c r="U596" s="1">
        <v>6</v>
      </c>
      <c r="V596" s="50">
        <v>42887</v>
      </c>
      <c r="W596" s="4">
        <v>2365.04</v>
      </c>
      <c r="X596" s="48">
        <v>2516</v>
      </c>
    </row>
    <row r="597" spans="2:24" x14ac:dyDescent="0.35">
      <c r="B597" s="8" t="s">
        <v>14</v>
      </c>
      <c r="C597" s="8" t="s">
        <v>46</v>
      </c>
      <c r="D597" s="8" t="s">
        <v>47</v>
      </c>
      <c r="E597" s="8" t="s">
        <v>23</v>
      </c>
      <c r="F597" s="8" t="s">
        <v>24</v>
      </c>
      <c r="G597" s="8">
        <v>2017</v>
      </c>
      <c r="H597" s="8">
        <v>6</v>
      </c>
      <c r="I597" s="10">
        <v>42887</v>
      </c>
      <c r="J597" s="11">
        <v>2105</v>
      </c>
      <c r="K597" s="51"/>
      <c r="O597" s="1" t="s">
        <v>14</v>
      </c>
      <c r="P597" s="1" t="s">
        <v>46</v>
      </c>
      <c r="Q597" s="1" t="s">
        <v>47</v>
      </c>
      <c r="R597" s="1" t="s">
        <v>23</v>
      </c>
      <c r="S597" s="1" t="s">
        <v>24</v>
      </c>
      <c r="T597" s="1">
        <v>2017</v>
      </c>
      <c r="U597" s="1">
        <v>6</v>
      </c>
      <c r="V597" s="50">
        <v>42887</v>
      </c>
      <c r="W597" s="4">
        <v>1936.6</v>
      </c>
      <c r="X597" s="48">
        <v>2105</v>
      </c>
    </row>
    <row r="598" spans="2:24" x14ac:dyDescent="0.35">
      <c r="B598" s="8" t="s">
        <v>14</v>
      </c>
      <c r="C598" s="8" t="s">
        <v>46</v>
      </c>
      <c r="D598" s="8" t="s">
        <v>47</v>
      </c>
      <c r="E598" s="8" t="s">
        <v>23</v>
      </c>
      <c r="F598" s="6" t="s">
        <v>39</v>
      </c>
      <c r="G598" s="8">
        <v>2017</v>
      </c>
      <c r="H598" s="8">
        <v>6</v>
      </c>
      <c r="I598" s="10">
        <v>42887</v>
      </c>
      <c r="J598" s="11">
        <v>2207</v>
      </c>
      <c r="K598" s="51"/>
      <c r="O598" s="1" t="s">
        <v>14</v>
      </c>
      <c r="P598" s="1" t="s">
        <v>46</v>
      </c>
      <c r="Q598" s="1" t="s">
        <v>47</v>
      </c>
      <c r="R598" s="1" t="s">
        <v>23</v>
      </c>
      <c r="S598" t="s">
        <v>39</v>
      </c>
      <c r="T598" s="1">
        <v>2017</v>
      </c>
      <c r="U598" s="1">
        <v>6</v>
      </c>
      <c r="V598" s="50">
        <v>42887</v>
      </c>
      <c r="W598" s="4">
        <v>2052.5099999999998</v>
      </c>
      <c r="X598" s="48">
        <v>2207</v>
      </c>
    </row>
    <row r="599" spans="2:24" x14ac:dyDescent="0.35">
      <c r="B599" s="8" t="s">
        <v>7</v>
      </c>
      <c r="C599" s="8" t="s">
        <v>43</v>
      </c>
      <c r="D599" s="8" t="s">
        <v>10</v>
      </c>
      <c r="E599" s="8" t="s">
        <v>0</v>
      </c>
      <c r="F599" s="6" t="s">
        <v>42</v>
      </c>
      <c r="G599" s="8">
        <v>2017</v>
      </c>
      <c r="H599" s="8">
        <v>6</v>
      </c>
      <c r="I599" s="10">
        <v>42887</v>
      </c>
      <c r="J599" s="11">
        <v>6240</v>
      </c>
      <c r="K599" s="51"/>
      <c r="O599" s="1" t="s">
        <v>7</v>
      </c>
      <c r="P599" s="1" t="s">
        <v>43</v>
      </c>
      <c r="Q599" s="1" t="s">
        <v>10</v>
      </c>
      <c r="R599" s="1" t="s">
        <v>0</v>
      </c>
      <c r="S599" t="s">
        <v>42</v>
      </c>
      <c r="T599" s="1">
        <v>2017</v>
      </c>
      <c r="U599" s="1">
        <v>6</v>
      </c>
      <c r="V599" s="50">
        <v>42887</v>
      </c>
      <c r="W599" s="4">
        <v>5803.2</v>
      </c>
      <c r="X599" s="48">
        <v>6240</v>
      </c>
    </row>
    <row r="600" spans="2:24" x14ac:dyDescent="0.35">
      <c r="B600" s="8" t="s">
        <v>6</v>
      </c>
      <c r="C600" s="8" t="s">
        <v>40</v>
      </c>
      <c r="D600" s="8" t="s">
        <v>41</v>
      </c>
      <c r="E600" s="8" t="s">
        <v>27</v>
      </c>
      <c r="F600" s="6" t="s">
        <v>31</v>
      </c>
      <c r="G600" s="8">
        <v>2017</v>
      </c>
      <c r="H600" s="8">
        <v>6</v>
      </c>
      <c r="I600" s="10">
        <v>42887</v>
      </c>
      <c r="J600" s="11">
        <v>3725</v>
      </c>
      <c r="K600" s="51"/>
      <c r="O600" s="1" t="s">
        <v>6</v>
      </c>
      <c r="P600" s="1" t="s">
        <v>40</v>
      </c>
      <c r="Q600" s="1" t="s">
        <v>41</v>
      </c>
      <c r="R600" s="1" t="s">
        <v>27</v>
      </c>
      <c r="S600" t="s">
        <v>31</v>
      </c>
      <c r="T600" s="1">
        <v>2017</v>
      </c>
      <c r="U600" s="1">
        <v>6</v>
      </c>
      <c r="V600" s="50">
        <v>42887</v>
      </c>
      <c r="W600" s="4">
        <v>3166.2500000000005</v>
      </c>
      <c r="X600" s="48">
        <v>3725</v>
      </c>
    </row>
    <row r="601" spans="2:24" x14ac:dyDescent="0.35">
      <c r="B601" s="8" t="s">
        <v>3</v>
      </c>
      <c r="C601" s="8" t="s">
        <v>22</v>
      </c>
      <c r="D601" s="8" t="s">
        <v>5</v>
      </c>
      <c r="E601" s="9" t="s">
        <v>23</v>
      </c>
      <c r="F601" s="9" t="s">
        <v>39</v>
      </c>
      <c r="G601" s="8">
        <v>2017</v>
      </c>
      <c r="H601" s="8">
        <v>6</v>
      </c>
      <c r="I601" s="10">
        <v>42887</v>
      </c>
      <c r="J601" s="11">
        <v>2138</v>
      </c>
      <c r="K601" s="51"/>
      <c r="O601" s="1" t="s">
        <v>3</v>
      </c>
      <c r="P601" s="1" t="s">
        <v>22</v>
      </c>
      <c r="Q601" s="1" t="s">
        <v>5</v>
      </c>
      <c r="R601" s="2" t="s">
        <v>23</v>
      </c>
      <c r="S601" s="2" t="s">
        <v>39</v>
      </c>
      <c r="T601" s="1">
        <v>2017</v>
      </c>
      <c r="U601" s="1">
        <v>6</v>
      </c>
      <c r="V601" s="50">
        <v>42887</v>
      </c>
      <c r="W601" s="4">
        <v>1860.0600000000002</v>
      </c>
      <c r="X601" s="48">
        <v>2138</v>
      </c>
    </row>
    <row r="602" spans="2:24" x14ac:dyDescent="0.35">
      <c r="B602" s="8" t="s">
        <v>3</v>
      </c>
      <c r="C602" s="8" t="s">
        <v>22</v>
      </c>
      <c r="D602" s="8" t="s">
        <v>5</v>
      </c>
      <c r="E602" s="8" t="s">
        <v>0</v>
      </c>
      <c r="F602" s="9" t="s">
        <v>42</v>
      </c>
      <c r="G602" s="8">
        <v>2017</v>
      </c>
      <c r="H602" s="8">
        <v>6</v>
      </c>
      <c r="I602" s="10">
        <v>42887</v>
      </c>
      <c r="J602" s="11">
        <v>4620</v>
      </c>
      <c r="K602" s="51"/>
      <c r="O602" s="1" t="s">
        <v>3</v>
      </c>
      <c r="P602" s="1" t="s">
        <v>22</v>
      </c>
      <c r="Q602" s="1" t="s">
        <v>5</v>
      </c>
      <c r="R602" s="1" t="s">
        <v>0</v>
      </c>
      <c r="S602" s="2" t="s">
        <v>42</v>
      </c>
      <c r="T602" s="1">
        <v>2017</v>
      </c>
      <c r="U602" s="1">
        <v>6</v>
      </c>
      <c r="V602" s="50">
        <v>42887</v>
      </c>
      <c r="W602" s="4">
        <v>4250.3999999999996</v>
      </c>
      <c r="X602" s="48">
        <v>4620</v>
      </c>
    </row>
    <row r="603" spans="2:24" x14ac:dyDescent="0.35">
      <c r="B603" s="8" t="s">
        <v>6</v>
      </c>
      <c r="C603" s="8" t="s">
        <v>29</v>
      </c>
      <c r="D603" s="8" t="s">
        <v>30</v>
      </c>
      <c r="E603" s="8" t="s">
        <v>0</v>
      </c>
      <c r="F603" s="6" t="s">
        <v>26</v>
      </c>
      <c r="G603" s="8">
        <v>2017</v>
      </c>
      <c r="H603" s="8">
        <v>6</v>
      </c>
      <c r="I603" s="10">
        <v>42887</v>
      </c>
      <c r="J603" s="11">
        <v>5582</v>
      </c>
      <c r="K603" s="51"/>
      <c r="O603" s="1" t="s">
        <v>6</v>
      </c>
      <c r="P603" s="1" t="s">
        <v>29</v>
      </c>
      <c r="Q603" s="1" t="s">
        <v>30</v>
      </c>
      <c r="R603" s="1" t="s">
        <v>0</v>
      </c>
      <c r="S603" t="s">
        <v>26</v>
      </c>
      <c r="T603" s="1">
        <v>2017</v>
      </c>
      <c r="U603" s="1">
        <v>6</v>
      </c>
      <c r="V603" s="50">
        <v>42887</v>
      </c>
      <c r="W603" s="4">
        <v>4744.7000000000007</v>
      </c>
      <c r="X603" s="48">
        <v>5582</v>
      </c>
    </row>
    <row r="604" spans="2:24" x14ac:dyDescent="0.35">
      <c r="B604" s="8" t="s">
        <v>7</v>
      </c>
      <c r="C604" s="8" t="s">
        <v>48</v>
      </c>
      <c r="D604" s="8" t="s">
        <v>9</v>
      </c>
      <c r="E604" s="8" t="s">
        <v>27</v>
      </c>
      <c r="F604" s="8" t="s">
        <v>28</v>
      </c>
      <c r="G604" s="8">
        <v>2017</v>
      </c>
      <c r="H604" s="8">
        <v>6</v>
      </c>
      <c r="I604" s="10">
        <v>42887</v>
      </c>
      <c r="J604" s="11">
        <v>4138</v>
      </c>
      <c r="K604" s="51"/>
      <c r="O604" s="1" t="s">
        <v>7</v>
      </c>
      <c r="P604" s="1" t="s">
        <v>48</v>
      </c>
      <c r="Q604" s="1" t="s">
        <v>9</v>
      </c>
      <c r="R604" s="1" t="s">
        <v>27</v>
      </c>
      <c r="S604" s="1" t="s">
        <v>28</v>
      </c>
      <c r="T604" s="1">
        <v>2017</v>
      </c>
      <c r="U604" s="1">
        <v>6</v>
      </c>
      <c r="V604" s="50">
        <v>42887</v>
      </c>
      <c r="W604" s="4">
        <v>3724.2</v>
      </c>
      <c r="X604" s="48">
        <v>4138</v>
      </c>
    </row>
    <row r="605" spans="2:24" x14ac:dyDescent="0.35">
      <c r="B605" s="8" t="s">
        <v>7</v>
      </c>
      <c r="C605" s="8" t="s">
        <v>48</v>
      </c>
      <c r="D605" s="8" t="s">
        <v>9</v>
      </c>
      <c r="E605" s="8" t="s">
        <v>27</v>
      </c>
      <c r="F605" s="8" t="s">
        <v>31</v>
      </c>
      <c r="G605" s="8">
        <v>2017</v>
      </c>
      <c r="H605" s="8">
        <v>6</v>
      </c>
      <c r="I605" s="10">
        <v>42887</v>
      </c>
      <c r="J605" s="11">
        <v>4788</v>
      </c>
      <c r="K605" s="51"/>
      <c r="O605" s="1" t="s">
        <v>7</v>
      </c>
      <c r="P605" s="1" t="s">
        <v>48</v>
      </c>
      <c r="Q605" s="1" t="s">
        <v>9</v>
      </c>
      <c r="R605" s="1" t="s">
        <v>27</v>
      </c>
      <c r="S605" s="1" t="s">
        <v>31</v>
      </c>
      <c r="T605" s="1">
        <v>2017</v>
      </c>
      <c r="U605" s="1">
        <v>6</v>
      </c>
      <c r="V605" s="50">
        <v>42887</v>
      </c>
      <c r="W605" s="4">
        <v>4117.68</v>
      </c>
      <c r="X605" s="48">
        <v>4788</v>
      </c>
    </row>
    <row r="606" spans="2:24" x14ac:dyDescent="0.35">
      <c r="B606" s="8" t="s">
        <v>7</v>
      </c>
      <c r="C606" s="8" t="s">
        <v>49</v>
      </c>
      <c r="D606" s="8" t="s">
        <v>11</v>
      </c>
      <c r="E606" s="8" t="s">
        <v>27</v>
      </c>
      <c r="F606" s="8" t="s">
        <v>33</v>
      </c>
      <c r="G606" s="8">
        <v>2017</v>
      </c>
      <c r="H606" s="8">
        <v>6</v>
      </c>
      <c r="I606" s="10">
        <v>42887</v>
      </c>
      <c r="J606" s="11">
        <v>3245</v>
      </c>
      <c r="K606" s="51"/>
      <c r="O606" s="1" t="s">
        <v>7</v>
      </c>
      <c r="P606" s="1" t="s">
        <v>49</v>
      </c>
      <c r="Q606" s="1" t="s">
        <v>11</v>
      </c>
      <c r="R606" s="1" t="s">
        <v>27</v>
      </c>
      <c r="S606" s="1" t="s">
        <v>33</v>
      </c>
      <c r="T606" s="1">
        <v>2017</v>
      </c>
      <c r="U606" s="1">
        <v>6</v>
      </c>
      <c r="V606" s="50">
        <v>42887</v>
      </c>
      <c r="W606" s="4">
        <v>2790.7000000000003</v>
      </c>
      <c r="X606" s="48">
        <v>3245</v>
      </c>
    </row>
    <row r="607" spans="2:24" x14ac:dyDescent="0.35">
      <c r="B607" s="8" t="s">
        <v>7</v>
      </c>
      <c r="C607" s="8" t="s">
        <v>49</v>
      </c>
      <c r="D607" s="8" t="s">
        <v>11</v>
      </c>
      <c r="E607" s="8" t="s">
        <v>23</v>
      </c>
      <c r="F607" s="6" t="s">
        <v>36</v>
      </c>
      <c r="G607" s="8">
        <v>2017</v>
      </c>
      <c r="H607" s="8">
        <v>6</v>
      </c>
      <c r="I607" s="10">
        <v>42887</v>
      </c>
      <c r="J607" s="11">
        <v>2126</v>
      </c>
      <c r="K607" s="51"/>
      <c r="O607" s="1" t="s">
        <v>7</v>
      </c>
      <c r="P607" s="1" t="s">
        <v>49</v>
      </c>
      <c r="Q607" s="1" t="s">
        <v>11</v>
      </c>
      <c r="R607" s="1" t="s">
        <v>23</v>
      </c>
      <c r="S607" t="s">
        <v>36</v>
      </c>
      <c r="T607" s="1">
        <v>2017</v>
      </c>
      <c r="U607" s="1">
        <v>6</v>
      </c>
      <c r="V607" s="50">
        <v>42887</v>
      </c>
      <c r="W607" s="4">
        <v>1892.1399999999999</v>
      </c>
      <c r="X607" s="48">
        <v>2126</v>
      </c>
    </row>
    <row r="608" spans="2:24" x14ac:dyDescent="0.35">
      <c r="B608" s="8" t="s">
        <v>7</v>
      </c>
      <c r="C608" s="8" t="s">
        <v>43</v>
      </c>
      <c r="D608" s="8" t="s">
        <v>10</v>
      </c>
      <c r="E608" s="8" t="s">
        <v>23</v>
      </c>
      <c r="F608" s="6" t="s">
        <v>36</v>
      </c>
      <c r="G608" s="8">
        <v>2017</v>
      </c>
      <c r="H608" s="8">
        <v>6</v>
      </c>
      <c r="I608" s="10">
        <v>42887</v>
      </c>
      <c r="J608" s="11">
        <v>2097</v>
      </c>
      <c r="K608" s="51"/>
      <c r="O608" s="1" t="s">
        <v>7</v>
      </c>
      <c r="P608" s="1" t="s">
        <v>43</v>
      </c>
      <c r="Q608" s="1" t="s">
        <v>10</v>
      </c>
      <c r="R608" s="1" t="s">
        <v>23</v>
      </c>
      <c r="S608" t="s">
        <v>36</v>
      </c>
      <c r="T608" s="1">
        <v>2017</v>
      </c>
      <c r="U608" s="1">
        <v>6</v>
      </c>
      <c r="V608" s="50">
        <v>42887</v>
      </c>
      <c r="W608" s="4">
        <v>1929.2399999999998</v>
      </c>
      <c r="X608" s="48">
        <v>2097</v>
      </c>
    </row>
    <row r="609" spans="2:24" x14ac:dyDescent="0.35">
      <c r="B609" s="8" t="s">
        <v>6</v>
      </c>
      <c r="C609" s="8" t="s">
        <v>40</v>
      </c>
      <c r="D609" s="8" t="s">
        <v>41</v>
      </c>
      <c r="E609" s="8" t="s">
        <v>0</v>
      </c>
      <c r="F609" s="6" t="s">
        <v>45</v>
      </c>
      <c r="G609" s="8">
        <v>2017</v>
      </c>
      <c r="H609" s="8">
        <v>6</v>
      </c>
      <c r="I609" s="10">
        <v>42887</v>
      </c>
      <c r="J609" s="11">
        <v>4480</v>
      </c>
      <c r="K609" s="51"/>
      <c r="O609" s="1" t="s">
        <v>6</v>
      </c>
      <c r="P609" s="1" t="s">
        <v>40</v>
      </c>
      <c r="Q609" s="1" t="s">
        <v>41</v>
      </c>
      <c r="R609" s="1" t="s">
        <v>0</v>
      </c>
      <c r="S609" t="s">
        <v>45</v>
      </c>
      <c r="T609" s="1">
        <v>2017</v>
      </c>
      <c r="U609" s="1">
        <v>6</v>
      </c>
      <c r="V609" s="50">
        <v>42887</v>
      </c>
      <c r="W609" s="4">
        <v>3987.2</v>
      </c>
      <c r="X609" s="48">
        <v>4480</v>
      </c>
    </row>
    <row r="610" spans="2:24" x14ac:dyDescent="0.35">
      <c r="B610" s="8" t="s">
        <v>7</v>
      </c>
      <c r="C610" s="8" t="s">
        <v>32</v>
      </c>
      <c r="D610" s="8" t="s">
        <v>8</v>
      </c>
      <c r="E610" s="9" t="s">
        <v>27</v>
      </c>
      <c r="F610" s="9" t="s">
        <v>28</v>
      </c>
      <c r="G610" s="8">
        <v>2017</v>
      </c>
      <c r="H610" s="8">
        <v>6</v>
      </c>
      <c r="I610" s="10">
        <v>42887</v>
      </c>
      <c r="J610" s="11">
        <v>3557</v>
      </c>
      <c r="K610" s="51"/>
      <c r="O610" s="1" t="s">
        <v>7</v>
      </c>
      <c r="P610" s="1" t="s">
        <v>32</v>
      </c>
      <c r="Q610" s="1" t="s">
        <v>8</v>
      </c>
      <c r="R610" s="2" t="s">
        <v>27</v>
      </c>
      <c r="S610" s="2" t="s">
        <v>28</v>
      </c>
      <c r="T610" s="1">
        <v>2017</v>
      </c>
      <c r="U610" s="1">
        <v>6</v>
      </c>
      <c r="V610" s="50">
        <v>42887</v>
      </c>
      <c r="W610" s="4">
        <v>3094.59</v>
      </c>
      <c r="X610" s="48">
        <v>3557</v>
      </c>
    </row>
    <row r="611" spans="2:24" x14ac:dyDescent="0.35">
      <c r="B611" s="8" t="s">
        <v>7</v>
      </c>
      <c r="C611" s="8" t="s">
        <v>32</v>
      </c>
      <c r="D611" s="8" t="s">
        <v>8</v>
      </c>
      <c r="E611" s="8" t="s">
        <v>27</v>
      </c>
      <c r="F611" s="9" t="s">
        <v>31</v>
      </c>
      <c r="G611" s="8">
        <v>2017</v>
      </c>
      <c r="H611" s="8">
        <v>6</v>
      </c>
      <c r="I611" s="10">
        <v>42887</v>
      </c>
      <c r="J611" s="11">
        <v>5142</v>
      </c>
      <c r="K611" s="51"/>
      <c r="O611" s="1" t="s">
        <v>7</v>
      </c>
      <c r="P611" s="1" t="s">
        <v>32</v>
      </c>
      <c r="Q611" s="1" t="s">
        <v>8</v>
      </c>
      <c r="R611" s="1" t="s">
        <v>27</v>
      </c>
      <c r="S611" s="2" t="s">
        <v>31</v>
      </c>
      <c r="T611" s="1">
        <v>2017</v>
      </c>
      <c r="U611" s="1">
        <v>6</v>
      </c>
      <c r="V611" s="50">
        <v>42887</v>
      </c>
      <c r="W611" s="4">
        <v>4833.4799999999996</v>
      </c>
      <c r="X611" s="48">
        <v>5142</v>
      </c>
    </row>
    <row r="612" spans="2:24" x14ac:dyDescent="0.35">
      <c r="B612" s="8" t="s">
        <v>6</v>
      </c>
      <c r="C612" s="8" t="s">
        <v>29</v>
      </c>
      <c r="D612" s="8" t="s">
        <v>30</v>
      </c>
      <c r="E612" s="8" t="s">
        <v>23</v>
      </c>
      <c r="F612" s="6" t="s">
        <v>24</v>
      </c>
      <c r="G612" s="8">
        <v>2017</v>
      </c>
      <c r="H612" s="8">
        <v>6</v>
      </c>
      <c r="I612" s="10">
        <v>42887</v>
      </c>
      <c r="J612" s="11">
        <v>3043</v>
      </c>
      <c r="K612" s="51"/>
      <c r="O612" s="1" t="s">
        <v>6</v>
      </c>
      <c r="P612" s="1" t="s">
        <v>29</v>
      </c>
      <c r="Q612" s="1" t="s">
        <v>30</v>
      </c>
      <c r="R612" s="1" t="s">
        <v>23</v>
      </c>
      <c r="S612" t="s">
        <v>24</v>
      </c>
      <c r="T612" s="1">
        <v>2017</v>
      </c>
      <c r="U612" s="1">
        <v>6</v>
      </c>
      <c r="V612" s="50">
        <v>42887</v>
      </c>
      <c r="W612" s="4">
        <v>2586.5500000000002</v>
      </c>
      <c r="X612" s="48">
        <v>3043</v>
      </c>
    </row>
    <row r="613" spans="2:24" x14ac:dyDescent="0.35">
      <c r="B613" s="8" t="s">
        <v>7</v>
      </c>
      <c r="C613" s="8" t="s">
        <v>48</v>
      </c>
      <c r="D613" s="8" t="s">
        <v>9</v>
      </c>
      <c r="E613" s="8" t="s">
        <v>0</v>
      </c>
      <c r="F613" s="8" t="s">
        <v>42</v>
      </c>
      <c r="G613" s="8">
        <v>2017</v>
      </c>
      <c r="H613" s="8">
        <v>6</v>
      </c>
      <c r="I613" s="10">
        <v>42887</v>
      </c>
      <c r="J613" s="11">
        <v>4377</v>
      </c>
      <c r="K613" s="51"/>
      <c r="O613" s="1" t="s">
        <v>7</v>
      </c>
      <c r="P613" s="1" t="s">
        <v>48</v>
      </c>
      <c r="Q613" s="1" t="s">
        <v>9</v>
      </c>
      <c r="R613" s="1" t="s">
        <v>0</v>
      </c>
      <c r="S613" s="1" t="s">
        <v>42</v>
      </c>
      <c r="T613" s="1">
        <v>2017</v>
      </c>
      <c r="U613" s="1">
        <v>6</v>
      </c>
      <c r="V613" s="50">
        <v>42887</v>
      </c>
      <c r="W613" s="4">
        <v>4070.6099999999997</v>
      </c>
      <c r="X613" s="48">
        <v>4377</v>
      </c>
    </row>
    <row r="614" spans="2:24" x14ac:dyDescent="0.35">
      <c r="B614" s="8" t="s">
        <v>7</v>
      </c>
      <c r="C614" s="8" t="s">
        <v>48</v>
      </c>
      <c r="D614" s="8" t="s">
        <v>9</v>
      </c>
      <c r="E614" s="8" t="s">
        <v>0</v>
      </c>
      <c r="F614" s="8" t="s">
        <v>26</v>
      </c>
      <c r="G614" s="8">
        <v>2017</v>
      </c>
      <c r="H614" s="8">
        <v>6</v>
      </c>
      <c r="I614" s="10">
        <v>42887</v>
      </c>
      <c r="J614" s="11">
        <v>4861</v>
      </c>
      <c r="K614" s="51"/>
      <c r="O614" s="1" t="s">
        <v>7</v>
      </c>
      <c r="P614" s="1" t="s">
        <v>48</v>
      </c>
      <c r="Q614" s="1" t="s">
        <v>9</v>
      </c>
      <c r="R614" s="1" t="s">
        <v>0</v>
      </c>
      <c r="S614" s="1" t="s">
        <v>26</v>
      </c>
      <c r="T614" s="1">
        <v>2017</v>
      </c>
      <c r="U614" s="1">
        <v>6</v>
      </c>
      <c r="V614" s="50">
        <v>42887</v>
      </c>
      <c r="W614" s="4">
        <v>4229.0700000000006</v>
      </c>
      <c r="X614" s="48">
        <v>4861</v>
      </c>
    </row>
    <row r="615" spans="2:24" x14ac:dyDescent="0.35">
      <c r="B615" s="8" t="s">
        <v>7</v>
      </c>
      <c r="C615" s="8" t="s">
        <v>49</v>
      </c>
      <c r="D615" s="8" t="s">
        <v>11</v>
      </c>
      <c r="E615" s="8" t="s">
        <v>0</v>
      </c>
      <c r="F615" s="8" t="s">
        <v>45</v>
      </c>
      <c r="G615" s="8">
        <v>2017</v>
      </c>
      <c r="H615" s="8">
        <v>6</v>
      </c>
      <c r="I615" s="10">
        <v>42887</v>
      </c>
      <c r="J615" s="11">
        <v>3584</v>
      </c>
      <c r="K615" s="51"/>
      <c r="O615" s="1" t="s">
        <v>7</v>
      </c>
      <c r="P615" s="1" t="s">
        <v>49</v>
      </c>
      <c r="Q615" s="1" t="s">
        <v>11</v>
      </c>
      <c r="R615" s="1" t="s">
        <v>0</v>
      </c>
      <c r="S615" s="1" t="s">
        <v>45</v>
      </c>
      <c r="T615" s="1">
        <v>2017</v>
      </c>
      <c r="U615" s="1">
        <v>6</v>
      </c>
      <c r="V615" s="50">
        <v>42887</v>
      </c>
      <c r="W615" s="4">
        <v>3118.0800000000004</v>
      </c>
      <c r="X615" s="48">
        <v>3584</v>
      </c>
    </row>
    <row r="616" spans="2:24" x14ac:dyDescent="0.35">
      <c r="B616" s="8" t="s">
        <v>7</v>
      </c>
      <c r="C616" s="8" t="s">
        <v>49</v>
      </c>
      <c r="D616" s="8" t="s">
        <v>11</v>
      </c>
      <c r="E616" s="8" t="s">
        <v>27</v>
      </c>
      <c r="F616" s="6" t="s">
        <v>28</v>
      </c>
      <c r="G616" s="8">
        <v>2017</v>
      </c>
      <c r="H616" s="8">
        <v>6</v>
      </c>
      <c r="I616" s="10">
        <v>42887</v>
      </c>
      <c r="J616" s="11">
        <v>5070</v>
      </c>
      <c r="K616" s="51"/>
      <c r="O616" s="1" t="s">
        <v>7</v>
      </c>
      <c r="P616" s="1" t="s">
        <v>49</v>
      </c>
      <c r="Q616" s="1" t="s">
        <v>11</v>
      </c>
      <c r="R616" s="1" t="s">
        <v>27</v>
      </c>
      <c r="S616" t="s">
        <v>28</v>
      </c>
      <c r="T616" s="1">
        <v>2017</v>
      </c>
      <c r="U616" s="1">
        <v>6</v>
      </c>
      <c r="V616" s="50">
        <v>42887</v>
      </c>
      <c r="W616" s="4">
        <v>4765.7999999999993</v>
      </c>
      <c r="X616" s="48">
        <v>5070</v>
      </c>
    </row>
    <row r="617" spans="2:24" x14ac:dyDescent="0.35">
      <c r="B617" s="8" t="s">
        <v>12</v>
      </c>
      <c r="C617" s="8" t="s">
        <v>34</v>
      </c>
      <c r="D617" s="8" t="s">
        <v>35</v>
      </c>
      <c r="E617" s="8" t="s">
        <v>27</v>
      </c>
      <c r="F617" s="6" t="s">
        <v>31</v>
      </c>
      <c r="G617" s="8">
        <v>2017</v>
      </c>
      <c r="H617" s="8">
        <v>6</v>
      </c>
      <c r="I617" s="10">
        <v>42887</v>
      </c>
      <c r="J617" s="11">
        <v>3197</v>
      </c>
      <c r="K617" s="51"/>
      <c r="O617" s="1" t="s">
        <v>12</v>
      </c>
      <c r="P617" s="1" t="s">
        <v>34</v>
      </c>
      <c r="Q617" s="1" t="s">
        <v>35</v>
      </c>
      <c r="R617" s="1" t="s">
        <v>27</v>
      </c>
      <c r="S617" t="s">
        <v>31</v>
      </c>
      <c r="T617" s="1">
        <v>2017</v>
      </c>
      <c r="U617" s="1">
        <v>6</v>
      </c>
      <c r="V617" s="50">
        <v>42887</v>
      </c>
      <c r="W617" s="4">
        <v>2781.3900000000003</v>
      </c>
      <c r="X617" s="48">
        <v>3197</v>
      </c>
    </row>
    <row r="618" spans="2:24" x14ac:dyDescent="0.35">
      <c r="B618" s="8" t="s">
        <v>12</v>
      </c>
      <c r="C618" s="8" t="s">
        <v>34</v>
      </c>
      <c r="D618" s="8" t="s">
        <v>35</v>
      </c>
      <c r="E618" s="8" t="s">
        <v>27</v>
      </c>
      <c r="F618" s="6" t="s">
        <v>33</v>
      </c>
      <c r="G618" s="8">
        <v>2017</v>
      </c>
      <c r="H618" s="8">
        <v>6</v>
      </c>
      <c r="I618" s="10">
        <v>42887</v>
      </c>
      <c r="J618" s="11">
        <v>2876</v>
      </c>
      <c r="K618" s="51"/>
      <c r="O618" s="1" t="s">
        <v>12</v>
      </c>
      <c r="P618" s="1" t="s">
        <v>34</v>
      </c>
      <c r="Q618" s="1" t="s">
        <v>35</v>
      </c>
      <c r="R618" s="1" t="s">
        <v>27</v>
      </c>
      <c r="S618" t="s">
        <v>33</v>
      </c>
      <c r="T618" s="1">
        <v>2017</v>
      </c>
      <c r="U618" s="1">
        <v>6</v>
      </c>
      <c r="V618" s="50">
        <v>42887</v>
      </c>
      <c r="W618" s="4">
        <v>2645.9199999999996</v>
      </c>
      <c r="X618" s="48">
        <v>2876</v>
      </c>
    </row>
    <row r="619" spans="2:24" x14ac:dyDescent="0.35">
      <c r="B619" s="8" t="s">
        <v>14</v>
      </c>
      <c r="C619" s="8" t="s">
        <v>37</v>
      </c>
      <c r="D619" s="8" t="s">
        <v>38</v>
      </c>
      <c r="E619" s="9" t="s">
        <v>23</v>
      </c>
      <c r="F619" s="9" t="s">
        <v>36</v>
      </c>
      <c r="G619" s="8">
        <v>2017</v>
      </c>
      <c r="H619" s="8">
        <v>6</v>
      </c>
      <c r="I619" s="10">
        <v>42887</v>
      </c>
      <c r="J619" s="11">
        <v>2841</v>
      </c>
      <c r="K619" s="51"/>
      <c r="O619" s="1" t="s">
        <v>14</v>
      </c>
      <c r="P619" s="1" t="s">
        <v>37</v>
      </c>
      <c r="Q619" s="1" t="s">
        <v>38</v>
      </c>
      <c r="R619" s="2" t="s">
        <v>23</v>
      </c>
      <c r="S619" s="2" t="s">
        <v>36</v>
      </c>
      <c r="T619" s="1">
        <v>2017</v>
      </c>
      <c r="U619" s="1">
        <v>6</v>
      </c>
      <c r="V619" s="50">
        <v>42887</v>
      </c>
      <c r="W619" s="4">
        <v>2670.54</v>
      </c>
      <c r="X619" s="48">
        <v>2841</v>
      </c>
    </row>
    <row r="620" spans="2:24" x14ac:dyDescent="0.35">
      <c r="B620" s="8" t="s">
        <v>12</v>
      </c>
      <c r="C620" s="8" t="s">
        <v>44</v>
      </c>
      <c r="D620" s="8" t="s">
        <v>13</v>
      </c>
      <c r="E620" s="8" t="s">
        <v>23</v>
      </c>
      <c r="F620" s="9" t="s">
        <v>39</v>
      </c>
      <c r="G620" s="8">
        <v>2017</v>
      </c>
      <c r="H620" s="8">
        <v>6</v>
      </c>
      <c r="I620" s="10">
        <v>42887</v>
      </c>
      <c r="J620" s="11">
        <v>2029</v>
      </c>
      <c r="K620" s="51"/>
      <c r="O620" s="1" t="s">
        <v>12</v>
      </c>
      <c r="P620" s="1" t="s">
        <v>44</v>
      </c>
      <c r="Q620" s="1" t="s">
        <v>13</v>
      </c>
      <c r="R620" s="1" t="s">
        <v>23</v>
      </c>
      <c r="S620" s="2" t="s">
        <v>39</v>
      </c>
      <c r="T620" s="1">
        <v>2017</v>
      </c>
      <c r="U620" s="1">
        <v>6</v>
      </c>
      <c r="V620" s="50">
        <v>42887</v>
      </c>
      <c r="W620" s="4">
        <v>1785.5199999999998</v>
      </c>
      <c r="X620" s="48">
        <v>2029</v>
      </c>
    </row>
    <row r="621" spans="2:24" x14ac:dyDescent="0.35">
      <c r="B621" s="8" t="s">
        <v>12</v>
      </c>
      <c r="C621" s="8" t="s">
        <v>44</v>
      </c>
      <c r="D621" s="8" t="s">
        <v>13</v>
      </c>
      <c r="E621" s="8" t="s">
        <v>0</v>
      </c>
      <c r="F621" s="6" t="s">
        <v>42</v>
      </c>
      <c r="G621" s="8">
        <v>2017</v>
      </c>
      <c r="H621" s="8">
        <v>6</v>
      </c>
      <c r="I621" s="10">
        <v>42887</v>
      </c>
      <c r="J621" s="11">
        <v>5037</v>
      </c>
      <c r="K621" s="51"/>
      <c r="O621" s="1" t="s">
        <v>12</v>
      </c>
      <c r="P621" s="1" t="s">
        <v>44</v>
      </c>
      <c r="Q621" s="1" t="s">
        <v>13</v>
      </c>
      <c r="R621" s="1" t="s">
        <v>0</v>
      </c>
      <c r="S621" t="s">
        <v>42</v>
      </c>
      <c r="T621" s="1">
        <v>2017</v>
      </c>
      <c r="U621" s="1">
        <v>6</v>
      </c>
      <c r="V621" s="50">
        <v>42887</v>
      </c>
      <c r="W621" s="4">
        <v>4684.41</v>
      </c>
      <c r="X621" s="48">
        <v>5037</v>
      </c>
    </row>
    <row r="622" spans="2:24" x14ac:dyDescent="0.35">
      <c r="B622" s="8" t="s">
        <v>14</v>
      </c>
      <c r="C622" s="8" t="s">
        <v>46</v>
      </c>
      <c r="D622" s="8" t="s">
        <v>47</v>
      </c>
      <c r="E622" s="8" t="s">
        <v>0</v>
      </c>
      <c r="F622" s="8" t="s">
        <v>26</v>
      </c>
      <c r="G622" s="8">
        <v>2017</v>
      </c>
      <c r="H622" s="8">
        <v>6</v>
      </c>
      <c r="I622" s="10">
        <v>42887</v>
      </c>
      <c r="J622" s="11">
        <v>2899</v>
      </c>
      <c r="K622" s="51"/>
      <c r="O622" s="1" t="s">
        <v>14</v>
      </c>
      <c r="P622" s="1" t="s">
        <v>46</v>
      </c>
      <c r="Q622" s="1" t="s">
        <v>47</v>
      </c>
      <c r="R622" s="1" t="s">
        <v>0</v>
      </c>
      <c r="S622" s="1" t="s">
        <v>26</v>
      </c>
      <c r="T622" s="1">
        <v>2017</v>
      </c>
      <c r="U622" s="1">
        <v>6</v>
      </c>
      <c r="V622" s="50">
        <v>42887</v>
      </c>
      <c r="W622" s="4">
        <v>2551.12</v>
      </c>
      <c r="X622" s="48">
        <v>2899</v>
      </c>
    </row>
    <row r="623" spans="2:24" x14ac:dyDescent="0.35">
      <c r="B623" s="8" t="s">
        <v>14</v>
      </c>
      <c r="C623" s="8" t="s">
        <v>46</v>
      </c>
      <c r="D623" s="8" t="s">
        <v>47</v>
      </c>
      <c r="E623" s="8" t="s">
        <v>0</v>
      </c>
      <c r="F623" s="8" t="s">
        <v>45</v>
      </c>
      <c r="G623" s="8">
        <v>2017</v>
      </c>
      <c r="H623" s="8">
        <v>6</v>
      </c>
      <c r="I623" s="10">
        <v>42887</v>
      </c>
      <c r="J623" s="11">
        <v>4387</v>
      </c>
      <c r="K623" s="51"/>
      <c r="O623" s="1" t="s">
        <v>14</v>
      </c>
      <c r="P623" s="1" t="s">
        <v>46</v>
      </c>
      <c r="Q623" s="1" t="s">
        <v>47</v>
      </c>
      <c r="R623" s="1" t="s">
        <v>0</v>
      </c>
      <c r="S623" s="1" t="s">
        <v>45</v>
      </c>
      <c r="T623" s="1">
        <v>2017</v>
      </c>
      <c r="U623" s="1">
        <v>6</v>
      </c>
      <c r="V623" s="50">
        <v>42887</v>
      </c>
      <c r="W623" s="4">
        <v>3992.1699999999996</v>
      </c>
      <c r="X623" s="48">
        <v>4387</v>
      </c>
    </row>
    <row r="624" spans="2:24" x14ac:dyDescent="0.35">
      <c r="B624" s="8" t="s">
        <v>3</v>
      </c>
      <c r="C624" s="8" t="s">
        <v>25</v>
      </c>
      <c r="D624" s="8" t="s">
        <v>4</v>
      </c>
      <c r="E624" s="8" t="s">
        <v>27</v>
      </c>
      <c r="F624" s="8" t="s">
        <v>33</v>
      </c>
      <c r="G624" s="8">
        <v>2017</v>
      </c>
      <c r="H624" s="8">
        <v>6</v>
      </c>
      <c r="I624" s="10">
        <v>42887</v>
      </c>
      <c r="J624" s="11">
        <v>3996</v>
      </c>
      <c r="K624" s="51"/>
      <c r="O624" s="1" t="s">
        <v>3</v>
      </c>
      <c r="P624" s="1" t="s">
        <v>25</v>
      </c>
      <c r="Q624" s="1" t="s">
        <v>4</v>
      </c>
      <c r="R624" s="1" t="s">
        <v>27</v>
      </c>
      <c r="S624" s="1" t="s">
        <v>33</v>
      </c>
      <c r="T624" s="1">
        <v>2017</v>
      </c>
      <c r="U624" s="1">
        <v>6</v>
      </c>
      <c r="V624" s="50">
        <v>42887</v>
      </c>
      <c r="W624" s="4">
        <v>3476.5200000000004</v>
      </c>
      <c r="X624" s="48">
        <v>3996</v>
      </c>
    </row>
    <row r="625" spans="2:24" x14ac:dyDescent="0.35">
      <c r="B625" s="8" t="s">
        <v>3</v>
      </c>
      <c r="C625" s="8" t="s">
        <v>25</v>
      </c>
      <c r="D625" s="8" t="s">
        <v>4</v>
      </c>
      <c r="E625" s="8" t="s">
        <v>23</v>
      </c>
      <c r="F625" s="6" t="s">
        <v>36</v>
      </c>
      <c r="G625" s="8">
        <v>2017</v>
      </c>
      <c r="H625" s="8">
        <v>6</v>
      </c>
      <c r="I625" s="10">
        <v>42887</v>
      </c>
      <c r="J625" s="11">
        <v>2869</v>
      </c>
      <c r="K625" s="51"/>
      <c r="O625" s="1" t="s">
        <v>3</v>
      </c>
      <c r="P625" s="1" t="s">
        <v>25</v>
      </c>
      <c r="Q625" s="1" t="s">
        <v>4</v>
      </c>
      <c r="R625" s="1" t="s">
        <v>23</v>
      </c>
      <c r="S625" t="s">
        <v>36</v>
      </c>
      <c r="T625" s="1">
        <v>2017</v>
      </c>
      <c r="U625" s="1">
        <v>6</v>
      </c>
      <c r="V625" s="50">
        <v>42887</v>
      </c>
      <c r="W625" s="4">
        <v>2496.0300000000002</v>
      </c>
      <c r="X625" s="48">
        <v>2869</v>
      </c>
    </row>
    <row r="626" spans="2:24" x14ac:dyDescent="0.35">
      <c r="B626" s="8" t="s">
        <v>6</v>
      </c>
      <c r="C626" s="8" t="s">
        <v>40</v>
      </c>
      <c r="D626" s="8" t="s">
        <v>41</v>
      </c>
      <c r="E626" s="8" t="s">
        <v>23</v>
      </c>
      <c r="F626" s="6" t="s">
        <v>39</v>
      </c>
      <c r="G626" s="8">
        <v>2017</v>
      </c>
      <c r="H626" s="8">
        <v>6</v>
      </c>
      <c r="I626" s="10">
        <v>42887</v>
      </c>
      <c r="J626" s="11">
        <v>2083</v>
      </c>
      <c r="K626" s="51"/>
      <c r="O626" s="1" t="s">
        <v>6</v>
      </c>
      <c r="P626" s="1" t="s">
        <v>40</v>
      </c>
      <c r="Q626" s="1" t="s">
        <v>41</v>
      </c>
      <c r="R626" s="1" t="s">
        <v>23</v>
      </c>
      <c r="S626" t="s">
        <v>39</v>
      </c>
      <c r="T626" s="1">
        <v>2017</v>
      </c>
      <c r="U626" s="1">
        <v>6</v>
      </c>
      <c r="V626" s="50">
        <v>42887</v>
      </c>
      <c r="W626" s="4">
        <v>1916.36</v>
      </c>
      <c r="X626" s="48">
        <v>2083</v>
      </c>
    </row>
    <row r="627" spans="2:24" x14ac:dyDescent="0.35">
      <c r="B627" s="8" t="s">
        <v>7</v>
      </c>
      <c r="C627" s="8" t="s">
        <v>48</v>
      </c>
      <c r="D627" s="8" t="s">
        <v>9</v>
      </c>
      <c r="E627" s="8" t="s">
        <v>0</v>
      </c>
      <c r="F627" s="6" t="s">
        <v>45</v>
      </c>
      <c r="G627" s="8">
        <v>2017</v>
      </c>
      <c r="H627" s="8">
        <v>6</v>
      </c>
      <c r="I627" s="10">
        <v>42887</v>
      </c>
      <c r="J627" s="11">
        <v>3506</v>
      </c>
      <c r="K627" s="51"/>
      <c r="O627" s="1" t="s">
        <v>7</v>
      </c>
      <c r="P627" s="1" t="s">
        <v>48</v>
      </c>
      <c r="Q627" s="1" t="s">
        <v>9</v>
      </c>
      <c r="R627" s="1" t="s">
        <v>0</v>
      </c>
      <c r="S627" t="s">
        <v>45</v>
      </c>
      <c r="T627" s="1">
        <v>2017</v>
      </c>
      <c r="U627" s="1">
        <v>6</v>
      </c>
      <c r="V627" s="50">
        <v>42887</v>
      </c>
      <c r="W627" s="4">
        <v>3155.3999999999996</v>
      </c>
      <c r="X627" s="48">
        <v>3506</v>
      </c>
    </row>
    <row r="628" spans="2:24" x14ac:dyDescent="0.35">
      <c r="B628" s="8" t="s">
        <v>7</v>
      </c>
      <c r="C628" s="8" t="s">
        <v>49</v>
      </c>
      <c r="D628" s="8" t="s">
        <v>11</v>
      </c>
      <c r="E628" s="9" t="s">
        <v>27</v>
      </c>
      <c r="F628" s="9" t="s">
        <v>31</v>
      </c>
      <c r="G628" s="8">
        <v>2017</v>
      </c>
      <c r="H628" s="8">
        <v>6</v>
      </c>
      <c r="I628" s="10">
        <v>42887</v>
      </c>
      <c r="J628" s="11">
        <v>5201</v>
      </c>
      <c r="K628" s="51"/>
      <c r="O628" s="1" t="s">
        <v>7</v>
      </c>
      <c r="P628" s="1" t="s">
        <v>49</v>
      </c>
      <c r="Q628" s="1" t="s">
        <v>11</v>
      </c>
      <c r="R628" s="2" t="s">
        <v>27</v>
      </c>
      <c r="S628" s="2" t="s">
        <v>31</v>
      </c>
      <c r="T628" s="1">
        <v>2017</v>
      </c>
      <c r="U628" s="1">
        <v>6</v>
      </c>
      <c r="V628" s="50">
        <v>42887</v>
      </c>
      <c r="W628" s="4">
        <v>4524.8700000000008</v>
      </c>
      <c r="X628" s="48">
        <v>5201</v>
      </c>
    </row>
    <row r="629" spans="2:24" x14ac:dyDescent="0.35">
      <c r="B629" s="8" t="s">
        <v>7</v>
      </c>
      <c r="C629" s="8" t="s">
        <v>43</v>
      </c>
      <c r="D629" s="8" t="s">
        <v>10</v>
      </c>
      <c r="E629" s="8" t="s">
        <v>27</v>
      </c>
      <c r="F629" s="9" t="s">
        <v>33</v>
      </c>
      <c r="G629" s="8">
        <v>2017</v>
      </c>
      <c r="H629" s="8">
        <v>6</v>
      </c>
      <c r="I629" s="10">
        <v>42887</v>
      </c>
      <c r="J629" s="11">
        <v>3699</v>
      </c>
      <c r="K629" s="51"/>
      <c r="O629" s="1" t="s">
        <v>7</v>
      </c>
      <c r="P629" s="1" t="s">
        <v>43</v>
      </c>
      <c r="Q629" s="1" t="s">
        <v>10</v>
      </c>
      <c r="R629" s="1" t="s">
        <v>27</v>
      </c>
      <c r="S629" s="2" t="s">
        <v>33</v>
      </c>
      <c r="T629" s="1">
        <v>2017</v>
      </c>
      <c r="U629" s="1">
        <v>6</v>
      </c>
      <c r="V629" s="50">
        <v>42887</v>
      </c>
      <c r="W629" s="4">
        <v>3477.06</v>
      </c>
      <c r="X629" s="48">
        <v>3699</v>
      </c>
    </row>
    <row r="630" spans="2:24" x14ac:dyDescent="0.35">
      <c r="B630" s="8" t="s">
        <v>7</v>
      </c>
      <c r="C630" s="8" t="s">
        <v>32</v>
      </c>
      <c r="D630" s="8" t="s">
        <v>8</v>
      </c>
      <c r="E630" s="8" t="s">
        <v>0</v>
      </c>
      <c r="F630" s="6" t="s">
        <v>45</v>
      </c>
      <c r="G630" s="8">
        <v>2017</v>
      </c>
      <c r="H630" s="8">
        <v>6</v>
      </c>
      <c r="I630" s="10">
        <v>42887</v>
      </c>
      <c r="J630" s="11">
        <v>4921</v>
      </c>
      <c r="K630" s="51"/>
      <c r="O630" s="1" t="s">
        <v>7</v>
      </c>
      <c r="P630" s="1" t="s">
        <v>32</v>
      </c>
      <c r="Q630" s="1" t="s">
        <v>8</v>
      </c>
      <c r="R630" s="1" t="s">
        <v>0</v>
      </c>
      <c r="S630" t="s">
        <v>45</v>
      </c>
      <c r="T630" s="1">
        <v>2017</v>
      </c>
      <c r="U630" s="1">
        <v>6</v>
      </c>
      <c r="V630" s="50">
        <v>42887</v>
      </c>
      <c r="W630" s="4">
        <v>4232.0600000000004</v>
      </c>
      <c r="X630" s="48">
        <v>4921</v>
      </c>
    </row>
    <row r="631" spans="2:24" x14ac:dyDescent="0.35">
      <c r="B631" s="8" t="s">
        <v>7</v>
      </c>
      <c r="C631" s="8" t="s">
        <v>48</v>
      </c>
      <c r="D631" s="8" t="s">
        <v>9</v>
      </c>
      <c r="E631" s="8" t="s">
        <v>23</v>
      </c>
      <c r="F631" s="8" t="s">
        <v>39</v>
      </c>
      <c r="G631" s="8">
        <v>2017</v>
      </c>
      <c r="H631" s="8">
        <v>6</v>
      </c>
      <c r="I631" s="10">
        <v>42887</v>
      </c>
      <c r="J631" s="11">
        <v>1965</v>
      </c>
      <c r="K631" s="51"/>
      <c r="O631" s="1" t="s">
        <v>7</v>
      </c>
      <c r="P631" s="1" t="s">
        <v>48</v>
      </c>
      <c r="Q631" s="1" t="s">
        <v>9</v>
      </c>
      <c r="R631" s="1" t="s">
        <v>23</v>
      </c>
      <c r="S631" s="1" t="s">
        <v>39</v>
      </c>
      <c r="T631" s="1">
        <v>2017</v>
      </c>
      <c r="U631" s="1">
        <v>6</v>
      </c>
      <c r="V631" s="50">
        <v>42887</v>
      </c>
      <c r="W631" s="4">
        <v>1827.4499999999998</v>
      </c>
      <c r="X631" s="48">
        <v>1965</v>
      </c>
    </row>
    <row r="632" spans="2:24" x14ac:dyDescent="0.35">
      <c r="B632" s="8" t="s">
        <v>7</v>
      </c>
      <c r="C632" s="8" t="s">
        <v>49</v>
      </c>
      <c r="D632" s="8" t="s">
        <v>11</v>
      </c>
      <c r="E632" s="8" t="s">
        <v>0</v>
      </c>
      <c r="F632" s="8" t="s">
        <v>26</v>
      </c>
      <c r="G632" s="8">
        <v>2017</v>
      </c>
      <c r="H632" s="8">
        <v>6</v>
      </c>
      <c r="I632" s="10">
        <v>42887</v>
      </c>
      <c r="J632" s="11">
        <v>2631</v>
      </c>
      <c r="K632" s="51"/>
      <c r="O632" s="1" t="s">
        <v>7</v>
      </c>
      <c r="P632" s="1" t="s">
        <v>49</v>
      </c>
      <c r="Q632" s="1" t="s">
        <v>11</v>
      </c>
      <c r="R632" s="1" t="s">
        <v>0</v>
      </c>
      <c r="S632" s="1" t="s">
        <v>26</v>
      </c>
      <c r="T632" s="1">
        <v>2017</v>
      </c>
      <c r="U632" s="1">
        <v>6</v>
      </c>
      <c r="V632" s="50">
        <v>42887</v>
      </c>
      <c r="W632" s="4">
        <v>2315.2799999999997</v>
      </c>
      <c r="X632" s="48">
        <v>2631</v>
      </c>
    </row>
    <row r="633" spans="2:24" x14ac:dyDescent="0.35">
      <c r="B633" s="8" t="s">
        <v>12</v>
      </c>
      <c r="C633" s="8" t="s">
        <v>34</v>
      </c>
      <c r="D633" s="8" t="s">
        <v>35</v>
      </c>
      <c r="E633" s="8" t="s">
        <v>27</v>
      </c>
      <c r="F633" s="8" t="s">
        <v>28</v>
      </c>
      <c r="G633" s="8">
        <v>2017</v>
      </c>
      <c r="H633" s="8">
        <v>6</v>
      </c>
      <c r="I633" s="10">
        <v>42887</v>
      </c>
      <c r="J633" s="11">
        <v>3849</v>
      </c>
      <c r="K633" s="51"/>
      <c r="O633" s="1" t="s">
        <v>12</v>
      </c>
      <c r="P633" s="1" t="s">
        <v>34</v>
      </c>
      <c r="Q633" s="1" t="s">
        <v>35</v>
      </c>
      <c r="R633" s="1" t="s">
        <v>27</v>
      </c>
      <c r="S633" s="1" t="s">
        <v>28</v>
      </c>
      <c r="T633" s="1">
        <v>2017</v>
      </c>
      <c r="U633" s="1">
        <v>6</v>
      </c>
      <c r="V633" s="50">
        <v>42887</v>
      </c>
      <c r="W633" s="4">
        <v>3271.6500000000005</v>
      </c>
      <c r="X633" s="48">
        <v>3849</v>
      </c>
    </row>
    <row r="634" spans="2:24" x14ac:dyDescent="0.35">
      <c r="B634" s="8" t="s">
        <v>14</v>
      </c>
      <c r="C634" s="8" t="s">
        <v>37</v>
      </c>
      <c r="D634" s="8" t="s">
        <v>38</v>
      </c>
      <c r="E634" s="8" t="s">
        <v>27</v>
      </c>
      <c r="F634" s="6" t="s">
        <v>33</v>
      </c>
      <c r="G634" s="8">
        <v>2017</v>
      </c>
      <c r="H634" s="8">
        <v>6</v>
      </c>
      <c r="I634" s="10">
        <v>42887</v>
      </c>
      <c r="J634" s="11">
        <v>3232</v>
      </c>
      <c r="K634" s="51"/>
      <c r="O634" s="1" t="s">
        <v>14</v>
      </c>
      <c r="P634" s="1" t="s">
        <v>37</v>
      </c>
      <c r="Q634" s="1" t="s">
        <v>38</v>
      </c>
      <c r="R634" s="1" t="s">
        <v>27</v>
      </c>
      <c r="S634" t="s">
        <v>33</v>
      </c>
      <c r="T634" s="1">
        <v>2017</v>
      </c>
      <c r="U634" s="1">
        <v>6</v>
      </c>
      <c r="V634" s="50">
        <v>42887</v>
      </c>
      <c r="W634" s="4">
        <v>2876.4799999999996</v>
      </c>
      <c r="X634" s="48">
        <v>3232</v>
      </c>
    </row>
    <row r="635" spans="2:24" x14ac:dyDescent="0.35">
      <c r="B635" s="8" t="s">
        <v>12</v>
      </c>
      <c r="C635" s="8" t="s">
        <v>44</v>
      </c>
      <c r="D635" s="8" t="s">
        <v>13</v>
      </c>
      <c r="E635" s="8" t="s">
        <v>23</v>
      </c>
      <c r="F635" s="6" t="s">
        <v>24</v>
      </c>
      <c r="G635" s="8">
        <v>2017</v>
      </c>
      <c r="H635" s="8">
        <v>6</v>
      </c>
      <c r="I635" s="10">
        <v>42887</v>
      </c>
      <c r="J635" s="11">
        <v>3196</v>
      </c>
      <c r="K635" s="51"/>
      <c r="O635" s="1" t="s">
        <v>12</v>
      </c>
      <c r="P635" s="1" t="s">
        <v>44</v>
      </c>
      <c r="Q635" s="1" t="s">
        <v>13</v>
      </c>
      <c r="R635" s="1" t="s">
        <v>23</v>
      </c>
      <c r="S635" t="s">
        <v>24</v>
      </c>
      <c r="T635" s="1">
        <v>2017</v>
      </c>
      <c r="U635" s="1">
        <v>6</v>
      </c>
      <c r="V635" s="50">
        <v>42887</v>
      </c>
      <c r="W635" s="4">
        <v>3004.24</v>
      </c>
      <c r="X635" s="48">
        <v>3196</v>
      </c>
    </row>
    <row r="636" spans="2:24" x14ac:dyDescent="0.35">
      <c r="B636" s="8" t="s">
        <v>14</v>
      </c>
      <c r="C636" s="8" t="s">
        <v>46</v>
      </c>
      <c r="D636" s="8" t="s">
        <v>47</v>
      </c>
      <c r="E636" s="8" t="s">
        <v>0</v>
      </c>
      <c r="F636" s="6" t="s">
        <v>42</v>
      </c>
      <c r="G636" s="8">
        <v>2017</v>
      </c>
      <c r="H636" s="8">
        <v>6</v>
      </c>
      <c r="I636" s="10">
        <v>42887</v>
      </c>
      <c r="J636" s="11">
        <v>4666</v>
      </c>
      <c r="K636" s="51"/>
      <c r="O636" s="1" t="s">
        <v>14</v>
      </c>
      <c r="P636" s="1" t="s">
        <v>46</v>
      </c>
      <c r="Q636" s="1" t="s">
        <v>47</v>
      </c>
      <c r="R636" s="1" t="s">
        <v>0</v>
      </c>
      <c r="S636" t="s">
        <v>42</v>
      </c>
      <c r="T636" s="1">
        <v>2017</v>
      </c>
      <c r="U636" s="1">
        <v>6</v>
      </c>
      <c r="V636" s="50">
        <v>42887</v>
      </c>
      <c r="W636" s="4">
        <v>4386.04</v>
      </c>
      <c r="X636" s="48">
        <v>4666</v>
      </c>
    </row>
    <row r="637" spans="2:24" x14ac:dyDescent="0.35">
      <c r="B637" s="8" t="s">
        <v>7</v>
      </c>
      <c r="C637" s="8" t="s">
        <v>48</v>
      </c>
      <c r="D637" s="8" t="s">
        <v>9</v>
      </c>
      <c r="E637" s="9" t="s">
        <v>27</v>
      </c>
      <c r="F637" s="9" t="s">
        <v>33</v>
      </c>
      <c r="G637" s="8">
        <v>2017</v>
      </c>
      <c r="H637" s="8">
        <v>6</v>
      </c>
      <c r="I637" s="10">
        <v>42887</v>
      </c>
      <c r="J637" s="11">
        <v>3059</v>
      </c>
      <c r="K637" s="51"/>
      <c r="O637" s="1" t="s">
        <v>7</v>
      </c>
      <c r="P637" s="1" t="s">
        <v>48</v>
      </c>
      <c r="Q637" s="1" t="s">
        <v>9</v>
      </c>
      <c r="R637" s="2" t="s">
        <v>27</v>
      </c>
      <c r="S637" s="2" t="s">
        <v>33</v>
      </c>
      <c r="T637" s="1">
        <v>2017</v>
      </c>
      <c r="U637" s="1">
        <v>6</v>
      </c>
      <c r="V637" s="50">
        <v>42887</v>
      </c>
      <c r="W637" s="4">
        <v>2753.1</v>
      </c>
      <c r="X637" s="48">
        <v>3059</v>
      </c>
    </row>
    <row r="638" spans="2:24" x14ac:dyDescent="0.35">
      <c r="B638" s="8" t="s">
        <v>7</v>
      </c>
      <c r="C638" s="8" t="s">
        <v>49</v>
      </c>
      <c r="D638" s="8" t="s">
        <v>11</v>
      </c>
      <c r="E638" s="8" t="s">
        <v>23</v>
      </c>
      <c r="F638" s="9" t="s">
        <v>24</v>
      </c>
      <c r="G638" s="8">
        <v>2017</v>
      </c>
      <c r="H638" s="8">
        <v>6</v>
      </c>
      <c r="I638" s="10">
        <v>42887</v>
      </c>
      <c r="J638" s="11">
        <v>2171</v>
      </c>
      <c r="K638" s="51"/>
      <c r="O638" s="1" t="s">
        <v>7</v>
      </c>
      <c r="P638" s="1" t="s">
        <v>49</v>
      </c>
      <c r="Q638" s="1" t="s">
        <v>11</v>
      </c>
      <c r="R638" s="1" t="s">
        <v>23</v>
      </c>
      <c r="S638" s="2" t="s">
        <v>24</v>
      </c>
      <c r="T638" s="1">
        <v>2017</v>
      </c>
      <c r="U638" s="1">
        <v>6</v>
      </c>
      <c r="V638" s="50">
        <v>42887</v>
      </c>
      <c r="W638" s="4">
        <v>2040.7399999999998</v>
      </c>
      <c r="X638" s="48">
        <v>2171</v>
      </c>
    </row>
    <row r="639" spans="2:24" x14ac:dyDescent="0.35">
      <c r="B639" s="8" t="s">
        <v>3</v>
      </c>
      <c r="C639" s="8" t="s">
        <v>22</v>
      </c>
      <c r="D639" s="8" t="s">
        <v>5</v>
      </c>
      <c r="E639" s="8" t="s">
        <v>23</v>
      </c>
      <c r="F639" s="6" t="s">
        <v>24</v>
      </c>
      <c r="G639" s="8">
        <v>2017</v>
      </c>
      <c r="H639" s="8">
        <v>7</v>
      </c>
      <c r="I639" s="10">
        <v>42917</v>
      </c>
      <c r="J639" s="11">
        <v>3005</v>
      </c>
      <c r="K639" s="51"/>
      <c r="O639" s="1" t="s">
        <v>3</v>
      </c>
      <c r="P639" s="1" t="s">
        <v>22</v>
      </c>
      <c r="Q639" s="1" t="s">
        <v>5</v>
      </c>
      <c r="R639" s="1" t="s">
        <v>23</v>
      </c>
      <c r="S639" t="s">
        <v>24</v>
      </c>
      <c r="T639" s="1">
        <v>2017</v>
      </c>
      <c r="U639" s="1">
        <v>7</v>
      </c>
      <c r="V639" s="50">
        <v>42917</v>
      </c>
      <c r="W639" s="4">
        <v>2764.6</v>
      </c>
      <c r="X639" s="48">
        <v>3005</v>
      </c>
    </row>
    <row r="640" spans="2:24" x14ac:dyDescent="0.35">
      <c r="B640" s="8" t="s">
        <v>3</v>
      </c>
      <c r="C640" s="8" t="s">
        <v>25</v>
      </c>
      <c r="D640" s="8" t="s">
        <v>4</v>
      </c>
      <c r="E640" s="8" t="s">
        <v>23</v>
      </c>
      <c r="F640" s="8" t="s">
        <v>24</v>
      </c>
      <c r="G640" s="8">
        <v>2017</v>
      </c>
      <c r="H640" s="8">
        <v>7</v>
      </c>
      <c r="I640" s="10">
        <v>42917</v>
      </c>
      <c r="J640" s="11">
        <v>1781</v>
      </c>
      <c r="K640" s="51"/>
      <c r="O640" s="1" t="s">
        <v>3</v>
      </c>
      <c r="P640" s="1" t="s">
        <v>25</v>
      </c>
      <c r="Q640" s="1" t="s">
        <v>4</v>
      </c>
      <c r="R640" s="1" t="s">
        <v>23</v>
      </c>
      <c r="S640" s="1" t="s">
        <v>24</v>
      </c>
      <c r="T640" s="1">
        <v>2017</v>
      </c>
      <c r="U640" s="1">
        <v>7</v>
      </c>
      <c r="V640" s="50">
        <v>42917</v>
      </c>
      <c r="W640" s="4">
        <v>1549.4700000000003</v>
      </c>
      <c r="X640" s="48">
        <v>1781</v>
      </c>
    </row>
    <row r="641" spans="2:24" x14ac:dyDescent="0.35">
      <c r="B641" s="8" t="s">
        <v>3</v>
      </c>
      <c r="C641" s="8" t="s">
        <v>25</v>
      </c>
      <c r="D641" s="8" t="s">
        <v>4</v>
      </c>
      <c r="E641" s="8" t="s">
        <v>0</v>
      </c>
      <c r="F641" s="8" t="s">
        <v>26</v>
      </c>
      <c r="G641" s="8">
        <v>2017</v>
      </c>
      <c r="H641" s="8">
        <v>7</v>
      </c>
      <c r="I641" s="10">
        <v>42917</v>
      </c>
      <c r="J641" s="11">
        <v>3711</v>
      </c>
      <c r="K641" s="51"/>
      <c r="O641" s="1" t="s">
        <v>3</v>
      </c>
      <c r="P641" s="1" t="s">
        <v>25</v>
      </c>
      <c r="Q641" s="1" t="s">
        <v>4</v>
      </c>
      <c r="R641" s="1" t="s">
        <v>0</v>
      </c>
      <c r="S641" s="1" t="s">
        <v>26</v>
      </c>
      <c r="T641" s="1">
        <v>2017</v>
      </c>
      <c r="U641" s="1">
        <v>7</v>
      </c>
      <c r="V641" s="50">
        <v>42917</v>
      </c>
      <c r="W641" s="4">
        <v>3154.3500000000004</v>
      </c>
      <c r="X641" s="48">
        <v>3711</v>
      </c>
    </row>
    <row r="642" spans="2:24" x14ac:dyDescent="0.35">
      <c r="B642" s="8" t="s">
        <v>3</v>
      </c>
      <c r="C642" s="8" t="s">
        <v>22</v>
      </c>
      <c r="D642" s="8" t="s">
        <v>5</v>
      </c>
      <c r="E642" s="8" t="s">
        <v>0</v>
      </c>
      <c r="F642" s="8" t="s">
        <v>26</v>
      </c>
      <c r="G642" s="8">
        <v>2017</v>
      </c>
      <c r="H642" s="8">
        <v>7</v>
      </c>
      <c r="I642" s="10">
        <v>42917</v>
      </c>
      <c r="J642" s="11">
        <v>4344</v>
      </c>
      <c r="K642" s="51"/>
      <c r="O642" s="1" t="s">
        <v>3</v>
      </c>
      <c r="P642" s="1" t="s">
        <v>22</v>
      </c>
      <c r="Q642" s="1" t="s">
        <v>5</v>
      </c>
      <c r="R642" s="1" t="s">
        <v>0</v>
      </c>
      <c r="S642" s="1" t="s">
        <v>26</v>
      </c>
      <c r="T642" s="1">
        <v>2017</v>
      </c>
      <c r="U642" s="1">
        <v>7</v>
      </c>
      <c r="V642" s="50">
        <v>42917</v>
      </c>
      <c r="W642" s="4">
        <v>3692.4000000000005</v>
      </c>
      <c r="X642" s="48">
        <v>4344</v>
      </c>
    </row>
    <row r="643" spans="2:24" x14ac:dyDescent="0.35">
      <c r="B643" s="8" t="s">
        <v>3</v>
      </c>
      <c r="C643" s="8" t="s">
        <v>22</v>
      </c>
      <c r="D643" s="8" t="s">
        <v>5</v>
      </c>
      <c r="E643" s="8" t="s">
        <v>27</v>
      </c>
      <c r="F643" s="6" t="s">
        <v>28</v>
      </c>
      <c r="G643" s="8">
        <v>2017</v>
      </c>
      <c r="H643" s="8">
        <v>7</v>
      </c>
      <c r="I643" s="10">
        <v>42917</v>
      </c>
      <c r="J643" s="11">
        <v>3460</v>
      </c>
      <c r="K643" s="51"/>
      <c r="O643" s="1" t="s">
        <v>3</v>
      </c>
      <c r="P643" s="1" t="s">
        <v>22</v>
      </c>
      <c r="Q643" s="1" t="s">
        <v>5</v>
      </c>
      <c r="R643" s="1" t="s">
        <v>27</v>
      </c>
      <c r="S643" t="s">
        <v>28</v>
      </c>
      <c r="T643" s="1">
        <v>2017</v>
      </c>
      <c r="U643" s="1">
        <v>7</v>
      </c>
      <c r="V643" s="50">
        <v>42917</v>
      </c>
      <c r="W643" s="4">
        <v>3044.7999999999997</v>
      </c>
      <c r="X643" s="48">
        <v>3460</v>
      </c>
    </row>
    <row r="644" spans="2:24" x14ac:dyDescent="0.35">
      <c r="B644" s="8" t="s">
        <v>6</v>
      </c>
      <c r="C644" s="8" t="s">
        <v>29</v>
      </c>
      <c r="D644" s="8" t="s">
        <v>30</v>
      </c>
      <c r="E644" s="8" t="s">
        <v>27</v>
      </c>
      <c r="F644" s="6" t="s">
        <v>31</v>
      </c>
      <c r="G644" s="8">
        <v>2017</v>
      </c>
      <c r="H644" s="8">
        <v>7</v>
      </c>
      <c r="I644" s="10">
        <v>42917</v>
      </c>
      <c r="J644" s="11">
        <v>4828</v>
      </c>
      <c r="K644" s="51"/>
      <c r="O644" s="1" t="s">
        <v>6</v>
      </c>
      <c r="P644" s="1" t="s">
        <v>29</v>
      </c>
      <c r="Q644" s="1" t="s">
        <v>30</v>
      </c>
      <c r="R644" s="1" t="s">
        <v>27</v>
      </c>
      <c r="S644" t="s">
        <v>31</v>
      </c>
      <c r="T644" s="1">
        <v>2017</v>
      </c>
      <c r="U644" s="1">
        <v>7</v>
      </c>
      <c r="V644" s="50">
        <v>42917</v>
      </c>
      <c r="W644" s="4">
        <v>4248.6399999999994</v>
      </c>
      <c r="X644" s="48">
        <v>4828</v>
      </c>
    </row>
    <row r="645" spans="2:24" x14ac:dyDescent="0.35">
      <c r="B645" s="8" t="s">
        <v>7</v>
      </c>
      <c r="C645" s="8" t="s">
        <v>32</v>
      </c>
      <c r="D645" s="8" t="s">
        <v>8</v>
      </c>
      <c r="E645" s="8" t="s">
        <v>27</v>
      </c>
      <c r="F645" s="6" t="s">
        <v>33</v>
      </c>
      <c r="G645" s="8">
        <v>2017</v>
      </c>
      <c r="H645" s="8">
        <v>7</v>
      </c>
      <c r="I645" s="10">
        <v>42917</v>
      </c>
      <c r="J645" s="11">
        <v>3740</v>
      </c>
      <c r="K645" s="51"/>
      <c r="O645" s="1" t="s">
        <v>7</v>
      </c>
      <c r="P645" s="1" t="s">
        <v>32</v>
      </c>
      <c r="Q645" s="1" t="s">
        <v>8</v>
      </c>
      <c r="R645" s="1" t="s">
        <v>27</v>
      </c>
      <c r="S645" t="s">
        <v>33</v>
      </c>
      <c r="T645" s="1">
        <v>2017</v>
      </c>
      <c r="U645" s="1">
        <v>7</v>
      </c>
      <c r="V645" s="50">
        <v>42917</v>
      </c>
      <c r="W645" s="4">
        <v>3328.5999999999995</v>
      </c>
      <c r="X645" s="48">
        <v>3740</v>
      </c>
    </row>
    <row r="646" spans="2:24" x14ac:dyDescent="0.35">
      <c r="B646" s="8" t="s">
        <v>12</v>
      </c>
      <c r="C646" s="8" t="s">
        <v>34</v>
      </c>
      <c r="D646" s="8" t="s">
        <v>35</v>
      </c>
      <c r="E646" s="9" t="s">
        <v>23</v>
      </c>
      <c r="F646" s="9" t="s">
        <v>36</v>
      </c>
      <c r="G646" s="8">
        <v>2017</v>
      </c>
      <c r="H646" s="8">
        <v>7</v>
      </c>
      <c r="I646" s="10">
        <v>42917</v>
      </c>
      <c r="J646" s="11">
        <v>2448</v>
      </c>
      <c r="K646" s="51"/>
      <c r="O646" s="1" t="s">
        <v>12</v>
      </c>
      <c r="P646" s="1" t="s">
        <v>34</v>
      </c>
      <c r="Q646" s="1" t="s">
        <v>35</v>
      </c>
      <c r="R646" s="2" t="s">
        <v>23</v>
      </c>
      <c r="S646" s="2" t="s">
        <v>36</v>
      </c>
      <c r="T646" s="1">
        <v>2017</v>
      </c>
      <c r="U646" s="1">
        <v>7</v>
      </c>
      <c r="V646" s="50">
        <v>42917</v>
      </c>
      <c r="W646" s="4">
        <v>2154.2399999999998</v>
      </c>
      <c r="X646" s="48">
        <v>2448</v>
      </c>
    </row>
    <row r="647" spans="2:24" x14ac:dyDescent="0.35">
      <c r="B647" s="8" t="s">
        <v>14</v>
      </c>
      <c r="C647" s="8" t="s">
        <v>37</v>
      </c>
      <c r="D647" s="8" t="s">
        <v>38</v>
      </c>
      <c r="E647" s="8" t="s">
        <v>23</v>
      </c>
      <c r="F647" s="9" t="s">
        <v>24</v>
      </c>
      <c r="G647" s="8">
        <v>2017</v>
      </c>
      <c r="H647" s="8">
        <v>7</v>
      </c>
      <c r="I647" s="10">
        <v>42917</v>
      </c>
      <c r="J647" s="11">
        <v>2855</v>
      </c>
      <c r="K647" s="51"/>
      <c r="O647" s="1" t="s">
        <v>14</v>
      </c>
      <c r="P647" s="1" t="s">
        <v>37</v>
      </c>
      <c r="Q647" s="1" t="s">
        <v>38</v>
      </c>
      <c r="R647" s="1" t="s">
        <v>23</v>
      </c>
      <c r="S647" s="2" t="s">
        <v>24</v>
      </c>
      <c r="T647" s="1">
        <v>2017</v>
      </c>
      <c r="U647" s="1">
        <v>7</v>
      </c>
      <c r="V647" s="50">
        <v>42917</v>
      </c>
      <c r="W647" s="4">
        <v>2512.3999999999996</v>
      </c>
      <c r="X647" s="48">
        <v>2855</v>
      </c>
    </row>
    <row r="648" spans="2:24" x14ac:dyDescent="0.35">
      <c r="B648" s="8" t="s">
        <v>3</v>
      </c>
      <c r="C648" s="8" t="s">
        <v>25</v>
      </c>
      <c r="D648" s="8" t="s">
        <v>4</v>
      </c>
      <c r="E648" s="8" t="s">
        <v>23</v>
      </c>
      <c r="F648" s="6" t="s">
        <v>39</v>
      </c>
      <c r="G648" s="8">
        <v>2017</v>
      </c>
      <c r="H648" s="8">
        <v>7</v>
      </c>
      <c r="I648" s="10">
        <v>42917</v>
      </c>
      <c r="J648" s="11">
        <v>2802</v>
      </c>
      <c r="K648" s="51"/>
      <c r="O648" s="1" t="s">
        <v>3</v>
      </c>
      <c r="P648" s="1" t="s">
        <v>25</v>
      </c>
      <c r="Q648" s="1" t="s">
        <v>4</v>
      </c>
      <c r="R648" s="1" t="s">
        <v>23</v>
      </c>
      <c r="S648" t="s">
        <v>39</v>
      </c>
      <c r="T648" s="1">
        <v>2017</v>
      </c>
      <c r="U648" s="1">
        <v>7</v>
      </c>
      <c r="V648" s="50">
        <v>42917</v>
      </c>
      <c r="W648" s="4">
        <v>2437.7400000000002</v>
      </c>
      <c r="X648" s="48">
        <v>2802</v>
      </c>
    </row>
    <row r="649" spans="2:24" x14ac:dyDescent="0.35">
      <c r="B649" s="8" t="s">
        <v>6</v>
      </c>
      <c r="C649" s="8" t="s">
        <v>40</v>
      </c>
      <c r="D649" s="8" t="s">
        <v>41</v>
      </c>
      <c r="E649" s="8" t="s">
        <v>0</v>
      </c>
      <c r="F649" s="8" t="s">
        <v>42</v>
      </c>
      <c r="G649" s="8">
        <v>2017</v>
      </c>
      <c r="H649" s="8">
        <v>7</v>
      </c>
      <c r="I649" s="10">
        <v>42917</v>
      </c>
      <c r="J649" s="11">
        <v>4534</v>
      </c>
      <c r="K649" s="51"/>
      <c r="O649" s="1" t="s">
        <v>6</v>
      </c>
      <c r="P649" s="1" t="s">
        <v>40</v>
      </c>
      <c r="Q649" s="1" t="s">
        <v>41</v>
      </c>
      <c r="R649" s="1" t="s">
        <v>0</v>
      </c>
      <c r="S649" s="1" t="s">
        <v>42</v>
      </c>
      <c r="T649" s="1">
        <v>2017</v>
      </c>
      <c r="U649" s="1">
        <v>7</v>
      </c>
      <c r="V649" s="50">
        <v>42917</v>
      </c>
      <c r="W649" s="4">
        <v>3853.9000000000005</v>
      </c>
      <c r="X649" s="48">
        <v>4534</v>
      </c>
    </row>
    <row r="650" spans="2:24" x14ac:dyDescent="0.35">
      <c r="B650" s="8" t="s">
        <v>7</v>
      </c>
      <c r="C650" s="8" t="s">
        <v>43</v>
      </c>
      <c r="D650" s="8" t="s">
        <v>10</v>
      </c>
      <c r="E650" s="8" t="s">
        <v>0</v>
      </c>
      <c r="F650" s="8" t="s">
        <v>26</v>
      </c>
      <c r="G650" s="8">
        <v>2017</v>
      </c>
      <c r="H650" s="8">
        <v>7</v>
      </c>
      <c r="I650" s="10">
        <v>42917</v>
      </c>
      <c r="J650" s="11">
        <v>5582</v>
      </c>
      <c r="K650" s="51"/>
      <c r="O650" s="1" t="s">
        <v>7</v>
      </c>
      <c r="P650" s="1" t="s">
        <v>43</v>
      </c>
      <c r="Q650" s="1" t="s">
        <v>10</v>
      </c>
      <c r="R650" s="1" t="s">
        <v>0</v>
      </c>
      <c r="S650" s="1" t="s">
        <v>26</v>
      </c>
      <c r="T650" s="1">
        <v>2017</v>
      </c>
      <c r="U650" s="1">
        <v>7</v>
      </c>
      <c r="V650" s="50">
        <v>42917</v>
      </c>
      <c r="W650" s="4">
        <v>4856.34</v>
      </c>
      <c r="X650" s="48">
        <v>5582</v>
      </c>
    </row>
    <row r="651" spans="2:24" x14ac:dyDescent="0.35">
      <c r="B651" s="8" t="s">
        <v>12</v>
      </c>
      <c r="C651" s="8" t="s">
        <v>44</v>
      </c>
      <c r="D651" s="8" t="s">
        <v>13</v>
      </c>
      <c r="E651" s="8" t="s">
        <v>0</v>
      </c>
      <c r="F651" s="8" t="s">
        <v>45</v>
      </c>
      <c r="G651" s="8">
        <v>2017</v>
      </c>
      <c r="H651" s="8">
        <v>7</v>
      </c>
      <c r="I651" s="10">
        <v>42917</v>
      </c>
      <c r="J651" s="11">
        <v>2226</v>
      </c>
      <c r="K651" s="51"/>
      <c r="O651" s="1" t="s">
        <v>12</v>
      </c>
      <c r="P651" s="1" t="s">
        <v>44</v>
      </c>
      <c r="Q651" s="1" t="s">
        <v>13</v>
      </c>
      <c r="R651" s="1" t="s">
        <v>0</v>
      </c>
      <c r="S651" s="1" t="s">
        <v>45</v>
      </c>
      <c r="T651" s="1">
        <v>2017</v>
      </c>
      <c r="U651" s="1">
        <v>7</v>
      </c>
      <c r="V651" s="50">
        <v>42917</v>
      </c>
      <c r="W651" s="4">
        <v>1936.6200000000003</v>
      </c>
      <c r="X651" s="48">
        <v>2226</v>
      </c>
    </row>
    <row r="652" spans="2:24" x14ac:dyDescent="0.35">
      <c r="B652" s="8" t="s">
        <v>14</v>
      </c>
      <c r="C652" s="8" t="s">
        <v>46</v>
      </c>
      <c r="D652" s="8" t="s">
        <v>47</v>
      </c>
      <c r="E652" s="8" t="s">
        <v>27</v>
      </c>
      <c r="F652" s="6" t="s">
        <v>28</v>
      </c>
      <c r="G652" s="8">
        <v>2017</v>
      </c>
      <c r="H652" s="8">
        <v>7</v>
      </c>
      <c r="I652" s="10">
        <v>42917</v>
      </c>
      <c r="J652" s="11">
        <v>4456</v>
      </c>
      <c r="K652" s="51"/>
      <c r="O652" s="1" t="s">
        <v>14</v>
      </c>
      <c r="P652" s="1" t="s">
        <v>46</v>
      </c>
      <c r="Q652" s="1" t="s">
        <v>47</v>
      </c>
      <c r="R652" s="1" t="s">
        <v>27</v>
      </c>
      <c r="S652" t="s">
        <v>28</v>
      </c>
      <c r="T652" s="1">
        <v>2017</v>
      </c>
      <c r="U652" s="1">
        <v>7</v>
      </c>
      <c r="V652" s="50">
        <v>42917</v>
      </c>
      <c r="W652" s="4">
        <v>4099.5199999999995</v>
      </c>
      <c r="X652" s="48">
        <v>4456</v>
      </c>
    </row>
    <row r="653" spans="2:24" x14ac:dyDescent="0.35">
      <c r="B653" s="8" t="s">
        <v>3</v>
      </c>
      <c r="C653" s="8" t="s">
        <v>22</v>
      </c>
      <c r="D653" s="8" t="s">
        <v>5</v>
      </c>
      <c r="E653" s="8" t="s">
        <v>27</v>
      </c>
      <c r="F653" s="6" t="s">
        <v>31</v>
      </c>
      <c r="G653" s="8">
        <v>2017</v>
      </c>
      <c r="H653" s="8">
        <v>7</v>
      </c>
      <c r="I653" s="10">
        <v>42917</v>
      </c>
      <c r="J653" s="11">
        <v>3766</v>
      </c>
      <c r="K653" s="51"/>
      <c r="O653" s="1" t="s">
        <v>3</v>
      </c>
      <c r="P653" s="1" t="s">
        <v>22</v>
      </c>
      <c r="Q653" s="1" t="s">
        <v>5</v>
      </c>
      <c r="R653" s="1" t="s">
        <v>27</v>
      </c>
      <c r="S653" t="s">
        <v>31</v>
      </c>
      <c r="T653" s="1">
        <v>2017</v>
      </c>
      <c r="U653" s="1">
        <v>7</v>
      </c>
      <c r="V653" s="50">
        <v>42917</v>
      </c>
      <c r="W653" s="4">
        <v>3314.0799999999995</v>
      </c>
      <c r="X653" s="48">
        <v>3766</v>
      </c>
    </row>
    <row r="654" spans="2:24" x14ac:dyDescent="0.35">
      <c r="B654" s="8" t="s">
        <v>6</v>
      </c>
      <c r="C654" s="8" t="s">
        <v>29</v>
      </c>
      <c r="D654" s="8" t="s">
        <v>30</v>
      </c>
      <c r="E654" s="8" t="s">
        <v>27</v>
      </c>
      <c r="F654" s="6" t="s">
        <v>33</v>
      </c>
      <c r="G654" s="8">
        <v>2017</v>
      </c>
      <c r="H654" s="8">
        <v>7</v>
      </c>
      <c r="I654" s="10">
        <v>42917</v>
      </c>
      <c r="J654" s="11">
        <v>3873</v>
      </c>
      <c r="K654" s="51"/>
      <c r="O654" s="1" t="s">
        <v>6</v>
      </c>
      <c r="P654" s="1" t="s">
        <v>29</v>
      </c>
      <c r="Q654" s="1" t="s">
        <v>30</v>
      </c>
      <c r="R654" s="1" t="s">
        <v>27</v>
      </c>
      <c r="S654" t="s">
        <v>33</v>
      </c>
      <c r="T654" s="1">
        <v>2017</v>
      </c>
      <c r="U654" s="1">
        <v>7</v>
      </c>
      <c r="V654" s="50">
        <v>42917</v>
      </c>
      <c r="W654" s="4">
        <v>3369.51</v>
      </c>
      <c r="X654" s="48">
        <v>3873</v>
      </c>
    </row>
    <row r="655" spans="2:24" x14ac:dyDescent="0.35">
      <c r="B655" s="8" t="s">
        <v>7</v>
      </c>
      <c r="C655" s="8" t="s">
        <v>32</v>
      </c>
      <c r="D655" s="8" t="s">
        <v>8</v>
      </c>
      <c r="E655" s="9" t="s">
        <v>23</v>
      </c>
      <c r="F655" s="9" t="s">
        <v>36</v>
      </c>
      <c r="G655" s="8">
        <v>2017</v>
      </c>
      <c r="H655" s="8">
        <v>7</v>
      </c>
      <c r="I655" s="10">
        <v>42917</v>
      </c>
      <c r="J655" s="11">
        <v>1876</v>
      </c>
      <c r="K655" s="51"/>
      <c r="O655" s="1" t="s">
        <v>7</v>
      </c>
      <c r="P655" s="1" t="s">
        <v>32</v>
      </c>
      <c r="Q655" s="1" t="s">
        <v>8</v>
      </c>
      <c r="R655" s="2" t="s">
        <v>23</v>
      </c>
      <c r="S655" s="2" t="s">
        <v>36</v>
      </c>
      <c r="T655" s="1">
        <v>2017</v>
      </c>
      <c r="U655" s="1">
        <v>7</v>
      </c>
      <c r="V655" s="50">
        <v>42917</v>
      </c>
      <c r="W655" s="4">
        <v>1707.1599999999999</v>
      </c>
      <c r="X655" s="48">
        <v>1876</v>
      </c>
    </row>
    <row r="656" spans="2:24" x14ac:dyDescent="0.35">
      <c r="B656" s="8" t="s">
        <v>12</v>
      </c>
      <c r="C656" s="8" t="s">
        <v>34</v>
      </c>
      <c r="D656" s="8" t="s">
        <v>35</v>
      </c>
      <c r="E656" s="8" t="s">
        <v>23</v>
      </c>
      <c r="F656" s="9" t="s">
        <v>24</v>
      </c>
      <c r="G656" s="8">
        <v>2017</v>
      </c>
      <c r="H656" s="8">
        <v>7</v>
      </c>
      <c r="I656" s="10">
        <v>42917</v>
      </c>
      <c r="J656" s="11">
        <v>2135</v>
      </c>
      <c r="K656" s="51"/>
      <c r="O656" s="1" t="s">
        <v>12</v>
      </c>
      <c r="P656" s="1" t="s">
        <v>34</v>
      </c>
      <c r="Q656" s="1" t="s">
        <v>35</v>
      </c>
      <c r="R656" s="1" t="s">
        <v>23</v>
      </c>
      <c r="S656" s="2" t="s">
        <v>24</v>
      </c>
      <c r="T656" s="1">
        <v>2017</v>
      </c>
      <c r="U656" s="1">
        <v>7</v>
      </c>
      <c r="V656" s="50">
        <v>42917</v>
      </c>
      <c r="W656" s="4">
        <v>1836.1000000000001</v>
      </c>
      <c r="X656" s="48">
        <v>2135</v>
      </c>
    </row>
    <row r="657" spans="2:24" x14ac:dyDescent="0.35">
      <c r="B657" s="8" t="s">
        <v>14</v>
      </c>
      <c r="C657" s="8" t="s">
        <v>37</v>
      </c>
      <c r="D657" s="8" t="s">
        <v>38</v>
      </c>
      <c r="E657" s="8" t="s">
        <v>23</v>
      </c>
      <c r="F657" s="6" t="s">
        <v>39</v>
      </c>
      <c r="G657" s="8">
        <v>2017</v>
      </c>
      <c r="H657" s="8">
        <v>7</v>
      </c>
      <c r="I657" s="10">
        <v>42917</v>
      </c>
      <c r="J657" s="11">
        <v>1683</v>
      </c>
      <c r="K657" s="51"/>
      <c r="O657" s="1" t="s">
        <v>14</v>
      </c>
      <c r="P657" s="1" t="s">
        <v>37</v>
      </c>
      <c r="Q657" s="1" t="s">
        <v>38</v>
      </c>
      <c r="R657" s="1" t="s">
        <v>23</v>
      </c>
      <c r="S657" t="s">
        <v>39</v>
      </c>
      <c r="T657" s="1">
        <v>2017</v>
      </c>
      <c r="U657" s="1">
        <v>7</v>
      </c>
      <c r="V657" s="50">
        <v>42917</v>
      </c>
      <c r="W657" s="4">
        <v>1514.6999999999998</v>
      </c>
      <c r="X657" s="48">
        <v>1683</v>
      </c>
    </row>
    <row r="658" spans="2:24" x14ac:dyDescent="0.35">
      <c r="B658" s="8" t="s">
        <v>3</v>
      </c>
      <c r="C658" s="8" t="s">
        <v>25</v>
      </c>
      <c r="D658" s="8" t="s">
        <v>4</v>
      </c>
      <c r="E658" s="8" t="s">
        <v>0</v>
      </c>
      <c r="F658" s="8" t="s">
        <v>42</v>
      </c>
      <c r="G658" s="8">
        <v>2017</v>
      </c>
      <c r="H658" s="8">
        <v>7</v>
      </c>
      <c r="I658" s="10">
        <v>42917</v>
      </c>
      <c r="J658" s="11">
        <v>6262</v>
      </c>
      <c r="K658" s="51"/>
      <c r="O658" s="1" t="s">
        <v>3</v>
      </c>
      <c r="P658" s="1" t="s">
        <v>25</v>
      </c>
      <c r="Q658" s="1" t="s">
        <v>4</v>
      </c>
      <c r="R658" s="1" t="s">
        <v>0</v>
      </c>
      <c r="S658" s="1" t="s">
        <v>42</v>
      </c>
      <c r="T658" s="1">
        <v>2017</v>
      </c>
      <c r="U658" s="1">
        <v>7</v>
      </c>
      <c r="V658" s="50">
        <v>42917</v>
      </c>
      <c r="W658" s="4">
        <v>5635.7999999999993</v>
      </c>
      <c r="X658" s="48">
        <v>6262</v>
      </c>
    </row>
    <row r="659" spans="2:24" x14ac:dyDescent="0.35">
      <c r="B659" s="8" t="s">
        <v>6</v>
      </c>
      <c r="C659" s="8" t="s">
        <v>40</v>
      </c>
      <c r="D659" s="8" t="s">
        <v>41</v>
      </c>
      <c r="E659" s="8" t="s">
        <v>0</v>
      </c>
      <c r="F659" s="8" t="s">
        <v>26</v>
      </c>
      <c r="G659" s="8">
        <v>2017</v>
      </c>
      <c r="H659" s="8">
        <v>7</v>
      </c>
      <c r="I659" s="10">
        <v>42917</v>
      </c>
      <c r="J659" s="11">
        <v>5506</v>
      </c>
      <c r="K659" s="51"/>
      <c r="O659" s="1" t="s">
        <v>6</v>
      </c>
      <c r="P659" s="1" t="s">
        <v>40</v>
      </c>
      <c r="Q659" s="1" t="s">
        <v>41</v>
      </c>
      <c r="R659" s="1" t="s">
        <v>0</v>
      </c>
      <c r="S659" s="1" t="s">
        <v>26</v>
      </c>
      <c r="T659" s="1">
        <v>2017</v>
      </c>
      <c r="U659" s="1">
        <v>7</v>
      </c>
      <c r="V659" s="50">
        <v>42917</v>
      </c>
      <c r="W659" s="4">
        <v>5010.4599999999991</v>
      </c>
      <c r="X659" s="48">
        <v>5506</v>
      </c>
    </row>
    <row r="660" spans="2:24" x14ac:dyDescent="0.35">
      <c r="B660" s="8" t="s">
        <v>7</v>
      </c>
      <c r="C660" s="8" t="s">
        <v>43</v>
      </c>
      <c r="D660" s="8" t="s">
        <v>10</v>
      </c>
      <c r="E660" s="8" t="s">
        <v>0</v>
      </c>
      <c r="F660" s="8" t="s">
        <v>45</v>
      </c>
      <c r="G660" s="8">
        <v>2017</v>
      </c>
      <c r="H660" s="8">
        <v>7</v>
      </c>
      <c r="I660" s="10">
        <v>42917</v>
      </c>
      <c r="J660" s="11">
        <v>3148</v>
      </c>
      <c r="K660" s="51"/>
      <c r="O660" s="1" t="s">
        <v>7</v>
      </c>
      <c r="P660" s="1" t="s">
        <v>43</v>
      </c>
      <c r="Q660" s="1" t="s">
        <v>10</v>
      </c>
      <c r="R660" s="1" t="s">
        <v>0</v>
      </c>
      <c r="S660" s="1" t="s">
        <v>45</v>
      </c>
      <c r="T660" s="1">
        <v>2017</v>
      </c>
      <c r="U660" s="1">
        <v>7</v>
      </c>
      <c r="V660" s="50">
        <v>42917</v>
      </c>
      <c r="W660" s="4">
        <v>2738.76</v>
      </c>
      <c r="X660" s="48">
        <v>3148</v>
      </c>
    </row>
    <row r="661" spans="2:24" x14ac:dyDescent="0.35">
      <c r="B661" s="8" t="s">
        <v>12</v>
      </c>
      <c r="C661" s="8" t="s">
        <v>44</v>
      </c>
      <c r="D661" s="8" t="s">
        <v>13</v>
      </c>
      <c r="E661" s="8" t="s">
        <v>27</v>
      </c>
      <c r="F661" s="6" t="s">
        <v>28</v>
      </c>
      <c r="G661" s="8">
        <v>2017</v>
      </c>
      <c r="H661" s="8">
        <v>7</v>
      </c>
      <c r="I661" s="10">
        <v>42917</v>
      </c>
      <c r="J661" s="11">
        <v>4163</v>
      </c>
      <c r="K661" s="51"/>
      <c r="O661" s="1" t="s">
        <v>12</v>
      </c>
      <c r="P661" s="1" t="s">
        <v>44</v>
      </c>
      <c r="Q661" s="1" t="s">
        <v>13</v>
      </c>
      <c r="R661" s="1" t="s">
        <v>27</v>
      </c>
      <c r="S661" t="s">
        <v>28</v>
      </c>
      <c r="T661" s="1">
        <v>2017</v>
      </c>
      <c r="U661" s="1">
        <v>7</v>
      </c>
      <c r="V661" s="50">
        <v>42917</v>
      </c>
      <c r="W661" s="4">
        <v>3913.22</v>
      </c>
      <c r="X661" s="48">
        <v>4163</v>
      </c>
    </row>
    <row r="662" spans="2:24" x14ac:dyDescent="0.35">
      <c r="B662" s="8" t="s">
        <v>14</v>
      </c>
      <c r="C662" s="8" t="s">
        <v>46</v>
      </c>
      <c r="D662" s="8" t="s">
        <v>47</v>
      </c>
      <c r="E662" s="8" t="s">
        <v>27</v>
      </c>
      <c r="F662" s="6" t="s">
        <v>31</v>
      </c>
      <c r="G662" s="8">
        <v>2017</v>
      </c>
      <c r="H662" s="8">
        <v>7</v>
      </c>
      <c r="I662" s="10">
        <v>42917</v>
      </c>
      <c r="J662" s="11">
        <v>4157</v>
      </c>
      <c r="K662" s="51"/>
      <c r="O662" s="1" t="s">
        <v>14</v>
      </c>
      <c r="P662" s="1" t="s">
        <v>46</v>
      </c>
      <c r="Q662" s="1" t="s">
        <v>47</v>
      </c>
      <c r="R662" s="1" t="s">
        <v>27</v>
      </c>
      <c r="S662" t="s">
        <v>31</v>
      </c>
      <c r="T662" s="1">
        <v>2017</v>
      </c>
      <c r="U662" s="1">
        <v>7</v>
      </c>
      <c r="V662" s="50">
        <v>42917</v>
      </c>
      <c r="W662" s="4">
        <v>3533.4500000000003</v>
      </c>
      <c r="X662" s="48">
        <v>4157</v>
      </c>
    </row>
    <row r="663" spans="2:24" x14ac:dyDescent="0.35">
      <c r="B663" s="8" t="s">
        <v>3</v>
      </c>
      <c r="C663" s="8" t="s">
        <v>22</v>
      </c>
      <c r="D663" s="8" t="s">
        <v>5</v>
      </c>
      <c r="E663" s="8" t="s">
        <v>27</v>
      </c>
      <c r="F663" s="6" t="s">
        <v>33</v>
      </c>
      <c r="G663" s="8">
        <v>2017</v>
      </c>
      <c r="H663" s="8">
        <v>7</v>
      </c>
      <c r="I663" s="10">
        <v>42917</v>
      </c>
      <c r="J663" s="11">
        <v>3072</v>
      </c>
      <c r="K663" s="51"/>
      <c r="O663" s="1" t="s">
        <v>3</v>
      </c>
      <c r="P663" s="1" t="s">
        <v>22</v>
      </c>
      <c r="Q663" s="1" t="s">
        <v>5</v>
      </c>
      <c r="R663" s="1" t="s">
        <v>27</v>
      </c>
      <c r="S663" t="s">
        <v>33</v>
      </c>
      <c r="T663" s="1">
        <v>2017</v>
      </c>
      <c r="U663" s="1">
        <v>7</v>
      </c>
      <c r="V663" s="50">
        <v>42917</v>
      </c>
      <c r="W663" s="4">
        <v>2672.6400000000003</v>
      </c>
      <c r="X663" s="48">
        <v>3072</v>
      </c>
    </row>
    <row r="664" spans="2:24" x14ac:dyDescent="0.35">
      <c r="B664" s="8" t="s">
        <v>6</v>
      </c>
      <c r="C664" s="8" t="s">
        <v>29</v>
      </c>
      <c r="D664" s="8" t="s">
        <v>30</v>
      </c>
      <c r="E664" s="9" t="s">
        <v>23</v>
      </c>
      <c r="F664" s="9" t="s">
        <v>36</v>
      </c>
      <c r="G664" s="8">
        <v>2017</v>
      </c>
      <c r="H664" s="8">
        <v>7</v>
      </c>
      <c r="I664" s="10">
        <v>42917</v>
      </c>
      <c r="J664" s="11">
        <v>1894</v>
      </c>
      <c r="K664" s="51"/>
      <c r="O664" s="1" t="s">
        <v>6</v>
      </c>
      <c r="P664" s="1" t="s">
        <v>29</v>
      </c>
      <c r="Q664" s="1" t="s">
        <v>30</v>
      </c>
      <c r="R664" s="2" t="s">
        <v>23</v>
      </c>
      <c r="S664" s="2" t="s">
        <v>36</v>
      </c>
      <c r="T664" s="1">
        <v>2017</v>
      </c>
      <c r="U664" s="1">
        <v>7</v>
      </c>
      <c r="V664" s="50">
        <v>42917</v>
      </c>
      <c r="W664" s="4">
        <v>1685.6599999999999</v>
      </c>
      <c r="X664" s="48">
        <v>1894</v>
      </c>
    </row>
    <row r="665" spans="2:24" x14ac:dyDescent="0.35">
      <c r="B665" s="8" t="s">
        <v>7</v>
      </c>
      <c r="C665" s="8" t="s">
        <v>32</v>
      </c>
      <c r="D665" s="8" t="s">
        <v>8</v>
      </c>
      <c r="E665" s="8" t="s">
        <v>23</v>
      </c>
      <c r="F665" s="9" t="s">
        <v>24</v>
      </c>
      <c r="G665" s="8">
        <v>2017</v>
      </c>
      <c r="H665" s="8">
        <v>7</v>
      </c>
      <c r="I665" s="10">
        <v>42917</v>
      </c>
      <c r="J665" s="11">
        <v>2901</v>
      </c>
      <c r="K665" s="51"/>
      <c r="O665" s="1" t="s">
        <v>7</v>
      </c>
      <c r="P665" s="1" t="s">
        <v>32</v>
      </c>
      <c r="Q665" s="1" t="s">
        <v>8</v>
      </c>
      <c r="R665" s="1" t="s">
        <v>23</v>
      </c>
      <c r="S665" s="2" t="s">
        <v>24</v>
      </c>
      <c r="T665" s="1">
        <v>2017</v>
      </c>
      <c r="U665" s="1">
        <v>7</v>
      </c>
      <c r="V665" s="50">
        <v>42917</v>
      </c>
      <c r="W665" s="4">
        <v>2610.8999999999996</v>
      </c>
      <c r="X665" s="48">
        <v>2901</v>
      </c>
    </row>
    <row r="666" spans="2:24" x14ac:dyDescent="0.35">
      <c r="B666" s="8" t="s">
        <v>12</v>
      </c>
      <c r="C666" s="8" t="s">
        <v>34</v>
      </c>
      <c r="D666" s="8" t="s">
        <v>35</v>
      </c>
      <c r="E666" s="8" t="s">
        <v>23</v>
      </c>
      <c r="F666" s="6" t="s">
        <v>39</v>
      </c>
      <c r="G666" s="8">
        <v>2017</v>
      </c>
      <c r="H666" s="8">
        <v>7</v>
      </c>
      <c r="I666" s="10">
        <v>42917</v>
      </c>
      <c r="J666" s="11">
        <v>1959</v>
      </c>
      <c r="K666" s="51"/>
      <c r="O666" s="1" t="s">
        <v>12</v>
      </c>
      <c r="P666" s="1" t="s">
        <v>34</v>
      </c>
      <c r="Q666" s="1" t="s">
        <v>35</v>
      </c>
      <c r="R666" s="1" t="s">
        <v>23</v>
      </c>
      <c r="S666" t="s">
        <v>39</v>
      </c>
      <c r="T666" s="1">
        <v>2017</v>
      </c>
      <c r="U666" s="1">
        <v>7</v>
      </c>
      <c r="V666" s="50">
        <v>42917</v>
      </c>
      <c r="W666" s="4">
        <v>1665.15</v>
      </c>
      <c r="X666" s="48">
        <v>1959</v>
      </c>
    </row>
    <row r="667" spans="2:24" x14ac:dyDescent="0.35">
      <c r="B667" s="8" t="s">
        <v>14</v>
      </c>
      <c r="C667" s="8" t="s">
        <v>37</v>
      </c>
      <c r="D667" s="8" t="s">
        <v>38</v>
      </c>
      <c r="E667" s="8" t="s">
        <v>0</v>
      </c>
      <c r="F667" s="8" t="s">
        <v>42</v>
      </c>
      <c r="G667" s="8">
        <v>2017</v>
      </c>
      <c r="H667" s="8">
        <v>7</v>
      </c>
      <c r="I667" s="10">
        <v>42917</v>
      </c>
      <c r="J667" s="11">
        <v>6147</v>
      </c>
      <c r="K667" s="51"/>
      <c r="O667" s="1" t="s">
        <v>14</v>
      </c>
      <c r="P667" s="1" t="s">
        <v>37</v>
      </c>
      <c r="Q667" s="1" t="s">
        <v>38</v>
      </c>
      <c r="R667" s="1" t="s">
        <v>0</v>
      </c>
      <c r="S667" s="1" t="s">
        <v>42</v>
      </c>
      <c r="T667" s="1">
        <v>2017</v>
      </c>
      <c r="U667" s="1">
        <v>7</v>
      </c>
      <c r="V667" s="50">
        <v>42917</v>
      </c>
      <c r="W667" s="4">
        <v>5532.2999999999993</v>
      </c>
      <c r="X667" s="48">
        <v>6147</v>
      </c>
    </row>
    <row r="668" spans="2:24" x14ac:dyDescent="0.35">
      <c r="B668" s="8" t="s">
        <v>6</v>
      </c>
      <c r="C668" s="8" t="s">
        <v>29</v>
      </c>
      <c r="D668" s="8" t="s">
        <v>30</v>
      </c>
      <c r="E668" s="8" t="s">
        <v>0</v>
      </c>
      <c r="F668" s="8" t="s">
        <v>45</v>
      </c>
      <c r="G668" s="8">
        <v>2017</v>
      </c>
      <c r="H668" s="8">
        <v>7</v>
      </c>
      <c r="I668" s="10">
        <v>42917</v>
      </c>
      <c r="J668" s="11">
        <v>3041</v>
      </c>
      <c r="K668" s="51"/>
      <c r="O668" s="1" t="s">
        <v>6</v>
      </c>
      <c r="P668" s="1" t="s">
        <v>29</v>
      </c>
      <c r="Q668" s="1" t="s">
        <v>30</v>
      </c>
      <c r="R668" s="1" t="s">
        <v>0</v>
      </c>
      <c r="S668" s="1" t="s">
        <v>45</v>
      </c>
      <c r="T668" s="1">
        <v>2017</v>
      </c>
      <c r="U668" s="1">
        <v>7</v>
      </c>
      <c r="V668" s="50">
        <v>42917</v>
      </c>
      <c r="W668" s="4">
        <v>2858.54</v>
      </c>
      <c r="X668" s="48">
        <v>3041</v>
      </c>
    </row>
    <row r="669" spans="2:24" x14ac:dyDescent="0.35">
      <c r="B669" s="8" t="s">
        <v>7</v>
      </c>
      <c r="C669" s="8" t="s">
        <v>43</v>
      </c>
      <c r="D669" s="8" t="s">
        <v>10</v>
      </c>
      <c r="E669" s="8" t="s">
        <v>27</v>
      </c>
      <c r="F669" s="8" t="s">
        <v>28</v>
      </c>
      <c r="G669" s="8">
        <v>2017</v>
      </c>
      <c r="H669" s="8">
        <v>7</v>
      </c>
      <c r="I669" s="10">
        <v>42917</v>
      </c>
      <c r="J669" s="11">
        <v>3578</v>
      </c>
      <c r="K669" s="51"/>
      <c r="O669" s="1" t="s">
        <v>7</v>
      </c>
      <c r="P669" s="1" t="s">
        <v>43</v>
      </c>
      <c r="Q669" s="1" t="s">
        <v>10</v>
      </c>
      <c r="R669" s="1" t="s">
        <v>27</v>
      </c>
      <c r="S669" s="1" t="s">
        <v>28</v>
      </c>
      <c r="T669" s="1">
        <v>2017</v>
      </c>
      <c r="U669" s="1">
        <v>7</v>
      </c>
      <c r="V669" s="50">
        <v>42917</v>
      </c>
      <c r="W669" s="4">
        <v>3112.8600000000006</v>
      </c>
      <c r="X669" s="48">
        <v>3578</v>
      </c>
    </row>
    <row r="670" spans="2:24" x14ac:dyDescent="0.35">
      <c r="B670" s="8" t="s">
        <v>12</v>
      </c>
      <c r="C670" s="8" t="s">
        <v>44</v>
      </c>
      <c r="D670" s="8" t="s">
        <v>13</v>
      </c>
      <c r="E670" s="8" t="s">
        <v>27</v>
      </c>
      <c r="F670" s="6" t="s">
        <v>31</v>
      </c>
      <c r="G670" s="8">
        <v>2017</v>
      </c>
      <c r="H670" s="8">
        <v>7</v>
      </c>
      <c r="I670" s="10">
        <v>42917</v>
      </c>
      <c r="J670" s="11">
        <v>4646</v>
      </c>
      <c r="K670" s="51"/>
      <c r="O670" s="1" t="s">
        <v>12</v>
      </c>
      <c r="P670" s="1" t="s">
        <v>44</v>
      </c>
      <c r="Q670" s="1" t="s">
        <v>13</v>
      </c>
      <c r="R670" s="1" t="s">
        <v>27</v>
      </c>
      <c r="S670" t="s">
        <v>31</v>
      </c>
      <c r="T670" s="1">
        <v>2017</v>
      </c>
      <c r="U670" s="1">
        <v>7</v>
      </c>
      <c r="V670" s="50">
        <v>42917</v>
      </c>
      <c r="W670" s="4">
        <v>4181.3999999999996</v>
      </c>
      <c r="X670" s="48">
        <v>4646</v>
      </c>
    </row>
    <row r="671" spans="2:24" x14ac:dyDescent="0.35">
      <c r="B671" s="8" t="s">
        <v>14</v>
      </c>
      <c r="C671" s="8" t="s">
        <v>46</v>
      </c>
      <c r="D671" s="8" t="s">
        <v>47</v>
      </c>
      <c r="E671" s="8" t="s">
        <v>27</v>
      </c>
      <c r="F671" s="6" t="s">
        <v>33</v>
      </c>
      <c r="G671" s="8">
        <v>2017</v>
      </c>
      <c r="H671" s="8">
        <v>7</v>
      </c>
      <c r="I671" s="10">
        <v>42917</v>
      </c>
      <c r="J671" s="11">
        <v>4026</v>
      </c>
      <c r="K671" s="51"/>
      <c r="O671" s="1" t="s">
        <v>14</v>
      </c>
      <c r="P671" s="1" t="s">
        <v>46</v>
      </c>
      <c r="Q671" s="1" t="s">
        <v>47</v>
      </c>
      <c r="R671" s="1" t="s">
        <v>27</v>
      </c>
      <c r="S671" t="s">
        <v>33</v>
      </c>
      <c r="T671" s="1">
        <v>2017</v>
      </c>
      <c r="U671" s="1">
        <v>7</v>
      </c>
      <c r="V671" s="50">
        <v>42917</v>
      </c>
      <c r="W671" s="4">
        <v>3542.8799999999997</v>
      </c>
      <c r="X671" s="48">
        <v>4026</v>
      </c>
    </row>
    <row r="672" spans="2:24" x14ac:dyDescent="0.35">
      <c r="B672" s="8" t="s">
        <v>3</v>
      </c>
      <c r="C672" s="8" t="s">
        <v>22</v>
      </c>
      <c r="D672" s="8" t="s">
        <v>5</v>
      </c>
      <c r="E672" s="8" t="s">
        <v>23</v>
      </c>
      <c r="F672" s="6" t="s">
        <v>36</v>
      </c>
      <c r="G672" s="8">
        <v>2017</v>
      </c>
      <c r="H672" s="8">
        <v>7</v>
      </c>
      <c r="I672" s="10">
        <v>42917</v>
      </c>
      <c r="J672" s="11">
        <v>1715</v>
      </c>
      <c r="K672" s="51"/>
      <c r="O672" s="1" t="s">
        <v>3</v>
      </c>
      <c r="P672" s="1" t="s">
        <v>22</v>
      </c>
      <c r="Q672" s="1" t="s">
        <v>5</v>
      </c>
      <c r="R672" s="1" t="s">
        <v>23</v>
      </c>
      <c r="S672" t="s">
        <v>36</v>
      </c>
      <c r="T672" s="1">
        <v>2017</v>
      </c>
      <c r="U672" s="1">
        <v>7</v>
      </c>
      <c r="V672" s="50">
        <v>42917</v>
      </c>
      <c r="W672" s="4">
        <v>1543.4999999999998</v>
      </c>
      <c r="X672" s="48">
        <v>1715</v>
      </c>
    </row>
    <row r="673" spans="2:24" x14ac:dyDescent="0.35">
      <c r="B673" s="8" t="s">
        <v>6</v>
      </c>
      <c r="C673" s="8" t="s">
        <v>40</v>
      </c>
      <c r="D673" s="8" t="s">
        <v>41</v>
      </c>
      <c r="E673" s="9" t="s">
        <v>23</v>
      </c>
      <c r="F673" s="9" t="s">
        <v>24</v>
      </c>
      <c r="G673" s="8">
        <v>2017</v>
      </c>
      <c r="H673" s="8">
        <v>7</v>
      </c>
      <c r="I673" s="10">
        <v>42917</v>
      </c>
      <c r="J673" s="11">
        <v>2529</v>
      </c>
      <c r="K673" s="51"/>
      <c r="O673" s="1" t="s">
        <v>6</v>
      </c>
      <c r="P673" s="1" t="s">
        <v>40</v>
      </c>
      <c r="Q673" s="1" t="s">
        <v>41</v>
      </c>
      <c r="R673" s="2" t="s">
        <v>23</v>
      </c>
      <c r="S673" s="2" t="s">
        <v>24</v>
      </c>
      <c r="T673" s="1">
        <v>2017</v>
      </c>
      <c r="U673" s="1">
        <v>7</v>
      </c>
      <c r="V673" s="50">
        <v>42917</v>
      </c>
      <c r="W673" s="4">
        <v>2326.6799999999998</v>
      </c>
      <c r="X673" s="48">
        <v>2529</v>
      </c>
    </row>
    <row r="674" spans="2:24" x14ac:dyDescent="0.35">
      <c r="B674" s="8" t="s">
        <v>7</v>
      </c>
      <c r="C674" s="8" t="s">
        <v>32</v>
      </c>
      <c r="D674" s="8" t="s">
        <v>8</v>
      </c>
      <c r="E674" s="8" t="s">
        <v>23</v>
      </c>
      <c r="F674" s="9" t="s">
        <v>39</v>
      </c>
      <c r="G674" s="8">
        <v>2017</v>
      </c>
      <c r="H674" s="8">
        <v>7</v>
      </c>
      <c r="I674" s="10">
        <v>42917</v>
      </c>
      <c r="J674" s="11">
        <v>2321</v>
      </c>
      <c r="K674" s="51"/>
      <c r="O674" s="1" t="s">
        <v>7</v>
      </c>
      <c r="P674" s="1" t="s">
        <v>32</v>
      </c>
      <c r="Q674" s="1" t="s">
        <v>8</v>
      </c>
      <c r="R674" s="1" t="s">
        <v>23</v>
      </c>
      <c r="S674" s="2" t="s">
        <v>39</v>
      </c>
      <c r="T674" s="1">
        <v>2017</v>
      </c>
      <c r="U674" s="1">
        <v>7</v>
      </c>
      <c r="V674" s="50">
        <v>42917</v>
      </c>
      <c r="W674" s="4">
        <v>2112.1099999999997</v>
      </c>
      <c r="X674" s="48">
        <v>2321</v>
      </c>
    </row>
    <row r="675" spans="2:24" x14ac:dyDescent="0.35">
      <c r="B675" s="8" t="s">
        <v>12</v>
      </c>
      <c r="C675" s="8" t="s">
        <v>34</v>
      </c>
      <c r="D675" s="8" t="s">
        <v>35</v>
      </c>
      <c r="E675" s="8" t="s">
        <v>0</v>
      </c>
      <c r="F675" s="6" t="s">
        <v>42</v>
      </c>
      <c r="G675" s="8">
        <v>2017</v>
      </c>
      <c r="H675" s="8">
        <v>7</v>
      </c>
      <c r="I675" s="10">
        <v>42917</v>
      </c>
      <c r="J675" s="11">
        <v>6554</v>
      </c>
      <c r="K675" s="51"/>
      <c r="O675" s="1" t="s">
        <v>12</v>
      </c>
      <c r="P675" s="1" t="s">
        <v>34</v>
      </c>
      <c r="Q675" s="1" t="s">
        <v>35</v>
      </c>
      <c r="R675" s="1" t="s">
        <v>0</v>
      </c>
      <c r="S675" t="s">
        <v>42</v>
      </c>
      <c r="T675" s="1">
        <v>2017</v>
      </c>
      <c r="U675" s="1">
        <v>7</v>
      </c>
      <c r="V675" s="50">
        <v>42917</v>
      </c>
      <c r="W675" s="4">
        <v>5701.9800000000005</v>
      </c>
      <c r="X675" s="48">
        <v>6554</v>
      </c>
    </row>
    <row r="676" spans="2:24" x14ac:dyDescent="0.35">
      <c r="B676" s="8" t="s">
        <v>14</v>
      </c>
      <c r="C676" s="8" t="s">
        <v>37</v>
      </c>
      <c r="D676" s="8" t="s">
        <v>38</v>
      </c>
      <c r="E676" s="8" t="s">
        <v>0</v>
      </c>
      <c r="F676" s="8" t="s">
        <v>26</v>
      </c>
      <c r="G676" s="8">
        <v>2017</v>
      </c>
      <c r="H676" s="8">
        <v>7</v>
      </c>
      <c r="I676" s="10">
        <v>42917</v>
      </c>
      <c r="J676" s="11">
        <v>3470</v>
      </c>
      <c r="K676" s="51"/>
      <c r="O676" s="1" t="s">
        <v>14</v>
      </c>
      <c r="P676" s="1" t="s">
        <v>37</v>
      </c>
      <c r="Q676" s="1" t="s">
        <v>38</v>
      </c>
      <c r="R676" s="1" t="s">
        <v>0</v>
      </c>
      <c r="S676" s="1" t="s">
        <v>26</v>
      </c>
      <c r="T676" s="1">
        <v>2017</v>
      </c>
      <c r="U676" s="1">
        <v>7</v>
      </c>
      <c r="V676" s="50">
        <v>42917</v>
      </c>
      <c r="W676" s="4">
        <v>2984.2000000000003</v>
      </c>
      <c r="X676" s="48">
        <v>3470</v>
      </c>
    </row>
    <row r="677" spans="2:24" x14ac:dyDescent="0.35">
      <c r="B677" s="8" t="s">
        <v>3</v>
      </c>
      <c r="C677" s="8" t="s">
        <v>25</v>
      </c>
      <c r="D677" s="8" t="s">
        <v>4</v>
      </c>
      <c r="E677" s="8" t="s">
        <v>0</v>
      </c>
      <c r="F677" s="8" t="s">
        <v>45</v>
      </c>
      <c r="G677" s="8">
        <v>2017</v>
      </c>
      <c r="H677" s="8">
        <v>7</v>
      </c>
      <c r="I677" s="10">
        <v>42917</v>
      </c>
      <c r="J677" s="11">
        <v>2141</v>
      </c>
      <c r="K677" s="51"/>
      <c r="O677" s="1" t="s">
        <v>3</v>
      </c>
      <c r="P677" s="1" t="s">
        <v>25</v>
      </c>
      <c r="Q677" s="1" t="s">
        <v>4</v>
      </c>
      <c r="R677" s="1" t="s">
        <v>0</v>
      </c>
      <c r="S677" s="1" t="s">
        <v>45</v>
      </c>
      <c r="T677" s="1">
        <v>2017</v>
      </c>
      <c r="U677" s="1">
        <v>7</v>
      </c>
      <c r="V677" s="50">
        <v>42917</v>
      </c>
      <c r="W677" s="4">
        <v>1905.4899999999998</v>
      </c>
      <c r="X677" s="48">
        <v>2141</v>
      </c>
    </row>
    <row r="678" spans="2:24" x14ac:dyDescent="0.35">
      <c r="B678" s="8" t="s">
        <v>6</v>
      </c>
      <c r="C678" s="8" t="s">
        <v>29</v>
      </c>
      <c r="D678" s="8" t="s">
        <v>30</v>
      </c>
      <c r="E678" s="8" t="s">
        <v>27</v>
      </c>
      <c r="F678" s="8" t="s">
        <v>28</v>
      </c>
      <c r="G678" s="8">
        <v>2017</v>
      </c>
      <c r="H678" s="8">
        <v>7</v>
      </c>
      <c r="I678" s="10">
        <v>42917</v>
      </c>
      <c r="J678" s="11">
        <v>3203</v>
      </c>
      <c r="K678" s="51"/>
      <c r="O678" s="1" t="s">
        <v>6</v>
      </c>
      <c r="P678" s="1" t="s">
        <v>29</v>
      </c>
      <c r="Q678" s="1" t="s">
        <v>30</v>
      </c>
      <c r="R678" s="1" t="s">
        <v>27</v>
      </c>
      <c r="S678" s="1" t="s">
        <v>28</v>
      </c>
      <c r="T678" s="1">
        <v>2017</v>
      </c>
      <c r="U678" s="1">
        <v>7</v>
      </c>
      <c r="V678" s="50">
        <v>42917</v>
      </c>
      <c r="W678" s="4">
        <v>2818.6399999999994</v>
      </c>
      <c r="X678" s="48">
        <v>3203</v>
      </c>
    </row>
    <row r="679" spans="2:24" x14ac:dyDescent="0.35">
      <c r="B679" s="8" t="s">
        <v>7</v>
      </c>
      <c r="C679" s="8" t="s">
        <v>43</v>
      </c>
      <c r="D679" s="8" t="s">
        <v>10</v>
      </c>
      <c r="E679" s="8" t="s">
        <v>27</v>
      </c>
      <c r="F679" s="6" t="s">
        <v>31</v>
      </c>
      <c r="G679" s="8">
        <v>2017</v>
      </c>
      <c r="H679" s="8">
        <v>7</v>
      </c>
      <c r="I679" s="10">
        <v>42917</v>
      </c>
      <c r="J679" s="11">
        <v>3294</v>
      </c>
      <c r="K679" s="51"/>
      <c r="O679" s="1" t="s">
        <v>7</v>
      </c>
      <c r="P679" s="1" t="s">
        <v>43</v>
      </c>
      <c r="Q679" s="1" t="s">
        <v>10</v>
      </c>
      <c r="R679" s="1" t="s">
        <v>27</v>
      </c>
      <c r="S679" t="s">
        <v>31</v>
      </c>
      <c r="T679" s="1">
        <v>2017</v>
      </c>
      <c r="U679" s="1">
        <v>7</v>
      </c>
      <c r="V679" s="50">
        <v>42917</v>
      </c>
      <c r="W679" s="4">
        <v>2964.5999999999995</v>
      </c>
      <c r="X679" s="48">
        <v>3294</v>
      </c>
    </row>
    <row r="680" spans="2:24" x14ac:dyDescent="0.35">
      <c r="B680" s="8" t="s">
        <v>12</v>
      </c>
      <c r="C680" s="8" t="s">
        <v>44</v>
      </c>
      <c r="D680" s="8" t="s">
        <v>13</v>
      </c>
      <c r="E680" s="8" t="s">
        <v>27</v>
      </c>
      <c r="F680" s="6" t="s">
        <v>33</v>
      </c>
      <c r="G680" s="8">
        <v>2017</v>
      </c>
      <c r="H680" s="8">
        <v>7</v>
      </c>
      <c r="I680" s="10">
        <v>42917</v>
      </c>
      <c r="J680" s="11">
        <v>3599</v>
      </c>
      <c r="K680" s="51"/>
      <c r="O680" s="1" t="s">
        <v>12</v>
      </c>
      <c r="P680" s="1" t="s">
        <v>44</v>
      </c>
      <c r="Q680" s="1" t="s">
        <v>13</v>
      </c>
      <c r="R680" s="1" t="s">
        <v>27</v>
      </c>
      <c r="S680" t="s">
        <v>33</v>
      </c>
      <c r="T680" s="1">
        <v>2017</v>
      </c>
      <c r="U680" s="1">
        <v>7</v>
      </c>
      <c r="V680" s="50">
        <v>42917</v>
      </c>
      <c r="W680" s="4">
        <v>3347.0699999999997</v>
      </c>
      <c r="X680" s="48">
        <v>3599</v>
      </c>
    </row>
    <row r="681" spans="2:24" x14ac:dyDescent="0.35">
      <c r="B681" s="8" t="s">
        <v>14</v>
      </c>
      <c r="C681" s="8" t="s">
        <v>46</v>
      </c>
      <c r="D681" s="8" t="s">
        <v>47</v>
      </c>
      <c r="E681" s="8" t="s">
        <v>23</v>
      </c>
      <c r="F681" s="6" t="s">
        <v>36</v>
      </c>
      <c r="G681" s="8">
        <v>2017</v>
      </c>
      <c r="H681" s="8">
        <v>7</v>
      </c>
      <c r="I681" s="10">
        <v>42917</v>
      </c>
      <c r="J681" s="11">
        <v>2938</v>
      </c>
      <c r="K681" s="51"/>
      <c r="O681" s="1" t="s">
        <v>14</v>
      </c>
      <c r="P681" s="1" t="s">
        <v>46</v>
      </c>
      <c r="Q681" s="1" t="s">
        <v>47</v>
      </c>
      <c r="R681" s="1" t="s">
        <v>23</v>
      </c>
      <c r="S681" t="s">
        <v>36</v>
      </c>
      <c r="T681" s="1">
        <v>2017</v>
      </c>
      <c r="U681" s="1">
        <v>7</v>
      </c>
      <c r="V681" s="50">
        <v>42917</v>
      </c>
      <c r="W681" s="4">
        <v>2761.72</v>
      </c>
      <c r="X681" s="48">
        <v>2938</v>
      </c>
    </row>
    <row r="682" spans="2:24" x14ac:dyDescent="0.35">
      <c r="B682" s="8" t="s">
        <v>6</v>
      </c>
      <c r="C682" s="8" t="s">
        <v>29</v>
      </c>
      <c r="D682" s="8" t="s">
        <v>30</v>
      </c>
      <c r="E682" s="9" t="s">
        <v>23</v>
      </c>
      <c r="F682" s="9" t="s">
        <v>39</v>
      </c>
      <c r="G682" s="8">
        <v>2017</v>
      </c>
      <c r="H682" s="8">
        <v>7</v>
      </c>
      <c r="I682" s="10">
        <v>42917</v>
      </c>
      <c r="J682" s="11">
        <v>2862</v>
      </c>
      <c r="K682" s="51"/>
      <c r="O682" s="1" t="s">
        <v>6</v>
      </c>
      <c r="P682" s="1" t="s">
        <v>29</v>
      </c>
      <c r="Q682" s="1" t="s">
        <v>30</v>
      </c>
      <c r="R682" s="2" t="s">
        <v>23</v>
      </c>
      <c r="S682" s="2" t="s">
        <v>39</v>
      </c>
      <c r="T682" s="1">
        <v>2017</v>
      </c>
      <c r="U682" s="1">
        <v>7</v>
      </c>
      <c r="V682" s="50">
        <v>42917</v>
      </c>
      <c r="W682" s="4">
        <v>2575.7999999999997</v>
      </c>
      <c r="X682" s="48">
        <v>2862</v>
      </c>
    </row>
    <row r="683" spans="2:24" x14ac:dyDescent="0.35">
      <c r="B683" s="8" t="s">
        <v>7</v>
      </c>
      <c r="C683" s="8" t="s">
        <v>32</v>
      </c>
      <c r="D683" s="8" t="s">
        <v>8</v>
      </c>
      <c r="E683" s="8" t="s">
        <v>0</v>
      </c>
      <c r="F683" s="9" t="s">
        <v>42</v>
      </c>
      <c r="G683" s="8">
        <v>2017</v>
      </c>
      <c r="H683" s="8">
        <v>7</v>
      </c>
      <c r="I683" s="10">
        <v>42917</v>
      </c>
      <c r="J683" s="11">
        <v>4069</v>
      </c>
      <c r="K683" s="51"/>
      <c r="O683" s="1" t="s">
        <v>7</v>
      </c>
      <c r="P683" s="1" t="s">
        <v>32</v>
      </c>
      <c r="Q683" s="1" t="s">
        <v>8</v>
      </c>
      <c r="R683" s="1" t="s">
        <v>0</v>
      </c>
      <c r="S683" s="2" t="s">
        <v>42</v>
      </c>
      <c r="T683" s="1">
        <v>2017</v>
      </c>
      <c r="U683" s="1">
        <v>7</v>
      </c>
      <c r="V683" s="50">
        <v>42917</v>
      </c>
      <c r="W683" s="4">
        <v>3499.34</v>
      </c>
      <c r="X683" s="48">
        <v>4069</v>
      </c>
    </row>
    <row r="684" spans="2:24" x14ac:dyDescent="0.35">
      <c r="B684" s="8" t="s">
        <v>12</v>
      </c>
      <c r="C684" s="8" t="s">
        <v>44</v>
      </c>
      <c r="D684" s="8" t="s">
        <v>13</v>
      </c>
      <c r="E684" s="8" t="s">
        <v>0</v>
      </c>
      <c r="F684" s="6" t="s">
        <v>26</v>
      </c>
      <c r="G684" s="8">
        <v>2017</v>
      </c>
      <c r="H684" s="8">
        <v>7</v>
      </c>
      <c r="I684" s="10">
        <v>42917</v>
      </c>
      <c r="J684" s="11">
        <v>3477</v>
      </c>
      <c r="K684" s="51"/>
      <c r="O684" s="1" t="s">
        <v>12</v>
      </c>
      <c r="P684" s="1" t="s">
        <v>44</v>
      </c>
      <c r="Q684" s="1" t="s">
        <v>13</v>
      </c>
      <c r="R684" s="1" t="s">
        <v>0</v>
      </c>
      <c r="S684" t="s">
        <v>26</v>
      </c>
      <c r="T684" s="1">
        <v>2017</v>
      </c>
      <c r="U684" s="1">
        <v>7</v>
      </c>
      <c r="V684" s="50">
        <v>42917</v>
      </c>
      <c r="W684" s="4">
        <v>3129.2999999999997</v>
      </c>
      <c r="X684" s="48">
        <v>3477</v>
      </c>
    </row>
    <row r="685" spans="2:24" x14ac:dyDescent="0.35">
      <c r="B685" s="8" t="s">
        <v>14</v>
      </c>
      <c r="C685" s="8" t="s">
        <v>37</v>
      </c>
      <c r="D685" s="8" t="s">
        <v>38</v>
      </c>
      <c r="E685" s="8" t="s">
        <v>0</v>
      </c>
      <c r="F685" s="8" t="s">
        <v>45</v>
      </c>
      <c r="G685" s="8">
        <v>2017</v>
      </c>
      <c r="H685" s="8">
        <v>7</v>
      </c>
      <c r="I685" s="10">
        <v>42917</v>
      </c>
      <c r="J685" s="11">
        <v>4291</v>
      </c>
      <c r="K685" s="51"/>
      <c r="O685" s="1" t="s">
        <v>14</v>
      </c>
      <c r="P685" s="1" t="s">
        <v>37</v>
      </c>
      <c r="Q685" s="1" t="s">
        <v>38</v>
      </c>
      <c r="R685" s="1" t="s">
        <v>0</v>
      </c>
      <c r="S685" s="1" t="s">
        <v>45</v>
      </c>
      <c r="T685" s="1">
        <v>2017</v>
      </c>
      <c r="U685" s="1">
        <v>7</v>
      </c>
      <c r="V685" s="50">
        <v>42917</v>
      </c>
      <c r="W685" s="4">
        <v>3776.0799999999995</v>
      </c>
      <c r="X685" s="48">
        <v>4291</v>
      </c>
    </row>
    <row r="686" spans="2:24" x14ac:dyDescent="0.35">
      <c r="B686" s="8" t="s">
        <v>3</v>
      </c>
      <c r="C686" s="8" t="s">
        <v>25</v>
      </c>
      <c r="D686" s="8" t="s">
        <v>4</v>
      </c>
      <c r="E686" s="8" t="s">
        <v>27</v>
      </c>
      <c r="F686" s="8" t="s">
        <v>28</v>
      </c>
      <c r="G686" s="8">
        <v>2017</v>
      </c>
      <c r="H686" s="8">
        <v>7</v>
      </c>
      <c r="I686" s="10">
        <v>42917</v>
      </c>
      <c r="J686" s="11">
        <v>3890</v>
      </c>
      <c r="K686" s="51"/>
      <c r="O686" s="1" t="s">
        <v>3</v>
      </c>
      <c r="P686" s="1" t="s">
        <v>25</v>
      </c>
      <c r="Q686" s="1" t="s">
        <v>4</v>
      </c>
      <c r="R686" s="1" t="s">
        <v>27</v>
      </c>
      <c r="S686" s="1" t="s">
        <v>28</v>
      </c>
      <c r="T686" s="1">
        <v>2017</v>
      </c>
      <c r="U686" s="1">
        <v>7</v>
      </c>
      <c r="V686" s="50">
        <v>42917</v>
      </c>
      <c r="W686" s="4">
        <v>3345.4000000000005</v>
      </c>
      <c r="X686" s="48">
        <v>3890</v>
      </c>
    </row>
    <row r="687" spans="2:24" x14ac:dyDescent="0.35">
      <c r="B687" s="8" t="s">
        <v>3</v>
      </c>
      <c r="C687" s="8" t="s">
        <v>25</v>
      </c>
      <c r="D687" s="8" t="s">
        <v>4</v>
      </c>
      <c r="E687" s="8" t="s">
        <v>27</v>
      </c>
      <c r="F687" s="8" t="s">
        <v>31</v>
      </c>
      <c r="G687" s="8">
        <v>2017</v>
      </c>
      <c r="H687" s="8">
        <v>7</v>
      </c>
      <c r="I687" s="10">
        <v>42917</v>
      </c>
      <c r="J687" s="11">
        <v>5556</v>
      </c>
      <c r="K687" s="51"/>
      <c r="O687" s="1" t="s">
        <v>3</v>
      </c>
      <c r="P687" s="1" t="s">
        <v>25</v>
      </c>
      <c r="Q687" s="1" t="s">
        <v>4</v>
      </c>
      <c r="R687" s="1" t="s">
        <v>27</v>
      </c>
      <c r="S687" s="1" t="s">
        <v>31</v>
      </c>
      <c r="T687" s="1">
        <v>2017</v>
      </c>
      <c r="U687" s="1">
        <v>7</v>
      </c>
      <c r="V687" s="50">
        <v>42917</v>
      </c>
      <c r="W687" s="4">
        <v>5055.9599999999991</v>
      </c>
      <c r="X687" s="48">
        <v>5556</v>
      </c>
    </row>
    <row r="688" spans="2:24" x14ac:dyDescent="0.35">
      <c r="B688" s="8" t="s">
        <v>6</v>
      </c>
      <c r="C688" s="8" t="s">
        <v>40</v>
      </c>
      <c r="D688" s="8" t="s">
        <v>41</v>
      </c>
      <c r="E688" s="8" t="s">
        <v>27</v>
      </c>
      <c r="F688" s="6" t="s">
        <v>33</v>
      </c>
      <c r="G688" s="8">
        <v>2017</v>
      </c>
      <c r="H688" s="8">
        <v>7</v>
      </c>
      <c r="I688" s="10">
        <v>42917</v>
      </c>
      <c r="J688" s="11">
        <v>2991</v>
      </c>
      <c r="K688" s="51"/>
      <c r="O688" s="1" t="s">
        <v>6</v>
      </c>
      <c r="P688" s="1" t="s">
        <v>40</v>
      </c>
      <c r="Q688" s="1" t="s">
        <v>41</v>
      </c>
      <c r="R688" s="1" t="s">
        <v>27</v>
      </c>
      <c r="S688" t="s">
        <v>33</v>
      </c>
      <c r="T688" s="1">
        <v>2017</v>
      </c>
      <c r="U688" s="1">
        <v>7</v>
      </c>
      <c r="V688" s="50">
        <v>42917</v>
      </c>
      <c r="W688" s="4">
        <v>2721.81</v>
      </c>
      <c r="X688" s="48">
        <v>2991</v>
      </c>
    </row>
    <row r="689" spans="2:24" x14ac:dyDescent="0.35">
      <c r="B689" s="8" t="s">
        <v>6</v>
      </c>
      <c r="C689" s="8" t="s">
        <v>40</v>
      </c>
      <c r="D689" s="8" t="s">
        <v>41</v>
      </c>
      <c r="E689" s="8" t="s">
        <v>23</v>
      </c>
      <c r="F689" s="6" t="s">
        <v>36</v>
      </c>
      <c r="G689" s="8">
        <v>2017</v>
      </c>
      <c r="H689" s="8">
        <v>7</v>
      </c>
      <c r="I689" s="10">
        <v>42917</v>
      </c>
      <c r="J689" s="11">
        <v>2625</v>
      </c>
      <c r="K689" s="51"/>
      <c r="O689" s="1" t="s">
        <v>6</v>
      </c>
      <c r="P689" s="1" t="s">
        <v>40</v>
      </c>
      <c r="Q689" s="1" t="s">
        <v>41</v>
      </c>
      <c r="R689" s="1" t="s">
        <v>23</v>
      </c>
      <c r="S689" t="s">
        <v>36</v>
      </c>
      <c r="T689" s="1">
        <v>2017</v>
      </c>
      <c r="U689" s="1">
        <v>7</v>
      </c>
      <c r="V689" s="50">
        <v>42917</v>
      </c>
      <c r="W689" s="4">
        <v>2336.2499999999995</v>
      </c>
      <c r="X689" s="48">
        <v>2625</v>
      </c>
    </row>
    <row r="690" spans="2:24" x14ac:dyDescent="0.35">
      <c r="B690" s="8" t="s">
        <v>7</v>
      </c>
      <c r="C690" s="8" t="s">
        <v>43</v>
      </c>
      <c r="D690" s="8" t="s">
        <v>10</v>
      </c>
      <c r="E690" s="8" t="s">
        <v>23</v>
      </c>
      <c r="F690" s="6" t="s">
        <v>24</v>
      </c>
      <c r="G690" s="8">
        <v>2017</v>
      </c>
      <c r="H690" s="8">
        <v>7</v>
      </c>
      <c r="I690" s="10">
        <v>42917</v>
      </c>
      <c r="J690" s="11">
        <v>2924</v>
      </c>
      <c r="K690" s="51"/>
      <c r="O690" s="1" t="s">
        <v>7</v>
      </c>
      <c r="P690" s="1" t="s">
        <v>43</v>
      </c>
      <c r="Q690" s="1" t="s">
        <v>10</v>
      </c>
      <c r="R690" s="1" t="s">
        <v>23</v>
      </c>
      <c r="S690" t="s">
        <v>24</v>
      </c>
      <c r="T690" s="1">
        <v>2017</v>
      </c>
      <c r="U690" s="1">
        <v>7</v>
      </c>
      <c r="V690" s="50">
        <v>42917</v>
      </c>
      <c r="W690" s="4">
        <v>2485.4</v>
      </c>
      <c r="X690" s="48">
        <v>2924</v>
      </c>
    </row>
    <row r="691" spans="2:24" x14ac:dyDescent="0.35">
      <c r="B691" s="8" t="s">
        <v>7</v>
      </c>
      <c r="C691" s="8" t="s">
        <v>43</v>
      </c>
      <c r="D691" s="8" t="s">
        <v>10</v>
      </c>
      <c r="E691" s="9" t="s">
        <v>23</v>
      </c>
      <c r="F691" s="9" t="s">
        <v>39</v>
      </c>
      <c r="G691" s="8">
        <v>2017</v>
      </c>
      <c r="H691" s="8">
        <v>7</v>
      </c>
      <c r="I691" s="10">
        <v>42917</v>
      </c>
      <c r="J691" s="11">
        <v>1357</v>
      </c>
      <c r="K691" s="51"/>
      <c r="O691" s="1" t="s">
        <v>7</v>
      </c>
      <c r="P691" s="1" t="s">
        <v>43</v>
      </c>
      <c r="Q691" s="1" t="s">
        <v>10</v>
      </c>
      <c r="R691" s="2" t="s">
        <v>23</v>
      </c>
      <c r="S691" s="2" t="s">
        <v>39</v>
      </c>
      <c r="T691" s="1">
        <v>2017</v>
      </c>
      <c r="U691" s="1">
        <v>7</v>
      </c>
      <c r="V691" s="50">
        <v>42917</v>
      </c>
      <c r="W691" s="4">
        <v>1221.3</v>
      </c>
      <c r="X691" s="48">
        <v>1357</v>
      </c>
    </row>
    <row r="692" spans="2:24" x14ac:dyDescent="0.35">
      <c r="B692" s="8" t="s">
        <v>7</v>
      </c>
      <c r="C692" s="8" t="s">
        <v>32</v>
      </c>
      <c r="D692" s="8" t="s">
        <v>8</v>
      </c>
      <c r="E692" s="8" t="s">
        <v>0</v>
      </c>
      <c r="F692" s="9" t="s">
        <v>26</v>
      </c>
      <c r="G692" s="8">
        <v>2017</v>
      </c>
      <c r="H692" s="8">
        <v>7</v>
      </c>
      <c r="I692" s="10">
        <v>42917</v>
      </c>
      <c r="J692" s="11">
        <v>5391</v>
      </c>
      <c r="K692" s="51"/>
      <c r="O692" s="1" t="s">
        <v>7</v>
      </c>
      <c r="P692" s="1" t="s">
        <v>32</v>
      </c>
      <c r="Q692" s="1" t="s">
        <v>8</v>
      </c>
      <c r="R692" s="1" t="s">
        <v>0</v>
      </c>
      <c r="S692" s="2" t="s">
        <v>26</v>
      </c>
      <c r="T692" s="1">
        <v>2017</v>
      </c>
      <c r="U692" s="1">
        <v>7</v>
      </c>
      <c r="V692" s="50">
        <v>42917</v>
      </c>
      <c r="W692" s="4">
        <v>4851.8999999999996</v>
      </c>
      <c r="X692" s="48">
        <v>5391</v>
      </c>
    </row>
    <row r="693" spans="2:24" x14ac:dyDescent="0.35">
      <c r="B693" s="8" t="s">
        <v>3</v>
      </c>
      <c r="C693" s="8" t="s">
        <v>22</v>
      </c>
      <c r="D693" s="8" t="s">
        <v>5</v>
      </c>
      <c r="E693" s="8" t="s">
        <v>0</v>
      </c>
      <c r="F693" s="6" t="s">
        <v>45</v>
      </c>
      <c r="G693" s="8">
        <v>2017</v>
      </c>
      <c r="H693" s="8">
        <v>7</v>
      </c>
      <c r="I693" s="10">
        <v>42917</v>
      </c>
      <c r="J693" s="11">
        <v>3814</v>
      </c>
      <c r="K693" s="51"/>
      <c r="O693" s="1" t="s">
        <v>3</v>
      </c>
      <c r="P693" s="1" t="s">
        <v>22</v>
      </c>
      <c r="Q693" s="1" t="s">
        <v>5</v>
      </c>
      <c r="R693" s="1" t="s">
        <v>0</v>
      </c>
      <c r="S693" t="s">
        <v>45</v>
      </c>
      <c r="T693" s="1">
        <v>2017</v>
      </c>
      <c r="U693" s="1">
        <v>7</v>
      </c>
      <c r="V693" s="50">
        <v>42917</v>
      </c>
      <c r="W693" s="4">
        <v>3432.5999999999995</v>
      </c>
      <c r="X693" s="48">
        <v>3814</v>
      </c>
    </row>
    <row r="694" spans="2:24" x14ac:dyDescent="0.35">
      <c r="B694" s="8" t="s">
        <v>7</v>
      </c>
      <c r="C694" s="8" t="s">
        <v>48</v>
      </c>
      <c r="D694" s="8" t="s">
        <v>9</v>
      </c>
      <c r="E694" s="8" t="s">
        <v>23</v>
      </c>
      <c r="F694" s="8" t="s">
        <v>36</v>
      </c>
      <c r="G694" s="8">
        <v>2017</v>
      </c>
      <c r="H694" s="8">
        <v>7</v>
      </c>
      <c r="I694" s="10">
        <v>42917</v>
      </c>
      <c r="J694" s="11">
        <v>1998</v>
      </c>
      <c r="K694" s="51"/>
      <c r="O694" s="1" t="s">
        <v>7</v>
      </c>
      <c r="P694" s="1" t="s">
        <v>48</v>
      </c>
      <c r="Q694" s="1" t="s">
        <v>9</v>
      </c>
      <c r="R694" s="1" t="s">
        <v>23</v>
      </c>
      <c r="S694" s="1" t="s">
        <v>36</v>
      </c>
      <c r="T694" s="1">
        <v>2017</v>
      </c>
      <c r="U694" s="1">
        <v>7</v>
      </c>
      <c r="V694" s="50">
        <v>42917</v>
      </c>
      <c r="W694" s="4">
        <v>1798.1999999999998</v>
      </c>
      <c r="X694" s="48">
        <v>1998</v>
      </c>
    </row>
    <row r="695" spans="2:24" x14ac:dyDescent="0.35">
      <c r="B695" s="8" t="s">
        <v>7</v>
      </c>
      <c r="C695" s="8" t="s">
        <v>48</v>
      </c>
      <c r="D695" s="8" t="s">
        <v>9</v>
      </c>
      <c r="E695" s="8" t="s">
        <v>23</v>
      </c>
      <c r="F695" s="8" t="s">
        <v>24</v>
      </c>
      <c r="G695" s="8">
        <v>2017</v>
      </c>
      <c r="H695" s="8">
        <v>7</v>
      </c>
      <c r="I695" s="10">
        <v>42917</v>
      </c>
      <c r="J695" s="11">
        <v>2417</v>
      </c>
      <c r="K695" s="51"/>
      <c r="O695" s="1" t="s">
        <v>7</v>
      </c>
      <c r="P695" s="1" t="s">
        <v>48</v>
      </c>
      <c r="Q695" s="1" t="s">
        <v>9</v>
      </c>
      <c r="R695" s="1" t="s">
        <v>23</v>
      </c>
      <c r="S695" s="1" t="s">
        <v>24</v>
      </c>
      <c r="T695" s="1">
        <v>2017</v>
      </c>
      <c r="U695" s="1">
        <v>7</v>
      </c>
      <c r="V695" s="50">
        <v>42917</v>
      </c>
      <c r="W695" s="4">
        <v>2151.1299999999997</v>
      </c>
      <c r="X695" s="48">
        <v>2417</v>
      </c>
    </row>
    <row r="696" spans="2:24" x14ac:dyDescent="0.35">
      <c r="B696" s="8" t="s">
        <v>7</v>
      </c>
      <c r="C696" s="8" t="s">
        <v>49</v>
      </c>
      <c r="D696" s="8" t="s">
        <v>11</v>
      </c>
      <c r="E696" s="8" t="s">
        <v>23</v>
      </c>
      <c r="F696" s="8" t="s">
        <v>39</v>
      </c>
      <c r="G696" s="8">
        <v>2017</v>
      </c>
      <c r="H696" s="8">
        <v>7</v>
      </c>
      <c r="I696" s="10">
        <v>42917</v>
      </c>
      <c r="J696" s="11">
        <v>1678</v>
      </c>
      <c r="K696" s="51"/>
      <c r="O696" s="1" t="s">
        <v>7</v>
      </c>
      <c r="P696" s="1" t="s">
        <v>49</v>
      </c>
      <c r="Q696" s="1" t="s">
        <v>11</v>
      </c>
      <c r="R696" s="1" t="s">
        <v>23</v>
      </c>
      <c r="S696" s="1" t="s">
        <v>39</v>
      </c>
      <c r="T696" s="1">
        <v>2017</v>
      </c>
      <c r="U696" s="1">
        <v>7</v>
      </c>
      <c r="V696" s="50">
        <v>42917</v>
      </c>
      <c r="W696" s="4">
        <v>1476.6399999999999</v>
      </c>
      <c r="X696" s="48">
        <v>1678</v>
      </c>
    </row>
    <row r="697" spans="2:24" x14ac:dyDescent="0.35">
      <c r="B697" s="8" t="s">
        <v>7</v>
      </c>
      <c r="C697" s="8" t="s">
        <v>49</v>
      </c>
      <c r="D697" s="8" t="s">
        <v>11</v>
      </c>
      <c r="E697" s="8" t="s">
        <v>0</v>
      </c>
      <c r="F697" s="6" t="s">
        <v>42</v>
      </c>
      <c r="G697" s="8">
        <v>2017</v>
      </c>
      <c r="H697" s="8">
        <v>7</v>
      </c>
      <c r="I697" s="10">
        <v>42917</v>
      </c>
      <c r="J697" s="11">
        <v>4617</v>
      </c>
      <c r="K697" s="51"/>
      <c r="O697" s="1" t="s">
        <v>7</v>
      </c>
      <c r="P697" s="1" t="s">
        <v>49</v>
      </c>
      <c r="Q697" s="1" t="s">
        <v>11</v>
      </c>
      <c r="R697" s="1" t="s">
        <v>0</v>
      </c>
      <c r="S697" t="s">
        <v>42</v>
      </c>
      <c r="T697" s="1">
        <v>2017</v>
      </c>
      <c r="U697" s="1">
        <v>7</v>
      </c>
      <c r="V697" s="50">
        <v>42917</v>
      </c>
      <c r="W697" s="4">
        <v>4016.7900000000004</v>
      </c>
      <c r="X697" s="48">
        <v>4617</v>
      </c>
    </row>
    <row r="698" spans="2:24" x14ac:dyDescent="0.35">
      <c r="B698" s="8" t="s">
        <v>12</v>
      </c>
      <c r="C698" s="8" t="s">
        <v>34</v>
      </c>
      <c r="D698" s="8" t="s">
        <v>35</v>
      </c>
      <c r="E698" s="8" t="s">
        <v>0</v>
      </c>
      <c r="F698" s="6" t="s">
        <v>26</v>
      </c>
      <c r="G698" s="8">
        <v>2017</v>
      </c>
      <c r="H698" s="8">
        <v>7</v>
      </c>
      <c r="I698" s="10">
        <v>42917</v>
      </c>
      <c r="J698" s="11">
        <v>4511</v>
      </c>
      <c r="K698" s="51"/>
      <c r="O698" s="1" t="s">
        <v>12</v>
      </c>
      <c r="P698" s="1" t="s">
        <v>34</v>
      </c>
      <c r="Q698" s="1" t="s">
        <v>35</v>
      </c>
      <c r="R698" s="1" t="s">
        <v>0</v>
      </c>
      <c r="S698" t="s">
        <v>26</v>
      </c>
      <c r="T698" s="1">
        <v>2017</v>
      </c>
      <c r="U698" s="1">
        <v>7</v>
      </c>
      <c r="V698" s="50">
        <v>42917</v>
      </c>
      <c r="W698" s="4">
        <v>4014.7899999999995</v>
      </c>
      <c r="X698" s="48">
        <v>4511</v>
      </c>
    </row>
    <row r="699" spans="2:24" x14ac:dyDescent="0.35">
      <c r="B699" s="8" t="s">
        <v>12</v>
      </c>
      <c r="C699" s="8" t="s">
        <v>34</v>
      </c>
      <c r="D699" s="8" t="s">
        <v>35</v>
      </c>
      <c r="E699" s="8" t="s">
        <v>0</v>
      </c>
      <c r="F699" s="6" t="s">
        <v>45</v>
      </c>
      <c r="G699" s="8">
        <v>2017</v>
      </c>
      <c r="H699" s="8">
        <v>7</v>
      </c>
      <c r="I699" s="10">
        <v>42917</v>
      </c>
      <c r="J699" s="11">
        <v>2241</v>
      </c>
      <c r="K699" s="51"/>
      <c r="O699" s="1" t="s">
        <v>12</v>
      </c>
      <c r="P699" s="1" t="s">
        <v>34</v>
      </c>
      <c r="Q699" s="1" t="s">
        <v>35</v>
      </c>
      <c r="R699" s="1" t="s">
        <v>0</v>
      </c>
      <c r="S699" t="s">
        <v>45</v>
      </c>
      <c r="T699" s="1">
        <v>2017</v>
      </c>
      <c r="U699" s="1">
        <v>7</v>
      </c>
      <c r="V699" s="50">
        <v>42917</v>
      </c>
      <c r="W699" s="4">
        <v>2106.54</v>
      </c>
      <c r="X699" s="48">
        <v>2241</v>
      </c>
    </row>
    <row r="700" spans="2:24" x14ac:dyDescent="0.35">
      <c r="B700" s="8" t="s">
        <v>14</v>
      </c>
      <c r="C700" s="8" t="s">
        <v>37</v>
      </c>
      <c r="D700" s="8" t="s">
        <v>38</v>
      </c>
      <c r="E700" s="9" t="s">
        <v>27</v>
      </c>
      <c r="F700" s="9" t="s">
        <v>28</v>
      </c>
      <c r="G700" s="8">
        <v>2017</v>
      </c>
      <c r="H700" s="8">
        <v>7</v>
      </c>
      <c r="I700" s="10">
        <v>42917</v>
      </c>
      <c r="J700" s="11">
        <v>3251</v>
      </c>
      <c r="K700" s="51"/>
      <c r="O700" s="1" t="s">
        <v>14</v>
      </c>
      <c r="P700" s="1" t="s">
        <v>37</v>
      </c>
      <c r="Q700" s="1" t="s">
        <v>38</v>
      </c>
      <c r="R700" s="2" t="s">
        <v>27</v>
      </c>
      <c r="S700" s="2" t="s">
        <v>28</v>
      </c>
      <c r="T700" s="1">
        <v>2017</v>
      </c>
      <c r="U700" s="1">
        <v>7</v>
      </c>
      <c r="V700" s="50">
        <v>42917</v>
      </c>
      <c r="W700" s="4">
        <v>2795.86</v>
      </c>
      <c r="X700" s="48">
        <v>3251</v>
      </c>
    </row>
    <row r="701" spans="2:24" x14ac:dyDescent="0.35">
      <c r="B701" s="8" t="s">
        <v>14</v>
      </c>
      <c r="C701" s="8" t="s">
        <v>37</v>
      </c>
      <c r="D701" s="8" t="s">
        <v>38</v>
      </c>
      <c r="E701" s="8" t="s">
        <v>27</v>
      </c>
      <c r="F701" s="9" t="s">
        <v>31</v>
      </c>
      <c r="G701" s="8">
        <v>2017</v>
      </c>
      <c r="H701" s="8">
        <v>7</v>
      </c>
      <c r="I701" s="10">
        <v>42917</v>
      </c>
      <c r="J701" s="11">
        <v>3984</v>
      </c>
      <c r="K701" s="51"/>
      <c r="O701" s="1" t="s">
        <v>14</v>
      </c>
      <c r="P701" s="1" t="s">
        <v>37</v>
      </c>
      <c r="Q701" s="1" t="s">
        <v>38</v>
      </c>
      <c r="R701" s="1" t="s">
        <v>27</v>
      </c>
      <c r="S701" s="2" t="s">
        <v>31</v>
      </c>
      <c r="T701" s="1">
        <v>2017</v>
      </c>
      <c r="U701" s="1">
        <v>7</v>
      </c>
      <c r="V701" s="50">
        <v>42917</v>
      </c>
      <c r="W701" s="4">
        <v>3466.0800000000004</v>
      </c>
      <c r="X701" s="48">
        <v>3984</v>
      </c>
    </row>
    <row r="702" spans="2:24" x14ac:dyDescent="0.35">
      <c r="B702" s="8" t="s">
        <v>12</v>
      </c>
      <c r="C702" s="8" t="s">
        <v>44</v>
      </c>
      <c r="D702" s="8" t="s">
        <v>13</v>
      </c>
      <c r="E702" s="8" t="s">
        <v>23</v>
      </c>
      <c r="F702" s="6" t="s">
        <v>36</v>
      </c>
      <c r="G702" s="8">
        <v>2017</v>
      </c>
      <c r="H702" s="8">
        <v>7</v>
      </c>
      <c r="I702" s="10">
        <v>42917</v>
      </c>
      <c r="J702" s="11">
        <v>2637</v>
      </c>
      <c r="K702" s="51"/>
      <c r="O702" s="1" t="s">
        <v>12</v>
      </c>
      <c r="P702" s="1" t="s">
        <v>44</v>
      </c>
      <c r="Q702" s="1" t="s">
        <v>13</v>
      </c>
      <c r="R702" s="1" t="s">
        <v>23</v>
      </c>
      <c r="S702" t="s">
        <v>36</v>
      </c>
      <c r="T702" s="1">
        <v>2017</v>
      </c>
      <c r="U702" s="1">
        <v>7</v>
      </c>
      <c r="V702" s="50">
        <v>42917</v>
      </c>
      <c r="W702" s="4">
        <v>2320.5599999999995</v>
      </c>
      <c r="X702" s="48">
        <v>2637</v>
      </c>
    </row>
    <row r="703" spans="2:24" x14ac:dyDescent="0.35">
      <c r="B703" s="8" t="s">
        <v>14</v>
      </c>
      <c r="C703" s="8" t="s">
        <v>46</v>
      </c>
      <c r="D703" s="8" t="s">
        <v>47</v>
      </c>
      <c r="E703" s="8" t="s">
        <v>23</v>
      </c>
      <c r="F703" s="8" t="s">
        <v>24</v>
      </c>
      <c r="G703" s="8">
        <v>2017</v>
      </c>
      <c r="H703" s="8">
        <v>7</v>
      </c>
      <c r="I703" s="10">
        <v>42917</v>
      </c>
      <c r="J703" s="11">
        <v>3098</v>
      </c>
      <c r="K703" s="51"/>
      <c r="O703" s="1" t="s">
        <v>14</v>
      </c>
      <c r="P703" s="1" t="s">
        <v>46</v>
      </c>
      <c r="Q703" s="1" t="s">
        <v>47</v>
      </c>
      <c r="R703" s="1" t="s">
        <v>23</v>
      </c>
      <c r="S703" s="1" t="s">
        <v>24</v>
      </c>
      <c r="T703" s="1">
        <v>2017</v>
      </c>
      <c r="U703" s="1">
        <v>7</v>
      </c>
      <c r="V703" s="50">
        <v>42917</v>
      </c>
      <c r="W703" s="4">
        <v>2881.14</v>
      </c>
      <c r="X703" s="48">
        <v>3098</v>
      </c>
    </row>
    <row r="704" spans="2:24" x14ac:dyDescent="0.35">
      <c r="B704" s="8" t="s">
        <v>14</v>
      </c>
      <c r="C704" s="8" t="s">
        <v>46</v>
      </c>
      <c r="D704" s="8" t="s">
        <v>47</v>
      </c>
      <c r="E704" s="8" t="s">
        <v>23</v>
      </c>
      <c r="F704" s="8" t="s">
        <v>39</v>
      </c>
      <c r="G704" s="8">
        <v>2017</v>
      </c>
      <c r="H704" s="8">
        <v>7</v>
      </c>
      <c r="I704" s="10">
        <v>42917</v>
      </c>
      <c r="J704" s="11">
        <v>2461</v>
      </c>
      <c r="K704" s="51"/>
      <c r="O704" s="1" t="s">
        <v>14</v>
      </c>
      <c r="P704" s="1" t="s">
        <v>46</v>
      </c>
      <c r="Q704" s="1" t="s">
        <v>47</v>
      </c>
      <c r="R704" s="1" t="s">
        <v>23</v>
      </c>
      <c r="S704" s="1" t="s">
        <v>39</v>
      </c>
      <c r="T704" s="1">
        <v>2017</v>
      </c>
      <c r="U704" s="1">
        <v>7</v>
      </c>
      <c r="V704" s="50">
        <v>42917</v>
      </c>
      <c r="W704" s="4">
        <v>2116.46</v>
      </c>
      <c r="X704" s="48">
        <v>2461</v>
      </c>
    </row>
    <row r="705" spans="2:24" x14ac:dyDescent="0.35">
      <c r="B705" s="8" t="s">
        <v>7</v>
      </c>
      <c r="C705" s="8" t="s">
        <v>43</v>
      </c>
      <c r="D705" s="8" t="s">
        <v>10</v>
      </c>
      <c r="E705" s="8" t="s">
        <v>0</v>
      </c>
      <c r="F705" s="8" t="s">
        <v>42</v>
      </c>
      <c r="G705" s="8">
        <v>2017</v>
      </c>
      <c r="H705" s="8">
        <v>7</v>
      </c>
      <c r="I705" s="10">
        <v>42917</v>
      </c>
      <c r="J705" s="11">
        <v>6965</v>
      </c>
      <c r="K705" s="51"/>
      <c r="O705" s="1" t="s">
        <v>7</v>
      </c>
      <c r="P705" s="1" t="s">
        <v>43</v>
      </c>
      <c r="Q705" s="1" t="s">
        <v>10</v>
      </c>
      <c r="R705" s="1" t="s">
        <v>0</v>
      </c>
      <c r="S705" s="1" t="s">
        <v>42</v>
      </c>
      <c r="T705" s="1">
        <v>2017</v>
      </c>
      <c r="U705" s="1">
        <v>7</v>
      </c>
      <c r="V705" s="50">
        <v>42917</v>
      </c>
      <c r="W705" s="4">
        <v>5920.2500000000009</v>
      </c>
      <c r="X705" s="48">
        <v>6965</v>
      </c>
    </row>
    <row r="706" spans="2:24" x14ac:dyDescent="0.35">
      <c r="B706" s="8" t="s">
        <v>6</v>
      </c>
      <c r="C706" s="8" t="s">
        <v>40</v>
      </c>
      <c r="D706" s="8" t="s">
        <v>41</v>
      </c>
      <c r="E706" s="8" t="s">
        <v>27</v>
      </c>
      <c r="F706" s="6" t="s">
        <v>31</v>
      </c>
      <c r="G706" s="8">
        <v>2017</v>
      </c>
      <c r="H706" s="8">
        <v>7</v>
      </c>
      <c r="I706" s="10">
        <v>42917</v>
      </c>
      <c r="J706" s="11">
        <v>5235</v>
      </c>
      <c r="K706" s="51"/>
      <c r="O706" s="1" t="s">
        <v>6</v>
      </c>
      <c r="P706" s="1" t="s">
        <v>40</v>
      </c>
      <c r="Q706" s="1" t="s">
        <v>41</v>
      </c>
      <c r="R706" s="1" t="s">
        <v>27</v>
      </c>
      <c r="S706" t="s">
        <v>31</v>
      </c>
      <c r="T706" s="1">
        <v>2017</v>
      </c>
      <c r="U706" s="1">
        <v>7</v>
      </c>
      <c r="V706" s="50">
        <v>42917</v>
      </c>
      <c r="W706" s="4">
        <v>4659.1499999999996</v>
      </c>
      <c r="X706" s="48">
        <v>5235</v>
      </c>
    </row>
    <row r="707" spans="2:24" x14ac:dyDescent="0.35">
      <c r="B707" s="8" t="s">
        <v>3</v>
      </c>
      <c r="C707" s="8" t="s">
        <v>22</v>
      </c>
      <c r="D707" s="8" t="s">
        <v>5</v>
      </c>
      <c r="E707" s="8" t="s">
        <v>23</v>
      </c>
      <c r="F707" s="6" t="s">
        <v>39</v>
      </c>
      <c r="G707" s="8">
        <v>2017</v>
      </c>
      <c r="H707" s="8">
        <v>7</v>
      </c>
      <c r="I707" s="10">
        <v>42917</v>
      </c>
      <c r="J707" s="11">
        <v>1842</v>
      </c>
      <c r="K707" s="51"/>
      <c r="O707" s="1" t="s">
        <v>3</v>
      </c>
      <c r="P707" s="1" t="s">
        <v>22</v>
      </c>
      <c r="Q707" s="1" t="s">
        <v>5</v>
      </c>
      <c r="R707" s="1" t="s">
        <v>23</v>
      </c>
      <c r="S707" t="s">
        <v>39</v>
      </c>
      <c r="T707" s="1">
        <v>2017</v>
      </c>
      <c r="U707" s="1">
        <v>7</v>
      </c>
      <c r="V707" s="50">
        <v>42917</v>
      </c>
      <c r="W707" s="4">
        <v>1676.2199999999998</v>
      </c>
      <c r="X707" s="48">
        <v>1842</v>
      </c>
    </row>
    <row r="708" spans="2:24" x14ac:dyDescent="0.35">
      <c r="B708" s="8" t="s">
        <v>3</v>
      </c>
      <c r="C708" s="8" t="s">
        <v>22</v>
      </c>
      <c r="D708" s="8" t="s">
        <v>5</v>
      </c>
      <c r="E708" s="8" t="s">
        <v>0</v>
      </c>
      <c r="F708" s="6" t="s">
        <v>42</v>
      </c>
      <c r="G708" s="8">
        <v>2017</v>
      </c>
      <c r="H708" s="8">
        <v>7</v>
      </c>
      <c r="I708" s="10">
        <v>42917</v>
      </c>
      <c r="J708" s="11">
        <v>4256</v>
      </c>
      <c r="K708" s="51"/>
      <c r="O708" s="1" t="s">
        <v>3</v>
      </c>
      <c r="P708" s="1" t="s">
        <v>22</v>
      </c>
      <c r="Q708" s="1" t="s">
        <v>5</v>
      </c>
      <c r="R708" s="1" t="s">
        <v>0</v>
      </c>
      <c r="S708" t="s">
        <v>42</v>
      </c>
      <c r="T708" s="1">
        <v>2017</v>
      </c>
      <c r="U708" s="1">
        <v>7</v>
      </c>
      <c r="V708" s="50">
        <v>42917</v>
      </c>
      <c r="W708" s="4">
        <v>3958.08</v>
      </c>
      <c r="X708" s="48">
        <v>4256</v>
      </c>
    </row>
    <row r="709" spans="2:24" x14ac:dyDescent="0.35">
      <c r="B709" s="8" t="s">
        <v>6</v>
      </c>
      <c r="C709" s="8" t="s">
        <v>29</v>
      </c>
      <c r="D709" s="8" t="s">
        <v>30</v>
      </c>
      <c r="E709" s="9" t="s">
        <v>0</v>
      </c>
      <c r="F709" s="9" t="s">
        <v>26</v>
      </c>
      <c r="G709" s="8">
        <v>2017</v>
      </c>
      <c r="H709" s="8">
        <v>7</v>
      </c>
      <c r="I709" s="10">
        <v>42917</v>
      </c>
      <c r="J709" s="11">
        <v>4191</v>
      </c>
      <c r="K709" s="51"/>
      <c r="O709" s="1" t="s">
        <v>6</v>
      </c>
      <c r="P709" s="1" t="s">
        <v>29</v>
      </c>
      <c r="Q709" s="1" t="s">
        <v>30</v>
      </c>
      <c r="R709" s="2" t="s">
        <v>0</v>
      </c>
      <c r="S709" s="2" t="s">
        <v>26</v>
      </c>
      <c r="T709" s="1">
        <v>2017</v>
      </c>
      <c r="U709" s="1">
        <v>7</v>
      </c>
      <c r="V709" s="50">
        <v>42917</v>
      </c>
      <c r="W709" s="4">
        <v>3604.26</v>
      </c>
      <c r="X709" s="48">
        <v>4191</v>
      </c>
    </row>
    <row r="710" spans="2:24" x14ac:dyDescent="0.35">
      <c r="B710" s="8" t="s">
        <v>7</v>
      </c>
      <c r="C710" s="8" t="s">
        <v>48</v>
      </c>
      <c r="D710" s="8" t="s">
        <v>9</v>
      </c>
      <c r="E710" s="8" t="s">
        <v>27</v>
      </c>
      <c r="F710" s="9" t="s">
        <v>28</v>
      </c>
      <c r="G710" s="8">
        <v>2017</v>
      </c>
      <c r="H710" s="8">
        <v>7</v>
      </c>
      <c r="I710" s="10">
        <v>42917</v>
      </c>
      <c r="J710" s="11">
        <v>4072</v>
      </c>
      <c r="K710" s="51"/>
      <c r="O710" s="1" t="s">
        <v>7</v>
      </c>
      <c r="P710" s="1" t="s">
        <v>48</v>
      </c>
      <c r="Q710" s="1" t="s">
        <v>9</v>
      </c>
      <c r="R710" s="1" t="s">
        <v>27</v>
      </c>
      <c r="S710" s="2" t="s">
        <v>28</v>
      </c>
      <c r="T710" s="1">
        <v>2017</v>
      </c>
      <c r="U710" s="1">
        <v>7</v>
      </c>
      <c r="V710" s="50">
        <v>42917</v>
      </c>
      <c r="W710" s="4">
        <v>3542.6400000000003</v>
      </c>
      <c r="X710" s="48">
        <v>4072</v>
      </c>
    </row>
    <row r="711" spans="2:24" x14ac:dyDescent="0.35">
      <c r="B711" s="8" t="s">
        <v>7</v>
      </c>
      <c r="C711" s="8" t="s">
        <v>48</v>
      </c>
      <c r="D711" s="8" t="s">
        <v>9</v>
      </c>
      <c r="E711" s="8" t="s">
        <v>27</v>
      </c>
      <c r="F711" s="6" t="s">
        <v>31</v>
      </c>
      <c r="G711" s="8">
        <v>2017</v>
      </c>
      <c r="H711" s="8">
        <v>7</v>
      </c>
      <c r="I711" s="10">
        <v>42917</v>
      </c>
      <c r="J711" s="11">
        <v>4114</v>
      </c>
      <c r="K711" s="51"/>
      <c r="O711" s="1" t="s">
        <v>7</v>
      </c>
      <c r="P711" s="1" t="s">
        <v>48</v>
      </c>
      <c r="Q711" s="1" t="s">
        <v>9</v>
      </c>
      <c r="R711" s="1" t="s">
        <v>27</v>
      </c>
      <c r="S711" t="s">
        <v>31</v>
      </c>
      <c r="T711" s="1">
        <v>2017</v>
      </c>
      <c r="U711" s="1">
        <v>7</v>
      </c>
      <c r="V711" s="50">
        <v>42917</v>
      </c>
      <c r="W711" s="4">
        <v>3743.74</v>
      </c>
      <c r="X711" s="48">
        <v>4114</v>
      </c>
    </row>
    <row r="712" spans="2:24" x14ac:dyDescent="0.35">
      <c r="B712" s="8" t="s">
        <v>7</v>
      </c>
      <c r="C712" s="8" t="s">
        <v>49</v>
      </c>
      <c r="D712" s="8" t="s">
        <v>11</v>
      </c>
      <c r="E712" s="8" t="s">
        <v>27</v>
      </c>
      <c r="F712" s="8" t="s">
        <v>33</v>
      </c>
      <c r="G712" s="8">
        <v>2017</v>
      </c>
      <c r="H712" s="8">
        <v>7</v>
      </c>
      <c r="I712" s="10">
        <v>42917</v>
      </c>
      <c r="J712" s="11">
        <v>3045</v>
      </c>
      <c r="K712" s="51"/>
      <c r="O712" s="1" t="s">
        <v>7</v>
      </c>
      <c r="P712" s="1" t="s">
        <v>49</v>
      </c>
      <c r="Q712" s="1" t="s">
        <v>11</v>
      </c>
      <c r="R712" s="1" t="s">
        <v>27</v>
      </c>
      <c r="S712" s="1" t="s">
        <v>33</v>
      </c>
      <c r="T712" s="1">
        <v>2017</v>
      </c>
      <c r="U712" s="1">
        <v>7</v>
      </c>
      <c r="V712" s="50">
        <v>42917</v>
      </c>
      <c r="W712" s="4">
        <v>2588.2500000000005</v>
      </c>
      <c r="X712" s="48">
        <v>3045</v>
      </c>
    </row>
    <row r="713" spans="2:24" x14ac:dyDescent="0.35">
      <c r="B713" s="8" t="s">
        <v>7</v>
      </c>
      <c r="C713" s="8" t="s">
        <v>49</v>
      </c>
      <c r="D713" s="8" t="s">
        <v>11</v>
      </c>
      <c r="E713" s="8" t="s">
        <v>23</v>
      </c>
      <c r="F713" s="8" t="s">
        <v>36</v>
      </c>
      <c r="G713" s="8">
        <v>2017</v>
      </c>
      <c r="H713" s="8">
        <v>7</v>
      </c>
      <c r="I713" s="10">
        <v>42917</v>
      </c>
      <c r="J713" s="11">
        <v>1735</v>
      </c>
      <c r="K713" s="51"/>
      <c r="O713" s="1" t="s">
        <v>7</v>
      </c>
      <c r="P713" s="1" t="s">
        <v>49</v>
      </c>
      <c r="Q713" s="1" t="s">
        <v>11</v>
      </c>
      <c r="R713" s="1" t="s">
        <v>23</v>
      </c>
      <c r="S713" s="1" t="s">
        <v>36</v>
      </c>
      <c r="T713" s="1">
        <v>2017</v>
      </c>
      <c r="U713" s="1">
        <v>7</v>
      </c>
      <c r="V713" s="50">
        <v>42917</v>
      </c>
      <c r="W713" s="4">
        <v>1578.85</v>
      </c>
      <c r="X713" s="48">
        <v>1735</v>
      </c>
    </row>
    <row r="714" spans="2:24" x14ac:dyDescent="0.35">
      <c r="B714" s="8" t="s">
        <v>7</v>
      </c>
      <c r="C714" s="8" t="s">
        <v>43</v>
      </c>
      <c r="D714" s="8" t="s">
        <v>10</v>
      </c>
      <c r="E714" s="8" t="s">
        <v>23</v>
      </c>
      <c r="F714" s="8" t="s">
        <v>36</v>
      </c>
      <c r="G714" s="8">
        <v>2017</v>
      </c>
      <c r="H714" s="8">
        <v>7</v>
      </c>
      <c r="I714" s="10">
        <v>42917</v>
      </c>
      <c r="J714" s="11">
        <v>1761</v>
      </c>
      <c r="K714" s="51"/>
      <c r="O714" s="1" t="s">
        <v>7</v>
      </c>
      <c r="P714" s="1" t="s">
        <v>43</v>
      </c>
      <c r="Q714" s="1" t="s">
        <v>10</v>
      </c>
      <c r="R714" s="1" t="s">
        <v>23</v>
      </c>
      <c r="S714" s="1" t="s">
        <v>36</v>
      </c>
      <c r="T714" s="1">
        <v>2017</v>
      </c>
      <c r="U714" s="1">
        <v>7</v>
      </c>
      <c r="V714" s="50">
        <v>42917</v>
      </c>
      <c r="W714" s="4">
        <v>1514.4600000000003</v>
      </c>
      <c r="X714" s="48">
        <v>1761</v>
      </c>
    </row>
    <row r="715" spans="2:24" x14ac:dyDescent="0.35">
      <c r="B715" s="8" t="s">
        <v>6</v>
      </c>
      <c r="C715" s="8" t="s">
        <v>40</v>
      </c>
      <c r="D715" s="8" t="s">
        <v>41</v>
      </c>
      <c r="E715" s="8" t="s">
        <v>0</v>
      </c>
      <c r="F715" s="6" t="s">
        <v>45</v>
      </c>
      <c r="G715" s="8">
        <v>2017</v>
      </c>
      <c r="H715" s="8">
        <v>7</v>
      </c>
      <c r="I715" s="10">
        <v>42917</v>
      </c>
      <c r="J715" s="11">
        <v>4259</v>
      </c>
      <c r="K715" s="51"/>
      <c r="O715" s="1" t="s">
        <v>6</v>
      </c>
      <c r="P715" s="1" t="s">
        <v>40</v>
      </c>
      <c r="Q715" s="1" t="s">
        <v>41</v>
      </c>
      <c r="R715" s="1" t="s">
        <v>0</v>
      </c>
      <c r="S715" t="s">
        <v>45</v>
      </c>
      <c r="T715" s="1">
        <v>2017</v>
      </c>
      <c r="U715" s="1">
        <v>7</v>
      </c>
      <c r="V715" s="50">
        <v>42917</v>
      </c>
      <c r="W715" s="4">
        <v>3747.9199999999996</v>
      </c>
      <c r="X715" s="48">
        <v>4259</v>
      </c>
    </row>
    <row r="716" spans="2:24" x14ac:dyDescent="0.35">
      <c r="B716" s="8" t="s">
        <v>7</v>
      </c>
      <c r="C716" s="8" t="s">
        <v>32</v>
      </c>
      <c r="D716" s="8" t="s">
        <v>8</v>
      </c>
      <c r="E716" s="8" t="s">
        <v>27</v>
      </c>
      <c r="F716" s="6" t="s">
        <v>28</v>
      </c>
      <c r="G716" s="8">
        <v>2017</v>
      </c>
      <c r="H716" s="8">
        <v>7</v>
      </c>
      <c r="I716" s="10">
        <v>42917</v>
      </c>
      <c r="J716" s="11">
        <v>3520</v>
      </c>
      <c r="K716" s="51"/>
      <c r="O716" s="1" t="s">
        <v>7</v>
      </c>
      <c r="P716" s="1" t="s">
        <v>32</v>
      </c>
      <c r="Q716" s="1" t="s">
        <v>8</v>
      </c>
      <c r="R716" s="1" t="s">
        <v>27</v>
      </c>
      <c r="S716" t="s">
        <v>28</v>
      </c>
      <c r="T716" s="1">
        <v>2017</v>
      </c>
      <c r="U716" s="1">
        <v>7</v>
      </c>
      <c r="V716" s="50">
        <v>42917</v>
      </c>
      <c r="W716" s="4">
        <v>3132.7999999999997</v>
      </c>
      <c r="X716" s="48">
        <v>3520</v>
      </c>
    </row>
    <row r="717" spans="2:24" x14ac:dyDescent="0.35">
      <c r="B717" s="8" t="s">
        <v>7</v>
      </c>
      <c r="C717" s="8" t="s">
        <v>32</v>
      </c>
      <c r="D717" s="8" t="s">
        <v>8</v>
      </c>
      <c r="E717" s="8" t="s">
        <v>27</v>
      </c>
      <c r="F717" s="6" t="s">
        <v>31</v>
      </c>
      <c r="G717" s="8">
        <v>2017</v>
      </c>
      <c r="H717" s="8">
        <v>7</v>
      </c>
      <c r="I717" s="10">
        <v>42917</v>
      </c>
      <c r="J717" s="11">
        <v>2931</v>
      </c>
      <c r="K717" s="51"/>
      <c r="O717" s="1" t="s">
        <v>7</v>
      </c>
      <c r="P717" s="1" t="s">
        <v>32</v>
      </c>
      <c r="Q717" s="1" t="s">
        <v>8</v>
      </c>
      <c r="R717" s="1" t="s">
        <v>27</v>
      </c>
      <c r="S717" t="s">
        <v>31</v>
      </c>
      <c r="T717" s="1">
        <v>2017</v>
      </c>
      <c r="U717" s="1">
        <v>7</v>
      </c>
      <c r="V717" s="50">
        <v>42917</v>
      </c>
      <c r="W717" s="4">
        <v>2725.83</v>
      </c>
      <c r="X717" s="48">
        <v>2931</v>
      </c>
    </row>
    <row r="718" spans="2:24" x14ac:dyDescent="0.35">
      <c r="B718" s="8" t="s">
        <v>6</v>
      </c>
      <c r="C718" s="8" t="s">
        <v>29</v>
      </c>
      <c r="D718" s="8" t="s">
        <v>30</v>
      </c>
      <c r="E718" s="9" t="s">
        <v>23</v>
      </c>
      <c r="F718" s="9" t="s">
        <v>24</v>
      </c>
      <c r="G718" s="8">
        <v>2017</v>
      </c>
      <c r="H718" s="8">
        <v>7</v>
      </c>
      <c r="I718" s="10">
        <v>42917</v>
      </c>
      <c r="J718" s="11">
        <v>1993</v>
      </c>
      <c r="K718" s="51"/>
      <c r="O718" s="1" t="s">
        <v>6</v>
      </c>
      <c r="P718" s="1" t="s">
        <v>29</v>
      </c>
      <c r="Q718" s="1" t="s">
        <v>30</v>
      </c>
      <c r="R718" s="2" t="s">
        <v>23</v>
      </c>
      <c r="S718" s="2" t="s">
        <v>24</v>
      </c>
      <c r="T718" s="1">
        <v>2017</v>
      </c>
      <c r="U718" s="1">
        <v>7</v>
      </c>
      <c r="V718" s="50">
        <v>42917</v>
      </c>
      <c r="W718" s="4">
        <v>1694.0500000000002</v>
      </c>
      <c r="X718" s="48">
        <v>1993</v>
      </c>
    </row>
    <row r="719" spans="2:24" x14ac:dyDescent="0.35">
      <c r="B719" s="8" t="s">
        <v>7</v>
      </c>
      <c r="C719" s="8" t="s">
        <v>48</v>
      </c>
      <c r="D719" s="8" t="s">
        <v>9</v>
      </c>
      <c r="E719" s="8" t="s">
        <v>0</v>
      </c>
      <c r="F719" s="9" t="s">
        <v>42</v>
      </c>
      <c r="G719" s="8">
        <v>2017</v>
      </c>
      <c r="H719" s="8">
        <v>7</v>
      </c>
      <c r="I719" s="10">
        <v>42917</v>
      </c>
      <c r="J719" s="11">
        <v>5614</v>
      </c>
      <c r="K719" s="51"/>
      <c r="O719" s="1" t="s">
        <v>7</v>
      </c>
      <c r="P719" s="1" t="s">
        <v>48</v>
      </c>
      <c r="Q719" s="1" t="s">
        <v>9</v>
      </c>
      <c r="R719" s="1" t="s">
        <v>0</v>
      </c>
      <c r="S719" s="2" t="s">
        <v>42</v>
      </c>
      <c r="T719" s="1">
        <v>2017</v>
      </c>
      <c r="U719" s="1">
        <v>7</v>
      </c>
      <c r="V719" s="50">
        <v>42917</v>
      </c>
      <c r="W719" s="4">
        <v>4884.18</v>
      </c>
      <c r="X719" s="48">
        <v>5614</v>
      </c>
    </row>
    <row r="720" spans="2:24" x14ac:dyDescent="0.35">
      <c r="B720" s="8" t="s">
        <v>7</v>
      </c>
      <c r="C720" s="8" t="s">
        <v>48</v>
      </c>
      <c r="D720" s="8" t="s">
        <v>9</v>
      </c>
      <c r="E720" s="8" t="s">
        <v>0</v>
      </c>
      <c r="F720" s="6" t="s">
        <v>26</v>
      </c>
      <c r="G720" s="8">
        <v>2017</v>
      </c>
      <c r="H720" s="8">
        <v>7</v>
      </c>
      <c r="I720" s="10">
        <v>42917</v>
      </c>
      <c r="J720" s="11">
        <v>5462</v>
      </c>
      <c r="K720" s="51"/>
      <c r="O720" s="1" t="s">
        <v>7</v>
      </c>
      <c r="P720" s="1" t="s">
        <v>48</v>
      </c>
      <c r="Q720" s="1" t="s">
        <v>9</v>
      </c>
      <c r="R720" s="1" t="s">
        <v>0</v>
      </c>
      <c r="S720" t="s">
        <v>26</v>
      </c>
      <c r="T720" s="1">
        <v>2017</v>
      </c>
      <c r="U720" s="1">
        <v>7</v>
      </c>
      <c r="V720" s="50">
        <v>42917</v>
      </c>
      <c r="W720" s="4">
        <v>4806.5599999999995</v>
      </c>
      <c r="X720" s="48">
        <v>5462</v>
      </c>
    </row>
    <row r="721" spans="2:24" x14ac:dyDescent="0.35">
      <c r="B721" s="8" t="s">
        <v>7</v>
      </c>
      <c r="C721" s="8" t="s">
        <v>49</v>
      </c>
      <c r="D721" s="8" t="s">
        <v>11</v>
      </c>
      <c r="E721" s="8" t="s">
        <v>0</v>
      </c>
      <c r="F721" s="8" t="s">
        <v>45</v>
      </c>
      <c r="G721" s="8">
        <v>2017</v>
      </c>
      <c r="H721" s="8">
        <v>7</v>
      </c>
      <c r="I721" s="10">
        <v>42917</v>
      </c>
      <c r="J721" s="11">
        <v>3006</v>
      </c>
      <c r="K721" s="51"/>
      <c r="O721" s="1" t="s">
        <v>7</v>
      </c>
      <c r="P721" s="1" t="s">
        <v>49</v>
      </c>
      <c r="Q721" s="1" t="s">
        <v>11</v>
      </c>
      <c r="R721" s="1" t="s">
        <v>0</v>
      </c>
      <c r="S721" s="1" t="s">
        <v>45</v>
      </c>
      <c r="T721" s="1">
        <v>2017</v>
      </c>
      <c r="U721" s="1">
        <v>7</v>
      </c>
      <c r="V721" s="50">
        <v>42917</v>
      </c>
      <c r="W721" s="4">
        <v>2645.2799999999997</v>
      </c>
      <c r="X721" s="48">
        <v>3006</v>
      </c>
    </row>
    <row r="722" spans="2:24" x14ac:dyDescent="0.35">
      <c r="B722" s="8" t="s">
        <v>7</v>
      </c>
      <c r="C722" s="8" t="s">
        <v>49</v>
      </c>
      <c r="D722" s="8" t="s">
        <v>11</v>
      </c>
      <c r="E722" s="8" t="s">
        <v>27</v>
      </c>
      <c r="F722" s="8" t="s">
        <v>28</v>
      </c>
      <c r="G722" s="8">
        <v>2017</v>
      </c>
      <c r="H722" s="8">
        <v>7</v>
      </c>
      <c r="I722" s="10">
        <v>42917</v>
      </c>
      <c r="J722" s="11">
        <v>4888</v>
      </c>
      <c r="K722" s="51"/>
      <c r="O722" s="1" t="s">
        <v>7</v>
      </c>
      <c r="P722" s="1" t="s">
        <v>49</v>
      </c>
      <c r="Q722" s="1" t="s">
        <v>11</v>
      </c>
      <c r="R722" s="1" t="s">
        <v>27</v>
      </c>
      <c r="S722" s="1" t="s">
        <v>28</v>
      </c>
      <c r="T722" s="1">
        <v>2017</v>
      </c>
      <c r="U722" s="1">
        <v>7</v>
      </c>
      <c r="V722" s="50">
        <v>42917</v>
      </c>
      <c r="W722" s="4">
        <v>4545.84</v>
      </c>
      <c r="X722" s="48">
        <v>4888</v>
      </c>
    </row>
    <row r="723" spans="2:24" x14ac:dyDescent="0.35">
      <c r="B723" s="8" t="s">
        <v>12</v>
      </c>
      <c r="C723" s="8" t="s">
        <v>34</v>
      </c>
      <c r="D723" s="8" t="s">
        <v>35</v>
      </c>
      <c r="E723" s="8" t="s">
        <v>27</v>
      </c>
      <c r="F723" s="8" t="s">
        <v>31</v>
      </c>
      <c r="G723" s="8">
        <v>2017</v>
      </c>
      <c r="H723" s="8">
        <v>7</v>
      </c>
      <c r="I723" s="10">
        <v>42917</v>
      </c>
      <c r="J723" s="11">
        <v>4070</v>
      </c>
      <c r="K723" s="51"/>
      <c r="O723" s="1" t="s">
        <v>12</v>
      </c>
      <c r="P723" s="1" t="s">
        <v>34</v>
      </c>
      <c r="Q723" s="1" t="s">
        <v>35</v>
      </c>
      <c r="R723" s="1" t="s">
        <v>27</v>
      </c>
      <c r="S723" s="1" t="s">
        <v>31</v>
      </c>
      <c r="T723" s="1">
        <v>2017</v>
      </c>
      <c r="U723" s="1">
        <v>7</v>
      </c>
      <c r="V723" s="50">
        <v>42917</v>
      </c>
      <c r="W723" s="4">
        <v>3744.3999999999996</v>
      </c>
      <c r="X723" s="48">
        <v>4070</v>
      </c>
    </row>
    <row r="724" spans="2:24" x14ac:dyDescent="0.35">
      <c r="B724" s="8" t="s">
        <v>12</v>
      </c>
      <c r="C724" s="8" t="s">
        <v>34</v>
      </c>
      <c r="D724" s="8" t="s">
        <v>35</v>
      </c>
      <c r="E724" s="8" t="s">
        <v>27</v>
      </c>
      <c r="F724" s="6" t="s">
        <v>33</v>
      </c>
      <c r="G724" s="8">
        <v>2017</v>
      </c>
      <c r="H724" s="8">
        <v>7</v>
      </c>
      <c r="I724" s="10">
        <v>42917</v>
      </c>
      <c r="J724" s="11">
        <v>2990</v>
      </c>
      <c r="K724" s="51"/>
      <c r="O724" s="1" t="s">
        <v>12</v>
      </c>
      <c r="P724" s="1" t="s">
        <v>34</v>
      </c>
      <c r="Q724" s="1" t="s">
        <v>35</v>
      </c>
      <c r="R724" s="1" t="s">
        <v>27</v>
      </c>
      <c r="S724" t="s">
        <v>33</v>
      </c>
      <c r="T724" s="1">
        <v>2017</v>
      </c>
      <c r="U724" s="1">
        <v>7</v>
      </c>
      <c r="V724" s="50">
        <v>42917</v>
      </c>
      <c r="W724" s="4">
        <v>2631.2</v>
      </c>
      <c r="X724" s="48">
        <v>2990</v>
      </c>
    </row>
    <row r="725" spans="2:24" x14ac:dyDescent="0.35">
      <c r="B725" s="8" t="s">
        <v>14</v>
      </c>
      <c r="C725" s="8" t="s">
        <v>37</v>
      </c>
      <c r="D725" s="8" t="s">
        <v>38</v>
      </c>
      <c r="E725" s="8" t="s">
        <v>23</v>
      </c>
      <c r="F725" s="6" t="s">
        <v>36</v>
      </c>
      <c r="G725" s="8">
        <v>2017</v>
      </c>
      <c r="H725" s="8">
        <v>7</v>
      </c>
      <c r="I725" s="10">
        <v>42917</v>
      </c>
      <c r="J725" s="11">
        <v>2144</v>
      </c>
      <c r="K725" s="51"/>
      <c r="O725" s="1" t="s">
        <v>14</v>
      </c>
      <c r="P725" s="1" t="s">
        <v>37</v>
      </c>
      <c r="Q725" s="1" t="s">
        <v>38</v>
      </c>
      <c r="R725" s="1" t="s">
        <v>23</v>
      </c>
      <c r="S725" t="s">
        <v>36</v>
      </c>
      <c r="T725" s="1">
        <v>2017</v>
      </c>
      <c r="U725" s="1">
        <v>7</v>
      </c>
      <c r="V725" s="50">
        <v>42917</v>
      </c>
      <c r="W725" s="4">
        <v>1865.2800000000002</v>
      </c>
      <c r="X725" s="48">
        <v>2144</v>
      </c>
    </row>
    <row r="726" spans="2:24" x14ac:dyDescent="0.35">
      <c r="B726" s="8" t="s">
        <v>12</v>
      </c>
      <c r="C726" s="8" t="s">
        <v>44</v>
      </c>
      <c r="D726" s="8" t="s">
        <v>13</v>
      </c>
      <c r="E726" s="8" t="s">
        <v>23</v>
      </c>
      <c r="F726" s="6" t="s">
        <v>39</v>
      </c>
      <c r="G726" s="8">
        <v>2017</v>
      </c>
      <c r="H726" s="8">
        <v>7</v>
      </c>
      <c r="I726" s="10">
        <v>42917</v>
      </c>
      <c r="J726" s="11">
        <v>1954</v>
      </c>
      <c r="K726" s="51"/>
      <c r="O726" s="1" t="s">
        <v>12</v>
      </c>
      <c r="P726" s="1" t="s">
        <v>44</v>
      </c>
      <c r="Q726" s="1" t="s">
        <v>13</v>
      </c>
      <c r="R726" s="1" t="s">
        <v>23</v>
      </c>
      <c r="S726" t="s">
        <v>39</v>
      </c>
      <c r="T726" s="1">
        <v>2017</v>
      </c>
      <c r="U726" s="1">
        <v>7</v>
      </c>
      <c r="V726" s="50">
        <v>42917</v>
      </c>
      <c r="W726" s="4">
        <v>1797.6799999999998</v>
      </c>
      <c r="X726" s="48">
        <v>1954</v>
      </c>
    </row>
    <row r="727" spans="2:24" x14ac:dyDescent="0.35">
      <c r="B727" s="8" t="s">
        <v>12</v>
      </c>
      <c r="C727" s="8" t="s">
        <v>44</v>
      </c>
      <c r="D727" s="8" t="s">
        <v>13</v>
      </c>
      <c r="E727" s="9" t="s">
        <v>0</v>
      </c>
      <c r="F727" s="9" t="s">
        <v>42</v>
      </c>
      <c r="G727" s="8">
        <v>2017</v>
      </c>
      <c r="H727" s="8">
        <v>7</v>
      </c>
      <c r="I727" s="10">
        <v>42917</v>
      </c>
      <c r="J727" s="11">
        <v>6851</v>
      </c>
      <c r="K727" s="51"/>
      <c r="O727" s="1" t="s">
        <v>12</v>
      </c>
      <c r="P727" s="1" t="s">
        <v>44</v>
      </c>
      <c r="Q727" s="1" t="s">
        <v>13</v>
      </c>
      <c r="R727" s="2" t="s">
        <v>0</v>
      </c>
      <c r="S727" s="2" t="s">
        <v>42</v>
      </c>
      <c r="T727" s="1">
        <v>2017</v>
      </c>
      <c r="U727" s="1">
        <v>7</v>
      </c>
      <c r="V727" s="50">
        <v>42917</v>
      </c>
      <c r="W727" s="4">
        <v>6097.3899999999994</v>
      </c>
      <c r="X727" s="48">
        <v>6851</v>
      </c>
    </row>
    <row r="728" spans="2:24" x14ac:dyDescent="0.35">
      <c r="B728" s="8" t="s">
        <v>14</v>
      </c>
      <c r="C728" s="8" t="s">
        <v>46</v>
      </c>
      <c r="D728" s="8" t="s">
        <v>47</v>
      </c>
      <c r="E728" s="8" t="s">
        <v>0</v>
      </c>
      <c r="F728" s="9" t="s">
        <v>26</v>
      </c>
      <c r="G728" s="8">
        <v>2017</v>
      </c>
      <c r="H728" s="8">
        <v>7</v>
      </c>
      <c r="I728" s="10">
        <v>42917</v>
      </c>
      <c r="J728" s="11">
        <v>3124</v>
      </c>
      <c r="K728" s="51"/>
      <c r="O728" s="1" t="s">
        <v>14</v>
      </c>
      <c r="P728" s="1" t="s">
        <v>46</v>
      </c>
      <c r="Q728" s="1" t="s">
        <v>47</v>
      </c>
      <c r="R728" s="1" t="s">
        <v>0</v>
      </c>
      <c r="S728" s="2" t="s">
        <v>26</v>
      </c>
      <c r="T728" s="1">
        <v>2017</v>
      </c>
      <c r="U728" s="1">
        <v>7</v>
      </c>
      <c r="V728" s="50">
        <v>42917</v>
      </c>
      <c r="W728" s="4">
        <v>2686.6400000000003</v>
      </c>
      <c r="X728" s="48">
        <v>3124</v>
      </c>
    </row>
    <row r="729" spans="2:24" x14ac:dyDescent="0.35">
      <c r="B729" s="8" t="s">
        <v>14</v>
      </c>
      <c r="C729" s="8" t="s">
        <v>46</v>
      </c>
      <c r="D729" s="8" t="s">
        <v>47</v>
      </c>
      <c r="E729" s="8" t="s">
        <v>0</v>
      </c>
      <c r="F729" s="6" t="s">
        <v>45</v>
      </c>
      <c r="G729" s="8">
        <v>2017</v>
      </c>
      <c r="H729" s="8">
        <v>7</v>
      </c>
      <c r="I729" s="10">
        <v>42917</v>
      </c>
      <c r="J729" s="11">
        <v>2031</v>
      </c>
      <c r="K729" s="51"/>
      <c r="O729" s="1" t="s">
        <v>14</v>
      </c>
      <c r="P729" s="1" t="s">
        <v>46</v>
      </c>
      <c r="Q729" s="1" t="s">
        <v>47</v>
      </c>
      <c r="R729" s="1" t="s">
        <v>0</v>
      </c>
      <c r="S729" t="s">
        <v>45</v>
      </c>
      <c r="T729" s="1">
        <v>2017</v>
      </c>
      <c r="U729" s="1">
        <v>7</v>
      </c>
      <c r="V729" s="50">
        <v>42917</v>
      </c>
      <c r="W729" s="4">
        <v>1766.9700000000003</v>
      </c>
      <c r="X729" s="48">
        <v>2031</v>
      </c>
    </row>
    <row r="730" spans="2:24" x14ac:dyDescent="0.35">
      <c r="B730" s="8" t="s">
        <v>3</v>
      </c>
      <c r="C730" s="8" t="s">
        <v>25</v>
      </c>
      <c r="D730" s="8" t="s">
        <v>4</v>
      </c>
      <c r="E730" s="8" t="s">
        <v>27</v>
      </c>
      <c r="F730" s="8" t="s">
        <v>33</v>
      </c>
      <c r="G730" s="8">
        <v>2017</v>
      </c>
      <c r="H730" s="8">
        <v>7</v>
      </c>
      <c r="I730" s="10">
        <v>42917</v>
      </c>
      <c r="J730" s="11">
        <v>3268</v>
      </c>
      <c r="K730" s="51"/>
      <c r="O730" s="1" t="s">
        <v>3</v>
      </c>
      <c r="P730" s="1" t="s">
        <v>25</v>
      </c>
      <c r="Q730" s="1" t="s">
        <v>4</v>
      </c>
      <c r="R730" s="1" t="s">
        <v>27</v>
      </c>
      <c r="S730" s="1" t="s">
        <v>33</v>
      </c>
      <c r="T730" s="1">
        <v>2017</v>
      </c>
      <c r="U730" s="1">
        <v>7</v>
      </c>
      <c r="V730" s="50">
        <v>42917</v>
      </c>
      <c r="W730" s="4">
        <v>2941.2</v>
      </c>
      <c r="X730" s="48">
        <v>3268</v>
      </c>
    </row>
    <row r="731" spans="2:24" x14ac:dyDescent="0.35">
      <c r="B731" s="8" t="s">
        <v>3</v>
      </c>
      <c r="C731" s="8" t="s">
        <v>25</v>
      </c>
      <c r="D731" s="8" t="s">
        <v>4</v>
      </c>
      <c r="E731" s="8" t="s">
        <v>23</v>
      </c>
      <c r="F731" s="8" t="s">
        <v>36</v>
      </c>
      <c r="G731" s="8">
        <v>2017</v>
      </c>
      <c r="H731" s="8">
        <v>7</v>
      </c>
      <c r="I731" s="10">
        <v>42917</v>
      </c>
      <c r="J731" s="11">
        <v>2119</v>
      </c>
      <c r="K731" s="51"/>
      <c r="O731" s="1" t="s">
        <v>3</v>
      </c>
      <c r="P731" s="1" t="s">
        <v>25</v>
      </c>
      <c r="Q731" s="1" t="s">
        <v>4</v>
      </c>
      <c r="R731" s="1" t="s">
        <v>23</v>
      </c>
      <c r="S731" s="1" t="s">
        <v>36</v>
      </c>
      <c r="T731" s="1">
        <v>2017</v>
      </c>
      <c r="U731" s="1">
        <v>7</v>
      </c>
      <c r="V731" s="50">
        <v>42917</v>
      </c>
      <c r="W731" s="4">
        <v>1885.9099999999999</v>
      </c>
      <c r="X731" s="48">
        <v>2119</v>
      </c>
    </row>
    <row r="732" spans="2:24" x14ac:dyDescent="0.35">
      <c r="B732" s="8" t="s">
        <v>6</v>
      </c>
      <c r="C732" s="8" t="s">
        <v>40</v>
      </c>
      <c r="D732" s="8" t="s">
        <v>41</v>
      </c>
      <c r="E732" s="8" t="s">
        <v>23</v>
      </c>
      <c r="F732" s="8" t="s">
        <v>39</v>
      </c>
      <c r="G732" s="8">
        <v>2017</v>
      </c>
      <c r="H732" s="8">
        <v>7</v>
      </c>
      <c r="I732" s="10">
        <v>42917</v>
      </c>
      <c r="J732" s="11">
        <v>1656</v>
      </c>
      <c r="K732" s="51"/>
      <c r="O732" s="1" t="s">
        <v>6</v>
      </c>
      <c r="P732" s="1" t="s">
        <v>40</v>
      </c>
      <c r="Q732" s="1" t="s">
        <v>41</v>
      </c>
      <c r="R732" s="1" t="s">
        <v>23</v>
      </c>
      <c r="S732" s="1" t="s">
        <v>39</v>
      </c>
      <c r="T732" s="1">
        <v>2017</v>
      </c>
      <c r="U732" s="1">
        <v>7</v>
      </c>
      <c r="V732" s="50">
        <v>42917</v>
      </c>
      <c r="W732" s="4">
        <v>1523.52</v>
      </c>
      <c r="X732" s="48">
        <v>1656</v>
      </c>
    </row>
    <row r="733" spans="2:24" x14ac:dyDescent="0.35">
      <c r="B733" s="8" t="s">
        <v>7</v>
      </c>
      <c r="C733" s="8" t="s">
        <v>48</v>
      </c>
      <c r="D733" s="8" t="s">
        <v>9</v>
      </c>
      <c r="E733" s="8" t="s">
        <v>0</v>
      </c>
      <c r="F733" s="6" t="s">
        <v>45</v>
      </c>
      <c r="G733" s="8">
        <v>2017</v>
      </c>
      <c r="H733" s="8">
        <v>7</v>
      </c>
      <c r="I733" s="10">
        <v>42917</v>
      </c>
      <c r="J733" s="11">
        <v>2326</v>
      </c>
      <c r="K733" s="51"/>
      <c r="O733" s="1" t="s">
        <v>7</v>
      </c>
      <c r="P733" s="1" t="s">
        <v>48</v>
      </c>
      <c r="Q733" s="1" t="s">
        <v>9</v>
      </c>
      <c r="R733" s="1" t="s">
        <v>0</v>
      </c>
      <c r="S733" t="s">
        <v>45</v>
      </c>
      <c r="T733" s="1">
        <v>2017</v>
      </c>
      <c r="U733" s="1">
        <v>7</v>
      </c>
      <c r="V733" s="50">
        <v>42917</v>
      </c>
      <c r="W733" s="4">
        <v>2186.44</v>
      </c>
      <c r="X733" s="48">
        <v>2326</v>
      </c>
    </row>
    <row r="734" spans="2:24" x14ac:dyDescent="0.35">
      <c r="B734" s="8" t="s">
        <v>7</v>
      </c>
      <c r="C734" s="8" t="s">
        <v>49</v>
      </c>
      <c r="D734" s="8" t="s">
        <v>11</v>
      </c>
      <c r="E734" s="8" t="s">
        <v>27</v>
      </c>
      <c r="F734" s="6" t="s">
        <v>31</v>
      </c>
      <c r="G734" s="8">
        <v>2017</v>
      </c>
      <c r="H734" s="8">
        <v>7</v>
      </c>
      <c r="I734" s="10">
        <v>42917</v>
      </c>
      <c r="J734" s="11">
        <v>5352</v>
      </c>
      <c r="K734" s="51"/>
      <c r="O734" s="1" t="s">
        <v>7</v>
      </c>
      <c r="P734" s="1" t="s">
        <v>49</v>
      </c>
      <c r="Q734" s="1" t="s">
        <v>11</v>
      </c>
      <c r="R734" s="1" t="s">
        <v>27</v>
      </c>
      <c r="S734" t="s">
        <v>31</v>
      </c>
      <c r="T734" s="1">
        <v>2017</v>
      </c>
      <c r="U734" s="1">
        <v>7</v>
      </c>
      <c r="V734" s="50">
        <v>42917</v>
      </c>
      <c r="W734" s="4">
        <v>4709.7599999999993</v>
      </c>
      <c r="X734" s="48">
        <v>5352</v>
      </c>
    </row>
    <row r="735" spans="2:24" x14ac:dyDescent="0.35">
      <c r="B735" s="8" t="s">
        <v>7</v>
      </c>
      <c r="C735" s="8" t="s">
        <v>43</v>
      </c>
      <c r="D735" s="8" t="s">
        <v>10</v>
      </c>
      <c r="E735" s="8" t="s">
        <v>27</v>
      </c>
      <c r="F735" s="6" t="s">
        <v>33</v>
      </c>
      <c r="G735" s="8">
        <v>2017</v>
      </c>
      <c r="H735" s="8">
        <v>7</v>
      </c>
      <c r="I735" s="10">
        <v>42917</v>
      </c>
      <c r="J735" s="11">
        <v>3081</v>
      </c>
      <c r="K735" s="51"/>
      <c r="O735" s="1" t="s">
        <v>7</v>
      </c>
      <c r="P735" s="1" t="s">
        <v>43</v>
      </c>
      <c r="Q735" s="1" t="s">
        <v>10</v>
      </c>
      <c r="R735" s="1" t="s">
        <v>27</v>
      </c>
      <c r="S735" t="s">
        <v>33</v>
      </c>
      <c r="T735" s="1">
        <v>2017</v>
      </c>
      <c r="U735" s="1">
        <v>7</v>
      </c>
      <c r="V735" s="50">
        <v>42917</v>
      </c>
      <c r="W735" s="4">
        <v>2742.0899999999997</v>
      </c>
      <c r="X735" s="48">
        <v>3081</v>
      </c>
    </row>
    <row r="736" spans="2:24" x14ac:dyDescent="0.35">
      <c r="B736" s="8" t="s">
        <v>7</v>
      </c>
      <c r="C736" s="8" t="s">
        <v>32</v>
      </c>
      <c r="D736" s="8" t="s">
        <v>8</v>
      </c>
      <c r="E736" s="9" t="s">
        <v>0</v>
      </c>
      <c r="F736" s="9" t="s">
        <v>45</v>
      </c>
      <c r="G736" s="8">
        <v>2017</v>
      </c>
      <c r="H736" s="8">
        <v>7</v>
      </c>
      <c r="I736" s="10">
        <v>42917</v>
      </c>
      <c r="J736" s="11">
        <v>2801</v>
      </c>
      <c r="K736" s="51"/>
      <c r="O736" s="1" t="s">
        <v>7</v>
      </c>
      <c r="P736" s="1" t="s">
        <v>32</v>
      </c>
      <c r="Q736" s="1" t="s">
        <v>8</v>
      </c>
      <c r="R736" s="2" t="s">
        <v>0</v>
      </c>
      <c r="S736" s="2" t="s">
        <v>45</v>
      </c>
      <c r="T736" s="1">
        <v>2017</v>
      </c>
      <c r="U736" s="1">
        <v>7</v>
      </c>
      <c r="V736" s="50">
        <v>42917</v>
      </c>
      <c r="W736" s="4">
        <v>2380.8500000000004</v>
      </c>
      <c r="X736" s="48">
        <v>2801</v>
      </c>
    </row>
    <row r="737" spans="2:24" x14ac:dyDescent="0.35">
      <c r="B737" s="8" t="s">
        <v>7</v>
      </c>
      <c r="C737" s="8" t="s">
        <v>48</v>
      </c>
      <c r="D737" s="8" t="s">
        <v>9</v>
      </c>
      <c r="E737" s="8" t="s">
        <v>23</v>
      </c>
      <c r="F737" s="9" t="s">
        <v>39</v>
      </c>
      <c r="G737" s="8">
        <v>2017</v>
      </c>
      <c r="H737" s="8">
        <v>7</v>
      </c>
      <c r="I737" s="10">
        <v>42917</v>
      </c>
      <c r="J737" s="11">
        <v>1699</v>
      </c>
      <c r="K737" s="51"/>
      <c r="O737" s="1" t="s">
        <v>7</v>
      </c>
      <c r="P737" s="1" t="s">
        <v>48</v>
      </c>
      <c r="Q737" s="1" t="s">
        <v>9</v>
      </c>
      <c r="R737" s="1" t="s">
        <v>23</v>
      </c>
      <c r="S737" s="2" t="s">
        <v>39</v>
      </c>
      <c r="T737" s="1">
        <v>2017</v>
      </c>
      <c r="U737" s="1">
        <v>7</v>
      </c>
      <c r="V737" s="50">
        <v>42917</v>
      </c>
      <c r="W737" s="4">
        <v>1478.13</v>
      </c>
      <c r="X737" s="48">
        <v>1699</v>
      </c>
    </row>
    <row r="738" spans="2:24" x14ac:dyDescent="0.35">
      <c r="B738" s="8" t="s">
        <v>7</v>
      </c>
      <c r="C738" s="8" t="s">
        <v>49</v>
      </c>
      <c r="D738" s="8" t="s">
        <v>11</v>
      </c>
      <c r="E738" s="8" t="s">
        <v>0</v>
      </c>
      <c r="F738" s="6" t="s">
        <v>26</v>
      </c>
      <c r="G738" s="8">
        <v>2017</v>
      </c>
      <c r="H738" s="8">
        <v>7</v>
      </c>
      <c r="I738" s="10">
        <v>42917</v>
      </c>
      <c r="J738" s="11">
        <v>4944</v>
      </c>
      <c r="K738" s="51"/>
      <c r="O738" s="1" t="s">
        <v>7</v>
      </c>
      <c r="P738" s="1" t="s">
        <v>49</v>
      </c>
      <c r="Q738" s="1" t="s">
        <v>11</v>
      </c>
      <c r="R738" s="1" t="s">
        <v>0</v>
      </c>
      <c r="S738" t="s">
        <v>26</v>
      </c>
      <c r="T738" s="1">
        <v>2017</v>
      </c>
      <c r="U738" s="1">
        <v>7</v>
      </c>
      <c r="V738" s="50">
        <v>42917</v>
      </c>
      <c r="W738" s="4">
        <v>4400.16</v>
      </c>
      <c r="X738" s="48">
        <v>4944</v>
      </c>
    </row>
    <row r="739" spans="2:24" x14ac:dyDescent="0.35">
      <c r="B739" s="8" t="s">
        <v>12</v>
      </c>
      <c r="C739" s="8" t="s">
        <v>34</v>
      </c>
      <c r="D739" s="8" t="s">
        <v>35</v>
      </c>
      <c r="E739" s="8" t="s">
        <v>27</v>
      </c>
      <c r="F739" s="8" t="s">
        <v>28</v>
      </c>
      <c r="G739" s="8">
        <v>2017</v>
      </c>
      <c r="H739" s="8">
        <v>7</v>
      </c>
      <c r="I739" s="10">
        <v>42917</v>
      </c>
      <c r="J739" s="11">
        <v>4195</v>
      </c>
      <c r="K739" s="51"/>
      <c r="O739" s="1" t="s">
        <v>12</v>
      </c>
      <c r="P739" s="1" t="s">
        <v>34</v>
      </c>
      <c r="Q739" s="1" t="s">
        <v>35</v>
      </c>
      <c r="R739" s="1" t="s">
        <v>27</v>
      </c>
      <c r="S739" s="1" t="s">
        <v>28</v>
      </c>
      <c r="T739" s="1">
        <v>2017</v>
      </c>
      <c r="U739" s="1">
        <v>7</v>
      </c>
      <c r="V739" s="50">
        <v>42917</v>
      </c>
      <c r="W739" s="4">
        <v>3565.7500000000005</v>
      </c>
      <c r="X739" s="48">
        <v>4195</v>
      </c>
    </row>
    <row r="740" spans="2:24" x14ac:dyDescent="0.35">
      <c r="B740" s="8" t="s">
        <v>14</v>
      </c>
      <c r="C740" s="8" t="s">
        <v>37</v>
      </c>
      <c r="D740" s="8" t="s">
        <v>38</v>
      </c>
      <c r="E740" s="8" t="s">
        <v>27</v>
      </c>
      <c r="F740" s="8" t="s">
        <v>33</v>
      </c>
      <c r="G740" s="8">
        <v>2017</v>
      </c>
      <c r="H740" s="8">
        <v>7</v>
      </c>
      <c r="I740" s="10">
        <v>42917</v>
      </c>
      <c r="J740" s="11">
        <v>3301</v>
      </c>
      <c r="K740" s="51"/>
      <c r="O740" s="1" t="s">
        <v>14</v>
      </c>
      <c r="P740" s="1" t="s">
        <v>37</v>
      </c>
      <c r="Q740" s="1" t="s">
        <v>38</v>
      </c>
      <c r="R740" s="1" t="s">
        <v>27</v>
      </c>
      <c r="S740" s="1" t="s">
        <v>33</v>
      </c>
      <c r="T740" s="1">
        <v>2017</v>
      </c>
      <c r="U740" s="1">
        <v>7</v>
      </c>
      <c r="V740" s="50">
        <v>42917</v>
      </c>
      <c r="W740" s="4">
        <v>2805.8500000000004</v>
      </c>
      <c r="X740" s="48">
        <v>3301</v>
      </c>
    </row>
    <row r="741" spans="2:24" x14ac:dyDescent="0.35">
      <c r="B741" s="8" t="s">
        <v>12</v>
      </c>
      <c r="C741" s="8" t="s">
        <v>44</v>
      </c>
      <c r="D741" s="8" t="s">
        <v>13</v>
      </c>
      <c r="E741" s="8" t="s">
        <v>23</v>
      </c>
      <c r="F741" s="8" t="s">
        <v>24</v>
      </c>
      <c r="G741" s="8">
        <v>2017</v>
      </c>
      <c r="H741" s="8">
        <v>7</v>
      </c>
      <c r="I741" s="10">
        <v>42917</v>
      </c>
      <c r="J741" s="11">
        <v>2544</v>
      </c>
      <c r="K741" s="51"/>
      <c r="O741" s="1" t="s">
        <v>12</v>
      </c>
      <c r="P741" s="1" t="s">
        <v>44</v>
      </c>
      <c r="Q741" s="1" t="s">
        <v>13</v>
      </c>
      <c r="R741" s="1" t="s">
        <v>23</v>
      </c>
      <c r="S741" s="1" t="s">
        <v>24</v>
      </c>
      <c r="T741" s="1">
        <v>2017</v>
      </c>
      <c r="U741" s="1">
        <v>7</v>
      </c>
      <c r="V741" s="50">
        <v>42917</v>
      </c>
      <c r="W741" s="4">
        <v>2238.7199999999998</v>
      </c>
      <c r="X741" s="48">
        <v>2544</v>
      </c>
    </row>
    <row r="742" spans="2:24" x14ac:dyDescent="0.35">
      <c r="B742" s="8" t="s">
        <v>14</v>
      </c>
      <c r="C742" s="8" t="s">
        <v>46</v>
      </c>
      <c r="D742" s="8" t="s">
        <v>47</v>
      </c>
      <c r="E742" s="8" t="s">
        <v>0</v>
      </c>
      <c r="F742" s="6" t="s">
        <v>42</v>
      </c>
      <c r="G742" s="8">
        <v>2017</v>
      </c>
      <c r="H742" s="8">
        <v>7</v>
      </c>
      <c r="I742" s="10">
        <v>42917</v>
      </c>
      <c r="J742" s="11">
        <v>4389</v>
      </c>
      <c r="K742" s="51"/>
      <c r="O742" s="1" t="s">
        <v>14</v>
      </c>
      <c r="P742" s="1" t="s">
        <v>46</v>
      </c>
      <c r="Q742" s="1" t="s">
        <v>47</v>
      </c>
      <c r="R742" s="1" t="s">
        <v>0</v>
      </c>
      <c r="S742" t="s">
        <v>42</v>
      </c>
      <c r="T742" s="1">
        <v>2017</v>
      </c>
      <c r="U742" s="1">
        <v>7</v>
      </c>
      <c r="V742" s="50">
        <v>42917</v>
      </c>
      <c r="W742" s="4">
        <v>4081.7699999999995</v>
      </c>
      <c r="X742" s="48">
        <v>4389</v>
      </c>
    </row>
    <row r="743" spans="2:24" x14ac:dyDescent="0.35">
      <c r="B743" s="8" t="s">
        <v>7</v>
      </c>
      <c r="C743" s="8" t="s">
        <v>48</v>
      </c>
      <c r="D743" s="8" t="s">
        <v>9</v>
      </c>
      <c r="E743" s="8" t="s">
        <v>27</v>
      </c>
      <c r="F743" s="6" t="s">
        <v>33</v>
      </c>
      <c r="G743" s="8">
        <v>2017</v>
      </c>
      <c r="H743" s="8">
        <v>7</v>
      </c>
      <c r="I743" s="10">
        <v>42917</v>
      </c>
      <c r="J743" s="11">
        <v>2804</v>
      </c>
      <c r="K743" s="51"/>
      <c r="O743" s="1" t="s">
        <v>7</v>
      </c>
      <c r="P743" s="1" t="s">
        <v>48</v>
      </c>
      <c r="Q743" s="1" t="s">
        <v>9</v>
      </c>
      <c r="R743" s="1" t="s">
        <v>27</v>
      </c>
      <c r="S743" t="s">
        <v>33</v>
      </c>
      <c r="T743" s="1">
        <v>2017</v>
      </c>
      <c r="U743" s="1">
        <v>7</v>
      </c>
      <c r="V743" s="50">
        <v>42917</v>
      </c>
      <c r="W743" s="4">
        <v>2551.64</v>
      </c>
      <c r="X743" s="48">
        <v>2804</v>
      </c>
    </row>
    <row r="744" spans="2:24" x14ac:dyDescent="0.35">
      <c r="B744" s="8" t="s">
        <v>7</v>
      </c>
      <c r="C744" s="8" t="s">
        <v>49</v>
      </c>
      <c r="D744" s="8" t="s">
        <v>11</v>
      </c>
      <c r="E744" s="8" t="s">
        <v>23</v>
      </c>
      <c r="F744" s="6" t="s">
        <v>24</v>
      </c>
      <c r="G744" s="8">
        <v>2017</v>
      </c>
      <c r="H744" s="8">
        <v>7</v>
      </c>
      <c r="I744" s="10">
        <v>42917</v>
      </c>
      <c r="J744" s="11">
        <v>1761</v>
      </c>
      <c r="K744" s="51"/>
      <c r="O744" s="1" t="s">
        <v>7</v>
      </c>
      <c r="P744" s="1" t="s">
        <v>49</v>
      </c>
      <c r="Q744" s="1" t="s">
        <v>11</v>
      </c>
      <c r="R744" s="1" t="s">
        <v>23</v>
      </c>
      <c r="S744" t="s">
        <v>24</v>
      </c>
      <c r="T744" s="1">
        <v>2017</v>
      </c>
      <c r="U744" s="1">
        <v>7</v>
      </c>
      <c r="V744" s="50">
        <v>42917</v>
      </c>
      <c r="W744" s="4">
        <v>1655.34</v>
      </c>
      <c r="X744" s="48">
        <v>1761</v>
      </c>
    </row>
    <row r="745" spans="2:24" x14ac:dyDescent="0.35">
      <c r="B745" s="8" t="s">
        <v>3</v>
      </c>
      <c r="C745" s="8" t="s">
        <v>22</v>
      </c>
      <c r="D745" s="8" t="s">
        <v>5</v>
      </c>
      <c r="E745" s="9" t="s">
        <v>23</v>
      </c>
      <c r="F745" s="9" t="s">
        <v>24</v>
      </c>
      <c r="G745" s="8">
        <v>2017</v>
      </c>
      <c r="H745" s="8">
        <v>8</v>
      </c>
      <c r="I745" s="10">
        <v>42948</v>
      </c>
      <c r="J745" s="11">
        <v>1628</v>
      </c>
      <c r="K745" s="51"/>
      <c r="O745" s="1" t="s">
        <v>3</v>
      </c>
      <c r="P745" s="1" t="s">
        <v>22</v>
      </c>
      <c r="Q745" s="1" t="s">
        <v>5</v>
      </c>
      <c r="R745" s="2" t="s">
        <v>23</v>
      </c>
      <c r="S745" s="2" t="s">
        <v>24</v>
      </c>
      <c r="T745" s="1">
        <v>2017</v>
      </c>
      <c r="U745" s="1">
        <v>8</v>
      </c>
      <c r="V745" s="50">
        <v>42948</v>
      </c>
      <c r="W745" s="4">
        <v>1530.32</v>
      </c>
      <c r="X745" s="48">
        <v>1628</v>
      </c>
    </row>
    <row r="746" spans="2:24" x14ac:dyDescent="0.35">
      <c r="B746" s="8" t="s">
        <v>3</v>
      </c>
      <c r="C746" s="8" t="s">
        <v>25</v>
      </c>
      <c r="D746" s="8" t="s">
        <v>4</v>
      </c>
      <c r="E746" s="8" t="s">
        <v>23</v>
      </c>
      <c r="F746" s="9" t="s">
        <v>24</v>
      </c>
      <c r="G746" s="8">
        <v>2017</v>
      </c>
      <c r="H746" s="8">
        <v>8</v>
      </c>
      <c r="I746" s="10">
        <v>42948</v>
      </c>
      <c r="J746" s="11">
        <v>3262</v>
      </c>
      <c r="K746" s="51"/>
      <c r="O746" s="1" t="s">
        <v>3</v>
      </c>
      <c r="P746" s="1" t="s">
        <v>25</v>
      </c>
      <c r="Q746" s="1" t="s">
        <v>4</v>
      </c>
      <c r="R746" s="1" t="s">
        <v>23</v>
      </c>
      <c r="S746" s="2" t="s">
        <v>24</v>
      </c>
      <c r="T746" s="1">
        <v>2017</v>
      </c>
      <c r="U746" s="1">
        <v>8</v>
      </c>
      <c r="V746" s="50">
        <v>42948</v>
      </c>
      <c r="W746" s="4">
        <v>2870.5599999999995</v>
      </c>
      <c r="X746" s="48">
        <v>3262</v>
      </c>
    </row>
    <row r="747" spans="2:24" x14ac:dyDescent="0.35">
      <c r="B747" s="8" t="s">
        <v>3</v>
      </c>
      <c r="C747" s="8" t="s">
        <v>25</v>
      </c>
      <c r="D747" s="8" t="s">
        <v>4</v>
      </c>
      <c r="E747" s="8" t="s">
        <v>0</v>
      </c>
      <c r="F747" s="6" t="s">
        <v>26</v>
      </c>
      <c r="G747" s="8">
        <v>2017</v>
      </c>
      <c r="H747" s="8">
        <v>8</v>
      </c>
      <c r="I747" s="10">
        <v>42948</v>
      </c>
      <c r="J747" s="11">
        <v>3067</v>
      </c>
      <c r="K747" s="51"/>
      <c r="O747" s="1" t="s">
        <v>3</v>
      </c>
      <c r="P747" s="1" t="s">
        <v>25</v>
      </c>
      <c r="Q747" s="1" t="s">
        <v>4</v>
      </c>
      <c r="R747" s="1" t="s">
        <v>0</v>
      </c>
      <c r="S747" t="s">
        <v>26</v>
      </c>
      <c r="T747" s="1">
        <v>2017</v>
      </c>
      <c r="U747" s="1">
        <v>8</v>
      </c>
      <c r="V747" s="50">
        <v>42948</v>
      </c>
      <c r="W747" s="4">
        <v>2606.9500000000003</v>
      </c>
      <c r="X747" s="48">
        <v>3067</v>
      </c>
    </row>
    <row r="748" spans="2:24" x14ac:dyDescent="0.35">
      <c r="B748" s="8" t="s">
        <v>3</v>
      </c>
      <c r="C748" s="8" t="s">
        <v>22</v>
      </c>
      <c r="D748" s="8" t="s">
        <v>5</v>
      </c>
      <c r="E748" s="8" t="s">
        <v>0</v>
      </c>
      <c r="F748" s="8" t="s">
        <v>26</v>
      </c>
      <c r="G748" s="8">
        <v>2017</v>
      </c>
      <c r="H748" s="8">
        <v>8</v>
      </c>
      <c r="I748" s="10">
        <v>42948</v>
      </c>
      <c r="J748" s="11">
        <v>4325</v>
      </c>
      <c r="K748" s="51"/>
      <c r="O748" s="1" t="s">
        <v>3</v>
      </c>
      <c r="P748" s="1" t="s">
        <v>22</v>
      </c>
      <c r="Q748" s="1" t="s">
        <v>5</v>
      </c>
      <c r="R748" s="1" t="s">
        <v>0</v>
      </c>
      <c r="S748" s="1" t="s">
        <v>26</v>
      </c>
      <c r="T748" s="1">
        <v>2017</v>
      </c>
      <c r="U748" s="1">
        <v>8</v>
      </c>
      <c r="V748" s="50">
        <v>42948</v>
      </c>
      <c r="W748" s="4">
        <v>4065.5</v>
      </c>
      <c r="X748" s="48">
        <v>4325</v>
      </c>
    </row>
    <row r="749" spans="2:24" x14ac:dyDescent="0.35">
      <c r="B749" s="8" t="s">
        <v>3</v>
      </c>
      <c r="C749" s="8" t="s">
        <v>22</v>
      </c>
      <c r="D749" s="8" t="s">
        <v>5</v>
      </c>
      <c r="E749" s="8" t="s">
        <v>27</v>
      </c>
      <c r="F749" s="8" t="s">
        <v>28</v>
      </c>
      <c r="G749" s="8">
        <v>2017</v>
      </c>
      <c r="H749" s="8">
        <v>8</v>
      </c>
      <c r="I749" s="10">
        <v>42948</v>
      </c>
      <c r="J749" s="11">
        <v>3250</v>
      </c>
      <c r="K749" s="51"/>
      <c r="O749" s="1" t="s">
        <v>3</v>
      </c>
      <c r="P749" s="1" t="s">
        <v>22</v>
      </c>
      <c r="Q749" s="1" t="s">
        <v>5</v>
      </c>
      <c r="R749" s="1" t="s">
        <v>27</v>
      </c>
      <c r="S749" s="1" t="s">
        <v>28</v>
      </c>
      <c r="T749" s="1">
        <v>2017</v>
      </c>
      <c r="U749" s="1">
        <v>8</v>
      </c>
      <c r="V749" s="50">
        <v>42948</v>
      </c>
      <c r="W749" s="4">
        <v>3055</v>
      </c>
      <c r="X749" s="48">
        <v>3250</v>
      </c>
    </row>
    <row r="750" spans="2:24" x14ac:dyDescent="0.35">
      <c r="B750" s="8" t="s">
        <v>6</v>
      </c>
      <c r="C750" s="8" t="s">
        <v>29</v>
      </c>
      <c r="D750" s="8" t="s">
        <v>30</v>
      </c>
      <c r="E750" s="8" t="s">
        <v>27</v>
      </c>
      <c r="F750" s="8" t="s">
        <v>31</v>
      </c>
      <c r="G750" s="8">
        <v>2017</v>
      </c>
      <c r="H750" s="8">
        <v>8</v>
      </c>
      <c r="I750" s="10">
        <v>42948</v>
      </c>
      <c r="J750" s="11">
        <v>3991</v>
      </c>
      <c r="K750" s="51"/>
      <c r="O750" s="1" t="s">
        <v>6</v>
      </c>
      <c r="P750" s="1" t="s">
        <v>29</v>
      </c>
      <c r="Q750" s="1" t="s">
        <v>30</v>
      </c>
      <c r="R750" s="1" t="s">
        <v>27</v>
      </c>
      <c r="S750" s="1" t="s">
        <v>31</v>
      </c>
      <c r="T750" s="1">
        <v>2017</v>
      </c>
      <c r="U750" s="1">
        <v>8</v>
      </c>
      <c r="V750" s="50">
        <v>42948</v>
      </c>
      <c r="W750" s="4">
        <v>3432.26</v>
      </c>
      <c r="X750" s="48">
        <v>3991</v>
      </c>
    </row>
    <row r="751" spans="2:24" x14ac:dyDescent="0.35">
      <c r="B751" s="8" t="s">
        <v>7</v>
      </c>
      <c r="C751" s="8" t="s">
        <v>32</v>
      </c>
      <c r="D751" s="8" t="s">
        <v>8</v>
      </c>
      <c r="E751" s="8" t="s">
        <v>27</v>
      </c>
      <c r="F751" s="6" t="s">
        <v>33</v>
      </c>
      <c r="G751" s="8">
        <v>2017</v>
      </c>
      <c r="H751" s="8">
        <v>8</v>
      </c>
      <c r="I751" s="10">
        <v>42948</v>
      </c>
      <c r="J751" s="11">
        <v>3322</v>
      </c>
      <c r="K751" s="51"/>
      <c r="O751" s="1" t="s">
        <v>7</v>
      </c>
      <c r="P751" s="1" t="s">
        <v>32</v>
      </c>
      <c r="Q751" s="1" t="s">
        <v>8</v>
      </c>
      <c r="R751" s="1" t="s">
        <v>27</v>
      </c>
      <c r="S751" t="s">
        <v>33</v>
      </c>
      <c r="T751" s="1">
        <v>2017</v>
      </c>
      <c r="U751" s="1">
        <v>8</v>
      </c>
      <c r="V751" s="50">
        <v>42948</v>
      </c>
      <c r="W751" s="4">
        <v>3122.68</v>
      </c>
      <c r="X751" s="48">
        <v>3322</v>
      </c>
    </row>
    <row r="752" spans="2:24" x14ac:dyDescent="0.35">
      <c r="B752" s="8" t="s">
        <v>12</v>
      </c>
      <c r="C752" s="8" t="s">
        <v>34</v>
      </c>
      <c r="D752" s="8" t="s">
        <v>35</v>
      </c>
      <c r="E752" s="8" t="s">
        <v>23</v>
      </c>
      <c r="F752" s="6" t="s">
        <v>36</v>
      </c>
      <c r="G752" s="8">
        <v>2017</v>
      </c>
      <c r="H752" s="8">
        <v>8</v>
      </c>
      <c r="I752" s="10">
        <v>42948</v>
      </c>
      <c r="J752" s="11">
        <v>2218</v>
      </c>
      <c r="K752" s="51"/>
      <c r="O752" s="1" t="s">
        <v>12</v>
      </c>
      <c r="P752" s="1" t="s">
        <v>34</v>
      </c>
      <c r="Q752" s="1" t="s">
        <v>35</v>
      </c>
      <c r="R752" s="1" t="s">
        <v>23</v>
      </c>
      <c r="S752" t="s">
        <v>36</v>
      </c>
      <c r="T752" s="1">
        <v>2017</v>
      </c>
      <c r="U752" s="1">
        <v>8</v>
      </c>
      <c r="V752" s="50">
        <v>42948</v>
      </c>
      <c r="W752" s="4">
        <v>2062.7399999999998</v>
      </c>
      <c r="X752" s="48">
        <v>2218</v>
      </c>
    </row>
    <row r="753" spans="2:24" x14ac:dyDescent="0.35">
      <c r="B753" s="8" t="s">
        <v>14</v>
      </c>
      <c r="C753" s="8" t="s">
        <v>37</v>
      </c>
      <c r="D753" s="8" t="s">
        <v>38</v>
      </c>
      <c r="E753" s="8" t="s">
        <v>23</v>
      </c>
      <c r="F753" s="6" t="s">
        <v>24</v>
      </c>
      <c r="G753" s="8">
        <v>2017</v>
      </c>
      <c r="H753" s="8">
        <v>8</v>
      </c>
      <c r="I753" s="10">
        <v>42948</v>
      </c>
      <c r="J753" s="11">
        <v>2803</v>
      </c>
      <c r="K753" s="51"/>
      <c r="O753" s="1" t="s">
        <v>14</v>
      </c>
      <c r="P753" s="1" t="s">
        <v>37</v>
      </c>
      <c r="Q753" s="1" t="s">
        <v>38</v>
      </c>
      <c r="R753" s="1" t="s">
        <v>23</v>
      </c>
      <c r="S753" t="s">
        <v>24</v>
      </c>
      <c r="T753" s="1">
        <v>2017</v>
      </c>
      <c r="U753" s="1">
        <v>8</v>
      </c>
      <c r="V753" s="50">
        <v>42948</v>
      </c>
      <c r="W753" s="4">
        <v>2634.8199999999997</v>
      </c>
      <c r="X753" s="48">
        <v>2803</v>
      </c>
    </row>
    <row r="754" spans="2:24" x14ac:dyDescent="0.35">
      <c r="B754" s="8" t="s">
        <v>3</v>
      </c>
      <c r="C754" s="8" t="s">
        <v>25</v>
      </c>
      <c r="D754" s="8" t="s">
        <v>4</v>
      </c>
      <c r="E754" s="9" t="s">
        <v>23</v>
      </c>
      <c r="F754" s="9" t="s">
        <v>39</v>
      </c>
      <c r="G754" s="8">
        <v>2017</v>
      </c>
      <c r="H754" s="8">
        <v>8</v>
      </c>
      <c r="I754" s="10">
        <v>42948</v>
      </c>
      <c r="J754" s="11">
        <v>1935</v>
      </c>
      <c r="K754" s="51"/>
      <c r="O754" s="1" t="s">
        <v>3</v>
      </c>
      <c r="P754" s="1" t="s">
        <v>25</v>
      </c>
      <c r="Q754" s="1" t="s">
        <v>4</v>
      </c>
      <c r="R754" s="2" t="s">
        <v>23</v>
      </c>
      <c r="S754" s="2" t="s">
        <v>39</v>
      </c>
      <c r="T754" s="1">
        <v>2017</v>
      </c>
      <c r="U754" s="1">
        <v>8</v>
      </c>
      <c r="V754" s="50">
        <v>42948</v>
      </c>
      <c r="W754" s="4">
        <v>1644.7500000000002</v>
      </c>
      <c r="X754" s="48">
        <v>1935</v>
      </c>
    </row>
    <row r="755" spans="2:24" x14ac:dyDescent="0.35">
      <c r="B755" s="8" t="s">
        <v>6</v>
      </c>
      <c r="C755" s="8" t="s">
        <v>40</v>
      </c>
      <c r="D755" s="8" t="s">
        <v>41</v>
      </c>
      <c r="E755" s="8" t="s">
        <v>0</v>
      </c>
      <c r="F755" s="9" t="s">
        <v>42</v>
      </c>
      <c r="G755" s="8">
        <v>2017</v>
      </c>
      <c r="H755" s="8">
        <v>8</v>
      </c>
      <c r="I755" s="10">
        <v>42948</v>
      </c>
      <c r="J755" s="11">
        <v>4056</v>
      </c>
      <c r="K755" s="51"/>
      <c r="O755" s="1" t="s">
        <v>6</v>
      </c>
      <c r="P755" s="1" t="s">
        <v>40</v>
      </c>
      <c r="Q755" s="1" t="s">
        <v>41</v>
      </c>
      <c r="R755" s="1" t="s">
        <v>0</v>
      </c>
      <c r="S755" s="2" t="s">
        <v>42</v>
      </c>
      <c r="T755" s="1">
        <v>2017</v>
      </c>
      <c r="U755" s="1">
        <v>8</v>
      </c>
      <c r="V755" s="50">
        <v>42948</v>
      </c>
      <c r="W755" s="4">
        <v>3569.2799999999997</v>
      </c>
      <c r="X755" s="48">
        <v>4056</v>
      </c>
    </row>
    <row r="756" spans="2:24" x14ac:dyDescent="0.35">
      <c r="B756" s="8" t="s">
        <v>7</v>
      </c>
      <c r="C756" s="8" t="s">
        <v>43</v>
      </c>
      <c r="D756" s="8" t="s">
        <v>10</v>
      </c>
      <c r="E756" s="8" t="s">
        <v>0</v>
      </c>
      <c r="F756" s="6" t="s">
        <v>26</v>
      </c>
      <c r="G756" s="8">
        <v>2017</v>
      </c>
      <c r="H756" s="8">
        <v>8</v>
      </c>
      <c r="I756" s="10">
        <v>42948</v>
      </c>
      <c r="J756" s="11">
        <v>3247</v>
      </c>
      <c r="K756" s="51"/>
      <c r="O756" s="1" t="s">
        <v>7</v>
      </c>
      <c r="P756" s="1" t="s">
        <v>43</v>
      </c>
      <c r="Q756" s="1" t="s">
        <v>10</v>
      </c>
      <c r="R756" s="1" t="s">
        <v>0</v>
      </c>
      <c r="S756" t="s">
        <v>26</v>
      </c>
      <c r="T756" s="1">
        <v>2017</v>
      </c>
      <c r="U756" s="1">
        <v>8</v>
      </c>
      <c r="V756" s="50">
        <v>42948</v>
      </c>
      <c r="W756" s="4">
        <v>3019.71</v>
      </c>
      <c r="X756" s="48">
        <v>3247</v>
      </c>
    </row>
    <row r="757" spans="2:24" x14ac:dyDescent="0.35">
      <c r="B757" s="8" t="s">
        <v>12</v>
      </c>
      <c r="C757" s="8" t="s">
        <v>44</v>
      </c>
      <c r="D757" s="8" t="s">
        <v>13</v>
      </c>
      <c r="E757" s="8" t="s">
        <v>0</v>
      </c>
      <c r="F757" s="8" t="s">
        <v>45</v>
      </c>
      <c r="G757" s="8">
        <v>2017</v>
      </c>
      <c r="H757" s="8">
        <v>8</v>
      </c>
      <c r="I757" s="10">
        <v>42948</v>
      </c>
      <c r="J757" s="11">
        <v>2814</v>
      </c>
      <c r="K757" s="51"/>
      <c r="O757" s="1" t="s">
        <v>12</v>
      </c>
      <c r="P757" s="1" t="s">
        <v>44</v>
      </c>
      <c r="Q757" s="1" t="s">
        <v>13</v>
      </c>
      <c r="R757" s="1" t="s">
        <v>0</v>
      </c>
      <c r="S757" s="1" t="s">
        <v>45</v>
      </c>
      <c r="T757" s="1">
        <v>2017</v>
      </c>
      <c r="U757" s="1">
        <v>8</v>
      </c>
      <c r="V757" s="50">
        <v>42948</v>
      </c>
      <c r="W757" s="4">
        <v>2420.0400000000004</v>
      </c>
      <c r="X757" s="48">
        <v>2814</v>
      </c>
    </row>
    <row r="758" spans="2:24" x14ac:dyDescent="0.35">
      <c r="B758" s="8" t="s">
        <v>14</v>
      </c>
      <c r="C758" s="8" t="s">
        <v>46</v>
      </c>
      <c r="D758" s="8" t="s">
        <v>47</v>
      </c>
      <c r="E758" s="8" t="s">
        <v>27</v>
      </c>
      <c r="F758" s="8" t="s">
        <v>28</v>
      </c>
      <c r="G758" s="8">
        <v>2017</v>
      </c>
      <c r="H758" s="8">
        <v>8</v>
      </c>
      <c r="I758" s="10">
        <v>42948</v>
      </c>
      <c r="J758" s="11">
        <v>4359</v>
      </c>
      <c r="K758" s="51"/>
      <c r="O758" s="1" t="s">
        <v>14</v>
      </c>
      <c r="P758" s="1" t="s">
        <v>46</v>
      </c>
      <c r="Q758" s="1" t="s">
        <v>47</v>
      </c>
      <c r="R758" s="1" t="s">
        <v>27</v>
      </c>
      <c r="S758" s="1" t="s">
        <v>28</v>
      </c>
      <c r="T758" s="1">
        <v>2017</v>
      </c>
      <c r="U758" s="1">
        <v>8</v>
      </c>
      <c r="V758" s="50">
        <v>42948</v>
      </c>
      <c r="W758" s="4">
        <v>4010.2799999999997</v>
      </c>
      <c r="X758" s="48">
        <v>4359</v>
      </c>
    </row>
    <row r="759" spans="2:24" x14ac:dyDescent="0.35">
      <c r="B759" s="8" t="s">
        <v>3</v>
      </c>
      <c r="C759" s="8" t="s">
        <v>22</v>
      </c>
      <c r="D759" s="8" t="s">
        <v>5</v>
      </c>
      <c r="E759" s="8" t="s">
        <v>27</v>
      </c>
      <c r="F759" s="8" t="s">
        <v>31</v>
      </c>
      <c r="G759" s="8">
        <v>2017</v>
      </c>
      <c r="H759" s="8">
        <v>8</v>
      </c>
      <c r="I759" s="10">
        <v>42948</v>
      </c>
      <c r="J759" s="11">
        <v>3671</v>
      </c>
      <c r="K759" s="51"/>
      <c r="O759" s="1" t="s">
        <v>3</v>
      </c>
      <c r="P759" s="1" t="s">
        <v>22</v>
      </c>
      <c r="Q759" s="1" t="s">
        <v>5</v>
      </c>
      <c r="R759" s="1" t="s">
        <v>27</v>
      </c>
      <c r="S759" s="1" t="s">
        <v>31</v>
      </c>
      <c r="T759" s="1">
        <v>2017</v>
      </c>
      <c r="U759" s="1">
        <v>8</v>
      </c>
      <c r="V759" s="50">
        <v>42948</v>
      </c>
      <c r="W759" s="4">
        <v>3414.0299999999997</v>
      </c>
      <c r="X759" s="48">
        <v>3671</v>
      </c>
    </row>
    <row r="760" spans="2:24" x14ac:dyDescent="0.35">
      <c r="B760" s="8" t="s">
        <v>6</v>
      </c>
      <c r="C760" s="8" t="s">
        <v>29</v>
      </c>
      <c r="D760" s="8" t="s">
        <v>30</v>
      </c>
      <c r="E760" s="8" t="s">
        <v>27</v>
      </c>
      <c r="F760" s="6" t="s">
        <v>33</v>
      </c>
      <c r="G760" s="8">
        <v>2017</v>
      </c>
      <c r="H760" s="8">
        <v>8</v>
      </c>
      <c r="I760" s="10">
        <v>42948</v>
      </c>
      <c r="J760" s="11">
        <v>3785</v>
      </c>
      <c r="K760" s="51"/>
      <c r="O760" s="1" t="s">
        <v>6</v>
      </c>
      <c r="P760" s="1" t="s">
        <v>29</v>
      </c>
      <c r="Q760" s="1" t="s">
        <v>30</v>
      </c>
      <c r="R760" s="1" t="s">
        <v>27</v>
      </c>
      <c r="S760" t="s">
        <v>33</v>
      </c>
      <c r="T760" s="1">
        <v>2017</v>
      </c>
      <c r="U760" s="1">
        <v>8</v>
      </c>
      <c r="V760" s="50">
        <v>42948</v>
      </c>
      <c r="W760" s="4">
        <v>3557.8999999999996</v>
      </c>
      <c r="X760" s="48">
        <v>3785</v>
      </c>
    </row>
    <row r="761" spans="2:24" x14ac:dyDescent="0.35">
      <c r="B761" s="8" t="s">
        <v>7</v>
      </c>
      <c r="C761" s="8" t="s">
        <v>32</v>
      </c>
      <c r="D761" s="8" t="s">
        <v>8</v>
      </c>
      <c r="E761" s="8" t="s">
        <v>23</v>
      </c>
      <c r="F761" s="6" t="s">
        <v>36</v>
      </c>
      <c r="G761" s="8">
        <v>2017</v>
      </c>
      <c r="H761" s="8">
        <v>8</v>
      </c>
      <c r="I761" s="10">
        <v>42948</v>
      </c>
      <c r="J761" s="11">
        <v>1954</v>
      </c>
      <c r="K761" s="51"/>
      <c r="O761" s="1" t="s">
        <v>7</v>
      </c>
      <c r="P761" s="1" t="s">
        <v>32</v>
      </c>
      <c r="Q761" s="1" t="s">
        <v>8</v>
      </c>
      <c r="R761" s="1" t="s">
        <v>23</v>
      </c>
      <c r="S761" t="s">
        <v>36</v>
      </c>
      <c r="T761" s="1">
        <v>2017</v>
      </c>
      <c r="U761" s="1">
        <v>8</v>
      </c>
      <c r="V761" s="50">
        <v>42948</v>
      </c>
      <c r="W761" s="4">
        <v>1739.0599999999997</v>
      </c>
      <c r="X761" s="48">
        <v>1954</v>
      </c>
    </row>
    <row r="762" spans="2:24" x14ac:dyDescent="0.35">
      <c r="B762" s="8" t="s">
        <v>12</v>
      </c>
      <c r="C762" s="8" t="s">
        <v>34</v>
      </c>
      <c r="D762" s="8" t="s">
        <v>35</v>
      </c>
      <c r="E762" s="8" t="s">
        <v>23</v>
      </c>
      <c r="F762" s="6" t="s">
        <v>24</v>
      </c>
      <c r="G762" s="8">
        <v>2017</v>
      </c>
      <c r="H762" s="8">
        <v>8</v>
      </c>
      <c r="I762" s="10">
        <v>42948</v>
      </c>
      <c r="J762" s="11">
        <v>2575</v>
      </c>
      <c r="K762" s="51"/>
      <c r="O762" s="1" t="s">
        <v>12</v>
      </c>
      <c r="P762" s="1" t="s">
        <v>34</v>
      </c>
      <c r="Q762" s="1" t="s">
        <v>35</v>
      </c>
      <c r="R762" s="1" t="s">
        <v>23</v>
      </c>
      <c r="S762" t="s">
        <v>24</v>
      </c>
      <c r="T762" s="1">
        <v>2017</v>
      </c>
      <c r="U762" s="1">
        <v>8</v>
      </c>
      <c r="V762" s="50">
        <v>42948</v>
      </c>
      <c r="W762" s="4">
        <v>2369</v>
      </c>
      <c r="X762" s="48">
        <v>2575</v>
      </c>
    </row>
    <row r="763" spans="2:24" x14ac:dyDescent="0.35">
      <c r="B763" s="8" t="s">
        <v>14</v>
      </c>
      <c r="C763" s="8" t="s">
        <v>37</v>
      </c>
      <c r="D763" s="8" t="s">
        <v>38</v>
      </c>
      <c r="E763" s="9" t="s">
        <v>23</v>
      </c>
      <c r="F763" s="9" t="s">
        <v>39</v>
      </c>
      <c r="G763" s="8">
        <v>2017</v>
      </c>
      <c r="H763" s="8">
        <v>8</v>
      </c>
      <c r="I763" s="10">
        <v>42948</v>
      </c>
      <c r="J763" s="11">
        <v>1708</v>
      </c>
      <c r="K763" s="51"/>
      <c r="O763" s="1" t="s">
        <v>14</v>
      </c>
      <c r="P763" s="1" t="s">
        <v>37</v>
      </c>
      <c r="Q763" s="1" t="s">
        <v>38</v>
      </c>
      <c r="R763" s="2" t="s">
        <v>23</v>
      </c>
      <c r="S763" s="2" t="s">
        <v>39</v>
      </c>
      <c r="T763" s="1">
        <v>2017</v>
      </c>
      <c r="U763" s="1">
        <v>8</v>
      </c>
      <c r="V763" s="50">
        <v>42948</v>
      </c>
      <c r="W763" s="4">
        <v>1588.4399999999998</v>
      </c>
      <c r="X763" s="48">
        <v>1708</v>
      </c>
    </row>
    <row r="764" spans="2:24" x14ac:dyDescent="0.35">
      <c r="B764" s="8" t="s">
        <v>3</v>
      </c>
      <c r="C764" s="8" t="s">
        <v>25</v>
      </c>
      <c r="D764" s="8" t="s">
        <v>4</v>
      </c>
      <c r="E764" s="8" t="s">
        <v>0</v>
      </c>
      <c r="F764" s="9" t="s">
        <v>42</v>
      </c>
      <c r="G764" s="8">
        <v>2017</v>
      </c>
      <c r="H764" s="8">
        <v>8</v>
      </c>
      <c r="I764" s="10">
        <v>42948</v>
      </c>
      <c r="J764" s="11">
        <v>5919</v>
      </c>
      <c r="K764" s="51"/>
      <c r="O764" s="1" t="s">
        <v>3</v>
      </c>
      <c r="P764" s="1" t="s">
        <v>25</v>
      </c>
      <c r="Q764" s="1" t="s">
        <v>4</v>
      </c>
      <c r="R764" s="1" t="s">
        <v>0</v>
      </c>
      <c r="S764" s="2" t="s">
        <v>42</v>
      </c>
      <c r="T764" s="1">
        <v>2017</v>
      </c>
      <c r="U764" s="1">
        <v>8</v>
      </c>
      <c r="V764" s="50">
        <v>42948</v>
      </c>
      <c r="W764" s="4">
        <v>5563.86</v>
      </c>
      <c r="X764" s="48">
        <v>5919</v>
      </c>
    </row>
    <row r="765" spans="2:24" x14ac:dyDescent="0.35">
      <c r="B765" s="8" t="s">
        <v>6</v>
      </c>
      <c r="C765" s="8" t="s">
        <v>40</v>
      </c>
      <c r="D765" s="8" t="s">
        <v>41</v>
      </c>
      <c r="E765" s="8" t="s">
        <v>0</v>
      </c>
      <c r="F765" s="6" t="s">
        <v>26</v>
      </c>
      <c r="G765" s="8">
        <v>2017</v>
      </c>
      <c r="H765" s="8">
        <v>8</v>
      </c>
      <c r="I765" s="10">
        <v>42948</v>
      </c>
      <c r="J765" s="11">
        <v>4803</v>
      </c>
      <c r="K765" s="51"/>
      <c r="O765" s="1" t="s">
        <v>6</v>
      </c>
      <c r="P765" s="1" t="s">
        <v>40</v>
      </c>
      <c r="Q765" s="1" t="s">
        <v>41</v>
      </c>
      <c r="R765" s="1" t="s">
        <v>0</v>
      </c>
      <c r="S765" t="s">
        <v>26</v>
      </c>
      <c r="T765" s="1">
        <v>2017</v>
      </c>
      <c r="U765" s="1">
        <v>8</v>
      </c>
      <c r="V765" s="50">
        <v>42948</v>
      </c>
      <c r="W765" s="4">
        <v>4514.82</v>
      </c>
      <c r="X765" s="48">
        <v>4803</v>
      </c>
    </row>
    <row r="766" spans="2:24" x14ac:dyDescent="0.35">
      <c r="B766" s="8" t="s">
        <v>7</v>
      </c>
      <c r="C766" s="8" t="s">
        <v>43</v>
      </c>
      <c r="D766" s="8" t="s">
        <v>10</v>
      </c>
      <c r="E766" s="8" t="s">
        <v>0</v>
      </c>
      <c r="F766" s="8" t="s">
        <v>45</v>
      </c>
      <c r="G766" s="8">
        <v>2017</v>
      </c>
      <c r="H766" s="8">
        <v>8</v>
      </c>
      <c r="I766" s="10">
        <v>42948</v>
      </c>
      <c r="J766" s="11">
        <v>2294</v>
      </c>
      <c r="K766" s="51"/>
      <c r="O766" s="1" t="s">
        <v>7</v>
      </c>
      <c r="P766" s="1" t="s">
        <v>43</v>
      </c>
      <c r="Q766" s="1" t="s">
        <v>10</v>
      </c>
      <c r="R766" s="1" t="s">
        <v>0</v>
      </c>
      <c r="S766" s="1" t="s">
        <v>45</v>
      </c>
      <c r="T766" s="1">
        <v>2017</v>
      </c>
      <c r="U766" s="1">
        <v>8</v>
      </c>
      <c r="V766" s="50">
        <v>42948</v>
      </c>
      <c r="W766" s="4">
        <v>1949.9</v>
      </c>
      <c r="X766" s="48">
        <v>2294</v>
      </c>
    </row>
    <row r="767" spans="2:24" x14ac:dyDescent="0.35">
      <c r="B767" s="8" t="s">
        <v>12</v>
      </c>
      <c r="C767" s="8" t="s">
        <v>44</v>
      </c>
      <c r="D767" s="8" t="s">
        <v>13</v>
      </c>
      <c r="E767" s="8" t="s">
        <v>27</v>
      </c>
      <c r="F767" s="8" t="s">
        <v>28</v>
      </c>
      <c r="G767" s="8">
        <v>2017</v>
      </c>
      <c r="H767" s="8">
        <v>8</v>
      </c>
      <c r="I767" s="10">
        <v>42948</v>
      </c>
      <c r="J767" s="11">
        <v>4509</v>
      </c>
      <c r="K767" s="51"/>
      <c r="O767" s="1" t="s">
        <v>12</v>
      </c>
      <c r="P767" s="1" t="s">
        <v>44</v>
      </c>
      <c r="Q767" s="1" t="s">
        <v>13</v>
      </c>
      <c r="R767" s="1" t="s">
        <v>27</v>
      </c>
      <c r="S767" s="1" t="s">
        <v>28</v>
      </c>
      <c r="T767" s="1">
        <v>2017</v>
      </c>
      <c r="U767" s="1">
        <v>8</v>
      </c>
      <c r="V767" s="50">
        <v>42948</v>
      </c>
      <c r="W767" s="4">
        <v>4148.28</v>
      </c>
      <c r="X767" s="48">
        <v>4509</v>
      </c>
    </row>
    <row r="768" spans="2:24" x14ac:dyDescent="0.35">
      <c r="B768" s="8" t="s">
        <v>14</v>
      </c>
      <c r="C768" s="8" t="s">
        <v>46</v>
      </c>
      <c r="D768" s="8" t="s">
        <v>47</v>
      </c>
      <c r="E768" s="8" t="s">
        <v>27</v>
      </c>
      <c r="F768" s="8" t="s">
        <v>31</v>
      </c>
      <c r="G768" s="8">
        <v>2017</v>
      </c>
      <c r="H768" s="8">
        <v>8</v>
      </c>
      <c r="I768" s="10">
        <v>42948</v>
      </c>
      <c r="J768" s="11">
        <v>4634</v>
      </c>
      <c r="K768" s="51"/>
      <c r="O768" s="1" t="s">
        <v>14</v>
      </c>
      <c r="P768" s="1" t="s">
        <v>46</v>
      </c>
      <c r="Q768" s="1" t="s">
        <v>47</v>
      </c>
      <c r="R768" s="1" t="s">
        <v>27</v>
      </c>
      <c r="S768" s="1" t="s">
        <v>31</v>
      </c>
      <c r="T768" s="1">
        <v>2017</v>
      </c>
      <c r="U768" s="1">
        <v>8</v>
      </c>
      <c r="V768" s="50">
        <v>42948</v>
      </c>
      <c r="W768" s="4">
        <v>4124.2599999999993</v>
      </c>
      <c r="X768" s="48">
        <v>4634</v>
      </c>
    </row>
    <row r="769" spans="2:24" x14ac:dyDescent="0.35">
      <c r="B769" s="8" t="s">
        <v>3</v>
      </c>
      <c r="C769" s="8" t="s">
        <v>22</v>
      </c>
      <c r="D769" s="8" t="s">
        <v>5</v>
      </c>
      <c r="E769" s="8" t="s">
        <v>27</v>
      </c>
      <c r="F769" s="6" t="s">
        <v>33</v>
      </c>
      <c r="G769" s="8">
        <v>2017</v>
      </c>
      <c r="H769" s="8">
        <v>8</v>
      </c>
      <c r="I769" s="10">
        <v>42948</v>
      </c>
      <c r="J769" s="11">
        <v>3909</v>
      </c>
      <c r="K769" s="51"/>
      <c r="O769" s="1" t="s">
        <v>3</v>
      </c>
      <c r="P769" s="1" t="s">
        <v>22</v>
      </c>
      <c r="Q769" s="1" t="s">
        <v>5</v>
      </c>
      <c r="R769" s="1" t="s">
        <v>27</v>
      </c>
      <c r="S769" t="s">
        <v>33</v>
      </c>
      <c r="T769" s="1">
        <v>2017</v>
      </c>
      <c r="U769" s="1">
        <v>8</v>
      </c>
      <c r="V769" s="50">
        <v>42948</v>
      </c>
      <c r="W769" s="4">
        <v>3400.8300000000004</v>
      </c>
      <c r="X769" s="48">
        <v>3909</v>
      </c>
    </row>
    <row r="770" spans="2:24" x14ac:dyDescent="0.35">
      <c r="B770" s="8" t="s">
        <v>6</v>
      </c>
      <c r="C770" s="8" t="s">
        <v>29</v>
      </c>
      <c r="D770" s="8" t="s">
        <v>30</v>
      </c>
      <c r="E770" s="8" t="s">
        <v>23</v>
      </c>
      <c r="F770" s="6" t="s">
        <v>36</v>
      </c>
      <c r="G770" s="8">
        <v>2017</v>
      </c>
      <c r="H770" s="8">
        <v>8</v>
      </c>
      <c r="I770" s="10">
        <v>42948</v>
      </c>
      <c r="J770" s="11">
        <v>2666</v>
      </c>
      <c r="K770" s="51"/>
      <c r="O770" s="1" t="s">
        <v>6</v>
      </c>
      <c r="P770" s="1" t="s">
        <v>29</v>
      </c>
      <c r="Q770" s="1" t="s">
        <v>30</v>
      </c>
      <c r="R770" s="1" t="s">
        <v>23</v>
      </c>
      <c r="S770" t="s">
        <v>36</v>
      </c>
      <c r="T770" s="1">
        <v>2017</v>
      </c>
      <c r="U770" s="1">
        <v>8</v>
      </c>
      <c r="V770" s="50">
        <v>42948</v>
      </c>
      <c r="W770" s="4">
        <v>2346.08</v>
      </c>
      <c r="X770" s="48">
        <v>2666</v>
      </c>
    </row>
    <row r="771" spans="2:24" x14ac:dyDescent="0.35">
      <c r="B771" s="8" t="s">
        <v>7</v>
      </c>
      <c r="C771" s="8" t="s">
        <v>32</v>
      </c>
      <c r="D771" s="8" t="s">
        <v>8</v>
      </c>
      <c r="E771" s="8" t="s">
        <v>23</v>
      </c>
      <c r="F771" s="6" t="s">
        <v>24</v>
      </c>
      <c r="G771" s="8">
        <v>2017</v>
      </c>
      <c r="H771" s="8">
        <v>8</v>
      </c>
      <c r="I771" s="10">
        <v>42948</v>
      </c>
      <c r="J771" s="11">
        <v>1545</v>
      </c>
      <c r="K771" s="51"/>
      <c r="O771" s="1" t="s">
        <v>7</v>
      </c>
      <c r="P771" s="1" t="s">
        <v>32</v>
      </c>
      <c r="Q771" s="1" t="s">
        <v>8</v>
      </c>
      <c r="R771" s="1" t="s">
        <v>23</v>
      </c>
      <c r="S771" t="s">
        <v>24</v>
      </c>
      <c r="T771" s="1">
        <v>2017</v>
      </c>
      <c r="U771" s="1">
        <v>8</v>
      </c>
      <c r="V771" s="50">
        <v>42948</v>
      </c>
      <c r="W771" s="4">
        <v>1390.4999999999998</v>
      </c>
      <c r="X771" s="48">
        <v>1545</v>
      </c>
    </row>
    <row r="772" spans="2:24" x14ac:dyDescent="0.35">
      <c r="B772" s="8" t="s">
        <v>12</v>
      </c>
      <c r="C772" s="8" t="s">
        <v>34</v>
      </c>
      <c r="D772" s="8" t="s">
        <v>35</v>
      </c>
      <c r="E772" s="9" t="s">
        <v>23</v>
      </c>
      <c r="F772" s="9" t="s">
        <v>39</v>
      </c>
      <c r="G772" s="8">
        <v>2017</v>
      </c>
      <c r="H772" s="8">
        <v>8</v>
      </c>
      <c r="I772" s="10">
        <v>42948</v>
      </c>
      <c r="J772" s="11">
        <v>2650</v>
      </c>
      <c r="K772" s="51"/>
      <c r="O772" s="1" t="s">
        <v>12</v>
      </c>
      <c r="P772" s="1" t="s">
        <v>34</v>
      </c>
      <c r="Q772" s="1" t="s">
        <v>35</v>
      </c>
      <c r="R772" s="2" t="s">
        <v>23</v>
      </c>
      <c r="S772" s="2" t="s">
        <v>39</v>
      </c>
      <c r="T772" s="1">
        <v>2017</v>
      </c>
      <c r="U772" s="1">
        <v>8</v>
      </c>
      <c r="V772" s="50">
        <v>42948</v>
      </c>
      <c r="W772" s="4">
        <v>2305.5000000000005</v>
      </c>
      <c r="X772" s="48">
        <v>2650</v>
      </c>
    </row>
    <row r="773" spans="2:24" x14ac:dyDescent="0.35">
      <c r="B773" s="8" t="s">
        <v>14</v>
      </c>
      <c r="C773" s="8" t="s">
        <v>37</v>
      </c>
      <c r="D773" s="8" t="s">
        <v>38</v>
      </c>
      <c r="E773" s="8" t="s">
        <v>0</v>
      </c>
      <c r="F773" s="9" t="s">
        <v>42</v>
      </c>
      <c r="G773" s="8">
        <v>2017</v>
      </c>
      <c r="H773" s="8">
        <v>8</v>
      </c>
      <c r="I773" s="10">
        <v>42948</v>
      </c>
      <c r="J773" s="11">
        <v>5831</v>
      </c>
      <c r="K773" s="51"/>
      <c r="O773" s="1" t="s">
        <v>14</v>
      </c>
      <c r="P773" s="1" t="s">
        <v>37</v>
      </c>
      <c r="Q773" s="1" t="s">
        <v>38</v>
      </c>
      <c r="R773" s="1" t="s">
        <v>0</v>
      </c>
      <c r="S773" s="2" t="s">
        <v>42</v>
      </c>
      <c r="T773" s="1">
        <v>2017</v>
      </c>
      <c r="U773" s="1">
        <v>8</v>
      </c>
      <c r="V773" s="50">
        <v>42948</v>
      </c>
      <c r="W773" s="4">
        <v>4956.3500000000004</v>
      </c>
      <c r="X773" s="48">
        <v>5831</v>
      </c>
    </row>
    <row r="774" spans="2:24" x14ac:dyDescent="0.35">
      <c r="B774" s="8" t="s">
        <v>6</v>
      </c>
      <c r="C774" s="8" t="s">
        <v>29</v>
      </c>
      <c r="D774" s="8" t="s">
        <v>30</v>
      </c>
      <c r="E774" s="8" t="s">
        <v>0</v>
      </c>
      <c r="F774" s="6" t="s">
        <v>45</v>
      </c>
      <c r="G774" s="8">
        <v>2017</v>
      </c>
      <c r="H774" s="8">
        <v>8</v>
      </c>
      <c r="I774" s="10">
        <v>42948</v>
      </c>
      <c r="J774" s="11">
        <v>2682</v>
      </c>
      <c r="K774" s="51"/>
      <c r="O774" s="1" t="s">
        <v>6</v>
      </c>
      <c r="P774" s="1" t="s">
        <v>29</v>
      </c>
      <c r="Q774" s="1" t="s">
        <v>30</v>
      </c>
      <c r="R774" s="1" t="s">
        <v>0</v>
      </c>
      <c r="S774" t="s">
        <v>45</v>
      </c>
      <c r="T774" s="1">
        <v>2017</v>
      </c>
      <c r="U774" s="1">
        <v>8</v>
      </c>
      <c r="V774" s="50">
        <v>42948</v>
      </c>
      <c r="W774" s="4">
        <v>2494.2599999999998</v>
      </c>
      <c r="X774" s="48">
        <v>2682</v>
      </c>
    </row>
    <row r="775" spans="2:24" x14ac:dyDescent="0.35">
      <c r="B775" s="8" t="s">
        <v>7</v>
      </c>
      <c r="C775" s="8" t="s">
        <v>43</v>
      </c>
      <c r="D775" s="8" t="s">
        <v>10</v>
      </c>
      <c r="E775" s="8" t="s">
        <v>27</v>
      </c>
      <c r="F775" s="8" t="s">
        <v>28</v>
      </c>
      <c r="G775" s="8">
        <v>2017</v>
      </c>
      <c r="H775" s="8">
        <v>8</v>
      </c>
      <c r="I775" s="10">
        <v>42948</v>
      </c>
      <c r="J775" s="11">
        <v>3770</v>
      </c>
      <c r="K775" s="51"/>
      <c r="O775" s="1" t="s">
        <v>7</v>
      </c>
      <c r="P775" s="1" t="s">
        <v>43</v>
      </c>
      <c r="Q775" s="1" t="s">
        <v>10</v>
      </c>
      <c r="R775" s="1" t="s">
        <v>27</v>
      </c>
      <c r="S775" s="1" t="s">
        <v>28</v>
      </c>
      <c r="T775" s="1">
        <v>2017</v>
      </c>
      <c r="U775" s="1">
        <v>8</v>
      </c>
      <c r="V775" s="50">
        <v>42948</v>
      </c>
      <c r="W775" s="4">
        <v>3543.7999999999997</v>
      </c>
      <c r="X775" s="48">
        <v>3770</v>
      </c>
    </row>
    <row r="776" spans="2:24" x14ac:dyDescent="0.35">
      <c r="B776" s="8" t="s">
        <v>12</v>
      </c>
      <c r="C776" s="8" t="s">
        <v>44</v>
      </c>
      <c r="D776" s="8" t="s">
        <v>13</v>
      </c>
      <c r="E776" s="8" t="s">
        <v>27</v>
      </c>
      <c r="F776" s="8" t="s">
        <v>31</v>
      </c>
      <c r="G776" s="8">
        <v>2017</v>
      </c>
      <c r="H776" s="8">
        <v>8</v>
      </c>
      <c r="I776" s="10">
        <v>42948</v>
      </c>
      <c r="J776" s="11">
        <v>4672</v>
      </c>
      <c r="K776" s="51"/>
      <c r="O776" s="1" t="s">
        <v>12</v>
      </c>
      <c r="P776" s="1" t="s">
        <v>44</v>
      </c>
      <c r="Q776" s="1" t="s">
        <v>13</v>
      </c>
      <c r="R776" s="1" t="s">
        <v>27</v>
      </c>
      <c r="S776" s="1" t="s">
        <v>31</v>
      </c>
      <c r="T776" s="1">
        <v>2017</v>
      </c>
      <c r="U776" s="1">
        <v>8</v>
      </c>
      <c r="V776" s="50">
        <v>42948</v>
      </c>
      <c r="W776" s="4">
        <v>4111.3599999999997</v>
      </c>
      <c r="X776" s="48">
        <v>4672</v>
      </c>
    </row>
    <row r="777" spans="2:24" x14ac:dyDescent="0.35">
      <c r="B777" s="8" t="s">
        <v>14</v>
      </c>
      <c r="C777" s="8" t="s">
        <v>46</v>
      </c>
      <c r="D777" s="8" t="s">
        <v>47</v>
      </c>
      <c r="E777" s="8" t="s">
        <v>27</v>
      </c>
      <c r="F777" s="8" t="s">
        <v>33</v>
      </c>
      <c r="G777" s="8">
        <v>2017</v>
      </c>
      <c r="H777" s="8">
        <v>8</v>
      </c>
      <c r="I777" s="10">
        <v>42948</v>
      </c>
      <c r="J777" s="11">
        <v>3852</v>
      </c>
      <c r="K777" s="51"/>
      <c r="O777" s="1" t="s">
        <v>14</v>
      </c>
      <c r="P777" s="1" t="s">
        <v>46</v>
      </c>
      <c r="Q777" s="1" t="s">
        <v>47</v>
      </c>
      <c r="R777" s="1" t="s">
        <v>27</v>
      </c>
      <c r="S777" s="1" t="s">
        <v>33</v>
      </c>
      <c r="T777" s="1">
        <v>2017</v>
      </c>
      <c r="U777" s="1">
        <v>8</v>
      </c>
      <c r="V777" s="50">
        <v>42948</v>
      </c>
      <c r="W777" s="4">
        <v>3466.7999999999997</v>
      </c>
      <c r="X777" s="48">
        <v>3852</v>
      </c>
    </row>
    <row r="778" spans="2:24" x14ac:dyDescent="0.35">
      <c r="B778" s="8" t="s">
        <v>3</v>
      </c>
      <c r="C778" s="8" t="s">
        <v>22</v>
      </c>
      <c r="D778" s="8" t="s">
        <v>5</v>
      </c>
      <c r="E778" s="8" t="s">
        <v>23</v>
      </c>
      <c r="F778" s="6" t="s">
        <v>36</v>
      </c>
      <c r="G778" s="8">
        <v>2017</v>
      </c>
      <c r="H778" s="8">
        <v>8</v>
      </c>
      <c r="I778" s="10">
        <v>42948</v>
      </c>
      <c r="J778" s="11">
        <v>2250</v>
      </c>
      <c r="K778" s="51"/>
      <c r="O778" s="1" t="s">
        <v>3</v>
      </c>
      <c r="P778" s="1" t="s">
        <v>22</v>
      </c>
      <c r="Q778" s="1" t="s">
        <v>5</v>
      </c>
      <c r="R778" s="1" t="s">
        <v>23</v>
      </c>
      <c r="S778" t="s">
        <v>36</v>
      </c>
      <c r="T778" s="1">
        <v>2017</v>
      </c>
      <c r="U778" s="1">
        <v>8</v>
      </c>
      <c r="V778" s="50">
        <v>42948</v>
      </c>
      <c r="W778" s="4">
        <v>2047.4999999999998</v>
      </c>
      <c r="X778" s="48">
        <v>2250</v>
      </c>
    </row>
    <row r="779" spans="2:24" x14ac:dyDescent="0.35">
      <c r="B779" s="8" t="s">
        <v>6</v>
      </c>
      <c r="C779" s="8" t="s">
        <v>40</v>
      </c>
      <c r="D779" s="8" t="s">
        <v>41</v>
      </c>
      <c r="E779" s="8" t="s">
        <v>23</v>
      </c>
      <c r="F779" s="6" t="s">
        <v>24</v>
      </c>
      <c r="G779" s="8">
        <v>2017</v>
      </c>
      <c r="H779" s="8">
        <v>8</v>
      </c>
      <c r="I779" s="10">
        <v>42948</v>
      </c>
      <c r="J779" s="11">
        <v>1651</v>
      </c>
      <c r="K779" s="51"/>
      <c r="O779" s="1" t="s">
        <v>6</v>
      </c>
      <c r="P779" s="1" t="s">
        <v>40</v>
      </c>
      <c r="Q779" s="1" t="s">
        <v>41</v>
      </c>
      <c r="R779" s="1" t="s">
        <v>23</v>
      </c>
      <c r="S779" t="s">
        <v>24</v>
      </c>
      <c r="T779" s="1">
        <v>2017</v>
      </c>
      <c r="U779" s="1">
        <v>8</v>
      </c>
      <c r="V779" s="50">
        <v>42948</v>
      </c>
      <c r="W779" s="4">
        <v>1403.3500000000001</v>
      </c>
      <c r="X779" s="48">
        <v>1651</v>
      </c>
    </row>
    <row r="780" spans="2:24" x14ac:dyDescent="0.35">
      <c r="B780" s="8" t="s">
        <v>7</v>
      </c>
      <c r="C780" s="8" t="s">
        <v>32</v>
      </c>
      <c r="D780" s="8" t="s">
        <v>8</v>
      </c>
      <c r="E780" s="8" t="s">
        <v>23</v>
      </c>
      <c r="F780" s="6" t="s">
        <v>39</v>
      </c>
      <c r="G780" s="8">
        <v>2017</v>
      </c>
      <c r="H780" s="8">
        <v>8</v>
      </c>
      <c r="I780" s="10">
        <v>42948</v>
      </c>
      <c r="J780" s="11">
        <v>2233</v>
      </c>
      <c r="K780" s="51"/>
      <c r="O780" s="1" t="s">
        <v>7</v>
      </c>
      <c r="P780" s="1" t="s">
        <v>32</v>
      </c>
      <c r="Q780" s="1" t="s">
        <v>8</v>
      </c>
      <c r="R780" s="1" t="s">
        <v>23</v>
      </c>
      <c r="S780" t="s">
        <v>39</v>
      </c>
      <c r="T780" s="1">
        <v>2017</v>
      </c>
      <c r="U780" s="1">
        <v>8</v>
      </c>
      <c r="V780" s="50">
        <v>42948</v>
      </c>
      <c r="W780" s="4">
        <v>1942.7100000000003</v>
      </c>
      <c r="X780" s="48">
        <v>2233</v>
      </c>
    </row>
    <row r="781" spans="2:24" x14ac:dyDescent="0.35">
      <c r="B781" s="8" t="s">
        <v>12</v>
      </c>
      <c r="C781" s="8" t="s">
        <v>34</v>
      </c>
      <c r="D781" s="8" t="s">
        <v>35</v>
      </c>
      <c r="E781" s="9" t="s">
        <v>0</v>
      </c>
      <c r="F781" s="9" t="s">
        <v>42</v>
      </c>
      <c r="G781" s="8">
        <v>2017</v>
      </c>
      <c r="H781" s="8">
        <v>8</v>
      </c>
      <c r="I781" s="10">
        <v>42948</v>
      </c>
      <c r="J781" s="11">
        <v>5063</v>
      </c>
      <c r="K781" s="51"/>
      <c r="O781" s="1" t="s">
        <v>12</v>
      </c>
      <c r="P781" s="1" t="s">
        <v>34</v>
      </c>
      <c r="Q781" s="1" t="s">
        <v>35</v>
      </c>
      <c r="R781" s="2" t="s">
        <v>0</v>
      </c>
      <c r="S781" s="2" t="s">
        <v>42</v>
      </c>
      <c r="T781" s="1">
        <v>2017</v>
      </c>
      <c r="U781" s="1">
        <v>8</v>
      </c>
      <c r="V781" s="50">
        <v>42948</v>
      </c>
      <c r="W781" s="4">
        <v>4354.18</v>
      </c>
      <c r="X781" s="48">
        <v>5063</v>
      </c>
    </row>
    <row r="782" spans="2:24" x14ac:dyDescent="0.35">
      <c r="B782" s="8" t="s">
        <v>14</v>
      </c>
      <c r="C782" s="8" t="s">
        <v>37</v>
      </c>
      <c r="D782" s="8" t="s">
        <v>38</v>
      </c>
      <c r="E782" s="8" t="s">
        <v>0</v>
      </c>
      <c r="F782" s="9" t="s">
        <v>26</v>
      </c>
      <c r="G782" s="8">
        <v>2017</v>
      </c>
      <c r="H782" s="8">
        <v>8</v>
      </c>
      <c r="I782" s="10">
        <v>42948</v>
      </c>
      <c r="J782" s="11">
        <v>3862</v>
      </c>
      <c r="K782" s="51"/>
      <c r="O782" s="1" t="s">
        <v>14</v>
      </c>
      <c r="P782" s="1" t="s">
        <v>37</v>
      </c>
      <c r="Q782" s="1" t="s">
        <v>38</v>
      </c>
      <c r="R782" s="1" t="s">
        <v>0</v>
      </c>
      <c r="S782" s="2" t="s">
        <v>26</v>
      </c>
      <c r="T782" s="1">
        <v>2017</v>
      </c>
      <c r="U782" s="1">
        <v>8</v>
      </c>
      <c r="V782" s="50">
        <v>42948</v>
      </c>
      <c r="W782" s="4">
        <v>3321.3200000000006</v>
      </c>
      <c r="X782" s="48">
        <v>3862</v>
      </c>
    </row>
    <row r="783" spans="2:24" x14ac:dyDescent="0.35">
      <c r="B783" s="8" t="s">
        <v>3</v>
      </c>
      <c r="C783" s="8" t="s">
        <v>25</v>
      </c>
      <c r="D783" s="8" t="s">
        <v>4</v>
      </c>
      <c r="E783" s="8" t="s">
        <v>0</v>
      </c>
      <c r="F783" s="6" t="s">
        <v>45</v>
      </c>
      <c r="G783" s="8">
        <v>2017</v>
      </c>
      <c r="H783" s="8">
        <v>8</v>
      </c>
      <c r="I783" s="10">
        <v>42948</v>
      </c>
      <c r="J783" s="11">
        <v>4489</v>
      </c>
      <c r="K783" s="51"/>
      <c r="O783" s="1" t="s">
        <v>3</v>
      </c>
      <c r="P783" s="1" t="s">
        <v>25</v>
      </c>
      <c r="Q783" s="1" t="s">
        <v>4</v>
      </c>
      <c r="R783" s="1" t="s">
        <v>0</v>
      </c>
      <c r="S783" t="s">
        <v>45</v>
      </c>
      <c r="T783" s="1">
        <v>2017</v>
      </c>
      <c r="U783" s="1">
        <v>8</v>
      </c>
      <c r="V783" s="50">
        <v>42948</v>
      </c>
      <c r="W783" s="4">
        <v>3950.3199999999997</v>
      </c>
      <c r="X783" s="48">
        <v>4489</v>
      </c>
    </row>
    <row r="784" spans="2:24" x14ac:dyDescent="0.35">
      <c r="B784" s="8" t="s">
        <v>6</v>
      </c>
      <c r="C784" s="8" t="s">
        <v>29</v>
      </c>
      <c r="D784" s="8" t="s">
        <v>30</v>
      </c>
      <c r="E784" s="8" t="s">
        <v>27</v>
      </c>
      <c r="F784" s="8" t="s">
        <v>28</v>
      </c>
      <c r="G784" s="8">
        <v>2017</v>
      </c>
      <c r="H784" s="8">
        <v>8</v>
      </c>
      <c r="I784" s="10">
        <v>42948</v>
      </c>
      <c r="J784" s="11">
        <v>4056</v>
      </c>
      <c r="K784" s="51"/>
      <c r="O784" s="1" t="s">
        <v>6</v>
      </c>
      <c r="P784" s="1" t="s">
        <v>29</v>
      </c>
      <c r="Q784" s="1" t="s">
        <v>30</v>
      </c>
      <c r="R784" s="1" t="s">
        <v>27</v>
      </c>
      <c r="S784" s="1" t="s">
        <v>28</v>
      </c>
      <c r="T784" s="1">
        <v>2017</v>
      </c>
      <c r="U784" s="1">
        <v>8</v>
      </c>
      <c r="V784" s="50">
        <v>42948</v>
      </c>
      <c r="W784" s="4">
        <v>3812.64</v>
      </c>
      <c r="X784" s="48">
        <v>4056</v>
      </c>
    </row>
    <row r="785" spans="2:24" x14ac:dyDescent="0.35">
      <c r="B785" s="8" t="s">
        <v>7</v>
      </c>
      <c r="C785" s="8" t="s">
        <v>43</v>
      </c>
      <c r="D785" s="8" t="s">
        <v>10</v>
      </c>
      <c r="E785" s="8" t="s">
        <v>27</v>
      </c>
      <c r="F785" s="8" t="s">
        <v>31</v>
      </c>
      <c r="G785" s="8">
        <v>2017</v>
      </c>
      <c r="H785" s="8">
        <v>8</v>
      </c>
      <c r="I785" s="10">
        <v>42948</v>
      </c>
      <c r="J785" s="11">
        <v>3545</v>
      </c>
      <c r="K785" s="51"/>
      <c r="O785" s="1" t="s">
        <v>7</v>
      </c>
      <c r="P785" s="1" t="s">
        <v>43</v>
      </c>
      <c r="Q785" s="1" t="s">
        <v>10</v>
      </c>
      <c r="R785" s="1" t="s">
        <v>27</v>
      </c>
      <c r="S785" s="1" t="s">
        <v>31</v>
      </c>
      <c r="T785" s="1">
        <v>2017</v>
      </c>
      <c r="U785" s="1">
        <v>8</v>
      </c>
      <c r="V785" s="50">
        <v>42948</v>
      </c>
      <c r="W785" s="4">
        <v>3119.5999999999995</v>
      </c>
      <c r="X785" s="48">
        <v>3545</v>
      </c>
    </row>
    <row r="786" spans="2:24" x14ac:dyDescent="0.35">
      <c r="B786" s="8" t="s">
        <v>12</v>
      </c>
      <c r="C786" s="8" t="s">
        <v>44</v>
      </c>
      <c r="D786" s="8" t="s">
        <v>13</v>
      </c>
      <c r="E786" s="8" t="s">
        <v>27</v>
      </c>
      <c r="F786" s="8" t="s">
        <v>33</v>
      </c>
      <c r="G786" s="8">
        <v>2017</v>
      </c>
      <c r="H786" s="8">
        <v>8</v>
      </c>
      <c r="I786" s="10">
        <v>42948</v>
      </c>
      <c r="J786" s="11">
        <v>3186</v>
      </c>
      <c r="K786" s="51"/>
      <c r="O786" s="1" t="s">
        <v>12</v>
      </c>
      <c r="P786" s="1" t="s">
        <v>44</v>
      </c>
      <c r="Q786" s="1" t="s">
        <v>13</v>
      </c>
      <c r="R786" s="1" t="s">
        <v>27</v>
      </c>
      <c r="S786" s="1" t="s">
        <v>33</v>
      </c>
      <c r="T786" s="1">
        <v>2017</v>
      </c>
      <c r="U786" s="1">
        <v>8</v>
      </c>
      <c r="V786" s="50">
        <v>42948</v>
      </c>
      <c r="W786" s="4">
        <v>2899.2599999999998</v>
      </c>
      <c r="X786" s="48">
        <v>3186</v>
      </c>
    </row>
    <row r="787" spans="2:24" x14ac:dyDescent="0.35">
      <c r="B787" s="8" t="s">
        <v>14</v>
      </c>
      <c r="C787" s="8" t="s">
        <v>46</v>
      </c>
      <c r="D787" s="8" t="s">
        <v>47</v>
      </c>
      <c r="E787" s="8" t="s">
        <v>23</v>
      </c>
      <c r="F787" s="6" t="s">
        <v>36</v>
      </c>
      <c r="G787" s="8">
        <v>2017</v>
      </c>
      <c r="H787" s="8">
        <v>8</v>
      </c>
      <c r="I787" s="10">
        <v>42948</v>
      </c>
      <c r="J787" s="11">
        <v>1807</v>
      </c>
      <c r="K787" s="51"/>
      <c r="O787" s="1" t="s">
        <v>14</v>
      </c>
      <c r="P787" s="1" t="s">
        <v>46</v>
      </c>
      <c r="Q787" s="1" t="s">
        <v>47</v>
      </c>
      <c r="R787" s="1" t="s">
        <v>23</v>
      </c>
      <c r="S787" t="s">
        <v>36</v>
      </c>
      <c r="T787" s="1">
        <v>2017</v>
      </c>
      <c r="U787" s="1">
        <v>8</v>
      </c>
      <c r="V787" s="50">
        <v>42948</v>
      </c>
      <c r="W787" s="4">
        <v>1698.58</v>
      </c>
      <c r="X787" s="48">
        <v>1807</v>
      </c>
    </row>
    <row r="788" spans="2:24" x14ac:dyDescent="0.35">
      <c r="B788" s="8" t="s">
        <v>6</v>
      </c>
      <c r="C788" s="8" t="s">
        <v>29</v>
      </c>
      <c r="D788" s="8" t="s">
        <v>30</v>
      </c>
      <c r="E788" s="8" t="s">
        <v>23</v>
      </c>
      <c r="F788" s="6" t="s">
        <v>39</v>
      </c>
      <c r="G788" s="8">
        <v>2017</v>
      </c>
      <c r="H788" s="8">
        <v>8</v>
      </c>
      <c r="I788" s="10">
        <v>42948</v>
      </c>
      <c r="J788" s="11">
        <v>2687</v>
      </c>
      <c r="K788" s="51"/>
      <c r="O788" s="1" t="s">
        <v>6</v>
      </c>
      <c r="P788" s="1" t="s">
        <v>29</v>
      </c>
      <c r="Q788" s="1" t="s">
        <v>30</v>
      </c>
      <c r="R788" s="1" t="s">
        <v>23</v>
      </c>
      <c r="S788" t="s">
        <v>39</v>
      </c>
      <c r="T788" s="1">
        <v>2017</v>
      </c>
      <c r="U788" s="1">
        <v>8</v>
      </c>
      <c r="V788" s="50">
        <v>42948</v>
      </c>
      <c r="W788" s="4">
        <v>2391.4299999999998</v>
      </c>
      <c r="X788" s="48">
        <v>2687</v>
      </c>
    </row>
    <row r="789" spans="2:24" x14ac:dyDescent="0.35">
      <c r="B789" s="8" t="s">
        <v>7</v>
      </c>
      <c r="C789" s="8" t="s">
        <v>32</v>
      </c>
      <c r="D789" s="8" t="s">
        <v>8</v>
      </c>
      <c r="E789" s="8" t="s">
        <v>0</v>
      </c>
      <c r="F789" s="6" t="s">
        <v>42</v>
      </c>
      <c r="G789" s="8">
        <v>2017</v>
      </c>
      <c r="H789" s="8">
        <v>8</v>
      </c>
      <c r="I789" s="10">
        <v>42948</v>
      </c>
      <c r="J789" s="11">
        <v>4420</v>
      </c>
      <c r="K789" s="51"/>
      <c r="O789" s="1" t="s">
        <v>7</v>
      </c>
      <c r="P789" s="1" t="s">
        <v>32</v>
      </c>
      <c r="Q789" s="1" t="s">
        <v>8</v>
      </c>
      <c r="R789" s="1" t="s">
        <v>0</v>
      </c>
      <c r="S789" t="s">
        <v>42</v>
      </c>
      <c r="T789" s="1">
        <v>2017</v>
      </c>
      <c r="U789" s="1">
        <v>8</v>
      </c>
      <c r="V789" s="50">
        <v>42948</v>
      </c>
      <c r="W789" s="4">
        <v>3889.5999999999995</v>
      </c>
      <c r="X789" s="48">
        <v>4420</v>
      </c>
    </row>
    <row r="790" spans="2:24" x14ac:dyDescent="0.35">
      <c r="B790" s="8" t="s">
        <v>12</v>
      </c>
      <c r="C790" s="8" t="s">
        <v>44</v>
      </c>
      <c r="D790" s="8" t="s">
        <v>13</v>
      </c>
      <c r="E790" s="9" t="s">
        <v>0</v>
      </c>
      <c r="F790" s="9" t="s">
        <v>26</v>
      </c>
      <c r="G790" s="8">
        <v>2017</v>
      </c>
      <c r="H790" s="8">
        <v>8</v>
      </c>
      <c r="I790" s="10">
        <v>42948</v>
      </c>
      <c r="J790" s="11">
        <v>3724</v>
      </c>
      <c r="K790" s="51"/>
      <c r="O790" s="1" t="s">
        <v>12</v>
      </c>
      <c r="P790" s="1" t="s">
        <v>44</v>
      </c>
      <c r="Q790" s="1" t="s">
        <v>13</v>
      </c>
      <c r="R790" s="2" t="s">
        <v>0</v>
      </c>
      <c r="S790" s="2" t="s">
        <v>26</v>
      </c>
      <c r="T790" s="1">
        <v>2017</v>
      </c>
      <c r="U790" s="1">
        <v>8</v>
      </c>
      <c r="V790" s="50">
        <v>42948</v>
      </c>
      <c r="W790" s="4">
        <v>3277.1199999999994</v>
      </c>
      <c r="X790" s="48">
        <v>3724</v>
      </c>
    </row>
    <row r="791" spans="2:24" x14ac:dyDescent="0.35">
      <c r="B791" s="8" t="s">
        <v>14</v>
      </c>
      <c r="C791" s="8" t="s">
        <v>37</v>
      </c>
      <c r="D791" s="8" t="s">
        <v>38</v>
      </c>
      <c r="E791" s="8" t="s">
        <v>0</v>
      </c>
      <c r="F791" s="9" t="s">
        <v>45</v>
      </c>
      <c r="G791" s="8">
        <v>2017</v>
      </c>
      <c r="H791" s="8">
        <v>8</v>
      </c>
      <c r="I791" s="10">
        <v>42948</v>
      </c>
      <c r="J791" s="11">
        <v>3517</v>
      </c>
      <c r="K791" s="51"/>
      <c r="O791" s="1" t="s">
        <v>14</v>
      </c>
      <c r="P791" s="1" t="s">
        <v>37</v>
      </c>
      <c r="Q791" s="1" t="s">
        <v>38</v>
      </c>
      <c r="R791" s="1" t="s">
        <v>0</v>
      </c>
      <c r="S791" s="2" t="s">
        <v>45</v>
      </c>
      <c r="T791" s="1">
        <v>2017</v>
      </c>
      <c r="U791" s="1">
        <v>8</v>
      </c>
      <c r="V791" s="50">
        <v>42948</v>
      </c>
      <c r="W791" s="4">
        <v>3165.2999999999997</v>
      </c>
      <c r="X791" s="48">
        <v>3517</v>
      </c>
    </row>
    <row r="792" spans="2:24" x14ac:dyDescent="0.35">
      <c r="B792" s="8" t="s">
        <v>3</v>
      </c>
      <c r="C792" s="8" t="s">
        <v>25</v>
      </c>
      <c r="D792" s="8" t="s">
        <v>4</v>
      </c>
      <c r="E792" s="8" t="s">
        <v>27</v>
      </c>
      <c r="F792" s="6" t="s">
        <v>28</v>
      </c>
      <c r="G792" s="8">
        <v>2017</v>
      </c>
      <c r="H792" s="8">
        <v>8</v>
      </c>
      <c r="I792" s="10">
        <v>42948</v>
      </c>
      <c r="J792" s="11">
        <v>3892</v>
      </c>
      <c r="K792" s="51"/>
      <c r="O792" s="1" t="s">
        <v>3</v>
      </c>
      <c r="P792" s="1" t="s">
        <v>25</v>
      </c>
      <c r="Q792" s="1" t="s">
        <v>4</v>
      </c>
      <c r="R792" s="1" t="s">
        <v>27</v>
      </c>
      <c r="S792" t="s">
        <v>28</v>
      </c>
      <c r="T792" s="1">
        <v>2017</v>
      </c>
      <c r="U792" s="1">
        <v>8</v>
      </c>
      <c r="V792" s="50">
        <v>42948</v>
      </c>
      <c r="W792" s="4">
        <v>3658.4799999999996</v>
      </c>
      <c r="X792" s="48">
        <v>3892</v>
      </c>
    </row>
    <row r="793" spans="2:24" x14ac:dyDescent="0.35">
      <c r="B793" s="8" t="s">
        <v>3</v>
      </c>
      <c r="C793" s="8" t="s">
        <v>25</v>
      </c>
      <c r="D793" s="8" t="s">
        <v>4</v>
      </c>
      <c r="E793" s="8" t="s">
        <v>27</v>
      </c>
      <c r="F793" s="8" t="s">
        <v>31</v>
      </c>
      <c r="G793" s="8">
        <v>2017</v>
      </c>
      <c r="H793" s="8">
        <v>8</v>
      </c>
      <c r="I793" s="10">
        <v>42948</v>
      </c>
      <c r="J793" s="11">
        <v>5069</v>
      </c>
      <c r="K793" s="51"/>
      <c r="O793" s="1" t="s">
        <v>3</v>
      </c>
      <c r="P793" s="1" t="s">
        <v>25</v>
      </c>
      <c r="Q793" s="1" t="s">
        <v>4</v>
      </c>
      <c r="R793" s="1" t="s">
        <v>27</v>
      </c>
      <c r="S793" s="1" t="s">
        <v>31</v>
      </c>
      <c r="T793" s="1">
        <v>2017</v>
      </c>
      <c r="U793" s="1">
        <v>8</v>
      </c>
      <c r="V793" s="50">
        <v>42948</v>
      </c>
      <c r="W793" s="4">
        <v>4410.0300000000007</v>
      </c>
      <c r="X793" s="48">
        <v>5069</v>
      </c>
    </row>
    <row r="794" spans="2:24" x14ac:dyDescent="0.35">
      <c r="B794" s="8" t="s">
        <v>6</v>
      </c>
      <c r="C794" s="8" t="s">
        <v>40</v>
      </c>
      <c r="D794" s="8" t="s">
        <v>41</v>
      </c>
      <c r="E794" s="8" t="s">
        <v>27</v>
      </c>
      <c r="F794" s="8" t="s">
        <v>33</v>
      </c>
      <c r="G794" s="8">
        <v>2017</v>
      </c>
      <c r="H794" s="8">
        <v>8</v>
      </c>
      <c r="I794" s="10">
        <v>42948</v>
      </c>
      <c r="J794" s="11">
        <v>3876</v>
      </c>
      <c r="K794" s="51"/>
      <c r="O794" s="1" t="s">
        <v>6</v>
      </c>
      <c r="P794" s="1" t="s">
        <v>40</v>
      </c>
      <c r="Q794" s="1" t="s">
        <v>41</v>
      </c>
      <c r="R794" s="1" t="s">
        <v>27</v>
      </c>
      <c r="S794" s="1" t="s">
        <v>33</v>
      </c>
      <c r="T794" s="1">
        <v>2017</v>
      </c>
      <c r="U794" s="1">
        <v>8</v>
      </c>
      <c r="V794" s="50">
        <v>42948</v>
      </c>
      <c r="W794" s="4">
        <v>3410.8799999999997</v>
      </c>
      <c r="X794" s="48">
        <v>3876</v>
      </c>
    </row>
    <row r="795" spans="2:24" x14ac:dyDescent="0.35">
      <c r="B795" s="8" t="s">
        <v>6</v>
      </c>
      <c r="C795" s="8" t="s">
        <v>40</v>
      </c>
      <c r="D795" s="8" t="s">
        <v>41</v>
      </c>
      <c r="E795" s="8" t="s">
        <v>23</v>
      </c>
      <c r="F795" s="8" t="s">
        <v>36</v>
      </c>
      <c r="G795" s="8">
        <v>2017</v>
      </c>
      <c r="H795" s="8">
        <v>8</v>
      </c>
      <c r="I795" s="10">
        <v>42948</v>
      </c>
      <c r="J795" s="11">
        <v>2684</v>
      </c>
      <c r="K795" s="51"/>
      <c r="O795" s="1" t="s">
        <v>6</v>
      </c>
      <c r="P795" s="1" t="s">
        <v>40</v>
      </c>
      <c r="Q795" s="1" t="s">
        <v>41</v>
      </c>
      <c r="R795" s="1" t="s">
        <v>23</v>
      </c>
      <c r="S795" s="1" t="s">
        <v>36</v>
      </c>
      <c r="T795" s="1">
        <v>2017</v>
      </c>
      <c r="U795" s="1">
        <v>8</v>
      </c>
      <c r="V795" s="50">
        <v>42948</v>
      </c>
      <c r="W795" s="4">
        <v>2469.2799999999997</v>
      </c>
      <c r="X795" s="48">
        <v>2684</v>
      </c>
    </row>
    <row r="796" spans="2:24" x14ac:dyDescent="0.35">
      <c r="B796" s="8" t="s">
        <v>7</v>
      </c>
      <c r="C796" s="8" t="s">
        <v>43</v>
      </c>
      <c r="D796" s="8" t="s">
        <v>10</v>
      </c>
      <c r="E796" s="8" t="s">
        <v>23</v>
      </c>
      <c r="F796" s="6" t="s">
        <v>24</v>
      </c>
      <c r="G796" s="8">
        <v>2017</v>
      </c>
      <c r="H796" s="8">
        <v>8</v>
      </c>
      <c r="I796" s="10">
        <v>42948</v>
      </c>
      <c r="J796" s="11">
        <v>1938</v>
      </c>
      <c r="K796" s="51"/>
      <c r="O796" s="1" t="s">
        <v>7</v>
      </c>
      <c r="P796" s="1" t="s">
        <v>43</v>
      </c>
      <c r="Q796" s="1" t="s">
        <v>10</v>
      </c>
      <c r="R796" s="1" t="s">
        <v>23</v>
      </c>
      <c r="S796" t="s">
        <v>24</v>
      </c>
      <c r="T796" s="1">
        <v>2017</v>
      </c>
      <c r="U796" s="1">
        <v>8</v>
      </c>
      <c r="V796" s="50">
        <v>42948</v>
      </c>
      <c r="W796" s="4">
        <v>1686.0600000000002</v>
      </c>
      <c r="X796" s="48">
        <v>1938</v>
      </c>
    </row>
    <row r="797" spans="2:24" x14ac:dyDescent="0.35">
      <c r="B797" s="8" t="s">
        <v>7</v>
      </c>
      <c r="C797" s="8" t="s">
        <v>43</v>
      </c>
      <c r="D797" s="8" t="s">
        <v>10</v>
      </c>
      <c r="E797" s="8" t="s">
        <v>23</v>
      </c>
      <c r="F797" s="6" t="s">
        <v>39</v>
      </c>
      <c r="G797" s="8">
        <v>2017</v>
      </c>
      <c r="H797" s="8">
        <v>8</v>
      </c>
      <c r="I797" s="10">
        <v>42948</v>
      </c>
      <c r="J797" s="11">
        <v>1234</v>
      </c>
      <c r="K797" s="51"/>
      <c r="O797" s="1" t="s">
        <v>7</v>
      </c>
      <c r="P797" s="1" t="s">
        <v>43</v>
      </c>
      <c r="Q797" s="1" t="s">
        <v>10</v>
      </c>
      <c r="R797" s="1" t="s">
        <v>23</v>
      </c>
      <c r="S797" t="s">
        <v>39</v>
      </c>
      <c r="T797" s="1">
        <v>2017</v>
      </c>
      <c r="U797" s="1">
        <v>8</v>
      </c>
      <c r="V797" s="50">
        <v>42948</v>
      </c>
      <c r="W797" s="4">
        <v>1159.96</v>
      </c>
      <c r="X797" s="48">
        <v>1234</v>
      </c>
    </row>
    <row r="798" spans="2:24" x14ac:dyDescent="0.35">
      <c r="B798" s="8" t="s">
        <v>7</v>
      </c>
      <c r="C798" s="8" t="s">
        <v>32</v>
      </c>
      <c r="D798" s="8" t="s">
        <v>8</v>
      </c>
      <c r="E798" s="8" t="s">
        <v>0</v>
      </c>
      <c r="F798" s="6" t="s">
        <v>26</v>
      </c>
      <c r="G798" s="8">
        <v>2017</v>
      </c>
      <c r="H798" s="8">
        <v>8</v>
      </c>
      <c r="I798" s="10">
        <v>42948</v>
      </c>
      <c r="J798" s="11">
        <v>5391</v>
      </c>
      <c r="K798" s="51"/>
      <c r="O798" s="1" t="s">
        <v>7</v>
      </c>
      <c r="P798" s="1" t="s">
        <v>32</v>
      </c>
      <c r="Q798" s="1" t="s">
        <v>8</v>
      </c>
      <c r="R798" s="1" t="s">
        <v>0</v>
      </c>
      <c r="S798" t="s">
        <v>26</v>
      </c>
      <c r="T798" s="1">
        <v>2017</v>
      </c>
      <c r="U798" s="1">
        <v>8</v>
      </c>
      <c r="V798" s="50">
        <v>42948</v>
      </c>
      <c r="W798" s="4">
        <v>4851.8999999999996</v>
      </c>
      <c r="X798" s="48">
        <v>5391</v>
      </c>
    </row>
    <row r="799" spans="2:24" x14ac:dyDescent="0.35">
      <c r="B799" s="8" t="s">
        <v>3</v>
      </c>
      <c r="C799" s="8" t="s">
        <v>22</v>
      </c>
      <c r="D799" s="8" t="s">
        <v>5</v>
      </c>
      <c r="E799" s="9" t="s">
        <v>0</v>
      </c>
      <c r="F799" s="9" t="s">
        <v>45</v>
      </c>
      <c r="G799" s="8">
        <v>2017</v>
      </c>
      <c r="H799" s="8">
        <v>8</v>
      </c>
      <c r="I799" s="10">
        <v>42948</v>
      </c>
      <c r="J799" s="11">
        <v>4691</v>
      </c>
      <c r="K799" s="51"/>
      <c r="O799" s="1" t="s">
        <v>3</v>
      </c>
      <c r="P799" s="1" t="s">
        <v>22</v>
      </c>
      <c r="Q799" s="1" t="s">
        <v>5</v>
      </c>
      <c r="R799" s="2" t="s">
        <v>0</v>
      </c>
      <c r="S799" s="2" t="s">
        <v>45</v>
      </c>
      <c r="T799" s="1">
        <v>2017</v>
      </c>
      <c r="U799" s="1">
        <v>8</v>
      </c>
      <c r="V799" s="50">
        <v>42948</v>
      </c>
      <c r="W799" s="4">
        <v>4362.63</v>
      </c>
      <c r="X799" s="48">
        <v>4691</v>
      </c>
    </row>
    <row r="800" spans="2:24" x14ac:dyDescent="0.35">
      <c r="B800" s="8" t="s">
        <v>7</v>
      </c>
      <c r="C800" s="8" t="s">
        <v>48</v>
      </c>
      <c r="D800" s="8" t="s">
        <v>9</v>
      </c>
      <c r="E800" s="8" t="s">
        <v>23</v>
      </c>
      <c r="F800" s="9" t="s">
        <v>36</v>
      </c>
      <c r="G800" s="8">
        <v>2017</v>
      </c>
      <c r="H800" s="8">
        <v>8</v>
      </c>
      <c r="I800" s="10">
        <v>42948</v>
      </c>
      <c r="J800" s="11">
        <v>2146</v>
      </c>
      <c r="K800" s="51"/>
      <c r="O800" s="1" t="s">
        <v>7</v>
      </c>
      <c r="P800" s="1" t="s">
        <v>48</v>
      </c>
      <c r="Q800" s="1" t="s">
        <v>9</v>
      </c>
      <c r="R800" s="1" t="s">
        <v>23</v>
      </c>
      <c r="S800" s="2" t="s">
        <v>36</v>
      </c>
      <c r="T800" s="1">
        <v>2017</v>
      </c>
      <c r="U800" s="1">
        <v>8</v>
      </c>
      <c r="V800" s="50">
        <v>42948</v>
      </c>
      <c r="W800" s="4">
        <v>1931.3999999999999</v>
      </c>
      <c r="X800" s="48">
        <v>2146</v>
      </c>
    </row>
    <row r="801" spans="2:24" x14ac:dyDescent="0.35">
      <c r="B801" s="8" t="s">
        <v>7</v>
      </c>
      <c r="C801" s="8" t="s">
        <v>48</v>
      </c>
      <c r="D801" s="8" t="s">
        <v>9</v>
      </c>
      <c r="E801" s="8" t="s">
        <v>23</v>
      </c>
      <c r="F801" s="6" t="s">
        <v>24</v>
      </c>
      <c r="G801" s="8">
        <v>2017</v>
      </c>
      <c r="H801" s="8">
        <v>8</v>
      </c>
      <c r="I801" s="10">
        <v>42948</v>
      </c>
      <c r="J801" s="11">
        <v>1800</v>
      </c>
      <c r="K801" s="51"/>
      <c r="O801" s="1" t="s">
        <v>7</v>
      </c>
      <c r="P801" s="1" t="s">
        <v>48</v>
      </c>
      <c r="Q801" s="1" t="s">
        <v>9</v>
      </c>
      <c r="R801" s="1" t="s">
        <v>23</v>
      </c>
      <c r="S801" t="s">
        <v>24</v>
      </c>
      <c r="T801" s="1">
        <v>2017</v>
      </c>
      <c r="U801" s="1">
        <v>8</v>
      </c>
      <c r="V801" s="50">
        <v>42948</v>
      </c>
      <c r="W801" s="4">
        <v>1601.9999999999998</v>
      </c>
      <c r="X801" s="48">
        <v>1800</v>
      </c>
    </row>
    <row r="802" spans="2:24" x14ac:dyDescent="0.35">
      <c r="B802" s="8" t="s">
        <v>7</v>
      </c>
      <c r="C802" s="8" t="s">
        <v>49</v>
      </c>
      <c r="D802" s="8" t="s">
        <v>11</v>
      </c>
      <c r="E802" s="8" t="s">
        <v>23</v>
      </c>
      <c r="F802" s="8" t="s">
        <v>39</v>
      </c>
      <c r="G802" s="8">
        <v>2017</v>
      </c>
      <c r="H802" s="8">
        <v>8</v>
      </c>
      <c r="I802" s="10">
        <v>42948</v>
      </c>
      <c r="J802" s="11">
        <v>1714</v>
      </c>
      <c r="K802" s="51"/>
      <c r="O802" s="1" t="s">
        <v>7</v>
      </c>
      <c r="P802" s="1" t="s">
        <v>49</v>
      </c>
      <c r="Q802" s="1" t="s">
        <v>11</v>
      </c>
      <c r="R802" s="1" t="s">
        <v>23</v>
      </c>
      <c r="S802" s="1" t="s">
        <v>39</v>
      </c>
      <c r="T802" s="1">
        <v>2017</v>
      </c>
      <c r="U802" s="1">
        <v>8</v>
      </c>
      <c r="V802" s="50">
        <v>42948</v>
      </c>
      <c r="W802" s="4">
        <v>1474.0400000000002</v>
      </c>
      <c r="X802" s="48">
        <v>1714</v>
      </c>
    </row>
    <row r="803" spans="2:24" x14ac:dyDescent="0.35">
      <c r="B803" s="8" t="s">
        <v>7</v>
      </c>
      <c r="C803" s="8" t="s">
        <v>49</v>
      </c>
      <c r="D803" s="8" t="s">
        <v>11</v>
      </c>
      <c r="E803" s="8" t="s">
        <v>0</v>
      </c>
      <c r="F803" s="8" t="s">
        <v>42</v>
      </c>
      <c r="G803" s="8">
        <v>2017</v>
      </c>
      <c r="H803" s="8">
        <v>8</v>
      </c>
      <c r="I803" s="10">
        <v>42948</v>
      </c>
      <c r="J803" s="11">
        <v>5759</v>
      </c>
      <c r="K803" s="51"/>
      <c r="O803" s="1" t="s">
        <v>7</v>
      </c>
      <c r="P803" s="1" t="s">
        <v>49</v>
      </c>
      <c r="Q803" s="1" t="s">
        <v>11</v>
      </c>
      <c r="R803" s="1" t="s">
        <v>0</v>
      </c>
      <c r="S803" s="1" t="s">
        <v>42</v>
      </c>
      <c r="T803" s="1">
        <v>2017</v>
      </c>
      <c r="U803" s="1">
        <v>8</v>
      </c>
      <c r="V803" s="50">
        <v>42948</v>
      </c>
      <c r="W803" s="4">
        <v>5298.28</v>
      </c>
      <c r="X803" s="48">
        <v>5759</v>
      </c>
    </row>
    <row r="804" spans="2:24" x14ac:dyDescent="0.35">
      <c r="B804" s="8" t="s">
        <v>12</v>
      </c>
      <c r="C804" s="8" t="s">
        <v>34</v>
      </c>
      <c r="D804" s="8" t="s">
        <v>35</v>
      </c>
      <c r="E804" s="8" t="s">
        <v>0</v>
      </c>
      <c r="F804" s="8" t="s">
        <v>26</v>
      </c>
      <c r="G804" s="8">
        <v>2017</v>
      </c>
      <c r="H804" s="8">
        <v>8</v>
      </c>
      <c r="I804" s="10">
        <v>42948</v>
      </c>
      <c r="J804" s="11">
        <v>3486</v>
      </c>
      <c r="K804" s="51"/>
      <c r="O804" s="1" t="s">
        <v>12</v>
      </c>
      <c r="P804" s="1" t="s">
        <v>34</v>
      </c>
      <c r="Q804" s="1" t="s">
        <v>35</v>
      </c>
      <c r="R804" s="1" t="s">
        <v>0</v>
      </c>
      <c r="S804" s="1" t="s">
        <v>26</v>
      </c>
      <c r="T804" s="1">
        <v>2017</v>
      </c>
      <c r="U804" s="1">
        <v>8</v>
      </c>
      <c r="V804" s="50">
        <v>42948</v>
      </c>
      <c r="W804" s="4">
        <v>3067.6799999999994</v>
      </c>
      <c r="X804" s="48">
        <v>3486</v>
      </c>
    </row>
    <row r="805" spans="2:24" x14ac:dyDescent="0.35">
      <c r="B805" s="8" t="s">
        <v>12</v>
      </c>
      <c r="C805" s="8" t="s">
        <v>34</v>
      </c>
      <c r="D805" s="8" t="s">
        <v>35</v>
      </c>
      <c r="E805" s="8" t="s">
        <v>0</v>
      </c>
      <c r="F805" s="6" t="s">
        <v>45</v>
      </c>
      <c r="G805" s="8">
        <v>2017</v>
      </c>
      <c r="H805" s="8">
        <v>8</v>
      </c>
      <c r="I805" s="10">
        <v>42948</v>
      </c>
      <c r="J805" s="11">
        <v>4085</v>
      </c>
      <c r="K805" s="51"/>
      <c r="O805" s="1" t="s">
        <v>12</v>
      </c>
      <c r="P805" s="1" t="s">
        <v>34</v>
      </c>
      <c r="Q805" s="1" t="s">
        <v>35</v>
      </c>
      <c r="R805" s="1" t="s">
        <v>0</v>
      </c>
      <c r="S805" t="s">
        <v>45</v>
      </c>
      <c r="T805" s="1">
        <v>2017</v>
      </c>
      <c r="U805" s="1">
        <v>8</v>
      </c>
      <c r="V805" s="50">
        <v>42948</v>
      </c>
      <c r="W805" s="4">
        <v>3717.3499999999995</v>
      </c>
      <c r="X805" s="48">
        <v>4085</v>
      </c>
    </row>
    <row r="806" spans="2:24" x14ac:dyDescent="0.35">
      <c r="B806" s="8" t="s">
        <v>14</v>
      </c>
      <c r="C806" s="8" t="s">
        <v>37</v>
      </c>
      <c r="D806" s="8" t="s">
        <v>38</v>
      </c>
      <c r="E806" s="8" t="s">
        <v>27</v>
      </c>
      <c r="F806" s="6" t="s">
        <v>28</v>
      </c>
      <c r="G806" s="8">
        <v>2017</v>
      </c>
      <c r="H806" s="8">
        <v>8</v>
      </c>
      <c r="I806" s="10">
        <v>42948</v>
      </c>
      <c r="J806" s="11">
        <v>4060</v>
      </c>
      <c r="K806" s="51"/>
      <c r="O806" s="1" t="s">
        <v>14</v>
      </c>
      <c r="P806" s="1" t="s">
        <v>37</v>
      </c>
      <c r="Q806" s="1" t="s">
        <v>38</v>
      </c>
      <c r="R806" s="1" t="s">
        <v>27</v>
      </c>
      <c r="S806" t="s">
        <v>28</v>
      </c>
      <c r="T806" s="1">
        <v>2017</v>
      </c>
      <c r="U806" s="1">
        <v>8</v>
      </c>
      <c r="V806" s="50">
        <v>42948</v>
      </c>
      <c r="W806" s="4">
        <v>3572.7999999999997</v>
      </c>
      <c r="X806" s="48">
        <v>4060</v>
      </c>
    </row>
    <row r="807" spans="2:24" x14ac:dyDescent="0.35">
      <c r="B807" s="8" t="s">
        <v>14</v>
      </c>
      <c r="C807" s="8" t="s">
        <v>37</v>
      </c>
      <c r="D807" s="8" t="s">
        <v>38</v>
      </c>
      <c r="E807" s="8" t="s">
        <v>27</v>
      </c>
      <c r="F807" s="6" t="s">
        <v>31</v>
      </c>
      <c r="G807" s="8">
        <v>2017</v>
      </c>
      <c r="H807" s="8">
        <v>8</v>
      </c>
      <c r="I807" s="10">
        <v>42948</v>
      </c>
      <c r="J807" s="11">
        <v>5034</v>
      </c>
      <c r="K807" s="51"/>
      <c r="O807" s="1" t="s">
        <v>14</v>
      </c>
      <c r="P807" s="1" t="s">
        <v>37</v>
      </c>
      <c r="Q807" s="1" t="s">
        <v>38</v>
      </c>
      <c r="R807" s="1" t="s">
        <v>27</v>
      </c>
      <c r="S807" t="s">
        <v>31</v>
      </c>
      <c r="T807" s="1">
        <v>2017</v>
      </c>
      <c r="U807" s="1">
        <v>8</v>
      </c>
      <c r="V807" s="50">
        <v>42948</v>
      </c>
      <c r="W807" s="4">
        <v>4731.96</v>
      </c>
      <c r="X807" s="48">
        <v>5034</v>
      </c>
    </row>
    <row r="808" spans="2:24" x14ac:dyDescent="0.35">
      <c r="B808" s="8" t="s">
        <v>12</v>
      </c>
      <c r="C808" s="8" t="s">
        <v>44</v>
      </c>
      <c r="D808" s="8" t="s">
        <v>13</v>
      </c>
      <c r="E808" s="9" t="s">
        <v>23</v>
      </c>
      <c r="F808" s="9" t="s">
        <v>36</v>
      </c>
      <c r="G808" s="8">
        <v>2017</v>
      </c>
      <c r="H808" s="8">
        <v>8</v>
      </c>
      <c r="I808" s="10">
        <v>42948</v>
      </c>
      <c r="J808" s="11">
        <v>2517</v>
      </c>
      <c r="K808" s="51"/>
      <c r="O808" s="1" t="s">
        <v>12</v>
      </c>
      <c r="P808" s="1" t="s">
        <v>44</v>
      </c>
      <c r="Q808" s="1" t="s">
        <v>13</v>
      </c>
      <c r="R808" s="2" t="s">
        <v>23</v>
      </c>
      <c r="S808" s="2" t="s">
        <v>36</v>
      </c>
      <c r="T808" s="1">
        <v>2017</v>
      </c>
      <c r="U808" s="1">
        <v>8</v>
      </c>
      <c r="V808" s="50">
        <v>42948</v>
      </c>
      <c r="W808" s="4">
        <v>2315.64</v>
      </c>
      <c r="X808" s="48">
        <v>2517</v>
      </c>
    </row>
    <row r="809" spans="2:24" x14ac:dyDescent="0.35">
      <c r="B809" s="8" t="s">
        <v>14</v>
      </c>
      <c r="C809" s="8" t="s">
        <v>46</v>
      </c>
      <c r="D809" s="8" t="s">
        <v>47</v>
      </c>
      <c r="E809" s="8" t="s">
        <v>23</v>
      </c>
      <c r="F809" s="9" t="s">
        <v>24</v>
      </c>
      <c r="G809" s="8">
        <v>2017</v>
      </c>
      <c r="H809" s="8">
        <v>8</v>
      </c>
      <c r="I809" s="10">
        <v>42948</v>
      </c>
      <c r="J809" s="11">
        <v>2238</v>
      </c>
      <c r="K809" s="51"/>
      <c r="O809" s="1" t="s">
        <v>14</v>
      </c>
      <c r="P809" s="1" t="s">
        <v>46</v>
      </c>
      <c r="Q809" s="1" t="s">
        <v>47</v>
      </c>
      <c r="R809" s="1" t="s">
        <v>23</v>
      </c>
      <c r="S809" s="2" t="s">
        <v>24</v>
      </c>
      <c r="T809" s="1">
        <v>2017</v>
      </c>
      <c r="U809" s="1">
        <v>8</v>
      </c>
      <c r="V809" s="50">
        <v>42948</v>
      </c>
      <c r="W809" s="4">
        <v>2036.58</v>
      </c>
      <c r="X809" s="48">
        <v>2238</v>
      </c>
    </row>
    <row r="810" spans="2:24" x14ac:dyDescent="0.35">
      <c r="B810" s="8" t="s">
        <v>14</v>
      </c>
      <c r="C810" s="8" t="s">
        <v>46</v>
      </c>
      <c r="D810" s="8" t="s">
        <v>47</v>
      </c>
      <c r="E810" s="8" t="s">
        <v>23</v>
      </c>
      <c r="F810" s="6" t="s">
        <v>39</v>
      </c>
      <c r="G810" s="8">
        <v>2017</v>
      </c>
      <c r="H810" s="8">
        <v>8</v>
      </c>
      <c r="I810" s="10">
        <v>42948</v>
      </c>
      <c r="J810" s="11">
        <v>2595</v>
      </c>
      <c r="K810" s="51"/>
      <c r="O810" s="1" t="s">
        <v>14</v>
      </c>
      <c r="P810" s="1" t="s">
        <v>46</v>
      </c>
      <c r="Q810" s="1" t="s">
        <v>47</v>
      </c>
      <c r="R810" s="1" t="s">
        <v>23</v>
      </c>
      <c r="S810" t="s">
        <v>39</v>
      </c>
      <c r="T810" s="1">
        <v>2017</v>
      </c>
      <c r="U810" s="1">
        <v>8</v>
      </c>
      <c r="V810" s="50">
        <v>42948</v>
      </c>
      <c r="W810" s="4">
        <v>2231.7000000000003</v>
      </c>
      <c r="X810" s="48">
        <v>2595</v>
      </c>
    </row>
    <row r="811" spans="2:24" x14ac:dyDescent="0.35">
      <c r="B811" s="8" t="s">
        <v>7</v>
      </c>
      <c r="C811" s="8" t="s">
        <v>43</v>
      </c>
      <c r="D811" s="8" t="s">
        <v>10</v>
      </c>
      <c r="E811" s="8" t="s">
        <v>0</v>
      </c>
      <c r="F811" s="8" t="s">
        <v>42</v>
      </c>
      <c r="G811" s="8">
        <v>2017</v>
      </c>
      <c r="H811" s="8">
        <v>8</v>
      </c>
      <c r="I811" s="10">
        <v>42948</v>
      </c>
      <c r="J811" s="11">
        <v>5435</v>
      </c>
      <c r="K811" s="51"/>
      <c r="O811" s="1" t="s">
        <v>7</v>
      </c>
      <c r="P811" s="1" t="s">
        <v>43</v>
      </c>
      <c r="Q811" s="1" t="s">
        <v>10</v>
      </c>
      <c r="R811" s="1" t="s">
        <v>0</v>
      </c>
      <c r="S811" s="1" t="s">
        <v>42</v>
      </c>
      <c r="T811" s="1">
        <v>2017</v>
      </c>
      <c r="U811" s="1">
        <v>8</v>
      </c>
      <c r="V811" s="50">
        <v>42948</v>
      </c>
      <c r="W811" s="4">
        <v>5108.8999999999996</v>
      </c>
      <c r="X811" s="48">
        <v>5435</v>
      </c>
    </row>
    <row r="812" spans="2:24" x14ac:dyDescent="0.35">
      <c r="B812" s="8" t="s">
        <v>6</v>
      </c>
      <c r="C812" s="8" t="s">
        <v>40</v>
      </c>
      <c r="D812" s="8" t="s">
        <v>41</v>
      </c>
      <c r="E812" s="8" t="s">
        <v>27</v>
      </c>
      <c r="F812" s="8" t="s">
        <v>31</v>
      </c>
      <c r="G812" s="8">
        <v>2017</v>
      </c>
      <c r="H812" s="8">
        <v>8</v>
      </c>
      <c r="I812" s="10">
        <v>42948</v>
      </c>
      <c r="J812" s="11">
        <v>3353</v>
      </c>
      <c r="K812" s="51"/>
      <c r="O812" s="1" t="s">
        <v>6</v>
      </c>
      <c r="P812" s="1" t="s">
        <v>40</v>
      </c>
      <c r="Q812" s="1" t="s">
        <v>41</v>
      </c>
      <c r="R812" s="1" t="s">
        <v>27</v>
      </c>
      <c r="S812" s="1" t="s">
        <v>31</v>
      </c>
      <c r="T812" s="1">
        <v>2017</v>
      </c>
      <c r="U812" s="1">
        <v>8</v>
      </c>
      <c r="V812" s="50">
        <v>42948</v>
      </c>
      <c r="W812" s="4">
        <v>3151.8199999999997</v>
      </c>
      <c r="X812" s="48">
        <v>3353</v>
      </c>
    </row>
    <row r="813" spans="2:24" x14ac:dyDescent="0.35">
      <c r="B813" s="8" t="s">
        <v>3</v>
      </c>
      <c r="C813" s="8" t="s">
        <v>22</v>
      </c>
      <c r="D813" s="8" t="s">
        <v>5</v>
      </c>
      <c r="E813" s="8" t="s">
        <v>23</v>
      </c>
      <c r="F813" s="8" t="s">
        <v>39</v>
      </c>
      <c r="G813" s="8">
        <v>2017</v>
      </c>
      <c r="H813" s="8">
        <v>8</v>
      </c>
      <c r="I813" s="10">
        <v>42948</v>
      </c>
      <c r="J813" s="11">
        <v>2612</v>
      </c>
      <c r="K813" s="51"/>
      <c r="O813" s="1" t="s">
        <v>3</v>
      </c>
      <c r="P813" s="1" t="s">
        <v>22</v>
      </c>
      <c r="Q813" s="1" t="s">
        <v>5</v>
      </c>
      <c r="R813" s="1" t="s">
        <v>23</v>
      </c>
      <c r="S813" s="1" t="s">
        <v>39</v>
      </c>
      <c r="T813" s="1">
        <v>2017</v>
      </c>
      <c r="U813" s="1">
        <v>8</v>
      </c>
      <c r="V813" s="50">
        <v>42948</v>
      </c>
      <c r="W813" s="4">
        <v>2324.6799999999998</v>
      </c>
      <c r="X813" s="48">
        <v>2612</v>
      </c>
    </row>
    <row r="814" spans="2:24" x14ac:dyDescent="0.35">
      <c r="B814" s="8" t="s">
        <v>3</v>
      </c>
      <c r="C814" s="8" t="s">
        <v>22</v>
      </c>
      <c r="D814" s="8" t="s">
        <v>5</v>
      </c>
      <c r="E814" s="8" t="s">
        <v>0</v>
      </c>
      <c r="F814" s="6" t="s">
        <v>42</v>
      </c>
      <c r="G814" s="8">
        <v>2017</v>
      </c>
      <c r="H814" s="8">
        <v>8</v>
      </c>
      <c r="I814" s="10">
        <v>42948</v>
      </c>
      <c r="J814" s="11">
        <v>4106</v>
      </c>
      <c r="K814" s="51"/>
      <c r="O814" s="1" t="s">
        <v>3</v>
      </c>
      <c r="P814" s="1" t="s">
        <v>22</v>
      </c>
      <c r="Q814" s="1" t="s">
        <v>5</v>
      </c>
      <c r="R814" s="1" t="s">
        <v>0</v>
      </c>
      <c r="S814" t="s">
        <v>42</v>
      </c>
      <c r="T814" s="1">
        <v>2017</v>
      </c>
      <c r="U814" s="1">
        <v>8</v>
      </c>
      <c r="V814" s="50">
        <v>42948</v>
      </c>
      <c r="W814" s="4">
        <v>3859.64</v>
      </c>
      <c r="X814" s="48">
        <v>4106</v>
      </c>
    </row>
    <row r="815" spans="2:24" x14ac:dyDescent="0.35">
      <c r="B815" s="8" t="s">
        <v>6</v>
      </c>
      <c r="C815" s="8" t="s">
        <v>29</v>
      </c>
      <c r="D815" s="8" t="s">
        <v>30</v>
      </c>
      <c r="E815" s="8" t="s">
        <v>0</v>
      </c>
      <c r="F815" s="6" t="s">
        <v>26</v>
      </c>
      <c r="G815" s="8">
        <v>2017</v>
      </c>
      <c r="H815" s="8">
        <v>8</v>
      </c>
      <c r="I815" s="10">
        <v>42948</v>
      </c>
      <c r="J815" s="11">
        <v>3146</v>
      </c>
      <c r="K815" s="51"/>
      <c r="O815" s="1" t="s">
        <v>6</v>
      </c>
      <c r="P815" s="1" t="s">
        <v>29</v>
      </c>
      <c r="Q815" s="1" t="s">
        <v>30</v>
      </c>
      <c r="R815" s="1" t="s">
        <v>0</v>
      </c>
      <c r="S815" t="s">
        <v>26</v>
      </c>
      <c r="T815" s="1">
        <v>2017</v>
      </c>
      <c r="U815" s="1">
        <v>8</v>
      </c>
      <c r="V815" s="50">
        <v>42948</v>
      </c>
      <c r="W815" s="4">
        <v>2925.7799999999997</v>
      </c>
      <c r="X815" s="48">
        <v>3146</v>
      </c>
    </row>
    <row r="816" spans="2:24" x14ac:dyDescent="0.35">
      <c r="B816" s="8" t="s">
        <v>7</v>
      </c>
      <c r="C816" s="8" t="s">
        <v>48</v>
      </c>
      <c r="D816" s="8" t="s">
        <v>9</v>
      </c>
      <c r="E816" s="8" t="s">
        <v>27</v>
      </c>
      <c r="F816" s="6" t="s">
        <v>28</v>
      </c>
      <c r="G816" s="8">
        <v>2017</v>
      </c>
      <c r="H816" s="8">
        <v>8</v>
      </c>
      <c r="I816" s="10">
        <v>42948</v>
      </c>
      <c r="J816" s="11">
        <v>4856</v>
      </c>
      <c r="K816" s="51"/>
      <c r="O816" s="1" t="s">
        <v>7</v>
      </c>
      <c r="P816" s="1" t="s">
        <v>48</v>
      </c>
      <c r="Q816" s="1" t="s">
        <v>9</v>
      </c>
      <c r="R816" s="1" t="s">
        <v>27</v>
      </c>
      <c r="S816" t="s">
        <v>28</v>
      </c>
      <c r="T816" s="1">
        <v>2017</v>
      </c>
      <c r="U816" s="1">
        <v>8</v>
      </c>
      <c r="V816" s="50">
        <v>42948</v>
      </c>
      <c r="W816" s="4">
        <v>4418.96</v>
      </c>
      <c r="X816" s="48">
        <v>4856</v>
      </c>
    </row>
    <row r="817" spans="2:24" x14ac:dyDescent="0.35">
      <c r="B817" s="8" t="s">
        <v>7</v>
      </c>
      <c r="C817" s="8" t="s">
        <v>48</v>
      </c>
      <c r="D817" s="8" t="s">
        <v>9</v>
      </c>
      <c r="E817" s="9" t="s">
        <v>27</v>
      </c>
      <c r="F817" s="9" t="s">
        <v>31</v>
      </c>
      <c r="G817" s="8">
        <v>2017</v>
      </c>
      <c r="H817" s="8">
        <v>8</v>
      </c>
      <c r="I817" s="10">
        <v>42948</v>
      </c>
      <c r="J817" s="11">
        <v>3607</v>
      </c>
      <c r="K817" s="51"/>
      <c r="O817" s="1" t="s">
        <v>7</v>
      </c>
      <c r="P817" s="1" t="s">
        <v>48</v>
      </c>
      <c r="Q817" s="1" t="s">
        <v>9</v>
      </c>
      <c r="R817" s="2" t="s">
        <v>27</v>
      </c>
      <c r="S817" s="2" t="s">
        <v>31</v>
      </c>
      <c r="T817" s="1">
        <v>2017</v>
      </c>
      <c r="U817" s="1">
        <v>8</v>
      </c>
      <c r="V817" s="50">
        <v>42948</v>
      </c>
      <c r="W817" s="4">
        <v>3354.5099999999998</v>
      </c>
      <c r="X817" s="48">
        <v>3607</v>
      </c>
    </row>
    <row r="818" spans="2:24" x14ac:dyDescent="0.35">
      <c r="B818" s="8" t="s">
        <v>7</v>
      </c>
      <c r="C818" s="8" t="s">
        <v>49</v>
      </c>
      <c r="D818" s="8" t="s">
        <v>11</v>
      </c>
      <c r="E818" s="8" t="s">
        <v>27</v>
      </c>
      <c r="F818" s="9" t="s">
        <v>33</v>
      </c>
      <c r="G818" s="8">
        <v>2017</v>
      </c>
      <c r="H818" s="8">
        <v>8</v>
      </c>
      <c r="I818" s="10">
        <v>42948</v>
      </c>
      <c r="J818" s="11">
        <v>3226</v>
      </c>
      <c r="K818" s="51"/>
      <c r="O818" s="1" t="s">
        <v>7</v>
      </c>
      <c r="P818" s="1" t="s">
        <v>49</v>
      </c>
      <c r="Q818" s="1" t="s">
        <v>11</v>
      </c>
      <c r="R818" s="1" t="s">
        <v>27</v>
      </c>
      <c r="S818" s="2" t="s">
        <v>33</v>
      </c>
      <c r="T818" s="1">
        <v>2017</v>
      </c>
      <c r="U818" s="1">
        <v>8</v>
      </c>
      <c r="V818" s="50">
        <v>42948</v>
      </c>
      <c r="W818" s="4">
        <v>2903.3999999999996</v>
      </c>
      <c r="X818" s="48">
        <v>3226</v>
      </c>
    </row>
    <row r="819" spans="2:24" x14ac:dyDescent="0.35">
      <c r="B819" s="8" t="s">
        <v>7</v>
      </c>
      <c r="C819" s="8" t="s">
        <v>49</v>
      </c>
      <c r="D819" s="8" t="s">
        <v>11</v>
      </c>
      <c r="E819" s="8" t="s">
        <v>23</v>
      </c>
      <c r="F819" s="6" t="s">
        <v>36</v>
      </c>
      <c r="G819" s="8">
        <v>2017</v>
      </c>
      <c r="H819" s="8">
        <v>8</v>
      </c>
      <c r="I819" s="10">
        <v>42948</v>
      </c>
      <c r="J819" s="11">
        <v>1708</v>
      </c>
      <c r="K819" s="51"/>
      <c r="O819" s="1" t="s">
        <v>7</v>
      </c>
      <c r="P819" s="1" t="s">
        <v>49</v>
      </c>
      <c r="Q819" s="1" t="s">
        <v>11</v>
      </c>
      <c r="R819" s="1" t="s">
        <v>23</v>
      </c>
      <c r="S819" t="s">
        <v>36</v>
      </c>
      <c r="T819" s="1">
        <v>2017</v>
      </c>
      <c r="U819" s="1">
        <v>8</v>
      </c>
      <c r="V819" s="50">
        <v>42948</v>
      </c>
      <c r="W819" s="4">
        <v>1520.12</v>
      </c>
      <c r="X819" s="48">
        <v>1708</v>
      </c>
    </row>
    <row r="820" spans="2:24" x14ac:dyDescent="0.35">
      <c r="B820" s="8" t="s">
        <v>7</v>
      </c>
      <c r="C820" s="8" t="s">
        <v>43</v>
      </c>
      <c r="D820" s="8" t="s">
        <v>10</v>
      </c>
      <c r="E820" s="8" t="s">
        <v>23</v>
      </c>
      <c r="F820" s="8" t="s">
        <v>36</v>
      </c>
      <c r="G820" s="8">
        <v>2017</v>
      </c>
      <c r="H820" s="8">
        <v>8</v>
      </c>
      <c r="I820" s="10">
        <v>42948</v>
      </c>
      <c r="J820" s="11">
        <v>2922</v>
      </c>
      <c r="K820" s="51"/>
      <c r="O820" s="1" t="s">
        <v>7</v>
      </c>
      <c r="P820" s="1" t="s">
        <v>43</v>
      </c>
      <c r="Q820" s="1" t="s">
        <v>10</v>
      </c>
      <c r="R820" s="1" t="s">
        <v>23</v>
      </c>
      <c r="S820" s="1" t="s">
        <v>36</v>
      </c>
      <c r="T820" s="1">
        <v>2017</v>
      </c>
      <c r="U820" s="1">
        <v>8</v>
      </c>
      <c r="V820" s="50">
        <v>42948</v>
      </c>
      <c r="W820" s="4">
        <v>2746.68</v>
      </c>
      <c r="X820" s="48">
        <v>2922</v>
      </c>
    </row>
    <row r="821" spans="2:24" x14ac:dyDescent="0.35">
      <c r="B821" s="8" t="s">
        <v>6</v>
      </c>
      <c r="C821" s="8" t="s">
        <v>40</v>
      </c>
      <c r="D821" s="8" t="s">
        <v>41</v>
      </c>
      <c r="E821" s="8" t="s">
        <v>0</v>
      </c>
      <c r="F821" s="8" t="s">
        <v>45</v>
      </c>
      <c r="G821" s="8">
        <v>2017</v>
      </c>
      <c r="H821" s="8">
        <v>8</v>
      </c>
      <c r="I821" s="10">
        <v>42948</v>
      </c>
      <c r="J821" s="11">
        <v>4136</v>
      </c>
      <c r="K821" s="51"/>
      <c r="O821" s="1" t="s">
        <v>6</v>
      </c>
      <c r="P821" s="1" t="s">
        <v>40</v>
      </c>
      <c r="Q821" s="1" t="s">
        <v>41</v>
      </c>
      <c r="R821" s="1" t="s">
        <v>0</v>
      </c>
      <c r="S821" s="1" t="s">
        <v>45</v>
      </c>
      <c r="T821" s="1">
        <v>2017</v>
      </c>
      <c r="U821" s="1">
        <v>8</v>
      </c>
      <c r="V821" s="50">
        <v>42948</v>
      </c>
      <c r="W821" s="4">
        <v>3598.3200000000006</v>
      </c>
      <c r="X821" s="48">
        <v>4136</v>
      </c>
    </row>
    <row r="822" spans="2:24" x14ac:dyDescent="0.35">
      <c r="B822" s="8" t="s">
        <v>7</v>
      </c>
      <c r="C822" s="8" t="s">
        <v>32</v>
      </c>
      <c r="D822" s="8" t="s">
        <v>8</v>
      </c>
      <c r="E822" s="8" t="s">
        <v>27</v>
      </c>
      <c r="F822" s="8" t="s">
        <v>28</v>
      </c>
      <c r="G822" s="8">
        <v>2017</v>
      </c>
      <c r="H822" s="8">
        <v>8</v>
      </c>
      <c r="I822" s="10">
        <v>42948</v>
      </c>
      <c r="J822" s="11">
        <v>4032</v>
      </c>
      <c r="K822" s="51"/>
      <c r="O822" s="1" t="s">
        <v>7</v>
      </c>
      <c r="P822" s="1" t="s">
        <v>32</v>
      </c>
      <c r="Q822" s="1" t="s">
        <v>8</v>
      </c>
      <c r="R822" s="1" t="s">
        <v>27</v>
      </c>
      <c r="S822" s="1" t="s">
        <v>28</v>
      </c>
      <c r="T822" s="1">
        <v>2017</v>
      </c>
      <c r="U822" s="1">
        <v>8</v>
      </c>
      <c r="V822" s="50">
        <v>42948</v>
      </c>
      <c r="W822" s="4">
        <v>3588.4799999999996</v>
      </c>
      <c r="X822" s="48">
        <v>4032</v>
      </c>
    </row>
    <row r="823" spans="2:24" x14ac:dyDescent="0.35">
      <c r="B823" s="8" t="s">
        <v>7</v>
      </c>
      <c r="C823" s="8" t="s">
        <v>32</v>
      </c>
      <c r="D823" s="8" t="s">
        <v>8</v>
      </c>
      <c r="E823" s="8" t="s">
        <v>27</v>
      </c>
      <c r="F823" s="6" t="s">
        <v>31</v>
      </c>
      <c r="G823" s="8">
        <v>2017</v>
      </c>
      <c r="H823" s="8">
        <v>8</v>
      </c>
      <c r="I823" s="10">
        <v>42948</v>
      </c>
      <c r="J823" s="11">
        <v>4346</v>
      </c>
      <c r="K823" s="51"/>
      <c r="O823" s="1" t="s">
        <v>7</v>
      </c>
      <c r="P823" s="1" t="s">
        <v>32</v>
      </c>
      <c r="Q823" s="1" t="s">
        <v>8</v>
      </c>
      <c r="R823" s="1" t="s">
        <v>27</v>
      </c>
      <c r="S823" t="s">
        <v>31</v>
      </c>
      <c r="T823" s="1">
        <v>2017</v>
      </c>
      <c r="U823" s="1">
        <v>8</v>
      </c>
      <c r="V823" s="50">
        <v>42948</v>
      </c>
      <c r="W823" s="4">
        <v>4041.7799999999997</v>
      </c>
      <c r="X823" s="48">
        <v>4346</v>
      </c>
    </row>
    <row r="824" spans="2:24" x14ac:dyDescent="0.35">
      <c r="B824" s="8" t="s">
        <v>6</v>
      </c>
      <c r="C824" s="8" t="s">
        <v>29</v>
      </c>
      <c r="D824" s="8" t="s">
        <v>30</v>
      </c>
      <c r="E824" s="8" t="s">
        <v>23</v>
      </c>
      <c r="F824" s="6" t="s">
        <v>24</v>
      </c>
      <c r="G824" s="8">
        <v>2017</v>
      </c>
      <c r="H824" s="8">
        <v>8</v>
      </c>
      <c r="I824" s="10">
        <v>42948</v>
      </c>
      <c r="J824" s="11">
        <v>2728</v>
      </c>
      <c r="K824" s="51"/>
      <c r="O824" s="1" t="s">
        <v>6</v>
      </c>
      <c r="P824" s="1" t="s">
        <v>29</v>
      </c>
      <c r="Q824" s="1" t="s">
        <v>30</v>
      </c>
      <c r="R824" s="1" t="s">
        <v>23</v>
      </c>
      <c r="S824" t="s">
        <v>24</v>
      </c>
      <c r="T824" s="1">
        <v>2017</v>
      </c>
      <c r="U824" s="1">
        <v>8</v>
      </c>
      <c r="V824" s="50">
        <v>42948</v>
      </c>
      <c r="W824" s="4">
        <v>2373.36</v>
      </c>
      <c r="X824" s="48">
        <v>2728</v>
      </c>
    </row>
    <row r="825" spans="2:24" x14ac:dyDescent="0.35">
      <c r="B825" s="8" t="s">
        <v>7</v>
      </c>
      <c r="C825" s="8" t="s">
        <v>48</v>
      </c>
      <c r="D825" s="8" t="s">
        <v>9</v>
      </c>
      <c r="E825" s="8" t="s">
        <v>0</v>
      </c>
      <c r="F825" s="6" t="s">
        <v>42</v>
      </c>
      <c r="G825" s="8">
        <v>2017</v>
      </c>
      <c r="H825" s="8">
        <v>8</v>
      </c>
      <c r="I825" s="10">
        <v>42948</v>
      </c>
      <c r="J825" s="11">
        <v>5601</v>
      </c>
      <c r="K825" s="51"/>
      <c r="O825" s="1" t="s">
        <v>7</v>
      </c>
      <c r="P825" s="1" t="s">
        <v>48</v>
      </c>
      <c r="Q825" s="1" t="s">
        <v>9</v>
      </c>
      <c r="R825" s="1" t="s">
        <v>0</v>
      </c>
      <c r="S825" t="s">
        <v>42</v>
      </c>
      <c r="T825" s="1">
        <v>2017</v>
      </c>
      <c r="U825" s="1">
        <v>8</v>
      </c>
      <c r="V825" s="50">
        <v>42948</v>
      </c>
      <c r="W825" s="4">
        <v>5264.94</v>
      </c>
      <c r="X825" s="48">
        <v>5601</v>
      </c>
    </row>
    <row r="826" spans="2:24" x14ac:dyDescent="0.35">
      <c r="B826" s="8" t="s">
        <v>7</v>
      </c>
      <c r="C826" s="8" t="s">
        <v>48</v>
      </c>
      <c r="D826" s="8" t="s">
        <v>9</v>
      </c>
      <c r="E826" s="9" t="s">
        <v>0</v>
      </c>
      <c r="F826" s="9" t="s">
        <v>26</v>
      </c>
      <c r="G826" s="8">
        <v>2017</v>
      </c>
      <c r="H826" s="8">
        <v>8</v>
      </c>
      <c r="I826" s="10">
        <v>42948</v>
      </c>
      <c r="J826" s="11">
        <v>4277</v>
      </c>
      <c r="K826" s="51"/>
      <c r="O826" s="1" t="s">
        <v>7</v>
      </c>
      <c r="P826" s="1" t="s">
        <v>48</v>
      </c>
      <c r="Q826" s="1" t="s">
        <v>9</v>
      </c>
      <c r="R826" s="2" t="s">
        <v>0</v>
      </c>
      <c r="S826" s="2" t="s">
        <v>26</v>
      </c>
      <c r="T826" s="1">
        <v>2017</v>
      </c>
      <c r="U826" s="1">
        <v>8</v>
      </c>
      <c r="V826" s="50">
        <v>42948</v>
      </c>
      <c r="W826" s="4">
        <v>3635.4500000000003</v>
      </c>
      <c r="X826" s="48">
        <v>4277</v>
      </c>
    </row>
    <row r="827" spans="2:24" x14ac:dyDescent="0.35">
      <c r="B827" s="8" t="s">
        <v>7</v>
      </c>
      <c r="C827" s="8" t="s">
        <v>49</v>
      </c>
      <c r="D827" s="8" t="s">
        <v>11</v>
      </c>
      <c r="E827" s="8" t="s">
        <v>0</v>
      </c>
      <c r="F827" s="9" t="s">
        <v>45</v>
      </c>
      <c r="G827" s="8">
        <v>2017</v>
      </c>
      <c r="H827" s="8">
        <v>8</v>
      </c>
      <c r="I827" s="10">
        <v>42948</v>
      </c>
      <c r="J827" s="11">
        <v>4616</v>
      </c>
      <c r="K827" s="51"/>
      <c r="O827" s="1" t="s">
        <v>7</v>
      </c>
      <c r="P827" s="1" t="s">
        <v>49</v>
      </c>
      <c r="Q827" s="1" t="s">
        <v>11</v>
      </c>
      <c r="R827" s="1" t="s">
        <v>0</v>
      </c>
      <c r="S827" s="2" t="s">
        <v>45</v>
      </c>
      <c r="T827" s="1">
        <v>2017</v>
      </c>
      <c r="U827" s="1">
        <v>8</v>
      </c>
      <c r="V827" s="50">
        <v>42948</v>
      </c>
      <c r="W827" s="4">
        <v>4015.9200000000005</v>
      </c>
      <c r="X827" s="48">
        <v>4616</v>
      </c>
    </row>
    <row r="828" spans="2:24" x14ac:dyDescent="0.35">
      <c r="B828" s="8" t="s">
        <v>7</v>
      </c>
      <c r="C828" s="8" t="s">
        <v>49</v>
      </c>
      <c r="D828" s="8" t="s">
        <v>11</v>
      </c>
      <c r="E828" s="8" t="s">
        <v>27</v>
      </c>
      <c r="F828" s="6" t="s">
        <v>28</v>
      </c>
      <c r="G828" s="8">
        <v>2017</v>
      </c>
      <c r="H828" s="8">
        <v>8</v>
      </c>
      <c r="I828" s="10">
        <v>42948</v>
      </c>
      <c r="J828" s="11">
        <v>3716</v>
      </c>
      <c r="K828" s="51"/>
      <c r="O828" s="1" t="s">
        <v>7</v>
      </c>
      <c r="P828" s="1" t="s">
        <v>49</v>
      </c>
      <c r="Q828" s="1" t="s">
        <v>11</v>
      </c>
      <c r="R828" s="1" t="s">
        <v>27</v>
      </c>
      <c r="S828" t="s">
        <v>28</v>
      </c>
      <c r="T828" s="1">
        <v>2017</v>
      </c>
      <c r="U828" s="1">
        <v>8</v>
      </c>
      <c r="V828" s="50">
        <v>42948</v>
      </c>
      <c r="W828" s="4">
        <v>3270.0799999999995</v>
      </c>
      <c r="X828" s="48">
        <v>3716</v>
      </c>
    </row>
    <row r="829" spans="2:24" x14ac:dyDescent="0.35">
      <c r="B829" s="8" t="s">
        <v>12</v>
      </c>
      <c r="C829" s="8" t="s">
        <v>34</v>
      </c>
      <c r="D829" s="8" t="s">
        <v>35</v>
      </c>
      <c r="E829" s="8" t="s">
        <v>27</v>
      </c>
      <c r="F829" s="8" t="s">
        <v>31</v>
      </c>
      <c r="G829" s="8">
        <v>2017</v>
      </c>
      <c r="H829" s="8">
        <v>8</v>
      </c>
      <c r="I829" s="10">
        <v>42948</v>
      </c>
      <c r="J829" s="11">
        <v>4813</v>
      </c>
      <c r="K829" s="51"/>
      <c r="O829" s="1" t="s">
        <v>12</v>
      </c>
      <c r="P829" s="1" t="s">
        <v>34</v>
      </c>
      <c r="Q829" s="1" t="s">
        <v>35</v>
      </c>
      <c r="R829" s="1" t="s">
        <v>27</v>
      </c>
      <c r="S829" s="1" t="s">
        <v>31</v>
      </c>
      <c r="T829" s="1">
        <v>2017</v>
      </c>
      <c r="U829" s="1">
        <v>8</v>
      </c>
      <c r="V829" s="50">
        <v>42948</v>
      </c>
      <c r="W829" s="4">
        <v>4283.57</v>
      </c>
      <c r="X829" s="48">
        <v>4813</v>
      </c>
    </row>
    <row r="830" spans="2:24" x14ac:dyDescent="0.35">
      <c r="B830" s="8" t="s">
        <v>12</v>
      </c>
      <c r="C830" s="8" t="s">
        <v>34</v>
      </c>
      <c r="D830" s="8" t="s">
        <v>35</v>
      </c>
      <c r="E830" s="8" t="s">
        <v>27</v>
      </c>
      <c r="F830" s="8" t="s">
        <v>33</v>
      </c>
      <c r="G830" s="8">
        <v>2017</v>
      </c>
      <c r="H830" s="8">
        <v>8</v>
      </c>
      <c r="I830" s="10">
        <v>42948</v>
      </c>
      <c r="J830" s="11">
        <v>2872</v>
      </c>
      <c r="K830" s="51"/>
      <c r="O830" s="1" t="s">
        <v>12</v>
      </c>
      <c r="P830" s="1" t="s">
        <v>34</v>
      </c>
      <c r="Q830" s="1" t="s">
        <v>35</v>
      </c>
      <c r="R830" s="1" t="s">
        <v>27</v>
      </c>
      <c r="S830" s="1" t="s">
        <v>33</v>
      </c>
      <c r="T830" s="1">
        <v>2017</v>
      </c>
      <c r="U830" s="1">
        <v>8</v>
      </c>
      <c r="V830" s="50">
        <v>42948</v>
      </c>
      <c r="W830" s="4">
        <v>2556.08</v>
      </c>
      <c r="X830" s="48">
        <v>2872</v>
      </c>
    </row>
    <row r="831" spans="2:24" x14ac:dyDescent="0.35">
      <c r="B831" s="8" t="s">
        <v>14</v>
      </c>
      <c r="C831" s="8" t="s">
        <v>37</v>
      </c>
      <c r="D831" s="8" t="s">
        <v>38</v>
      </c>
      <c r="E831" s="8" t="s">
        <v>23</v>
      </c>
      <c r="F831" s="8" t="s">
        <v>36</v>
      </c>
      <c r="G831" s="8">
        <v>2017</v>
      </c>
      <c r="H831" s="8">
        <v>8</v>
      </c>
      <c r="I831" s="10">
        <v>42948</v>
      </c>
      <c r="J831" s="11">
        <v>2271</v>
      </c>
      <c r="K831" s="51"/>
      <c r="O831" s="1" t="s">
        <v>14</v>
      </c>
      <c r="P831" s="1" t="s">
        <v>37</v>
      </c>
      <c r="Q831" s="1" t="s">
        <v>38</v>
      </c>
      <c r="R831" s="1" t="s">
        <v>23</v>
      </c>
      <c r="S831" s="1" t="s">
        <v>36</v>
      </c>
      <c r="T831" s="1">
        <v>2017</v>
      </c>
      <c r="U831" s="1">
        <v>8</v>
      </c>
      <c r="V831" s="50">
        <v>42948</v>
      </c>
      <c r="W831" s="4">
        <v>1953.0600000000002</v>
      </c>
      <c r="X831" s="48">
        <v>2271</v>
      </c>
    </row>
    <row r="832" spans="2:24" x14ac:dyDescent="0.35">
      <c r="B832" s="8" t="s">
        <v>12</v>
      </c>
      <c r="C832" s="8" t="s">
        <v>44</v>
      </c>
      <c r="D832" s="8" t="s">
        <v>13</v>
      </c>
      <c r="E832" s="8" t="s">
        <v>23</v>
      </c>
      <c r="F832" s="6" t="s">
        <v>39</v>
      </c>
      <c r="G832" s="8">
        <v>2017</v>
      </c>
      <c r="H832" s="8">
        <v>8</v>
      </c>
      <c r="I832" s="10">
        <v>42948</v>
      </c>
      <c r="J832" s="11">
        <v>2446</v>
      </c>
      <c r="K832" s="51"/>
      <c r="O832" s="1" t="s">
        <v>12</v>
      </c>
      <c r="P832" s="1" t="s">
        <v>44</v>
      </c>
      <c r="Q832" s="1" t="s">
        <v>13</v>
      </c>
      <c r="R832" s="1" t="s">
        <v>23</v>
      </c>
      <c r="S832" t="s">
        <v>39</v>
      </c>
      <c r="T832" s="1">
        <v>2017</v>
      </c>
      <c r="U832" s="1">
        <v>8</v>
      </c>
      <c r="V832" s="50">
        <v>42948</v>
      </c>
      <c r="W832" s="4">
        <v>2152.4799999999996</v>
      </c>
      <c r="X832" s="48">
        <v>2446</v>
      </c>
    </row>
    <row r="833" spans="2:24" x14ac:dyDescent="0.35">
      <c r="B833" s="8" t="s">
        <v>12</v>
      </c>
      <c r="C833" s="8" t="s">
        <v>44</v>
      </c>
      <c r="D833" s="8" t="s">
        <v>13</v>
      </c>
      <c r="E833" s="8" t="s">
        <v>0</v>
      </c>
      <c r="F833" s="6" t="s">
        <v>42</v>
      </c>
      <c r="G833" s="8">
        <v>2017</v>
      </c>
      <c r="H833" s="8">
        <v>8</v>
      </c>
      <c r="I833" s="10">
        <v>42948</v>
      </c>
      <c r="J833" s="11">
        <v>5353</v>
      </c>
      <c r="K833" s="51"/>
      <c r="O833" s="1" t="s">
        <v>12</v>
      </c>
      <c r="P833" s="1" t="s">
        <v>44</v>
      </c>
      <c r="Q833" s="1" t="s">
        <v>13</v>
      </c>
      <c r="R833" s="1" t="s">
        <v>0</v>
      </c>
      <c r="S833" t="s">
        <v>42</v>
      </c>
      <c r="T833" s="1">
        <v>2017</v>
      </c>
      <c r="U833" s="1">
        <v>8</v>
      </c>
      <c r="V833" s="50">
        <v>42948</v>
      </c>
      <c r="W833" s="4">
        <v>4978.29</v>
      </c>
      <c r="X833" s="48">
        <v>5353</v>
      </c>
    </row>
    <row r="834" spans="2:24" x14ac:dyDescent="0.35">
      <c r="B834" s="8" t="s">
        <v>14</v>
      </c>
      <c r="C834" s="8" t="s">
        <v>46</v>
      </c>
      <c r="D834" s="8" t="s">
        <v>47</v>
      </c>
      <c r="E834" s="8" t="s">
        <v>0</v>
      </c>
      <c r="F834" s="6" t="s">
        <v>26</v>
      </c>
      <c r="G834" s="8">
        <v>2017</v>
      </c>
      <c r="H834" s="8">
        <v>8</v>
      </c>
      <c r="I834" s="10">
        <v>42948</v>
      </c>
      <c r="J834" s="11">
        <v>4637</v>
      </c>
      <c r="K834" s="51"/>
      <c r="O834" s="1" t="s">
        <v>14</v>
      </c>
      <c r="P834" s="1" t="s">
        <v>46</v>
      </c>
      <c r="Q834" s="1" t="s">
        <v>47</v>
      </c>
      <c r="R834" s="1" t="s">
        <v>0</v>
      </c>
      <c r="S834" t="s">
        <v>26</v>
      </c>
      <c r="T834" s="1">
        <v>2017</v>
      </c>
      <c r="U834" s="1">
        <v>8</v>
      </c>
      <c r="V834" s="50">
        <v>42948</v>
      </c>
      <c r="W834" s="4">
        <v>4312.41</v>
      </c>
      <c r="X834" s="48">
        <v>4637</v>
      </c>
    </row>
    <row r="835" spans="2:24" x14ac:dyDescent="0.35">
      <c r="B835" s="8" t="s">
        <v>14</v>
      </c>
      <c r="C835" s="8" t="s">
        <v>46</v>
      </c>
      <c r="D835" s="8" t="s">
        <v>47</v>
      </c>
      <c r="E835" s="9" t="s">
        <v>0</v>
      </c>
      <c r="F835" s="9" t="s">
        <v>45</v>
      </c>
      <c r="G835" s="8">
        <v>2017</v>
      </c>
      <c r="H835" s="8">
        <v>8</v>
      </c>
      <c r="I835" s="10">
        <v>42948</v>
      </c>
      <c r="J835" s="11">
        <v>4069</v>
      </c>
      <c r="K835" s="51"/>
      <c r="O835" s="1" t="s">
        <v>14</v>
      </c>
      <c r="P835" s="1" t="s">
        <v>46</v>
      </c>
      <c r="Q835" s="1" t="s">
        <v>47</v>
      </c>
      <c r="R835" s="2" t="s">
        <v>0</v>
      </c>
      <c r="S835" s="2" t="s">
        <v>45</v>
      </c>
      <c r="T835" s="1">
        <v>2017</v>
      </c>
      <c r="U835" s="1">
        <v>8</v>
      </c>
      <c r="V835" s="50">
        <v>42948</v>
      </c>
      <c r="W835" s="4">
        <v>3458.6500000000005</v>
      </c>
      <c r="X835" s="48">
        <v>4069</v>
      </c>
    </row>
    <row r="836" spans="2:24" x14ac:dyDescent="0.35">
      <c r="B836" s="8" t="s">
        <v>3</v>
      </c>
      <c r="C836" s="8" t="s">
        <v>25</v>
      </c>
      <c r="D836" s="8" t="s">
        <v>4</v>
      </c>
      <c r="E836" s="8" t="s">
        <v>27</v>
      </c>
      <c r="F836" s="9" t="s">
        <v>33</v>
      </c>
      <c r="G836" s="8">
        <v>2017</v>
      </c>
      <c r="H836" s="8">
        <v>8</v>
      </c>
      <c r="I836" s="10">
        <v>42948</v>
      </c>
      <c r="J836" s="11">
        <v>3691</v>
      </c>
      <c r="K836" s="51"/>
      <c r="O836" s="1" t="s">
        <v>3</v>
      </c>
      <c r="P836" s="1" t="s">
        <v>25</v>
      </c>
      <c r="Q836" s="1" t="s">
        <v>4</v>
      </c>
      <c r="R836" s="1" t="s">
        <v>27</v>
      </c>
      <c r="S836" s="2" t="s">
        <v>33</v>
      </c>
      <c r="T836" s="1">
        <v>2017</v>
      </c>
      <c r="U836" s="1">
        <v>8</v>
      </c>
      <c r="V836" s="50">
        <v>42948</v>
      </c>
      <c r="W836" s="4">
        <v>3395.72</v>
      </c>
      <c r="X836" s="48">
        <v>3691</v>
      </c>
    </row>
    <row r="837" spans="2:24" x14ac:dyDescent="0.35">
      <c r="B837" s="8" t="s">
        <v>3</v>
      </c>
      <c r="C837" s="8" t="s">
        <v>25</v>
      </c>
      <c r="D837" s="8" t="s">
        <v>4</v>
      </c>
      <c r="E837" s="8" t="s">
        <v>23</v>
      </c>
      <c r="F837" s="6" t="s">
        <v>36</v>
      </c>
      <c r="G837" s="8">
        <v>2017</v>
      </c>
      <c r="H837" s="8">
        <v>8</v>
      </c>
      <c r="I837" s="10">
        <v>42948</v>
      </c>
      <c r="J837" s="11">
        <v>2109</v>
      </c>
      <c r="K837" s="51"/>
      <c r="O837" s="1" t="s">
        <v>3</v>
      </c>
      <c r="P837" s="1" t="s">
        <v>25</v>
      </c>
      <c r="Q837" s="1" t="s">
        <v>4</v>
      </c>
      <c r="R837" s="1" t="s">
        <v>23</v>
      </c>
      <c r="S837" t="s">
        <v>36</v>
      </c>
      <c r="T837" s="1">
        <v>2017</v>
      </c>
      <c r="U837" s="1">
        <v>8</v>
      </c>
      <c r="V837" s="50">
        <v>42948</v>
      </c>
      <c r="W837" s="4">
        <v>1877.0099999999998</v>
      </c>
      <c r="X837" s="48">
        <v>2109</v>
      </c>
    </row>
    <row r="838" spans="2:24" x14ac:dyDescent="0.35">
      <c r="B838" s="8" t="s">
        <v>6</v>
      </c>
      <c r="C838" s="8" t="s">
        <v>40</v>
      </c>
      <c r="D838" s="8" t="s">
        <v>41</v>
      </c>
      <c r="E838" s="8" t="s">
        <v>23</v>
      </c>
      <c r="F838" s="8" t="s">
        <v>39</v>
      </c>
      <c r="G838" s="8">
        <v>2017</v>
      </c>
      <c r="H838" s="8">
        <v>8</v>
      </c>
      <c r="I838" s="10">
        <v>42948</v>
      </c>
      <c r="J838" s="11">
        <v>2157</v>
      </c>
      <c r="K838" s="51"/>
      <c r="O838" s="1" t="s">
        <v>6</v>
      </c>
      <c r="P838" s="1" t="s">
        <v>40</v>
      </c>
      <c r="Q838" s="1" t="s">
        <v>41</v>
      </c>
      <c r="R838" s="1" t="s">
        <v>23</v>
      </c>
      <c r="S838" s="1" t="s">
        <v>39</v>
      </c>
      <c r="T838" s="1">
        <v>2017</v>
      </c>
      <c r="U838" s="1">
        <v>8</v>
      </c>
      <c r="V838" s="50">
        <v>42948</v>
      </c>
      <c r="W838" s="4">
        <v>1984.4399999999998</v>
      </c>
      <c r="X838" s="48">
        <v>2157</v>
      </c>
    </row>
    <row r="839" spans="2:24" x14ac:dyDescent="0.35">
      <c r="B839" s="8" t="s">
        <v>7</v>
      </c>
      <c r="C839" s="8" t="s">
        <v>48</v>
      </c>
      <c r="D839" s="8" t="s">
        <v>9</v>
      </c>
      <c r="E839" s="8" t="s">
        <v>0</v>
      </c>
      <c r="F839" s="8" t="s">
        <v>45</v>
      </c>
      <c r="G839" s="8">
        <v>2017</v>
      </c>
      <c r="H839" s="8">
        <v>8</v>
      </c>
      <c r="I839" s="10">
        <v>42948</v>
      </c>
      <c r="J839" s="11">
        <v>2496</v>
      </c>
      <c r="K839" s="51"/>
      <c r="O839" s="1" t="s">
        <v>7</v>
      </c>
      <c r="P839" s="1" t="s">
        <v>48</v>
      </c>
      <c r="Q839" s="1" t="s">
        <v>9</v>
      </c>
      <c r="R839" s="1" t="s">
        <v>0</v>
      </c>
      <c r="S839" s="1" t="s">
        <v>45</v>
      </c>
      <c r="T839" s="1">
        <v>2017</v>
      </c>
      <c r="U839" s="1">
        <v>8</v>
      </c>
      <c r="V839" s="50">
        <v>42948</v>
      </c>
      <c r="W839" s="4">
        <v>2246.3999999999996</v>
      </c>
      <c r="X839" s="48">
        <v>2496</v>
      </c>
    </row>
    <row r="840" spans="2:24" x14ac:dyDescent="0.35">
      <c r="B840" s="8" t="s">
        <v>7</v>
      </c>
      <c r="C840" s="8" t="s">
        <v>49</v>
      </c>
      <c r="D840" s="8" t="s">
        <v>11</v>
      </c>
      <c r="E840" s="8" t="s">
        <v>27</v>
      </c>
      <c r="F840" s="8" t="s">
        <v>31</v>
      </c>
      <c r="G840" s="8">
        <v>2017</v>
      </c>
      <c r="H840" s="8">
        <v>8</v>
      </c>
      <c r="I840" s="10">
        <v>42948</v>
      </c>
      <c r="J840" s="11">
        <v>3174</v>
      </c>
      <c r="K840" s="51"/>
      <c r="O840" s="1" t="s">
        <v>7</v>
      </c>
      <c r="P840" s="1" t="s">
        <v>49</v>
      </c>
      <c r="Q840" s="1" t="s">
        <v>11</v>
      </c>
      <c r="R840" s="1" t="s">
        <v>27</v>
      </c>
      <c r="S840" s="1" t="s">
        <v>31</v>
      </c>
      <c r="T840" s="1">
        <v>2017</v>
      </c>
      <c r="U840" s="1">
        <v>8</v>
      </c>
      <c r="V840" s="50">
        <v>42948</v>
      </c>
      <c r="W840" s="4">
        <v>2793.12</v>
      </c>
      <c r="X840" s="48">
        <v>3174</v>
      </c>
    </row>
    <row r="841" spans="2:24" x14ac:dyDescent="0.35">
      <c r="B841" s="8" t="s">
        <v>7</v>
      </c>
      <c r="C841" s="8" t="s">
        <v>43</v>
      </c>
      <c r="D841" s="8" t="s">
        <v>10</v>
      </c>
      <c r="E841" s="8" t="s">
        <v>27</v>
      </c>
      <c r="F841" s="6" t="s">
        <v>33</v>
      </c>
      <c r="G841" s="8">
        <v>2017</v>
      </c>
      <c r="H841" s="8">
        <v>8</v>
      </c>
      <c r="I841" s="10">
        <v>42948</v>
      </c>
      <c r="J841" s="11">
        <v>2821</v>
      </c>
      <c r="K841" s="51"/>
      <c r="O841" s="1" t="s">
        <v>7</v>
      </c>
      <c r="P841" s="1" t="s">
        <v>43</v>
      </c>
      <c r="Q841" s="1" t="s">
        <v>10</v>
      </c>
      <c r="R841" s="1" t="s">
        <v>27</v>
      </c>
      <c r="S841" t="s">
        <v>33</v>
      </c>
      <c r="T841" s="1">
        <v>2017</v>
      </c>
      <c r="U841" s="1">
        <v>8</v>
      </c>
      <c r="V841" s="50">
        <v>42948</v>
      </c>
      <c r="W841" s="4">
        <v>2595.3199999999997</v>
      </c>
      <c r="X841" s="48">
        <v>2821</v>
      </c>
    </row>
    <row r="842" spans="2:24" x14ac:dyDescent="0.35">
      <c r="B842" s="8" t="s">
        <v>7</v>
      </c>
      <c r="C842" s="8" t="s">
        <v>32</v>
      </c>
      <c r="D842" s="8" t="s">
        <v>8</v>
      </c>
      <c r="E842" s="8" t="s">
        <v>0</v>
      </c>
      <c r="F842" s="6" t="s">
        <v>45</v>
      </c>
      <c r="G842" s="8">
        <v>2017</v>
      </c>
      <c r="H842" s="8">
        <v>8</v>
      </c>
      <c r="I842" s="10">
        <v>42948</v>
      </c>
      <c r="J842" s="11">
        <v>4826</v>
      </c>
      <c r="K842" s="51"/>
      <c r="O842" s="1" t="s">
        <v>7</v>
      </c>
      <c r="P842" s="1" t="s">
        <v>32</v>
      </c>
      <c r="Q842" s="1" t="s">
        <v>8</v>
      </c>
      <c r="R842" s="1" t="s">
        <v>0</v>
      </c>
      <c r="S842" t="s">
        <v>45</v>
      </c>
      <c r="T842" s="1">
        <v>2017</v>
      </c>
      <c r="U842" s="1">
        <v>8</v>
      </c>
      <c r="V842" s="50">
        <v>42948</v>
      </c>
      <c r="W842" s="4">
        <v>4343.3999999999996</v>
      </c>
      <c r="X842" s="48">
        <v>4826</v>
      </c>
    </row>
    <row r="843" spans="2:24" x14ac:dyDescent="0.35">
      <c r="B843" s="8" t="s">
        <v>7</v>
      </c>
      <c r="C843" s="8" t="s">
        <v>48</v>
      </c>
      <c r="D843" s="8" t="s">
        <v>9</v>
      </c>
      <c r="E843" s="8" t="s">
        <v>23</v>
      </c>
      <c r="F843" s="6" t="s">
        <v>39</v>
      </c>
      <c r="G843" s="8">
        <v>2017</v>
      </c>
      <c r="H843" s="8">
        <v>8</v>
      </c>
      <c r="I843" s="10">
        <v>42948</v>
      </c>
      <c r="J843" s="11">
        <v>2432</v>
      </c>
      <c r="K843" s="51"/>
      <c r="O843" s="1" t="s">
        <v>7</v>
      </c>
      <c r="P843" s="1" t="s">
        <v>48</v>
      </c>
      <c r="Q843" s="1" t="s">
        <v>9</v>
      </c>
      <c r="R843" s="1" t="s">
        <v>23</v>
      </c>
      <c r="S843" t="s">
        <v>39</v>
      </c>
      <c r="T843" s="1">
        <v>2017</v>
      </c>
      <c r="U843" s="1">
        <v>8</v>
      </c>
      <c r="V843" s="50">
        <v>42948</v>
      </c>
      <c r="W843" s="4">
        <v>2237.4399999999996</v>
      </c>
      <c r="X843" s="48">
        <v>2432</v>
      </c>
    </row>
    <row r="844" spans="2:24" x14ac:dyDescent="0.35">
      <c r="B844" s="8" t="s">
        <v>7</v>
      </c>
      <c r="C844" s="8" t="s">
        <v>49</v>
      </c>
      <c r="D844" s="8" t="s">
        <v>11</v>
      </c>
      <c r="E844" s="9" t="s">
        <v>0</v>
      </c>
      <c r="F844" s="9" t="s">
        <v>26</v>
      </c>
      <c r="G844" s="8">
        <v>2017</v>
      </c>
      <c r="H844" s="8">
        <v>8</v>
      </c>
      <c r="I844" s="10">
        <v>42948</v>
      </c>
      <c r="J844" s="11">
        <v>5168</v>
      </c>
      <c r="K844" s="51"/>
      <c r="O844" s="1" t="s">
        <v>7</v>
      </c>
      <c r="P844" s="1" t="s">
        <v>49</v>
      </c>
      <c r="Q844" s="1" t="s">
        <v>11</v>
      </c>
      <c r="R844" s="2" t="s">
        <v>0</v>
      </c>
      <c r="S844" s="2" t="s">
        <v>26</v>
      </c>
      <c r="T844" s="1">
        <v>2017</v>
      </c>
      <c r="U844" s="1">
        <v>8</v>
      </c>
      <c r="V844" s="50">
        <v>42948</v>
      </c>
      <c r="W844" s="4">
        <v>4857.92</v>
      </c>
      <c r="X844" s="48">
        <v>5168</v>
      </c>
    </row>
    <row r="845" spans="2:24" x14ac:dyDescent="0.35">
      <c r="B845" s="8" t="s">
        <v>12</v>
      </c>
      <c r="C845" s="8" t="s">
        <v>34</v>
      </c>
      <c r="D845" s="8" t="s">
        <v>35</v>
      </c>
      <c r="E845" s="8" t="s">
        <v>27</v>
      </c>
      <c r="F845" s="9" t="s">
        <v>28</v>
      </c>
      <c r="G845" s="8">
        <v>2017</v>
      </c>
      <c r="H845" s="8">
        <v>8</v>
      </c>
      <c r="I845" s="10">
        <v>42948</v>
      </c>
      <c r="J845" s="11">
        <v>4602</v>
      </c>
      <c r="K845" s="51"/>
      <c r="O845" s="1" t="s">
        <v>12</v>
      </c>
      <c r="P845" s="1" t="s">
        <v>34</v>
      </c>
      <c r="Q845" s="1" t="s">
        <v>35</v>
      </c>
      <c r="R845" s="1" t="s">
        <v>27</v>
      </c>
      <c r="S845" s="2" t="s">
        <v>28</v>
      </c>
      <c r="T845" s="1">
        <v>2017</v>
      </c>
      <c r="U845" s="1">
        <v>8</v>
      </c>
      <c r="V845" s="50">
        <v>42948</v>
      </c>
      <c r="W845" s="4">
        <v>4049.7599999999993</v>
      </c>
      <c r="X845" s="48">
        <v>4602</v>
      </c>
    </row>
    <row r="846" spans="2:24" x14ac:dyDescent="0.35">
      <c r="B846" s="8" t="s">
        <v>14</v>
      </c>
      <c r="C846" s="8" t="s">
        <v>37</v>
      </c>
      <c r="D846" s="8" t="s">
        <v>38</v>
      </c>
      <c r="E846" s="8" t="s">
        <v>27</v>
      </c>
      <c r="F846" s="6" t="s">
        <v>33</v>
      </c>
      <c r="G846" s="8">
        <v>2017</v>
      </c>
      <c r="H846" s="8">
        <v>8</v>
      </c>
      <c r="I846" s="10">
        <v>42948</v>
      </c>
      <c r="J846" s="11">
        <v>3538</v>
      </c>
      <c r="K846" s="51"/>
      <c r="O846" s="1" t="s">
        <v>14</v>
      </c>
      <c r="P846" s="1" t="s">
        <v>37</v>
      </c>
      <c r="Q846" s="1" t="s">
        <v>38</v>
      </c>
      <c r="R846" s="1" t="s">
        <v>27</v>
      </c>
      <c r="S846" t="s">
        <v>33</v>
      </c>
      <c r="T846" s="1">
        <v>2017</v>
      </c>
      <c r="U846" s="1">
        <v>8</v>
      </c>
      <c r="V846" s="50">
        <v>42948</v>
      </c>
      <c r="W846" s="4">
        <v>3254.9599999999996</v>
      </c>
      <c r="X846" s="48">
        <v>3538</v>
      </c>
    </row>
    <row r="847" spans="2:24" x14ac:dyDescent="0.35">
      <c r="B847" s="8" t="s">
        <v>12</v>
      </c>
      <c r="C847" s="8" t="s">
        <v>44</v>
      </c>
      <c r="D847" s="8" t="s">
        <v>13</v>
      </c>
      <c r="E847" s="8" t="s">
        <v>23</v>
      </c>
      <c r="F847" s="8" t="s">
        <v>24</v>
      </c>
      <c r="G847" s="8">
        <v>2017</v>
      </c>
      <c r="H847" s="8">
        <v>8</v>
      </c>
      <c r="I847" s="10">
        <v>42948</v>
      </c>
      <c r="J847" s="11">
        <v>1763</v>
      </c>
      <c r="K847" s="51"/>
      <c r="O847" s="1" t="s">
        <v>12</v>
      </c>
      <c r="P847" s="1" t="s">
        <v>44</v>
      </c>
      <c r="Q847" s="1" t="s">
        <v>13</v>
      </c>
      <c r="R847" s="1" t="s">
        <v>23</v>
      </c>
      <c r="S847" s="1" t="s">
        <v>24</v>
      </c>
      <c r="T847" s="1">
        <v>2017</v>
      </c>
      <c r="U847" s="1">
        <v>8</v>
      </c>
      <c r="V847" s="50">
        <v>42948</v>
      </c>
      <c r="W847" s="4">
        <v>1551.4399999999998</v>
      </c>
      <c r="X847" s="48">
        <v>1763</v>
      </c>
    </row>
    <row r="848" spans="2:24" x14ac:dyDescent="0.35">
      <c r="B848" s="8" t="s">
        <v>14</v>
      </c>
      <c r="C848" s="8" t="s">
        <v>46</v>
      </c>
      <c r="D848" s="8" t="s">
        <v>47</v>
      </c>
      <c r="E848" s="8" t="s">
        <v>0</v>
      </c>
      <c r="F848" s="8" t="s">
        <v>42</v>
      </c>
      <c r="G848" s="8">
        <v>2017</v>
      </c>
      <c r="H848" s="8">
        <v>8</v>
      </c>
      <c r="I848" s="10">
        <v>42948</v>
      </c>
      <c r="J848" s="11">
        <v>4156</v>
      </c>
      <c r="K848" s="51"/>
      <c r="O848" s="1" t="s">
        <v>14</v>
      </c>
      <c r="P848" s="1" t="s">
        <v>46</v>
      </c>
      <c r="Q848" s="1" t="s">
        <v>47</v>
      </c>
      <c r="R848" s="1" t="s">
        <v>0</v>
      </c>
      <c r="S848" s="1" t="s">
        <v>42</v>
      </c>
      <c r="T848" s="1">
        <v>2017</v>
      </c>
      <c r="U848" s="1">
        <v>8</v>
      </c>
      <c r="V848" s="50">
        <v>42948</v>
      </c>
      <c r="W848" s="4">
        <v>3698.8399999999997</v>
      </c>
      <c r="X848" s="48">
        <v>4156</v>
      </c>
    </row>
    <row r="849" spans="2:24" x14ac:dyDescent="0.35">
      <c r="B849" s="8" t="s">
        <v>7</v>
      </c>
      <c r="C849" s="8" t="s">
        <v>48</v>
      </c>
      <c r="D849" s="8" t="s">
        <v>9</v>
      </c>
      <c r="E849" s="8" t="s">
        <v>27</v>
      </c>
      <c r="F849" s="8" t="s">
        <v>33</v>
      </c>
      <c r="G849" s="8">
        <v>2017</v>
      </c>
      <c r="H849" s="8">
        <v>8</v>
      </c>
      <c r="I849" s="10">
        <v>42948</v>
      </c>
      <c r="J849" s="11">
        <v>4067</v>
      </c>
      <c r="K849" s="51"/>
      <c r="O849" s="1" t="s">
        <v>7</v>
      </c>
      <c r="P849" s="1" t="s">
        <v>48</v>
      </c>
      <c r="Q849" s="1" t="s">
        <v>9</v>
      </c>
      <c r="R849" s="1" t="s">
        <v>27</v>
      </c>
      <c r="S849" s="1" t="s">
        <v>33</v>
      </c>
      <c r="T849" s="1">
        <v>2017</v>
      </c>
      <c r="U849" s="1">
        <v>8</v>
      </c>
      <c r="V849" s="50">
        <v>42948</v>
      </c>
      <c r="W849" s="4">
        <v>3822.9799999999996</v>
      </c>
      <c r="X849" s="48">
        <v>4067</v>
      </c>
    </row>
    <row r="850" spans="2:24" x14ac:dyDescent="0.35">
      <c r="B850" s="8" t="s">
        <v>7</v>
      </c>
      <c r="C850" s="8" t="s">
        <v>49</v>
      </c>
      <c r="D850" s="8" t="s">
        <v>11</v>
      </c>
      <c r="E850" s="8" t="s">
        <v>23</v>
      </c>
      <c r="F850" s="6" t="s">
        <v>24</v>
      </c>
      <c r="G850" s="8">
        <v>2017</v>
      </c>
      <c r="H850" s="8">
        <v>8</v>
      </c>
      <c r="I850" s="10">
        <v>42948</v>
      </c>
      <c r="J850" s="11">
        <v>1522</v>
      </c>
      <c r="K850" s="51"/>
      <c r="O850" s="1" t="s">
        <v>7</v>
      </c>
      <c r="P850" s="1" t="s">
        <v>49</v>
      </c>
      <c r="Q850" s="1" t="s">
        <v>11</v>
      </c>
      <c r="R850" s="1" t="s">
        <v>23</v>
      </c>
      <c r="S850" t="s">
        <v>24</v>
      </c>
      <c r="T850" s="1">
        <v>2017</v>
      </c>
      <c r="U850" s="1">
        <v>8</v>
      </c>
      <c r="V850" s="50">
        <v>42948</v>
      </c>
      <c r="W850" s="4">
        <v>1369.8</v>
      </c>
      <c r="X850" s="48">
        <v>1522</v>
      </c>
    </row>
    <row r="851" spans="2:24" x14ac:dyDescent="0.35">
      <c r="B851" s="8" t="s">
        <v>3</v>
      </c>
      <c r="C851" s="8" t="s">
        <v>22</v>
      </c>
      <c r="D851" s="8" t="s">
        <v>5</v>
      </c>
      <c r="E851" s="8" t="s">
        <v>23</v>
      </c>
      <c r="F851" s="6" t="s">
        <v>24</v>
      </c>
      <c r="G851" s="8">
        <v>2017</v>
      </c>
      <c r="H851" s="8">
        <v>9</v>
      </c>
      <c r="I851" s="10">
        <v>42979</v>
      </c>
      <c r="J851" s="11">
        <v>2629</v>
      </c>
      <c r="K851" s="51"/>
      <c r="O851" s="1" t="s">
        <v>3</v>
      </c>
      <c r="P851" s="1" t="s">
        <v>22</v>
      </c>
      <c r="Q851" s="1" t="s">
        <v>5</v>
      </c>
      <c r="R851" s="1" t="s">
        <v>23</v>
      </c>
      <c r="S851" t="s">
        <v>24</v>
      </c>
      <c r="T851" s="1">
        <v>2017</v>
      </c>
      <c r="U851" s="1">
        <v>9</v>
      </c>
      <c r="V851" s="50">
        <v>42979</v>
      </c>
      <c r="W851" s="4">
        <v>2471.2599999999998</v>
      </c>
      <c r="X851" s="48">
        <v>2629</v>
      </c>
    </row>
    <row r="852" spans="2:24" x14ac:dyDescent="0.35">
      <c r="B852" s="8" t="s">
        <v>3</v>
      </c>
      <c r="C852" s="8" t="s">
        <v>25</v>
      </c>
      <c r="D852" s="8" t="s">
        <v>4</v>
      </c>
      <c r="E852" s="8" t="s">
        <v>23</v>
      </c>
      <c r="F852" s="6" t="s">
        <v>24</v>
      </c>
      <c r="G852" s="8">
        <v>2017</v>
      </c>
      <c r="H852" s="8">
        <v>9</v>
      </c>
      <c r="I852" s="10">
        <v>42979</v>
      </c>
      <c r="J852" s="11">
        <v>2465</v>
      </c>
      <c r="K852" s="51"/>
      <c r="O852" s="1" t="s">
        <v>3</v>
      </c>
      <c r="P852" s="1" t="s">
        <v>25</v>
      </c>
      <c r="Q852" s="1" t="s">
        <v>4</v>
      </c>
      <c r="R852" s="1" t="s">
        <v>23</v>
      </c>
      <c r="S852" t="s">
        <v>24</v>
      </c>
      <c r="T852" s="1">
        <v>2017</v>
      </c>
      <c r="U852" s="1">
        <v>9</v>
      </c>
      <c r="V852" s="50">
        <v>42979</v>
      </c>
      <c r="W852" s="4">
        <v>2317.1</v>
      </c>
      <c r="X852" s="48">
        <v>2465</v>
      </c>
    </row>
    <row r="853" spans="2:24" x14ac:dyDescent="0.35">
      <c r="B853" s="8" t="s">
        <v>3</v>
      </c>
      <c r="C853" s="8" t="s">
        <v>25</v>
      </c>
      <c r="D853" s="8" t="s">
        <v>4</v>
      </c>
      <c r="E853" s="9" t="s">
        <v>0</v>
      </c>
      <c r="F853" s="9" t="s">
        <v>26</v>
      </c>
      <c r="G853" s="8">
        <v>2017</v>
      </c>
      <c r="H853" s="8">
        <v>9</v>
      </c>
      <c r="I853" s="10">
        <v>42979</v>
      </c>
      <c r="J853" s="11">
        <v>3826</v>
      </c>
      <c r="K853" s="51"/>
      <c r="O853" s="1" t="s">
        <v>3</v>
      </c>
      <c r="P853" s="1" t="s">
        <v>25</v>
      </c>
      <c r="Q853" s="1" t="s">
        <v>4</v>
      </c>
      <c r="R853" s="2" t="s">
        <v>0</v>
      </c>
      <c r="S853" s="2" t="s">
        <v>26</v>
      </c>
      <c r="T853" s="1">
        <v>2017</v>
      </c>
      <c r="U853" s="1">
        <v>9</v>
      </c>
      <c r="V853" s="50">
        <v>42979</v>
      </c>
      <c r="W853" s="4">
        <v>3405.1399999999994</v>
      </c>
      <c r="X853" s="48">
        <v>3826</v>
      </c>
    </row>
    <row r="854" spans="2:24" x14ac:dyDescent="0.35">
      <c r="B854" s="8" t="s">
        <v>3</v>
      </c>
      <c r="C854" s="8" t="s">
        <v>22</v>
      </c>
      <c r="D854" s="8" t="s">
        <v>5</v>
      </c>
      <c r="E854" s="8" t="s">
        <v>0</v>
      </c>
      <c r="F854" s="9" t="s">
        <v>26</v>
      </c>
      <c r="G854" s="8">
        <v>2017</v>
      </c>
      <c r="H854" s="8">
        <v>9</v>
      </c>
      <c r="I854" s="10">
        <v>42979</v>
      </c>
      <c r="J854" s="11">
        <v>4874</v>
      </c>
      <c r="K854" s="51"/>
      <c r="O854" s="1" t="s">
        <v>3</v>
      </c>
      <c r="P854" s="1" t="s">
        <v>22</v>
      </c>
      <c r="Q854" s="1" t="s">
        <v>5</v>
      </c>
      <c r="R854" s="1" t="s">
        <v>0</v>
      </c>
      <c r="S854" s="2" t="s">
        <v>26</v>
      </c>
      <c r="T854" s="1">
        <v>2017</v>
      </c>
      <c r="U854" s="1">
        <v>9</v>
      </c>
      <c r="V854" s="50">
        <v>42979</v>
      </c>
      <c r="W854" s="4">
        <v>4337.8599999999997</v>
      </c>
      <c r="X854" s="48">
        <v>4874</v>
      </c>
    </row>
    <row r="855" spans="2:24" x14ac:dyDescent="0.35">
      <c r="B855" s="8" t="s">
        <v>3</v>
      </c>
      <c r="C855" s="8" t="s">
        <v>22</v>
      </c>
      <c r="D855" s="8" t="s">
        <v>5</v>
      </c>
      <c r="E855" s="8" t="s">
        <v>27</v>
      </c>
      <c r="F855" s="6" t="s">
        <v>28</v>
      </c>
      <c r="G855" s="8">
        <v>2017</v>
      </c>
      <c r="H855" s="8">
        <v>9</v>
      </c>
      <c r="I855" s="10">
        <v>42979</v>
      </c>
      <c r="J855" s="11">
        <v>3752</v>
      </c>
      <c r="K855" s="51"/>
      <c r="O855" s="1" t="s">
        <v>3</v>
      </c>
      <c r="P855" s="1" t="s">
        <v>22</v>
      </c>
      <c r="Q855" s="1" t="s">
        <v>5</v>
      </c>
      <c r="R855" s="1" t="s">
        <v>27</v>
      </c>
      <c r="S855" t="s">
        <v>28</v>
      </c>
      <c r="T855" s="1">
        <v>2017</v>
      </c>
      <c r="U855" s="1">
        <v>9</v>
      </c>
      <c r="V855" s="50">
        <v>42979</v>
      </c>
      <c r="W855" s="4">
        <v>3189.2000000000003</v>
      </c>
      <c r="X855" s="48">
        <v>3752</v>
      </c>
    </row>
    <row r="856" spans="2:24" x14ac:dyDescent="0.35">
      <c r="B856" s="8" t="s">
        <v>6</v>
      </c>
      <c r="C856" s="8" t="s">
        <v>29</v>
      </c>
      <c r="D856" s="8" t="s">
        <v>30</v>
      </c>
      <c r="E856" s="8" t="s">
        <v>27</v>
      </c>
      <c r="F856" s="8" t="s">
        <v>31</v>
      </c>
      <c r="G856" s="8">
        <v>2017</v>
      </c>
      <c r="H856" s="8">
        <v>9</v>
      </c>
      <c r="I856" s="10">
        <v>42979</v>
      </c>
      <c r="J856" s="11">
        <v>3787</v>
      </c>
      <c r="K856" s="51"/>
      <c r="O856" s="1" t="s">
        <v>6</v>
      </c>
      <c r="P856" s="1" t="s">
        <v>29</v>
      </c>
      <c r="Q856" s="1" t="s">
        <v>30</v>
      </c>
      <c r="R856" s="1" t="s">
        <v>27</v>
      </c>
      <c r="S856" s="1" t="s">
        <v>31</v>
      </c>
      <c r="T856" s="1">
        <v>2017</v>
      </c>
      <c r="U856" s="1">
        <v>9</v>
      </c>
      <c r="V856" s="50">
        <v>42979</v>
      </c>
      <c r="W856" s="4">
        <v>3218.9500000000003</v>
      </c>
      <c r="X856" s="48">
        <v>3787</v>
      </c>
    </row>
    <row r="857" spans="2:24" x14ac:dyDescent="0.35">
      <c r="B857" s="8" t="s">
        <v>7</v>
      </c>
      <c r="C857" s="8" t="s">
        <v>32</v>
      </c>
      <c r="D857" s="8" t="s">
        <v>8</v>
      </c>
      <c r="E857" s="8" t="s">
        <v>27</v>
      </c>
      <c r="F857" s="8" t="s">
        <v>33</v>
      </c>
      <c r="G857" s="8">
        <v>2017</v>
      </c>
      <c r="H857" s="8">
        <v>9</v>
      </c>
      <c r="I857" s="10">
        <v>42979</v>
      </c>
      <c r="J857" s="11">
        <v>3138</v>
      </c>
      <c r="K857" s="51"/>
      <c r="O857" s="1" t="s">
        <v>7</v>
      </c>
      <c r="P857" s="1" t="s">
        <v>32</v>
      </c>
      <c r="Q857" s="1" t="s">
        <v>8</v>
      </c>
      <c r="R857" s="1" t="s">
        <v>27</v>
      </c>
      <c r="S857" s="1" t="s">
        <v>33</v>
      </c>
      <c r="T857" s="1">
        <v>2017</v>
      </c>
      <c r="U857" s="1">
        <v>9</v>
      </c>
      <c r="V857" s="50">
        <v>42979</v>
      </c>
      <c r="W857" s="4">
        <v>2949.72</v>
      </c>
      <c r="X857" s="48">
        <v>3138</v>
      </c>
    </row>
    <row r="858" spans="2:24" x14ac:dyDescent="0.35">
      <c r="B858" s="8" t="s">
        <v>12</v>
      </c>
      <c r="C858" s="8" t="s">
        <v>34</v>
      </c>
      <c r="D858" s="8" t="s">
        <v>35</v>
      </c>
      <c r="E858" s="8" t="s">
        <v>23</v>
      </c>
      <c r="F858" s="8" t="s">
        <v>36</v>
      </c>
      <c r="G858" s="8">
        <v>2017</v>
      </c>
      <c r="H858" s="8">
        <v>9</v>
      </c>
      <c r="I858" s="10">
        <v>42979</v>
      </c>
      <c r="J858" s="11">
        <v>2018</v>
      </c>
      <c r="K858" s="51"/>
      <c r="O858" s="1" t="s">
        <v>12</v>
      </c>
      <c r="P858" s="1" t="s">
        <v>34</v>
      </c>
      <c r="Q858" s="1" t="s">
        <v>35</v>
      </c>
      <c r="R858" s="1" t="s">
        <v>23</v>
      </c>
      <c r="S858" s="1" t="s">
        <v>36</v>
      </c>
      <c r="T858" s="1">
        <v>2017</v>
      </c>
      <c r="U858" s="1">
        <v>9</v>
      </c>
      <c r="V858" s="50">
        <v>42979</v>
      </c>
      <c r="W858" s="4">
        <v>1836.3799999999999</v>
      </c>
      <c r="X858" s="48">
        <v>2018</v>
      </c>
    </row>
    <row r="859" spans="2:24" x14ac:dyDescent="0.35">
      <c r="B859" s="8" t="s">
        <v>14</v>
      </c>
      <c r="C859" s="8" t="s">
        <v>37</v>
      </c>
      <c r="D859" s="8" t="s">
        <v>38</v>
      </c>
      <c r="E859" s="8" t="s">
        <v>23</v>
      </c>
      <c r="F859" s="6" t="s">
        <v>24</v>
      </c>
      <c r="G859" s="8">
        <v>2017</v>
      </c>
      <c r="H859" s="8">
        <v>9</v>
      </c>
      <c r="I859" s="10">
        <v>42979</v>
      </c>
      <c r="J859" s="11">
        <v>2253</v>
      </c>
      <c r="K859" s="51"/>
      <c r="O859" s="1" t="s">
        <v>14</v>
      </c>
      <c r="P859" s="1" t="s">
        <v>37</v>
      </c>
      <c r="Q859" s="1" t="s">
        <v>38</v>
      </c>
      <c r="R859" s="1" t="s">
        <v>23</v>
      </c>
      <c r="S859" t="s">
        <v>24</v>
      </c>
      <c r="T859" s="1">
        <v>2017</v>
      </c>
      <c r="U859" s="1">
        <v>9</v>
      </c>
      <c r="V859" s="50">
        <v>42979</v>
      </c>
      <c r="W859" s="4">
        <v>1937.5800000000002</v>
      </c>
      <c r="X859" s="48">
        <v>2253</v>
      </c>
    </row>
    <row r="860" spans="2:24" x14ac:dyDescent="0.35">
      <c r="B860" s="8" t="s">
        <v>3</v>
      </c>
      <c r="C860" s="8" t="s">
        <v>25</v>
      </c>
      <c r="D860" s="8" t="s">
        <v>4</v>
      </c>
      <c r="E860" s="8" t="s">
        <v>23</v>
      </c>
      <c r="F860" s="6" t="s">
        <v>39</v>
      </c>
      <c r="G860" s="8">
        <v>2017</v>
      </c>
      <c r="H860" s="8">
        <v>9</v>
      </c>
      <c r="I860" s="10">
        <v>42979</v>
      </c>
      <c r="J860" s="11">
        <v>2026</v>
      </c>
      <c r="K860" s="51"/>
      <c r="O860" s="1" t="s">
        <v>3</v>
      </c>
      <c r="P860" s="1" t="s">
        <v>25</v>
      </c>
      <c r="Q860" s="1" t="s">
        <v>4</v>
      </c>
      <c r="R860" s="1" t="s">
        <v>23</v>
      </c>
      <c r="S860" t="s">
        <v>39</v>
      </c>
      <c r="T860" s="1">
        <v>2017</v>
      </c>
      <c r="U860" s="1">
        <v>9</v>
      </c>
      <c r="V860" s="50">
        <v>42979</v>
      </c>
      <c r="W860" s="4">
        <v>1843.6599999999999</v>
      </c>
      <c r="X860" s="48">
        <v>2026</v>
      </c>
    </row>
    <row r="861" spans="2:24" x14ac:dyDescent="0.35">
      <c r="B861" s="8" t="s">
        <v>6</v>
      </c>
      <c r="C861" s="8" t="s">
        <v>40</v>
      </c>
      <c r="D861" s="8" t="s">
        <v>41</v>
      </c>
      <c r="E861" s="8" t="s">
        <v>0</v>
      </c>
      <c r="F861" s="6" t="s">
        <v>42</v>
      </c>
      <c r="G861" s="8">
        <v>2017</v>
      </c>
      <c r="H861" s="8">
        <v>9</v>
      </c>
      <c r="I861" s="10">
        <v>42979</v>
      </c>
      <c r="J861" s="11">
        <v>4819</v>
      </c>
      <c r="K861" s="51"/>
      <c r="O861" s="1" t="s">
        <v>6</v>
      </c>
      <c r="P861" s="1" t="s">
        <v>40</v>
      </c>
      <c r="Q861" s="1" t="s">
        <v>41</v>
      </c>
      <c r="R861" s="1" t="s">
        <v>0</v>
      </c>
      <c r="S861" t="s">
        <v>42</v>
      </c>
      <c r="T861" s="1">
        <v>2017</v>
      </c>
      <c r="U861" s="1">
        <v>9</v>
      </c>
      <c r="V861" s="50">
        <v>42979</v>
      </c>
      <c r="W861" s="4">
        <v>4529.8599999999997</v>
      </c>
      <c r="X861" s="48">
        <v>4819</v>
      </c>
    </row>
    <row r="862" spans="2:24" x14ac:dyDescent="0.35">
      <c r="B862" s="8" t="s">
        <v>7</v>
      </c>
      <c r="C862" s="8" t="s">
        <v>43</v>
      </c>
      <c r="D862" s="8" t="s">
        <v>10</v>
      </c>
      <c r="E862" s="9" t="s">
        <v>0</v>
      </c>
      <c r="F862" s="9" t="s">
        <v>26</v>
      </c>
      <c r="G862" s="8">
        <v>2017</v>
      </c>
      <c r="H862" s="8">
        <v>9</v>
      </c>
      <c r="I862" s="10">
        <v>42979</v>
      </c>
      <c r="J862" s="11">
        <v>5457</v>
      </c>
      <c r="K862" s="51"/>
      <c r="O862" s="1" t="s">
        <v>7</v>
      </c>
      <c r="P862" s="1" t="s">
        <v>43</v>
      </c>
      <c r="Q862" s="1" t="s">
        <v>10</v>
      </c>
      <c r="R862" s="2" t="s">
        <v>0</v>
      </c>
      <c r="S862" s="2" t="s">
        <v>26</v>
      </c>
      <c r="T862" s="1">
        <v>2017</v>
      </c>
      <c r="U862" s="1">
        <v>9</v>
      </c>
      <c r="V862" s="50">
        <v>42979</v>
      </c>
      <c r="W862" s="4">
        <v>4856.7299999999996</v>
      </c>
      <c r="X862" s="48">
        <v>5457</v>
      </c>
    </row>
    <row r="863" spans="2:24" x14ac:dyDescent="0.35">
      <c r="B863" s="8" t="s">
        <v>12</v>
      </c>
      <c r="C863" s="8" t="s">
        <v>44</v>
      </c>
      <c r="D863" s="8" t="s">
        <v>13</v>
      </c>
      <c r="E863" s="8" t="s">
        <v>0</v>
      </c>
      <c r="F863" s="9" t="s">
        <v>45</v>
      </c>
      <c r="G863" s="8">
        <v>2017</v>
      </c>
      <c r="H863" s="8">
        <v>9</v>
      </c>
      <c r="I863" s="10">
        <v>42979</v>
      </c>
      <c r="J863" s="11">
        <v>3241</v>
      </c>
      <c r="K863" s="51"/>
      <c r="O863" s="1" t="s">
        <v>12</v>
      </c>
      <c r="P863" s="1" t="s">
        <v>44</v>
      </c>
      <c r="Q863" s="1" t="s">
        <v>13</v>
      </c>
      <c r="R863" s="1" t="s">
        <v>0</v>
      </c>
      <c r="S863" s="2" t="s">
        <v>45</v>
      </c>
      <c r="T863" s="1">
        <v>2017</v>
      </c>
      <c r="U863" s="1">
        <v>9</v>
      </c>
      <c r="V863" s="50">
        <v>42979</v>
      </c>
      <c r="W863" s="4">
        <v>2787.26</v>
      </c>
      <c r="X863" s="48">
        <v>3241</v>
      </c>
    </row>
    <row r="864" spans="2:24" x14ac:dyDescent="0.35">
      <c r="B864" s="8" t="s">
        <v>14</v>
      </c>
      <c r="C864" s="8" t="s">
        <v>46</v>
      </c>
      <c r="D864" s="8" t="s">
        <v>47</v>
      </c>
      <c r="E864" s="8" t="s">
        <v>27</v>
      </c>
      <c r="F864" s="6" t="s">
        <v>28</v>
      </c>
      <c r="G864" s="8">
        <v>2017</v>
      </c>
      <c r="H864" s="8">
        <v>9</v>
      </c>
      <c r="I864" s="10">
        <v>42979</v>
      </c>
      <c r="J864" s="11">
        <v>3509</v>
      </c>
      <c r="K864" s="51"/>
      <c r="O864" s="1" t="s">
        <v>14</v>
      </c>
      <c r="P864" s="1" t="s">
        <v>46</v>
      </c>
      <c r="Q864" s="1" t="s">
        <v>47</v>
      </c>
      <c r="R864" s="1" t="s">
        <v>27</v>
      </c>
      <c r="S864" t="s">
        <v>28</v>
      </c>
      <c r="T864" s="1">
        <v>2017</v>
      </c>
      <c r="U864" s="1">
        <v>9</v>
      </c>
      <c r="V864" s="50">
        <v>42979</v>
      </c>
      <c r="W864" s="4">
        <v>3123.0099999999998</v>
      </c>
      <c r="X864" s="48">
        <v>3509</v>
      </c>
    </row>
    <row r="865" spans="2:24" x14ac:dyDescent="0.35">
      <c r="B865" s="8" t="s">
        <v>3</v>
      </c>
      <c r="C865" s="8" t="s">
        <v>22</v>
      </c>
      <c r="D865" s="8" t="s">
        <v>5</v>
      </c>
      <c r="E865" s="8" t="s">
        <v>27</v>
      </c>
      <c r="F865" s="8" t="s">
        <v>31</v>
      </c>
      <c r="G865" s="8">
        <v>2017</v>
      </c>
      <c r="H865" s="8">
        <v>9</v>
      </c>
      <c r="I865" s="10">
        <v>42979</v>
      </c>
      <c r="J865" s="11">
        <v>3226</v>
      </c>
      <c r="K865" s="51"/>
      <c r="O865" s="1" t="s">
        <v>3</v>
      </c>
      <c r="P865" s="1" t="s">
        <v>22</v>
      </c>
      <c r="Q865" s="1" t="s">
        <v>5</v>
      </c>
      <c r="R865" s="1" t="s">
        <v>27</v>
      </c>
      <c r="S865" s="1" t="s">
        <v>31</v>
      </c>
      <c r="T865" s="1">
        <v>2017</v>
      </c>
      <c r="U865" s="1">
        <v>9</v>
      </c>
      <c r="V865" s="50">
        <v>42979</v>
      </c>
      <c r="W865" s="4">
        <v>2903.3999999999996</v>
      </c>
      <c r="X865" s="48">
        <v>3226</v>
      </c>
    </row>
    <row r="866" spans="2:24" x14ac:dyDescent="0.35">
      <c r="B866" s="8" t="s">
        <v>6</v>
      </c>
      <c r="C866" s="8" t="s">
        <v>29</v>
      </c>
      <c r="D866" s="8" t="s">
        <v>30</v>
      </c>
      <c r="E866" s="8" t="s">
        <v>27</v>
      </c>
      <c r="F866" s="8" t="s">
        <v>33</v>
      </c>
      <c r="G866" s="8">
        <v>2017</v>
      </c>
      <c r="H866" s="8">
        <v>9</v>
      </c>
      <c r="I866" s="10">
        <v>42979</v>
      </c>
      <c r="J866" s="11">
        <v>3059</v>
      </c>
      <c r="K866" s="51"/>
      <c r="O866" s="1" t="s">
        <v>6</v>
      </c>
      <c r="P866" s="1" t="s">
        <v>29</v>
      </c>
      <c r="Q866" s="1" t="s">
        <v>30</v>
      </c>
      <c r="R866" s="1" t="s">
        <v>27</v>
      </c>
      <c r="S866" s="1" t="s">
        <v>33</v>
      </c>
      <c r="T866" s="1">
        <v>2017</v>
      </c>
      <c r="U866" s="1">
        <v>9</v>
      </c>
      <c r="V866" s="50">
        <v>42979</v>
      </c>
      <c r="W866" s="4">
        <v>2844.87</v>
      </c>
      <c r="X866" s="48">
        <v>3059</v>
      </c>
    </row>
    <row r="867" spans="2:24" x14ac:dyDescent="0.35">
      <c r="B867" s="8" t="s">
        <v>7</v>
      </c>
      <c r="C867" s="8" t="s">
        <v>32</v>
      </c>
      <c r="D867" s="8" t="s">
        <v>8</v>
      </c>
      <c r="E867" s="8" t="s">
        <v>23</v>
      </c>
      <c r="F867" s="8" t="s">
        <v>36</v>
      </c>
      <c r="G867" s="8">
        <v>2017</v>
      </c>
      <c r="H867" s="8">
        <v>9</v>
      </c>
      <c r="I867" s="10">
        <v>42979</v>
      </c>
      <c r="J867" s="11">
        <v>2841</v>
      </c>
      <c r="K867" s="51"/>
      <c r="O867" s="1" t="s">
        <v>7</v>
      </c>
      <c r="P867" s="1" t="s">
        <v>32</v>
      </c>
      <c r="Q867" s="1" t="s">
        <v>8</v>
      </c>
      <c r="R867" s="1" t="s">
        <v>23</v>
      </c>
      <c r="S867" s="1" t="s">
        <v>36</v>
      </c>
      <c r="T867" s="1">
        <v>2017</v>
      </c>
      <c r="U867" s="1">
        <v>9</v>
      </c>
      <c r="V867" s="50">
        <v>42979</v>
      </c>
      <c r="W867" s="4">
        <v>2414.8500000000004</v>
      </c>
      <c r="X867" s="48">
        <v>2841</v>
      </c>
    </row>
    <row r="868" spans="2:24" x14ac:dyDescent="0.35">
      <c r="B868" s="8" t="s">
        <v>12</v>
      </c>
      <c r="C868" s="8" t="s">
        <v>34</v>
      </c>
      <c r="D868" s="8" t="s">
        <v>35</v>
      </c>
      <c r="E868" s="8" t="s">
        <v>23</v>
      </c>
      <c r="F868" s="6" t="s">
        <v>24</v>
      </c>
      <c r="G868" s="8">
        <v>2017</v>
      </c>
      <c r="H868" s="8">
        <v>9</v>
      </c>
      <c r="I868" s="10">
        <v>42979</v>
      </c>
      <c r="J868" s="11">
        <v>2053</v>
      </c>
      <c r="K868" s="51"/>
      <c r="O868" s="1" t="s">
        <v>12</v>
      </c>
      <c r="P868" s="1" t="s">
        <v>34</v>
      </c>
      <c r="Q868" s="1" t="s">
        <v>35</v>
      </c>
      <c r="R868" s="1" t="s">
        <v>23</v>
      </c>
      <c r="S868" t="s">
        <v>24</v>
      </c>
      <c r="T868" s="1">
        <v>2017</v>
      </c>
      <c r="U868" s="1">
        <v>9</v>
      </c>
      <c r="V868" s="50">
        <v>42979</v>
      </c>
      <c r="W868" s="4">
        <v>1765.5800000000002</v>
      </c>
      <c r="X868" s="48">
        <v>2053</v>
      </c>
    </row>
    <row r="869" spans="2:24" x14ac:dyDescent="0.35">
      <c r="B869" s="8" t="s">
        <v>14</v>
      </c>
      <c r="C869" s="8" t="s">
        <v>37</v>
      </c>
      <c r="D869" s="8" t="s">
        <v>38</v>
      </c>
      <c r="E869" s="8" t="s">
        <v>23</v>
      </c>
      <c r="F869" s="6" t="s">
        <v>39</v>
      </c>
      <c r="G869" s="8">
        <v>2017</v>
      </c>
      <c r="H869" s="8">
        <v>9</v>
      </c>
      <c r="I869" s="10">
        <v>42979</v>
      </c>
      <c r="J869" s="11">
        <v>2633</v>
      </c>
      <c r="K869" s="51"/>
      <c r="O869" s="1" t="s">
        <v>14</v>
      </c>
      <c r="P869" s="1" t="s">
        <v>37</v>
      </c>
      <c r="Q869" s="1" t="s">
        <v>38</v>
      </c>
      <c r="R869" s="1" t="s">
        <v>23</v>
      </c>
      <c r="S869" t="s">
        <v>39</v>
      </c>
      <c r="T869" s="1">
        <v>2017</v>
      </c>
      <c r="U869" s="1">
        <v>9</v>
      </c>
      <c r="V869" s="50">
        <v>42979</v>
      </c>
      <c r="W869" s="4">
        <v>2475.02</v>
      </c>
      <c r="X869" s="48">
        <v>2633</v>
      </c>
    </row>
    <row r="870" spans="2:24" x14ac:dyDescent="0.35">
      <c r="B870" s="8" t="s">
        <v>3</v>
      </c>
      <c r="C870" s="8" t="s">
        <v>25</v>
      </c>
      <c r="D870" s="8" t="s">
        <v>4</v>
      </c>
      <c r="E870" s="8" t="s">
        <v>0</v>
      </c>
      <c r="F870" s="6" t="s">
        <v>42</v>
      </c>
      <c r="G870" s="8">
        <v>2017</v>
      </c>
      <c r="H870" s="8">
        <v>9</v>
      </c>
      <c r="I870" s="10">
        <v>42979</v>
      </c>
      <c r="J870" s="11">
        <v>6604</v>
      </c>
      <c r="K870" s="51"/>
      <c r="O870" s="1" t="s">
        <v>3</v>
      </c>
      <c r="P870" s="1" t="s">
        <v>25</v>
      </c>
      <c r="Q870" s="1" t="s">
        <v>4</v>
      </c>
      <c r="R870" s="1" t="s">
        <v>0</v>
      </c>
      <c r="S870" t="s">
        <v>42</v>
      </c>
      <c r="T870" s="1">
        <v>2017</v>
      </c>
      <c r="U870" s="1">
        <v>9</v>
      </c>
      <c r="V870" s="50">
        <v>42979</v>
      </c>
      <c r="W870" s="4">
        <v>6207.7599999999993</v>
      </c>
      <c r="X870" s="48">
        <v>6604</v>
      </c>
    </row>
    <row r="871" spans="2:24" x14ac:dyDescent="0.35">
      <c r="B871" s="8" t="s">
        <v>6</v>
      </c>
      <c r="C871" s="8" t="s">
        <v>40</v>
      </c>
      <c r="D871" s="8" t="s">
        <v>41</v>
      </c>
      <c r="E871" s="9" t="s">
        <v>0</v>
      </c>
      <c r="F871" s="9" t="s">
        <v>26</v>
      </c>
      <c r="G871" s="8">
        <v>2017</v>
      </c>
      <c r="H871" s="8">
        <v>9</v>
      </c>
      <c r="I871" s="10">
        <v>42979</v>
      </c>
      <c r="J871" s="11">
        <v>3914</v>
      </c>
      <c r="K871" s="51"/>
      <c r="O871" s="1" t="s">
        <v>6</v>
      </c>
      <c r="P871" s="1" t="s">
        <v>40</v>
      </c>
      <c r="Q871" s="1" t="s">
        <v>41</v>
      </c>
      <c r="R871" s="2" t="s">
        <v>0</v>
      </c>
      <c r="S871" s="2" t="s">
        <v>26</v>
      </c>
      <c r="T871" s="1">
        <v>2017</v>
      </c>
      <c r="U871" s="1">
        <v>9</v>
      </c>
      <c r="V871" s="50">
        <v>42979</v>
      </c>
      <c r="W871" s="4">
        <v>3444.3199999999997</v>
      </c>
      <c r="X871" s="48">
        <v>3914</v>
      </c>
    </row>
    <row r="872" spans="2:24" x14ac:dyDescent="0.35">
      <c r="B872" s="8" t="s">
        <v>7</v>
      </c>
      <c r="C872" s="8" t="s">
        <v>43</v>
      </c>
      <c r="D872" s="8" t="s">
        <v>10</v>
      </c>
      <c r="E872" s="8" t="s">
        <v>0</v>
      </c>
      <c r="F872" s="9" t="s">
        <v>45</v>
      </c>
      <c r="G872" s="8">
        <v>2017</v>
      </c>
      <c r="H872" s="8">
        <v>9</v>
      </c>
      <c r="I872" s="10">
        <v>42979</v>
      </c>
      <c r="J872" s="11">
        <v>2227</v>
      </c>
      <c r="K872" s="51"/>
      <c r="O872" s="1" t="s">
        <v>7</v>
      </c>
      <c r="P872" s="1" t="s">
        <v>43</v>
      </c>
      <c r="Q872" s="1" t="s">
        <v>10</v>
      </c>
      <c r="R872" s="1" t="s">
        <v>0</v>
      </c>
      <c r="S872" s="2" t="s">
        <v>45</v>
      </c>
      <c r="T872" s="1">
        <v>2017</v>
      </c>
      <c r="U872" s="1">
        <v>9</v>
      </c>
      <c r="V872" s="50">
        <v>42979</v>
      </c>
      <c r="W872" s="4">
        <v>1959.7599999999998</v>
      </c>
      <c r="X872" s="48">
        <v>2227</v>
      </c>
    </row>
    <row r="873" spans="2:24" x14ac:dyDescent="0.35">
      <c r="B873" s="8" t="s">
        <v>12</v>
      </c>
      <c r="C873" s="8" t="s">
        <v>44</v>
      </c>
      <c r="D873" s="8" t="s">
        <v>13</v>
      </c>
      <c r="E873" s="8" t="s">
        <v>27</v>
      </c>
      <c r="F873" s="6" t="s">
        <v>28</v>
      </c>
      <c r="G873" s="8">
        <v>2017</v>
      </c>
      <c r="H873" s="8">
        <v>9</v>
      </c>
      <c r="I873" s="10">
        <v>42979</v>
      </c>
      <c r="J873" s="11">
        <v>3585</v>
      </c>
      <c r="K873" s="51"/>
      <c r="O873" s="1" t="s">
        <v>12</v>
      </c>
      <c r="P873" s="1" t="s">
        <v>44</v>
      </c>
      <c r="Q873" s="1" t="s">
        <v>13</v>
      </c>
      <c r="R873" s="1" t="s">
        <v>27</v>
      </c>
      <c r="S873" t="s">
        <v>28</v>
      </c>
      <c r="T873" s="1">
        <v>2017</v>
      </c>
      <c r="U873" s="1">
        <v>9</v>
      </c>
      <c r="V873" s="50">
        <v>42979</v>
      </c>
      <c r="W873" s="4">
        <v>3262.35</v>
      </c>
      <c r="X873" s="48">
        <v>3585</v>
      </c>
    </row>
    <row r="874" spans="2:24" x14ac:dyDescent="0.35">
      <c r="B874" s="8" t="s">
        <v>14</v>
      </c>
      <c r="C874" s="8" t="s">
        <v>46</v>
      </c>
      <c r="D874" s="8" t="s">
        <v>47</v>
      </c>
      <c r="E874" s="8" t="s">
        <v>27</v>
      </c>
      <c r="F874" s="8" t="s">
        <v>31</v>
      </c>
      <c r="G874" s="8">
        <v>2017</v>
      </c>
      <c r="H874" s="8">
        <v>9</v>
      </c>
      <c r="I874" s="10">
        <v>42979</v>
      </c>
      <c r="J874" s="11">
        <v>3508</v>
      </c>
      <c r="K874" s="51"/>
      <c r="O874" s="1" t="s">
        <v>14</v>
      </c>
      <c r="P874" s="1" t="s">
        <v>46</v>
      </c>
      <c r="Q874" s="1" t="s">
        <v>47</v>
      </c>
      <c r="R874" s="1" t="s">
        <v>27</v>
      </c>
      <c r="S874" s="1" t="s">
        <v>31</v>
      </c>
      <c r="T874" s="1">
        <v>2017</v>
      </c>
      <c r="U874" s="1">
        <v>9</v>
      </c>
      <c r="V874" s="50">
        <v>42979</v>
      </c>
      <c r="W874" s="4">
        <v>3192.2799999999997</v>
      </c>
      <c r="X874" s="48">
        <v>3508</v>
      </c>
    </row>
    <row r="875" spans="2:24" x14ac:dyDescent="0.35">
      <c r="B875" s="8" t="s">
        <v>3</v>
      </c>
      <c r="C875" s="8" t="s">
        <v>22</v>
      </c>
      <c r="D875" s="8" t="s">
        <v>5</v>
      </c>
      <c r="E875" s="8" t="s">
        <v>27</v>
      </c>
      <c r="F875" s="8" t="s">
        <v>33</v>
      </c>
      <c r="G875" s="8">
        <v>2017</v>
      </c>
      <c r="H875" s="8">
        <v>9</v>
      </c>
      <c r="I875" s="10">
        <v>42979</v>
      </c>
      <c r="J875" s="11">
        <v>4047</v>
      </c>
      <c r="K875" s="51"/>
      <c r="O875" s="1" t="s">
        <v>3</v>
      </c>
      <c r="P875" s="1" t="s">
        <v>22</v>
      </c>
      <c r="Q875" s="1" t="s">
        <v>5</v>
      </c>
      <c r="R875" s="1" t="s">
        <v>27</v>
      </c>
      <c r="S875" s="1" t="s">
        <v>33</v>
      </c>
      <c r="T875" s="1">
        <v>2017</v>
      </c>
      <c r="U875" s="1">
        <v>9</v>
      </c>
      <c r="V875" s="50">
        <v>42979</v>
      </c>
      <c r="W875" s="4">
        <v>3642.2999999999997</v>
      </c>
      <c r="X875" s="48">
        <v>4047</v>
      </c>
    </row>
    <row r="876" spans="2:24" x14ac:dyDescent="0.35">
      <c r="B876" s="8" t="s">
        <v>6</v>
      </c>
      <c r="C876" s="8" t="s">
        <v>29</v>
      </c>
      <c r="D876" s="8" t="s">
        <v>30</v>
      </c>
      <c r="E876" s="8" t="s">
        <v>23</v>
      </c>
      <c r="F876" s="8" t="s">
        <v>36</v>
      </c>
      <c r="G876" s="8">
        <v>2017</v>
      </c>
      <c r="H876" s="8">
        <v>9</v>
      </c>
      <c r="I876" s="10">
        <v>42979</v>
      </c>
      <c r="J876" s="11">
        <v>1531</v>
      </c>
      <c r="K876" s="51"/>
      <c r="O876" s="1" t="s">
        <v>6</v>
      </c>
      <c r="P876" s="1" t="s">
        <v>29</v>
      </c>
      <c r="Q876" s="1" t="s">
        <v>30</v>
      </c>
      <c r="R876" s="1" t="s">
        <v>23</v>
      </c>
      <c r="S876" s="1" t="s">
        <v>36</v>
      </c>
      <c r="T876" s="1">
        <v>2017</v>
      </c>
      <c r="U876" s="1">
        <v>9</v>
      </c>
      <c r="V876" s="50">
        <v>42979</v>
      </c>
      <c r="W876" s="4">
        <v>1408.52</v>
      </c>
      <c r="X876" s="48">
        <v>1531</v>
      </c>
    </row>
    <row r="877" spans="2:24" x14ac:dyDescent="0.35">
      <c r="B877" s="8" t="s">
        <v>7</v>
      </c>
      <c r="C877" s="8" t="s">
        <v>32</v>
      </c>
      <c r="D877" s="8" t="s">
        <v>8</v>
      </c>
      <c r="E877" s="8" t="s">
        <v>23</v>
      </c>
      <c r="F877" s="6" t="s">
        <v>24</v>
      </c>
      <c r="G877" s="8">
        <v>2017</v>
      </c>
      <c r="H877" s="8">
        <v>9</v>
      </c>
      <c r="I877" s="10">
        <v>42979</v>
      </c>
      <c r="J877" s="11">
        <v>1576</v>
      </c>
      <c r="K877" s="51"/>
      <c r="O877" s="1" t="s">
        <v>7</v>
      </c>
      <c r="P877" s="1" t="s">
        <v>32</v>
      </c>
      <c r="Q877" s="1" t="s">
        <v>8</v>
      </c>
      <c r="R877" s="1" t="s">
        <v>23</v>
      </c>
      <c r="S877" t="s">
        <v>24</v>
      </c>
      <c r="T877" s="1">
        <v>2017</v>
      </c>
      <c r="U877" s="1">
        <v>9</v>
      </c>
      <c r="V877" s="50">
        <v>42979</v>
      </c>
      <c r="W877" s="4">
        <v>1355.3600000000001</v>
      </c>
      <c r="X877" s="48">
        <v>1576</v>
      </c>
    </row>
    <row r="878" spans="2:24" x14ac:dyDescent="0.35">
      <c r="B878" s="8" t="s">
        <v>12</v>
      </c>
      <c r="C878" s="8" t="s">
        <v>34</v>
      </c>
      <c r="D878" s="8" t="s">
        <v>35</v>
      </c>
      <c r="E878" s="8" t="s">
        <v>23</v>
      </c>
      <c r="F878" s="6" t="s">
        <v>39</v>
      </c>
      <c r="G878" s="8">
        <v>2017</v>
      </c>
      <c r="H878" s="8">
        <v>9</v>
      </c>
      <c r="I878" s="10">
        <v>42979</v>
      </c>
      <c r="J878" s="11">
        <v>1676</v>
      </c>
      <c r="K878" s="51"/>
      <c r="O878" s="1" t="s">
        <v>12</v>
      </c>
      <c r="P878" s="1" t="s">
        <v>34</v>
      </c>
      <c r="Q878" s="1" t="s">
        <v>35</v>
      </c>
      <c r="R878" s="1" t="s">
        <v>23</v>
      </c>
      <c r="S878" t="s">
        <v>39</v>
      </c>
      <c r="T878" s="1">
        <v>2017</v>
      </c>
      <c r="U878" s="1">
        <v>9</v>
      </c>
      <c r="V878" s="50">
        <v>42979</v>
      </c>
      <c r="W878" s="4">
        <v>1491.6399999999999</v>
      </c>
      <c r="X878" s="48">
        <v>1676</v>
      </c>
    </row>
    <row r="879" spans="2:24" x14ac:dyDescent="0.35">
      <c r="B879" s="8" t="s">
        <v>14</v>
      </c>
      <c r="C879" s="8" t="s">
        <v>37</v>
      </c>
      <c r="D879" s="8" t="s">
        <v>38</v>
      </c>
      <c r="E879" s="8" t="s">
        <v>0</v>
      </c>
      <c r="F879" s="6" t="s">
        <v>42</v>
      </c>
      <c r="G879" s="8">
        <v>2017</v>
      </c>
      <c r="H879" s="8">
        <v>9</v>
      </c>
      <c r="I879" s="10">
        <v>42979</v>
      </c>
      <c r="J879" s="11">
        <v>5887</v>
      </c>
      <c r="K879" s="51"/>
      <c r="O879" s="1" t="s">
        <v>14</v>
      </c>
      <c r="P879" s="1" t="s">
        <v>37</v>
      </c>
      <c r="Q879" s="1" t="s">
        <v>38</v>
      </c>
      <c r="R879" s="1" t="s">
        <v>0</v>
      </c>
      <c r="S879" t="s">
        <v>42</v>
      </c>
      <c r="T879" s="1">
        <v>2017</v>
      </c>
      <c r="U879" s="1">
        <v>9</v>
      </c>
      <c r="V879" s="50">
        <v>42979</v>
      </c>
      <c r="W879" s="4">
        <v>5533.78</v>
      </c>
      <c r="X879" s="48">
        <v>5887</v>
      </c>
    </row>
    <row r="880" spans="2:24" x14ac:dyDescent="0.35">
      <c r="B880" s="8" t="s">
        <v>6</v>
      </c>
      <c r="C880" s="8" t="s">
        <v>29</v>
      </c>
      <c r="D880" s="8" t="s">
        <v>30</v>
      </c>
      <c r="E880" s="9" t="s">
        <v>0</v>
      </c>
      <c r="F880" s="9" t="s">
        <v>45</v>
      </c>
      <c r="G880" s="8">
        <v>2017</v>
      </c>
      <c r="H880" s="8">
        <v>9</v>
      </c>
      <c r="I880" s="10">
        <v>42979</v>
      </c>
      <c r="J880" s="11">
        <v>4598</v>
      </c>
      <c r="K880" s="51"/>
      <c r="O880" s="1" t="s">
        <v>6</v>
      </c>
      <c r="P880" s="1" t="s">
        <v>29</v>
      </c>
      <c r="Q880" s="1" t="s">
        <v>30</v>
      </c>
      <c r="R880" s="2" t="s">
        <v>0</v>
      </c>
      <c r="S880" s="2" t="s">
        <v>45</v>
      </c>
      <c r="T880" s="1">
        <v>2017</v>
      </c>
      <c r="U880" s="1">
        <v>9</v>
      </c>
      <c r="V880" s="50">
        <v>42979</v>
      </c>
      <c r="W880" s="4">
        <v>4184.1799999999994</v>
      </c>
      <c r="X880" s="48">
        <v>4598</v>
      </c>
    </row>
    <row r="881" spans="2:24" x14ac:dyDescent="0.35">
      <c r="B881" s="8" t="s">
        <v>7</v>
      </c>
      <c r="C881" s="8" t="s">
        <v>43</v>
      </c>
      <c r="D881" s="8" t="s">
        <v>10</v>
      </c>
      <c r="E881" s="8" t="s">
        <v>27</v>
      </c>
      <c r="F881" s="9" t="s">
        <v>28</v>
      </c>
      <c r="G881" s="8">
        <v>2017</v>
      </c>
      <c r="H881" s="8">
        <v>9</v>
      </c>
      <c r="I881" s="10">
        <v>42979</v>
      </c>
      <c r="J881" s="11">
        <v>4611</v>
      </c>
      <c r="K881" s="51"/>
      <c r="O881" s="1" t="s">
        <v>7</v>
      </c>
      <c r="P881" s="1" t="s">
        <v>43</v>
      </c>
      <c r="Q881" s="1" t="s">
        <v>10</v>
      </c>
      <c r="R881" s="1" t="s">
        <v>27</v>
      </c>
      <c r="S881" s="2" t="s">
        <v>28</v>
      </c>
      <c r="T881" s="1">
        <v>2017</v>
      </c>
      <c r="U881" s="1">
        <v>9</v>
      </c>
      <c r="V881" s="50">
        <v>42979</v>
      </c>
      <c r="W881" s="4">
        <v>4011.5700000000006</v>
      </c>
      <c r="X881" s="48">
        <v>4611</v>
      </c>
    </row>
    <row r="882" spans="2:24" x14ac:dyDescent="0.35">
      <c r="B882" s="8" t="s">
        <v>12</v>
      </c>
      <c r="C882" s="8" t="s">
        <v>44</v>
      </c>
      <c r="D882" s="8" t="s">
        <v>13</v>
      </c>
      <c r="E882" s="8" t="s">
        <v>27</v>
      </c>
      <c r="F882" s="6" t="s">
        <v>31</v>
      </c>
      <c r="G882" s="8">
        <v>2017</v>
      </c>
      <c r="H882" s="8">
        <v>9</v>
      </c>
      <c r="I882" s="10">
        <v>42979</v>
      </c>
      <c r="J882" s="11">
        <v>5417</v>
      </c>
      <c r="K882" s="51"/>
      <c r="O882" s="1" t="s">
        <v>12</v>
      </c>
      <c r="P882" s="1" t="s">
        <v>44</v>
      </c>
      <c r="Q882" s="1" t="s">
        <v>13</v>
      </c>
      <c r="R882" s="1" t="s">
        <v>27</v>
      </c>
      <c r="S882" t="s">
        <v>31</v>
      </c>
      <c r="T882" s="1">
        <v>2017</v>
      </c>
      <c r="U882" s="1">
        <v>9</v>
      </c>
      <c r="V882" s="50">
        <v>42979</v>
      </c>
      <c r="W882" s="4">
        <v>4604.4500000000007</v>
      </c>
      <c r="X882" s="48">
        <v>5417</v>
      </c>
    </row>
    <row r="883" spans="2:24" x14ac:dyDescent="0.35">
      <c r="B883" s="8" t="s">
        <v>14</v>
      </c>
      <c r="C883" s="8" t="s">
        <v>46</v>
      </c>
      <c r="D883" s="8" t="s">
        <v>47</v>
      </c>
      <c r="E883" s="8" t="s">
        <v>27</v>
      </c>
      <c r="F883" s="8" t="s">
        <v>33</v>
      </c>
      <c r="G883" s="8">
        <v>2017</v>
      </c>
      <c r="H883" s="8">
        <v>9</v>
      </c>
      <c r="I883" s="10">
        <v>42979</v>
      </c>
      <c r="J883" s="11">
        <v>3240</v>
      </c>
      <c r="K883" s="51"/>
      <c r="O883" s="1" t="s">
        <v>14</v>
      </c>
      <c r="P883" s="1" t="s">
        <v>46</v>
      </c>
      <c r="Q883" s="1" t="s">
        <v>47</v>
      </c>
      <c r="R883" s="1" t="s">
        <v>27</v>
      </c>
      <c r="S883" s="1" t="s">
        <v>33</v>
      </c>
      <c r="T883" s="1">
        <v>2017</v>
      </c>
      <c r="U883" s="1">
        <v>9</v>
      </c>
      <c r="V883" s="50">
        <v>42979</v>
      </c>
      <c r="W883" s="4">
        <v>3013.2</v>
      </c>
      <c r="X883" s="48">
        <v>3240</v>
      </c>
    </row>
    <row r="884" spans="2:24" x14ac:dyDescent="0.35">
      <c r="B884" s="8" t="s">
        <v>3</v>
      </c>
      <c r="C884" s="8" t="s">
        <v>22</v>
      </c>
      <c r="D884" s="8" t="s">
        <v>5</v>
      </c>
      <c r="E884" s="8" t="s">
        <v>23</v>
      </c>
      <c r="F884" s="8" t="s">
        <v>36</v>
      </c>
      <c r="G884" s="8">
        <v>2017</v>
      </c>
      <c r="H884" s="8">
        <v>9</v>
      </c>
      <c r="I884" s="10">
        <v>42979</v>
      </c>
      <c r="J884" s="11">
        <v>1797</v>
      </c>
      <c r="K884" s="51"/>
      <c r="O884" s="1" t="s">
        <v>3</v>
      </c>
      <c r="P884" s="1" t="s">
        <v>22</v>
      </c>
      <c r="Q884" s="1" t="s">
        <v>5</v>
      </c>
      <c r="R884" s="1" t="s">
        <v>23</v>
      </c>
      <c r="S884" s="1" t="s">
        <v>36</v>
      </c>
      <c r="T884" s="1">
        <v>2017</v>
      </c>
      <c r="U884" s="1">
        <v>9</v>
      </c>
      <c r="V884" s="50">
        <v>42979</v>
      </c>
      <c r="W884" s="4">
        <v>1563.39</v>
      </c>
      <c r="X884" s="48">
        <v>1797</v>
      </c>
    </row>
    <row r="885" spans="2:24" x14ac:dyDescent="0.35">
      <c r="B885" s="8" t="s">
        <v>6</v>
      </c>
      <c r="C885" s="8" t="s">
        <v>40</v>
      </c>
      <c r="D885" s="8" t="s">
        <v>41</v>
      </c>
      <c r="E885" s="8" t="s">
        <v>23</v>
      </c>
      <c r="F885" s="8" t="s">
        <v>24</v>
      </c>
      <c r="G885" s="8">
        <v>2017</v>
      </c>
      <c r="H885" s="8">
        <v>9</v>
      </c>
      <c r="I885" s="10">
        <v>42979</v>
      </c>
      <c r="J885" s="11">
        <v>2981</v>
      </c>
      <c r="K885" s="51"/>
      <c r="O885" s="1" t="s">
        <v>6</v>
      </c>
      <c r="P885" s="1" t="s">
        <v>40</v>
      </c>
      <c r="Q885" s="1" t="s">
        <v>41</v>
      </c>
      <c r="R885" s="1" t="s">
        <v>23</v>
      </c>
      <c r="S885" s="1" t="s">
        <v>24</v>
      </c>
      <c r="T885" s="1">
        <v>2017</v>
      </c>
      <c r="U885" s="1">
        <v>9</v>
      </c>
      <c r="V885" s="50">
        <v>42979</v>
      </c>
      <c r="W885" s="4">
        <v>2623.2799999999997</v>
      </c>
      <c r="X885" s="48">
        <v>2981</v>
      </c>
    </row>
    <row r="886" spans="2:24" x14ac:dyDescent="0.35">
      <c r="B886" s="8" t="s">
        <v>7</v>
      </c>
      <c r="C886" s="8" t="s">
        <v>32</v>
      </c>
      <c r="D886" s="8" t="s">
        <v>8</v>
      </c>
      <c r="E886" s="8" t="s">
        <v>23</v>
      </c>
      <c r="F886" s="6" t="s">
        <v>39</v>
      </c>
      <c r="G886" s="8">
        <v>2017</v>
      </c>
      <c r="H886" s="8">
        <v>9</v>
      </c>
      <c r="I886" s="10">
        <v>42979</v>
      </c>
      <c r="J886" s="11">
        <v>1365</v>
      </c>
      <c r="K886" s="51"/>
      <c r="O886" s="1" t="s">
        <v>7</v>
      </c>
      <c r="P886" s="1" t="s">
        <v>32</v>
      </c>
      <c r="Q886" s="1" t="s">
        <v>8</v>
      </c>
      <c r="R886" s="1" t="s">
        <v>23</v>
      </c>
      <c r="S886" t="s">
        <v>39</v>
      </c>
      <c r="T886" s="1">
        <v>2017</v>
      </c>
      <c r="U886" s="1">
        <v>9</v>
      </c>
      <c r="V886" s="50">
        <v>42979</v>
      </c>
      <c r="W886" s="4">
        <v>1269.4499999999998</v>
      </c>
      <c r="X886" s="48">
        <v>1365</v>
      </c>
    </row>
    <row r="887" spans="2:24" x14ac:dyDescent="0.35">
      <c r="B887" s="8" t="s">
        <v>12</v>
      </c>
      <c r="C887" s="8" t="s">
        <v>34</v>
      </c>
      <c r="D887" s="8" t="s">
        <v>35</v>
      </c>
      <c r="E887" s="8" t="s">
        <v>0</v>
      </c>
      <c r="F887" s="6" t="s">
        <v>42</v>
      </c>
      <c r="G887" s="8">
        <v>2017</v>
      </c>
      <c r="H887" s="8">
        <v>9</v>
      </c>
      <c r="I887" s="10">
        <v>42979</v>
      </c>
      <c r="J887" s="11">
        <v>5121</v>
      </c>
      <c r="K887" s="51"/>
      <c r="O887" s="1" t="s">
        <v>12</v>
      </c>
      <c r="P887" s="1" t="s">
        <v>34</v>
      </c>
      <c r="Q887" s="1" t="s">
        <v>35</v>
      </c>
      <c r="R887" s="1" t="s">
        <v>0</v>
      </c>
      <c r="S887" t="s">
        <v>42</v>
      </c>
      <c r="T887" s="1">
        <v>2017</v>
      </c>
      <c r="U887" s="1">
        <v>9</v>
      </c>
      <c r="V887" s="50">
        <v>42979</v>
      </c>
      <c r="W887" s="4">
        <v>4711.32</v>
      </c>
      <c r="X887" s="48">
        <v>5121</v>
      </c>
    </row>
    <row r="888" spans="2:24" x14ac:dyDescent="0.35">
      <c r="B888" s="8" t="s">
        <v>14</v>
      </c>
      <c r="C888" s="8" t="s">
        <v>37</v>
      </c>
      <c r="D888" s="8" t="s">
        <v>38</v>
      </c>
      <c r="E888" s="8" t="s">
        <v>0</v>
      </c>
      <c r="F888" s="6" t="s">
        <v>26</v>
      </c>
      <c r="G888" s="8">
        <v>2017</v>
      </c>
      <c r="H888" s="8">
        <v>9</v>
      </c>
      <c r="I888" s="10">
        <v>42979</v>
      </c>
      <c r="J888" s="11">
        <v>2940</v>
      </c>
      <c r="K888" s="51"/>
      <c r="O888" s="1" t="s">
        <v>14</v>
      </c>
      <c r="P888" s="1" t="s">
        <v>37</v>
      </c>
      <c r="Q888" s="1" t="s">
        <v>38</v>
      </c>
      <c r="R888" s="1" t="s">
        <v>0</v>
      </c>
      <c r="S888" t="s">
        <v>26</v>
      </c>
      <c r="T888" s="1">
        <v>2017</v>
      </c>
      <c r="U888" s="1">
        <v>9</v>
      </c>
      <c r="V888" s="50">
        <v>42979</v>
      </c>
      <c r="W888" s="4">
        <v>2763.6</v>
      </c>
      <c r="X888" s="48">
        <v>2940</v>
      </c>
    </row>
    <row r="889" spans="2:24" x14ac:dyDescent="0.35">
      <c r="B889" s="8" t="s">
        <v>3</v>
      </c>
      <c r="C889" s="8" t="s">
        <v>25</v>
      </c>
      <c r="D889" s="8" t="s">
        <v>4</v>
      </c>
      <c r="E889" s="9" t="s">
        <v>0</v>
      </c>
      <c r="F889" s="9" t="s">
        <v>45</v>
      </c>
      <c r="G889" s="8">
        <v>2017</v>
      </c>
      <c r="H889" s="8">
        <v>9</v>
      </c>
      <c r="I889" s="10">
        <v>42979</v>
      </c>
      <c r="J889" s="11">
        <v>3731</v>
      </c>
      <c r="K889" s="51"/>
      <c r="O889" s="1" t="s">
        <v>3</v>
      </c>
      <c r="P889" s="1" t="s">
        <v>25</v>
      </c>
      <c r="Q889" s="1" t="s">
        <v>4</v>
      </c>
      <c r="R889" s="2" t="s">
        <v>0</v>
      </c>
      <c r="S889" s="2" t="s">
        <v>45</v>
      </c>
      <c r="T889" s="1">
        <v>2017</v>
      </c>
      <c r="U889" s="1">
        <v>9</v>
      </c>
      <c r="V889" s="50">
        <v>42979</v>
      </c>
      <c r="W889" s="4">
        <v>3245.9700000000003</v>
      </c>
      <c r="X889" s="48">
        <v>3731</v>
      </c>
    </row>
    <row r="890" spans="2:24" x14ac:dyDescent="0.35">
      <c r="B890" s="8" t="s">
        <v>6</v>
      </c>
      <c r="C890" s="8" t="s">
        <v>29</v>
      </c>
      <c r="D890" s="8" t="s">
        <v>30</v>
      </c>
      <c r="E890" s="8" t="s">
        <v>27</v>
      </c>
      <c r="F890" s="9" t="s">
        <v>28</v>
      </c>
      <c r="G890" s="8">
        <v>2017</v>
      </c>
      <c r="H890" s="8">
        <v>9</v>
      </c>
      <c r="I890" s="10">
        <v>42979</v>
      </c>
      <c r="J890" s="11">
        <v>3945</v>
      </c>
      <c r="K890" s="51"/>
      <c r="O890" s="1" t="s">
        <v>6</v>
      </c>
      <c r="P890" s="1" t="s">
        <v>29</v>
      </c>
      <c r="Q890" s="1" t="s">
        <v>30</v>
      </c>
      <c r="R890" s="1" t="s">
        <v>27</v>
      </c>
      <c r="S890" s="2" t="s">
        <v>28</v>
      </c>
      <c r="T890" s="1">
        <v>2017</v>
      </c>
      <c r="U890" s="1">
        <v>9</v>
      </c>
      <c r="V890" s="50">
        <v>42979</v>
      </c>
      <c r="W890" s="4">
        <v>3550.4999999999995</v>
      </c>
      <c r="X890" s="48">
        <v>3945</v>
      </c>
    </row>
    <row r="891" spans="2:24" x14ac:dyDescent="0.35">
      <c r="B891" s="8" t="s">
        <v>7</v>
      </c>
      <c r="C891" s="8" t="s">
        <v>43</v>
      </c>
      <c r="D891" s="8" t="s">
        <v>10</v>
      </c>
      <c r="E891" s="8" t="s">
        <v>27</v>
      </c>
      <c r="F891" s="6" t="s">
        <v>31</v>
      </c>
      <c r="G891" s="8">
        <v>2017</v>
      </c>
      <c r="H891" s="8">
        <v>9</v>
      </c>
      <c r="I891" s="10">
        <v>42979</v>
      </c>
      <c r="J891" s="11">
        <v>2896</v>
      </c>
      <c r="K891" s="51"/>
      <c r="O891" s="1" t="s">
        <v>7</v>
      </c>
      <c r="P891" s="1" t="s">
        <v>43</v>
      </c>
      <c r="Q891" s="1" t="s">
        <v>10</v>
      </c>
      <c r="R891" s="1" t="s">
        <v>27</v>
      </c>
      <c r="S891" t="s">
        <v>31</v>
      </c>
      <c r="T891" s="1">
        <v>2017</v>
      </c>
      <c r="U891" s="1">
        <v>9</v>
      </c>
      <c r="V891" s="50">
        <v>42979</v>
      </c>
      <c r="W891" s="4">
        <v>2664.3199999999997</v>
      </c>
      <c r="X891" s="48">
        <v>2896</v>
      </c>
    </row>
    <row r="892" spans="2:24" x14ac:dyDescent="0.35">
      <c r="B892" s="8" t="s">
        <v>12</v>
      </c>
      <c r="C892" s="8" t="s">
        <v>44</v>
      </c>
      <c r="D892" s="8" t="s">
        <v>13</v>
      </c>
      <c r="E892" s="8" t="s">
        <v>27</v>
      </c>
      <c r="F892" s="8" t="s">
        <v>33</v>
      </c>
      <c r="G892" s="8">
        <v>2017</v>
      </c>
      <c r="H892" s="8">
        <v>9</v>
      </c>
      <c r="I892" s="10">
        <v>42979</v>
      </c>
      <c r="J892" s="11">
        <v>3906</v>
      </c>
      <c r="K892" s="51"/>
      <c r="O892" s="1" t="s">
        <v>12</v>
      </c>
      <c r="P892" s="1" t="s">
        <v>44</v>
      </c>
      <c r="Q892" s="1" t="s">
        <v>13</v>
      </c>
      <c r="R892" s="1" t="s">
        <v>27</v>
      </c>
      <c r="S892" s="1" t="s">
        <v>33</v>
      </c>
      <c r="T892" s="1">
        <v>2017</v>
      </c>
      <c r="U892" s="1">
        <v>9</v>
      </c>
      <c r="V892" s="50">
        <v>42979</v>
      </c>
      <c r="W892" s="4">
        <v>3515.3999999999996</v>
      </c>
      <c r="X892" s="48">
        <v>3906</v>
      </c>
    </row>
    <row r="893" spans="2:24" x14ac:dyDescent="0.35">
      <c r="B893" s="8" t="s">
        <v>14</v>
      </c>
      <c r="C893" s="8" t="s">
        <v>46</v>
      </c>
      <c r="D893" s="8" t="s">
        <v>47</v>
      </c>
      <c r="E893" s="8" t="s">
        <v>23</v>
      </c>
      <c r="F893" s="8" t="s">
        <v>36</v>
      </c>
      <c r="G893" s="8">
        <v>2017</v>
      </c>
      <c r="H893" s="8">
        <v>9</v>
      </c>
      <c r="I893" s="10">
        <v>42979</v>
      </c>
      <c r="J893" s="11">
        <v>2322</v>
      </c>
      <c r="K893" s="51"/>
      <c r="O893" s="1" t="s">
        <v>14</v>
      </c>
      <c r="P893" s="1" t="s">
        <v>46</v>
      </c>
      <c r="Q893" s="1" t="s">
        <v>47</v>
      </c>
      <c r="R893" s="1" t="s">
        <v>23</v>
      </c>
      <c r="S893" s="1" t="s">
        <v>36</v>
      </c>
      <c r="T893" s="1">
        <v>2017</v>
      </c>
      <c r="U893" s="1">
        <v>9</v>
      </c>
      <c r="V893" s="50">
        <v>42979</v>
      </c>
      <c r="W893" s="4">
        <v>2043.3599999999997</v>
      </c>
      <c r="X893" s="48">
        <v>2322</v>
      </c>
    </row>
    <row r="894" spans="2:24" x14ac:dyDescent="0.35">
      <c r="B894" s="8" t="s">
        <v>6</v>
      </c>
      <c r="C894" s="8" t="s">
        <v>29</v>
      </c>
      <c r="D894" s="8" t="s">
        <v>30</v>
      </c>
      <c r="E894" s="8" t="s">
        <v>23</v>
      </c>
      <c r="F894" s="8" t="s">
        <v>39</v>
      </c>
      <c r="G894" s="8">
        <v>2017</v>
      </c>
      <c r="H894" s="8">
        <v>9</v>
      </c>
      <c r="I894" s="10">
        <v>42979</v>
      </c>
      <c r="J894" s="11">
        <v>1636</v>
      </c>
      <c r="K894" s="51"/>
      <c r="O894" s="1" t="s">
        <v>6</v>
      </c>
      <c r="P894" s="1" t="s">
        <v>29</v>
      </c>
      <c r="Q894" s="1" t="s">
        <v>30</v>
      </c>
      <c r="R894" s="1" t="s">
        <v>23</v>
      </c>
      <c r="S894" s="1" t="s">
        <v>39</v>
      </c>
      <c r="T894" s="1">
        <v>2017</v>
      </c>
      <c r="U894" s="1">
        <v>9</v>
      </c>
      <c r="V894" s="50">
        <v>42979</v>
      </c>
      <c r="W894" s="4">
        <v>1521.48</v>
      </c>
      <c r="X894" s="48">
        <v>1636</v>
      </c>
    </row>
    <row r="895" spans="2:24" x14ac:dyDescent="0.35">
      <c r="B895" s="8" t="s">
        <v>7</v>
      </c>
      <c r="C895" s="8" t="s">
        <v>32</v>
      </c>
      <c r="D895" s="8" t="s">
        <v>8</v>
      </c>
      <c r="E895" s="8" t="s">
        <v>0</v>
      </c>
      <c r="F895" s="6" t="s">
        <v>42</v>
      </c>
      <c r="G895" s="8">
        <v>2017</v>
      </c>
      <c r="H895" s="8">
        <v>9</v>
      </c>
      <c r="I895" s="10">
        <v>42979</v>
      </c>
      <c r="J895" s="11">
        <v>6807</v>
      </c>
      <c r="K895" s="51"/>
      <c r="O895" s="1" t="s">
        <v>7</v>
      </c>
      <c r="P895" s="1" t="s">
        <v>32</v>
      </c>
      <c r="Q895" s="1" t="s">
        <v>8</v>
      </c>
      <c r="R895" s="1" t="s">
        <v>0</v>
      </c>
      <c r="S895" t="s">
        <v>42</v>
      </c>
      <c r="T895" s="1">
        <v>2017</v>
      </c>
      <c r="U895" s="1">
        <v>9</v>
      </c>
      <c r="V895" s="50">
        <v>42979</v>
      </c>
      <c r="W895" s="4">
        <v>6126.2999999999993</v>
      </c>
      <c r="X895" s="48">
        <v>6807</v>
      </c>
    </row>
    <row r="896" spans="2:24" x14ac:dyDescent="0.35">
      <c r="B896" s="8" t="s">
        <v>12</v>
      </c>
      <c r="C896" s="8" t="s">
        <v>44</v>
      </c>
      <c r="D896" s="8" t="s">
        <v>13</v>
      </c>
      <c r="E896" s="8" t="s">
        <v>0</v>
      </c>
      <c r="F896" s="6" t="s">
        <v>26</v>
      </c>
      <c r="G896" s="8">
        <v>2017</v>
      </c>
      <c r="H896" s="8">
        <v>9</v>
      </c>
      <c r="I896" s="10">
        <v>42979</v>
      </c>
      <c r="J896" s="11">
        <v>2630</v>
      </c>
      <c r="K896" s="51"/>
      <c r="O896" s="1" t="s">
        <v>12</v>
      </c>
      <c r="P896" s="1" t="s">
        <v>44</v>
      </c>
      <c r="Q896" s="1" t="s">
        <v>13</v>
      </c>
      <c r="R896" s="1" t="s">
        <v>0</v>
      </c>
      <c r="S896" t="s">
        <v>26</v>
      </c>
      <c r="T896" s="1">
        <v>2017</v>
      </c>
      <c r="U896" s="1">
        <v>9</v>
      </c>
      <c r="V896" s="50">
        <v>42979</v>
      </c>
      <c r="W896" s="4">
        <v>2261.8000000000002</v>
      </c>
      <c r="X896" s="48">
        <v>2630</v>
      </c>
    </row>
    <row r="897" spans="2:24" x14ac:dyDescent="0.35">
      <c r="B897" s="8" t="s">
        <v>14</v>
      </c>
      <c r="C897" s="8" t="s">
        <v>37</v>
      </c>
      <c r="D897" s="8" t="s">
        <v>38</v>
      </c>
      <c r="E897" s="8" t="s">
        <v>0</v>
      </c>
      <c r="F897" s="6" t="s">
        <v>45</v>
      </c>
      <c r="G897" s="8">
        <v>2017</v>
      </c>
      <c r="H897" s="8">
        <v>9</v>
      </c>
      <c r="I897" s="10">
        <v>42979</v>
      </c>
      <c r="J897" s="11">
        <v>2551</v>
      </c>
      <c r="K897" s="51"/>
      <c r="O897" s="1" t="s">
        <v>14</v>
      </c>
      <c r="P897" s="1" t="s">
        <v>37</v>
      </c>
      <c r="Q897" s="1" t="s">
        <v>38</v>
      </c>
      <c r="R897" s="1" t="s">
        <v>0</v>
      </c>
      <c r="S897" t="s">
        <v>45</v>
      </c>
      <c r="T897" s="1">
        <v>2017</v>
      </c>
      <c r="U897" s="1">
        <v>9</v>
      </c>
      <c r="V897" s="50">
        <v>42979</v>
      </c>
      <c r="W897" s="4">
        <v>2397.94</v>
      </c>
      <c r="X897" s="48">
        <v>2551</v>
      </c>
    </row>
    <row r="898" spans="2:24" x14ac:dyDescent="0.35">
      <c r="B898" s="8" t="s">
        <v>3</v>
      </c>
      <c r="C898" s="8" t="s">
        <v>25</v>
      </c>
      <c r="D898" s="8" t="s">
        <v>4</v>
      </c>
      <c r="E898" s="9" t="s">
        <v>27</v>
      </c>
      <c r="F898" s="9" t="s">
        <v>28</v>
      </c>
      <c r="G898" s="8">
        <v>2017</v>
      </c>
      <c r="H898" s="8">
        <v>9</v>
      </c>
      <c r="I898" s="10">
        <v>42979</v>
      </c>
      <c r="J898" s="11">
        <v>4635</v>
      </c>
      <c r="K898" s="51"/>
      <c r="O898" s="1" t="s">
        <v>3</v>
      </c>
      <c r="P898" s="1" t="s">
        <v>25</v>
      </c>
      <c r="Q898" s="1" t="s">
        <v>4</v>
      </c>
      <c r="R898" s="2" t="s">
        <v>27</v>
      </c>
      <c r="S898" s="2" t="s">
        <v>28</v>
      </c>
      <c r="T898" s="1">
        <v>2017</v>
      </c>
      <c r="U898" s="1">
        <v>9</v>
      </c>
      <c r="V898" s="50">
        <v>42979</v>
      </c>
      <c r="W898" s="4">
        <v>4264.2</v>
      </c>
      <c r="X898" s="48">
        <v>4635</v>
      </c>
    </row>
    <row r="899" spans="2:24" x14ac:dyDescent="0.35">
      <c r="B899" s="8" t="s">
        <v>3</v>
      </c>
      <c r="C899" s="8" t="s">
        <v>25</v>
      </c>
      <c r="D899" s="8" t="s">
        <v>4</v>
      </c>
      <c r="E899" s="8" t="s">
        <v>27</v>
      </c>
      <c r="F899" s="9" t="s">
        <v>31</v>
      </c>
      <c r="G899" s="8">
        <v>2017</v>
      </c>
      <c r="H899" s="8">
        <v>9</v>
      </c>
      <c r="I899" s="10">
        <v>42979</v>
      </c>
      <c r="J899" s="11">
        <v>3888</v>
      </c>
      <c r="K899" s="51"/>
      <c r="O899" s="1" t="s">
        <v>3</v>
      </c>
      <c r="P899" s="1" t="s">
        <v>25</v>
      </c>
      <c r="Q899" s="1" t="s">
        <v>4</v>
      </c>
      <c r="R899" s="1" t="s">
        <v>27</v>
      </c>
      <c r="S899" s="2" t="s">
        <v>31</v>
      </c>
      <c r="T899" s="1">
        <v>2017</v>
      </c>
      <c r="U899" s="1">
        <v>9</v>
      </c>
      <c r="V899" s="50">
        <v>42979</v>
      </c>
      <c r="W899" s="4">
        <v>3304.8</v>
      </c>
      <c r="X899" s="48">
        <v>3888</v>
      </c>
    </row>
    <row r="900" spans="2:24" x14ac:dyDescent="0.35">
      <c r="B900" s="8" t="s">
        <v>6</v>
      </c>
      <c r="C900" s="8" t="s">
        <v>40</v>
      </c>
      <c r="D900" s="8" t="s">
        <v>41</v>
      </c>
      <c r="E900" s="8" t="s">
        <v>27</v>
      </c>
      <c r="F900" s="6" t="s">
        <v>33</v>
      </c>
      <c r="G900" s="8">
        <v>2017</v>
      </c>
      <c r="H900" s="8">
        <v>9</v>
      </c>
      <c r="I900" s="10">
        <v>42979</v>
      </c>
      <c r="J900" s="11">
        <v>3923</v>
      </c>
      <c r="K900" s="51"/>
      <c r="O900" s="1" t="s">
        <v>6</v>
      </c>
      <c r="P900" s="1" t="s">
        <v>40</v>
      </c>
      <c r="Q900" s="1" t="s">
        <v>41</v>
      </c>
      <c r="R900" s="1" t="s">
        <v>27</v>
      </c>
      <c r="S900" t="s">
        <v>33</v>
      </c>
      <c r="T900" s="1">
        <v>2017</v>
      </c>
      <c r="U900" s="1">
        <v>9</v>
      </c>
      <c r="V900" s="50">
        <v>42979</v>
      </c>
      <c r="W900" s="4">
        <v>3452.24</v>
      </c>
      <c r="X900" s="48">
        <v>3923</v>
      </c>
    </row>
    <row r="901" spans="2:24" x14ac:dyDescent="0.35">
      <c r="B901" s="8" t="s">
        <v>6</v>
      </c>
      <c r="C901" s="8" t="s">
        <v>40</v>
      </c>
      <c r="D901" s="8" t="s">
        <v>41</v>
      </c>
      <c r="E901" s="8" t="s">
        <v>23</v>
      </c>
      <c r="F901" s="8" t="s">
        <v>36</v>
      </c>
      <c r="G901" s="8">
        <v>2017</v>
      </c>
      <c r="H901" s="8">
        <v>9</v>
      </c>
      <c r="I901" s="10">
        <v>42979</v>
      </c>
      <c r="J901" s="11">
        <v>2655</v>
      </c>
      <c r="K901" s="51"/>
      <c r="O901" s="1" t="s">
        <v>6</v>
      </c>
      <c r="P901" s="1" t="s">
        <v>40</v>
      </c>
      <c r="Q901" s="1" t="s">
        <v>41</v>
      </c>
      <c r="R901" s="1" t="s">
        <v>23</v>
      </c>
      <c r="S901" s="1" t="s">
        <v>36</v>
      </c>
      <c r="T901" s="1">
        <v>2017</v>
      </c>
      <c r="U901" s="1">
        <v>9</v>
      </c>
      <c r="V901" s="50">
        <v>42979</v>
      </c>
      <c r="W901" s="4">
        <v>2256.75</v>
      </c>
      <c r="X901" s="48">
        <v>2655</v>
      </c>
    </row>
    <row r="902" spans="2:24" x14ac:dyDescent="0.35">
      <c r="B902" s="8" t="s">
        <v>7</v>
      </c>
      <c r="C902" s="8" t="s">
        <v>43</v>
      </c>
      <c r="D902" s="8" t="s">
        <v>10</v>
      </c>
      <c r="E902" s="8" t="s">
        <v>23</v>
      </c>
      <c r="F902" s="8" t="s">
        <v>24</v>
      </c>
      <c r="G902" s="8">
        <v>2017</v>
      </c>
      <c r="H902" s="8">
        <v>9</v>
      </c>
      <c r="I902" s="10">
        <v>42979</v>
      </c>
      <c r="J902" s="11">
        <v>2320</v>
      </c>
      <c r="K902" s="51"/>
      <c r="O902" s="1" t="s">
        <v>7</v>
      </c>
      <c r="P902" s="1" t="s">
        <v>43</v>
      </c>
      <c r="Q902" s="1" t="s">
        <v>10</v>
      </c>
      <c r="R902" s="1" t="s">
        <v>23</v>
      </c>
      <c r="S902" s="1" t="s">
        <v>24</v>
      </c>
      <c r="T902" s="1">
        <v>2017</v>
      </c>
      <c r="U902" s="1">
        <v>9</v>
      </c>
      <c r="V902" s="50">
        <v>42979</v>
      </c>
      <c r="W902" s="4">
        <v>2180.7999999999997</v>
      </c>
      <c r="X902" s="48">
        <v>2320</v>
      </c>
    </row>
    <row r="903" spans="2:24" x14ac:dyDescent="0.35">
      <c r="B903" s="8" t="s">
        <v>7</v>
      </c>
      <c r="C903" s="8" t="s">
        <v>43</v>
      </c>
      <c r="D903" s="8" t="s">
        <v>10</v>
      </c>
      <c r="E903" s="8" t="s">
        <v>23</v>
      </c>
      <c r="F903" s="8" t="s">
        <v>39</v>
      </c>
      <c r="G903" s="8">
        <v>2017</v>
      </c>
      <c r="H903" s="8">
        <v>9</v>
      </c>
      <c r="I903" s="10">
        <v>42979</v>
      </c>
      <c r="J903" s="11">
        <v>2491</v>
      </c>
      <c r="K903" s="51"/>
      <c r="O903" s="1" t="s">
        <v>7</v>
      </c>
      <c r="P903" s="1" t="s">
        <v>43</v>
      </c>
      <c r="Q903" s="1" t="s">
        <v>10</v>
      </c>
      <c r="R903" s="1" t="s">
        <v>23</v>
      </c>
      <c r="S903" s="1" t="s">
        <v>39</v>
      </c>
      <c r="T903" s="1">
        <v>2017</v>
      </c>
      <c r="U903" s="1">
        <v>9</v>
      </c>
      <c r="V903" s="50">
        <v>42979</v>
      </c>
      <c r="W903" s="4">
        <v>2266.81</v>
      </c>
      <c r="X903" s="48">
        <v>2491</v>
      </c>
    </row>
    <row r="904" spans="2:24" x14ac:dyDescent="0.35">
      <c r="B904" s="8" t="s">
        <v>7</v>
      </c>
      <c r="C904" s="8" t="s">
        <v>32</v>
      </c>
      <c r="D904" s="8" t="s">
        <v>8</v>
      </c>
      <c r="E904" s="8" t="s">
        <v>0</v>
      </c>
      <c r="F904" s="6" t="s">
        <v>26</v>
      </c>
      <c r="G904" s="8">
        <v>2017</v>
      </c>
      <c r="H904" s="8">
        <v>9</v>
      </c>
      <c r="I904" s="10">
        <v>42979</v>
      </c>
      <c r="J904" s="11">
        <v>5372</v>
      </c>
      <c r="K904" s="51"/>
      <c r="O904" s="1" t="s">
        <v>7</v>
      </c>
      <c r="P904" s="1" t="s">
        <v>32</v>
      </c>
      <c r="Q904" s="1" t="s">
        <v>8</v>
      </c>
      <c r="R904" s="1" t="s">
        <v>0</v>
      </c>
      <c r="S904" t="s">
        <v>26</v>
      </c>
      <c r="T904" s="1">
        <v>2017</v>
      </c>
      <c r="U904" s="1">
        <v>9</v>
      </c>
      <c r="V904" s="50">
        <v>42979</v>
      </c>
      <c r="W904" s="4">
        <v>4619.92</v>
      </c>
      <c r="X904" s="48">
        <v>5372</v>
      </c>
    </row>
    <row r="905" spans="2:24" x14ac:dyDescent="0.35">
      <c r="B905" s="8" t="s">
        <v>3</v>
      </c>
      <c r="C905" s="8" t="s">
        <v>22</v>
      </c>
      <c r="D905" s="8" t="s">
        <v>5</v>
      </c>
      <c r="E905" s="8" t="s">
        <v>0</v>
      </c>
      <c r="F905" s="6" t="s">
        <v>45</v>
      </c>
      <c r="G905" s="8">
        <v>2017</v>
      </c>
      <c r="H905" s="8">
        <v>9</v>
      </c>
      <c r="I905" s="10">
        <v>42979</v>
      </c>
      <c r="J905" s="11">
        <v>2506</v>
      </c>
      <c r="K905" s="51"/>
      <c r="O905" s="1" t="s">
        <v>3</v>
      </c>
      <c r="P905" s="1" t="s">
        <v>22</v>
      </c>
      <c r="Q905" s="1" t="s">
        <v>5</v>
      </c>
      <c r="R905" s="1" t="s">
        <v>0</v>
      </c>
      <c r="S905" t="s">
        <v>45</v>
      </c>
      <c r="T905" s="1">
        <v>2017</v>
      </c>
      <c r="U905" s="1">
        <v>9</v>
      </c>
      <c r="V905" s="50">
        <v>42979</v>
      </c>
      <c r="W905" s="4">
        <v>2130.1000000000004</v>
      </c>
      <c r="X905" s="48">
        <v>2506</v>
      </c>
    </row>
    <row r="906" spans="2:24" x14ac:dyDescent="0.35">
      <c r="B906" s="8" t="s">
        <v>7</v>
      </c>
      <c r="C906" s="8" t="s">
        <v>48</v>
      </c>
      <c r="D906" s="8" t="s">
        <v>9</v>
      </c>
      <c r="E906" s="8" t="s">
        <v>23</v>
      </c>
      <c r="F906" s="6" t="s">
        <v>36</v>
      </c>
      <c r="G906" s="8">
        <v>2017</v>
      </c>
      <c r="H906" s="8">
        <v>9</v>
      </c>
      <c r="I906" s="10">
        <v>42979</v>
      </c>
      <c r="J906" s="11">
        <v>2013</v>
      </c>
      <c r="K906" s="51"/>
      <c r="O906" s="1" t="s">
        <v>7</v>
      </c>
      <c r="P906" s="1" t="s">
        <v>48</v>
      </c>
      <c r="Q906" s="1" t="s">
        <v>9</v>
      </c>
      <c r="R906" s="1" t="s">
        <v>23</v>
      </c>
      <c r="S906" t="s">
        <v>36</v>
      </c>
      <c r="T906" s="1">
        <v>2017</v>
      </c>
      <c r="U906" s="1">
        <v>9</v>
      </c>
      <c r="V906" s="50">
        <v>42979</v>
      </c>
      <c r="W906" s="4">
        <v>1851.9599999999998</v>
      </c>
      <c r="X906" s="48">
        <v>2013</v>
      </c>
    </row>
    <row r="907" spans="2:24" x14ac:dyDescent="0.35">
      <c r="B907" s="8" t="s">
        <v>7</v>
      </c>
      <c r="C907" s="8" t="s">
        <v>48</v>
      </c>
      <c r="D907" s="8" t="s">
        <v>9</v>
      </c>
      <c r="E907" s="9" t="s">
        <v>23</v>
      </c>
      <c r="F907" s="9" t="s">
        <v>24</v>
      </c>
      <c r="G907" s="8">
        <v>2017</v>
      </c>
      <c r="H907" s="8">
        <v>9</v>
      </c>
      <c r="I907" s="10">
        <v>42979</v>
      </c>
      <c r="J907" s="11">
        <v>3002</v>
      </c>
      <c r="K907" s="51"/>
      <c r="O907" s="1" t="s">
        <v>7</v>
      </c>
      <c r="P907" s="1" t="s">
        <v>48</v>
      </c>
      <c r="Q907" s="1" t="s">
        <v>9</v>
      </c>
      <c r="R907" s="2" t="s">
        <v>23</v>
      </c>
      <c r="S907" s="2" t="s">
        <v>24</v>
      </c>
      <c r="T907" s="1">
        <v>2017</v>
      </c>
      <c r="U907" s="1">
        <v>9</v>
      </c>
      <c r="V907" s="50">
        <v>42979</v>
      </c>
      <c r="W907" s="4">
        <v>2791.8599999999997</v>
      </c>
      <c r="X907" s="48">
        <v>3002</v>
      </c>
    </row>
    <row r="908" spans="2:24" x14ac:dyDescent="0.35">
      <c r="B908" s="8" t="s">
        <v>7</v>
      </c>
      <c r="C908" s="8" t="s">
        <v>49</v>
      </c>
      <c r="D908" s="8" t="s">
        <v>11</v>
      </c>
      <c r="E908" s="8" t="s">
        <v>23</v>
      </c>
      <c r="F908" s="9" t="s">
        <v>39</v>
      </c>
      <c r="G908" s="8">
        <v>2017</v>
      </c>
      <c r="H908" s="8">
        <v>9</v>
      </c>
      <c r="I908" s="10">
        <v>42979</v>
      </c>
      <c r="J908" s="11">
        <v>2716</v>
      </c>
      <c r="K908" s="51"/>
      <c r="O908" s="1" t="s">
        <v>7</v>
      </c>
      <c r="P908" s="1" t="s">
        <v>49</v>
      </c>
      <c r="Q908" s="1" t="s">
        <v>11</v>
      </c>
      <c r="R908" s="1" t="s">
        <v>23</v>
      </c>
      <c r="S908" s="2" t="s">
        <v>39</v>
      </c>
      <c r="T908" s="1">
        <v>2017</v>
      </c>
      <c r="U908" s="1">
        <v>9</v>
      </c>
      <c r="V908" s="50">
        <v>42979</v>
      </c>
      <c r="W908" s="4">
        <v>2417.2399999999998</v>
      </c>
      <c r="X908" s="48">
        <v>2716</v>
      </c>
    </row>
    <row r="909" spans="2:24" x14ac:dyDescent="0.35">
      <c r="B909" s="8" t="s">
        <v>7</v>
      </c>
      <c r="C909" s="8" t="s">
        <v>49</v>
      </c>
      <c r="D909" s="8" t="s">
        <v>11</v>
      </c>
      <c r="E909" s="8" t="s">
        <v>0</v>
      </c>
      <c r="F909" s="6" t="s">
        <v>42</v>
      </c>
      <c r="G909" s="8">
        <v>2017</v>
      </c>
      <c r="H909" s="8">
        <v>9</v>
      </c>
      <c r="I909" s="10">
        <v>42979</v>
      </c>
      <c r="J909" s="11">
        <v>4052</v>
      </c>
      <c r="K909" s="51"/>
      <c r="O909" s="1" t="s">
        <v>7</v>
      </c>
      <c r="P909" s="1" t="s">
        <v>49</v>
      </c>
      <c r="Q909" s="1" t="s">
        <v>11</v>
      </c>
      <c r="R909" s="1" t="s">
        <v>0</v>
      </c>
      <c r="S909" t="s">
        <v>42</v>
      </c>
      <c r="T909" s="1">
        <v>2017</v>
      </c>
      <c r="U909" s="1">
        <v>9</v>
      </c>
      <c r="V909" s="50">
        <v>42979</v>
      </c>
      <c r="W909" s="4">
        <v>3525.2400000000007</v>
      </c>
      <c r="X909" s="48">
        <v>4052</v>
      </c>
    </row>
    <row r="910" spans="2:24" x14ac:dyDescent="0.35">
      <c r="B910" s="8" t="s">
        <v>12</v>
      </c>
      <c r="C910" s="8" t="s">
        <v>34</v>
      </c>
      <c r="D910" s="8" t="s">
        <v>35</v>
      </c>
      <c r="E910" s="8" t="s">
        <v>0</v>
      </c>
      <c r="F910" s="8" t="s">
        <v>26</v>
      </c>
      <c r="G910" s="8">
        <v>2017</v>
      </c>
      <c r="H910" s="8">
        <v>9</v>
      </c>
      <c r="I910" s="10">
        <v>42979</v>
      </c>
      <c r="J910" s="11">
        <v>3052</v>
      </c>
      <c r="K910" s="51"/>
      <c r="O910" s="1" t="s">
        <v>12</v>
      </c>
      <c r="P910" s="1" t="s">
        <v>34</v>
      </c>
      <c r="Q910" s="1" t="s">
        <v>35</v>
      </c>
      <c r="R910" s="1" t="s">
        <v>0</v>
      </c>
      <c r="S910" s="1" t="s">
        <v>26</v>
      </c>
      <c r="T910" s="1">
        <v>2017</v>
      </c>
      <c r="U910" s="1">
        <v>9</v>
      </c>
      <c r="V910" s="50">
        <v>42979</v>
      </c>
      <c r="W910" s="4">
        <v>2807.8399999999997</v>
      </c>
      <c r="X910" s="48">
        <v>3052</v>
      </c>
    </row>
    <row r="911" spans="2:24" x14ac:dyDescent="0.35">
      <c r="B911" s="8" t="s">
        <v>12</v>
      </c>
      <c r="C911" s="8" t="s">
        <v>34</v>
      </c>
      <c r="D911" s="8" t="s">
        <v>35</v>
      </c>
      <c r="E911" s="8" t="s">
        <v>0</v>
      </c>
      <c r="F911" s="8" t="s">
        <v>45</v>
      </c>
      <c r="G911" s="8">
        <v>2017</v>
      </c>
      <c r="H911" s="8">
        <v>9</v>
      </c>
      <c r="I911" s="10">
        <v>42979</v>
      </c>
      <c r="J911" s="11">
        <v>4322</v>
      </c>
      <c r="K911" s="51"/>
      <c r="O911" s="1" t="s">
        <v>12</v>
      </c>
      <c r="P911" s="1" t="s">
        <v>34</v>
      </c>
      <c r="Q911" s="1" t="s">
        <v>35</v>
      </c>
      <c r="R911" s="1" t="s">
        <v>0</v>
      </c>
      <c r="S911" s="1" t="s">
        <v>45</v>
      </c>
      <c r="T911" s="1">
        <v>2017</v>
      </c>
      <c r="U911" s="1">
        <v>9</v>
      </c>
      <c r="V911" s="50">
        <v>42979</v>
      </c>
      <c r="W911" s="4">
        <v>4019.4599999999996</v>
      </c>
      <c r="X911" s="48">
        <v>4322</v>
      </c>
    </row>
    <row r="912" spans="2:24" x14ac:dyDescent="0.35">
      <c r="B912" s="8" t="s">
        <v>14</v>
      </c>
      <c r="C912" s="8" t="s">
        <v>37</v>
      </c>
      <c r="D912" s="8" t="s">
        <v>38</v>
      </c>
      <c r="E912" s="8" t="s">
        <v>27</v>
      </c>
      <c r="F912" s="8" t="s">
        <v>28</v>
      </c>
      <c r="G912" s="8">
        <v>2017</v>
      </c>
      <c r="H912" s="8">
        <v>9</v>
      </c>
      <c r="I912" s="10">
        <v>42979</v>
      </c>
      <c r="J912" s="11">
        <v>3960</v>
      </c>
      <c r="K912" s="51"/>
      <c r="O912" s="1" t="s">
        <v>14</v>
      </c>
      <c r="P912" s="1" t="s">
        <v>37</v>
      </c>
      <c r="Q912" s="1" t="s">
        <v>38</v>
      </c>
      <c r="R912" s="1" t="s">
        <v>27</v>
      </c>
      <c r="S912" s="1" t="s">
        <v>28</v>
      </c>
      <c r="T912" s="1">
        <v>2017</v>
      </c>
      <c r="U912" s="1">
        <v>9</v>
      </c>
      <c r="V912" s="50">
        <v>42979</v>
      </c>
      <c r="W912" s="4">
        <v>3563.9999999999995</v>
      </c>
      <c r="X912" s="48">
        <v>3960</v>
      </c>
    </row>
    <row r="913" spans="2:24" x14ac:dyDescent="0.35">
      <c r="B913" s="8" t="s">
        <v>14</v>
      </c>
      <c r="C913" s="8" t="s">
        <v>37</v>
      </c>
      <c r="D913" s="8" t="s">
        <v>38</v>
      </c>
      <c r="E913" s="8" t="s">
        <v>27</v>
      </c>
      <c r="F913" s="6" t="s">
        <v>31</v>
      </c>
      <c r="G913" s="8">
        <v>2017</v>
      </c>
      <c r="H913" s="8">
        <v>9</v>
      </c>
      <c r="I913" s="10">
        <v>42979</v>
      </c>
      <c r="J913" s="11">
        <v>5527</v>
      </c>
      <c r="K913" s="51"/>
      <c r="O913" s="1" t="s">
        <v>14</v>
      </c>
      <c r="P913" s="1" t="s">
        <v>37</v>
      </c>
      <c r="Q913" s="1" t="s">
        <v>38</v>
      </c>
      <c r="R913" s="1" t="s">
        <v>27</v>
      </c>
      <c r="S913" t="s">
        <v>31</v>
      </c>
      <c r="T913" s="1">
        <v>2017</v>
      </c>
      <c r="U913" s="1">
        <v>9</v>
      </c>
      <c r="V913" s="50">
        <v>42979</v>
      </c>
      <c r="W913" s="4">
        <v>5084.8399999999992</v>
      </c>
      <c r="X913" s="48">
        <v>5527</v>
      </c>
    </row>
    <row r="914" spans="2:24" x14ac:dyDescent="0.35">
      <c r="B914" s="8" t="s">
        <v>12</v>
      </c>
      <c r="C914" s="8" t="s">
        <v>44</v>
      </c>
      <c r="D914" s="8" t="s">
        <v>13</v>
      </c>
      <c r="E914" s="8" t="s">
        <v>23</v>
      </c>
      <c r="F914" s="6" t="s">
        <v>36</v>
      </c>
      <c r="G914" s="8">
        <v>2017</v>
      </c>
      <c r="H914" s="8">
        <v>9</v>
      </c>
      <c r="I914" s="10">
        <v>42979</v>
      </c>
      <c r="J914" s="11">
        <v>2572</v>
      </c>
      <c r="K914" s="51"/>
      <c r="O914" s="1" t="s">
        <v>12</v>
      </c>
      <c r="P914" s="1" t="s">
        <v>44</v>
      </c>
      <c r="Q914" s="1" t="s">
        <v>13</v>
      </c>
      <c r="R914" s="1" t="s">
        <v>23</v>
      </c>
      <c r="S914" t="s">
        <v>36</v>
      </c>
      <c r="T914" s="1">
        <v>2017</v>
      </c>
      <c r="U914" s="1">
        <v>9</v>
      </c>
      <c r="V914" s="50">
        <v>42979</v>
      </c>
      <c r="W914" s="4">
        <v>2314.7999999999997</v>
      </c>
      <c r="X914" s="48">
        <v>2572</v>
      </c>
    </row>
    <row r="915" spans="2:24" x14ac:dyDescent="0.35">
      <c r="B915" s="8" t="s">
        <v>14</v>
      </c>
      <c r="C915" s="8" t="s">
        <v>46</v>
      </c>
      <c r="D915" s="8" t="s">
        <v>47</v>
      </c>
      <c r="E915" s="8" t="s">
        <v>23</v>
      </c>
      <c r="F915" s="6" t="s">
        <v>24</v>
      </c>
      <c r="G915" s="8">
        <v>2017</v>
      </c>
      <c r="H915" s="8">
        <v>9</v>
      </c>
      <c r="I915" s="10">
        <v>42979</v>
      </c>
      <c r="J915" s="11">
        <v>1965</v>
      </c>
      <c r="K915" s="51"/>
      <c r="O915" s="1" t="s">
        <v>14</v>
      </c>
      <c r="P915" s="1" t="s">
        <v>46</v>
      </c>
      <c r="Q915" s="1" t="s">
        <v>47</v>
      </c>
      <c r="R915" s="1" t="s">
        <v>23</v>
      </c>
      <c r="S915" t="s">
        <v>24</v>
      </c>
      <c r="T915" s="1">
        <v>2017</v>
      </c>
      <c r="U915" s="1">
        <v>9</v>
      </c>
      <c r="V915" s="50">
        <v>42979</v>
      </c>
      <c r="W915" s="4">
        <v>1709.5500000000002</v>
      </c>
      <c r="X915" s="48">
        <v>1965</v>
      </c>
    </row>
    <row r="916" spans="2:24" x14ac:dyDescent="0.35">
      <c r="B916" s="8" t="s">
        <v>14</v>
      </c>
      <c r="C916" s="8" t="s">
        <v>46</v>
      </c>
      <c r="D916" s="8" t="s">
        <v>47</v>
      </c>
      <c r="E916" s="9" t="s">
        <v>23</v>
      </c>
      <c r="F916" s="9" t="s">
        <v>39</v>
      </c>
      <c r="G916" s="8">
        <v>2017</v>
      </c>
      <c r="H916" s="8">
        <v>9</v>
      </c>
      <c r="I916" s="10">
        <v>42979</v>
      </c>
      <c r="J916" s="11">
        <v>1341</v>
      </c>
      <c r="K916" s="51"/>
      <c r="O916" s="1" t="s">
        <v>14</v>
      </c>
      <c r="P916" s="1" t="s">
        <v>46</v>
      </c>
      <c r="Q916" s="1" t="s">
        <v>47</v>
      </c>
      <c r="R916" s="2" t="s">
        <v>23</v>
      </c>
      <c r="S916" s="2" t="s">
        <v>39</v>
      </c>
      <c r="T916" s="1">
        <v>2017</v>
      </c>
      <c r="U916" s="1">
        <v>9</v>
      </c>
      <c r="V916" s="50">
        <v>42979</v>
      </c>
      <c r="W916" s="4">
        <v>1139.8500000000001</v>
      </c>
      <c r="X916" s="48">
        <v>1341</v>
      </c>
    </row>
    <row r="917" spans="2:24" x14ac:dyDescent="0.35">
      <c r="B917" s="8" t="s">
        <v>7</v>
      </c>
      <c r="C917" s="8" t="s">
        <v>43</v>
      </c>
      <c r="D917" s="8" t="s">
        <v>10</v>
      </c>
      <c r="E917" s="8" t="s">
        <v>0</v>
      </c>
      <c r="F917" s="9" t="s">
        <v>42</v>
      </c>
      <c r="G917" s="8">
        <v>2017</v>
      </c>
      <c r="H917" s="8">
        <v>9</v>
      </c>
      <c r="I917" s="10">
        <v>42979</v>
      </c>
      <c r="J917" s="11">
        <v>4660</v>
      </c>
      <c r="K917" s="51"/>
      <c r="O917" s="1" t="s">
        <v>7</v>
      </c>
      <c r="P917" s="1" t="s">
        <v>43</v>
      </c>
      <c r="Q917" s="1" t="s">
        <v>10</v>
      </c>
      <c r="R917" s="1" t="s">
        <v>0</v>
      </c>
      <c r="S917" s="2" t="s">
        <v>42</v>
      </c>
      <c r="T917" s="1">
        <v>2017</v>
      </c>
      <c r="U917" s="1">
        <v>9</v>
      </c>
      <c r="V917" s="50">
        <v>42979</v>
      </c>
      <c r="W917" s="4">
        <v>4240.5999999999995</v>
      </c>
      <c r="X917" s="48">
        <v>4660</v>
      </c>
    </row>
    <row r="918" spans="2:24" x14ac:dyDescent="0.35">
      <c r="B918" s="8" t="s">
        <v>6</v>
      </c>
      <c r="C918" s="8" t="s">
        <v>40</v>
      </c>
      <c r="D918" s="8" t="s">
        <v>41</v>
      </c>
      <c r="E918" s="8" t="s">
        <v>27</v>
      </c>
      <c r="F918" s="6" t="s">
        <v>31</v>
      </c>
      <c r="G918" s="8">
        <v>2017</v>
      </c>
      <c r="H918" s="8">
        <v>9</v>
      </c>
      <c r="I918" s="10">
        <v>42979</v>
      </c>
      <c r="J918" s="11">
        <v>4783</v>
      </c>
      <c r="K918" s="51"/>
      <c r="O918" s="1" t="s">
        <v>6</v>
      </c>
      <c r="P918" s="1" t="s">
        <v>40</v>
      </c>
      <c r="Q918" s="1" t="s">
        <v>41</v>
      </c>
      <c r="R918" s="1" t="s">
        <v>27</v>
      </c>
      <c r="S918" t="s">
        <v>31</v>
      </c>
      <c r="T918" s="1">
        <v>2017</v>
      </c>
      <c r="U918" s="1">
        <v>9</v>
      </c>
      <c r="V918" s="50">
        <v>42979</v>
      </c>
      <c r="W918" s="4">
        <v>4304.7</v>
      </c>
      <c r="X918" s="48">
        <v>4783</v>
      </c>
    </row>
    <row r="919" spans="2:24" x14ac:dyDescent="0.35">
      <c r="B919" s="8" t="s">
        <v>3</v>
      </c>
      <c r="C919" s="8" t="s">
        <v>22</v>
      </c>
      <c r="D919" s="8" t="s">
        <v>5</v>
      </c>
      <c r="E919" s="8" t="s">
        <v>23</v>
      </c>
      <c r="F919" s="8" t="s">
        <v>39</v>
      </c>
      <c r="G919" s="8">
        <v>2017</v>
      </c>
      <c r="H919" s="8">
        <v>9</v>
      </c>
      <c r="I919" s="10">
        <v>42979</v>
      </c>
      <c r="J919" s="11">
        <v>1991</v>
      </c>
      <c r="K919" s="51"/>
      <c r="O919" s="1" t="s">
        <v>3</v>
      </c>
      <c r="P919" s="1" t="s">
        <v>22</v>
      </c>
      <c r="Q919" s="1" t="s">
        <v>5</v>
      </c>
      <c r="R919" s="1" t="s">
        <v>23</v>
      </c>
      <c r="S919" s="1" t="s">
        <v>39</v>
      </c>
      <c r="T919" s="1">
        <v>2017</v>
      </c>
      <c r="U919" s="1">
        <v>9</v>
      </c>
      <c r="V919" s="50">
        <v>42979</v>
      </c>
      <c r="W919" s="4">
        <v>1712.2600000000002</v>
      </c>
      <c r="X919" s="48">
        <v>1991</v>
      </c>
    </row>
    <row r="920" spans="2:24" x14ac:dyDescent="0.35">
      <c r="B920" s="8" t="s">
        <v>3</v>
      </c>
      <c r="C920" s="8" t="s">
        <v>22</v>
      </c>
      <c r="D920" s="8" t="s">
        <v>5</v>
      </c>
      <c r="E920" s="8" t="s">
        <v>0</v>
      </c>
      <c r="F920" s="8" t="s">
        <v>42</v>
      </c>
      <c r="G920" s="8">
        <v>2017</v>
      </c>
      <c r="H920" s="8">
        <v>9</v>
      </c>
      <c r="I920" s="10">
        <v>42979</v>
      </c>
      <c r="J920" s="11">
        <v>4576</v>
      </c>
      <c r="K920" s="51"/>
      <c r="O920" s="1" t="s">
        <v>3</v>
      </c>
      <c r="P920" s="1" t="s">
        <v>22</v>
      </c>
      <c r="Q920" s="1" t="s">
        <v>5</v>
      </c>
      <c r="R920" s="1" t="s">
        <v>0</v>
      </c>
      <c r="S920" s="1" t="s">
        <v>42</v>
      </c>
      <c r="T920" s="1">
        <v>2017</v>
      </c>
      <c r="U920" s="1">
        <v>9</v>
      </c>
      <c r="V920" s="50">
        <v>42979</v>
      </c>
      <c r="W920" s="4">
        <v>3981.1200000000003</v>
      </c>
      <c r="X920" s="48">
        <v>4576</v>
      </c>
    </row>
    <row r="921" spans="2:24" x14ac:dyDescent="0.35">
      <c r="B921" s="8" t="s">
        <v>6</v>
      </c>
      <c r="C921" s="8" t="s">
        <v>29</v>
      </c>
      <c r="D921" s="8" t="s">
        <v>30</v>
      </c>
      <c r="E921" s="8" t="s">
        <v>0</v>
      </c>
      <c r="F921" s="8" t="s">
        <v>26</v>
      </c>
      <c r="G921" s="8">
        <v>2017</v>
      </c>
      <c r="H921" s="8">
        <v>9</v>
      </c>
      <c r="I921" s="10">
        <v>42979</v>
      </c>
      <c r="J921" s="11">
        <v>3794</v>
      </c>
      <c r="K921" s="51"/>
      <c r="O921" s="1" t="s">
        <v>6</v>
      </c>
      <c r="P921" s="1" t="s">
        <v>29</v>
      </c>
      <c r="Q921" s="1" t="s">
        <v>30</v>
      </c>
      <c r="R921" s="1" t="s">
        <v>0</v>
      </c>
      <c r="S921" s="1" t="s">
        <v>26</v>
      </c>
      <c r="T921" s="1">
        <v>2017</v>
      </c>
      <c r="U921" s="1">
        <v>9</v>
      </c>
      <c r="V921" s="50">
        <v>42979</v>
      </c>
      <c r="W921" s="4">
        <v>3490.4799999999996</v>
      </c>
      <c r="X921" s="48">
        <v>3794</v>
      </c>
    </row>
    <row r="922" spans="2:24" x14ac:dyDescent="0.35">
      <c r="B922" s="8" t="s">
        <v>7</v>
      </c>
      <c r="C922" s="8" t="s">
        <v>48</v>
      </c>
      <c r="D922" s="8" t="s">
        <v>9</v>
      </c>
      <c r="E922" s="8" t="s">
        <v>27</v>
      </c>
      <c r="F922" s="6" t="s">
        <v>28</v>
      </c>
      <c r="G922" s="8">
        <v>2017</v>
      </c>
      <c r="H922" s="8">
        <v>9</v>
      </c>
      <c r="I922" s="10">
        <v>42979</v>
      </c>
      <c r="J922" s="11">
        <v>3262</v>
      </c>
      <c r="K922" s="51"/>
      <c r="O922" s="1" t="s">
        <v>7</v>
      </c>
      <c r="P922" s="1" t="s">
        <v>48</v>
      </c>
      <c r="Q922" s="1" t="s">
        <v>9</v>
      </c>
      <c r="R922" s="1" t="s">
        <v>27</v>
      </c>
      <c r="S922" t="s">
        <v>28</v>
      </c>
      <c r="T922" s="1">
        <v>2017</v>
      </c>
      <c r="U922" s="1">
        <v>9</v>
      </c>
      <c r="V922" s="50">
        <v>42979</v>
      </c>
      <c r="W922" s="4">
        <v>3001.04</v>
      </c>
      <c r="X922" s="48">
        <v>3262</v>
      </c>
    </row>
    <row r="923" spans="2:24" x14ac:dyDescent="0.35">
      <c r="B923" s="8" t="s">
        <v>7</v>
      </c>
      <c r="C923" s="8" t="s">
        <v>48</v>
      </c>
      <c r="D923" s="8" t="s">
        <v>9</v>
      </c>
      <c r="E923" s="8" t="s">
        <v>27</v>
      </c>
      <c r="F923" s="6" t="s">
        <v>31</v>
      </c>
      <c r="G923" s="8">
        <v>2017</v>
      </c>
      <c r="H923" s="8">
        <v>9</v>
      </c>
      <c r="I923" s="10">
        <v>42979</v>
      </c>
      <c r="J923" s="11">
        <v>2612</v>
      </c>
      <c r="K923" s="51"/>
      <c r="O923" s="1" t="s">
        <v>7</v>
      </c>
      <c r="P923" s="1" t="s">
        <v>48</v>
      </c>
      <c r="Q923" s="1" t="s">
        <v>9</v>
      </c>
      <c r="R923" s="1" t="s">
        <v>27</v>
      </c>
      <c r="S923" t="s">
        <v>31</v>
      </c>
      <c r="T923" s="1">
        <v>2017</v>
      </c>
      <c r="U923" s="1">
        <v>9</v>
      </c>
      <c r="V923" s="50">
        <v>42979</v>
      </c>
      <c r="W923" s="4">
        <v>2246.3200000000002</v>
      </c>
      <c r="X923" s="48">
        <v>2612</v>
      </c>
    </row>
    <row r="924" spans="2:24" x14ac:dyDescent="0.35">
      <c r="B924" s="8" t="s">
        <v>7</v>
      </c>
      <c r="C924" s="8" t="s">
        <v>49</v>
      </c>
      <c r="D924" s="8" t="s">
        <v>11</v>
      </c>
      <c r="E924" s="8" t="s">
        <v>27</v>
      </c>
      <c r="F924" s="6" t="s">
        <v>33</v>
      </c>
      <c r="G924" s="8">
        <v>2017</v>
      </c>
      <c r="H924" s="8">
        <v>9</v>
      </c>
      <c r="I924" s="10">
        <v>42979</v>
      </c>
      <c r="J924" s="11">
        <v>3406</v>
      </c>
      <c r="K924" s="51"/>
      <c r="O924" s="1" t="s">
        <v>7</v>
      </c>
      <c r="P924" s="1" t="s">
        <v>49</v>
      </c>
      <c r="Q924" s="1" t="s">
        <v>11</v>
      </c>
      <c r="R924" s="1" t="s">
        <v>27</v>
      </c>
      <c r="S924" t="s">
        <v>33</v>
      </c>
      <c r="T924" s="1">
        <v>2017</v>
      </c>
      <c r="U924" s="1">
        <v>9</v>
      </c>
      <c r="V924" s="50">
        <v>42979</v>
      </c>
      <c r="W924" s="4">
        <v>3167.58</v>
      </c>
      <c r="X924" s="48">
        <v>3406</v>
      </c>
    </row>
    <row r="925" spans="2:24" x14ac:dyDescent="0.35">
      <c r="B925" s="8" t="s">
        <v>7</v>
      </c>
      <c r="C925" s="8" t="s">
        <v>49</v>
      </c>
      <c r="D925" s="8" t="s">
        <v>11</v>
      </c>
      <c r="E925" s="9" t="s">
        <v>23</v>
      </c>
      <c r="F925" s="9" t="s">
        <v>36</v>
      </c>
      <c r="G925" s="8">
        <v>2017</v>
      </c>
      <c r="H925" s="8">
        <v>9</v>
      </c>
      <c r="I925" s="10">
        <v>42979</v>
      </c>
      <c r="J925" s="11">
        <v>1713</v>
      </c>
      <c r="K925" s="51"/>
      <c r="O925" s="1" t="s">
        <v>7</v>
      </c>
      <c r="P925" s="1" t="s">
        <v>49</v>
      </c>
      <c r="Q925" s="1" t="s">
        <v>11</v>
      </c>
      <c r="R925" s="2" t="s">
        <v>23</v>
      </c>
      <c r="S925" s="2" t="s">
        <v>36</v>
      </c>
      <c r="T925" s="1">
        <v>2017</v>
      </c>
      <c r="U925" s="1">
        <v>9</v>
      </c>
      <c r="V925" s="50">
        <v>42979</v>
      </c>
      <c r="W925" s="4">
        <v>1558.83</v>
      </c>
      <c r="X925" s="48">
        <v>1713</v>
      </c>
    </row>
    <row r="926" spans="2:24" x14ac:dyDescent="0.35">
      <c r="B926" s="8" t="s">
        <v>7</v>
      </c>
      <c r="C926" s="8" t="s">
        <v>43</v>
      </c>
      <c r="D926" s="8" t="s">
        <v>10</v>
      </c>
      <c r="E926" s="8" t="s">
        <v>23</v>
      </c>
      <c r="F926" s="9" t="s">
        <v>36</v>
      </c>
      <c r="G926" s="8">
        <v>2017</v>
      </c>
      <c r="H926" s="8">
        <v>9</v>
      </c>
      <c r="I926" s="10">
        <v>42979</v>
      </c>
      <c r="J926" s="11">
        <v>2216</v>
      </c>
      <c r="K926" s="51"/>
      <c r="O926" s="1" t="s">
        <v>7</v>
      </c>
      <c r="P926" s="1" t="s">
        <v>43</v>
      </c>
      <c r="Q926" s="1" t="s">
        <v>10</v>
      </c>
      <c r="R926" s="1" t="s">
        <v>23</v>
      </c>
      <c r="S926" s="2" t="s">
        <v>36</v>
      </c>
      <c r="T926" s="1">
        <v>2017</v>
      </c>
      <c r="U926" s="1">
        <v>9</v>
      </c>
      <c r="V926" s="50">
        <v>42979</v>
      </c>
      <c r="W926" s="4">
        <v>1927.9200000000003</v>
      </c>
      <c r="X926" s="48">
        <v>2216</v>
      </c>
    </row>
    <row r="927" spans="2:24" x14ac:dyDescent="0.35">
      <c r="B927" s="8" t="s">
        <v>6</v>
      </c>
      <c r="C927" s="8" t="s">
        <v>40</v>
      </c>
      <c r="D927" s="8" t="s">
        <v>41</v>
      </c>
      <c r="E927" s="8" t="s">
        <v>0</v>
      </c>
      <c r="F927" s="6" t="s">
        <v>45</v>
      </c>
      <c r="G927" s="8">
        <v>2017</v>
      </c>
      <c r="H927" s="8">
        <v>9</v>
      </c>
      <c r="I927" s="10">
        <v>42979</v>
      </c>
      <c r="J927" s="11">
        <v>3714</v>
      </c>
      <c r="K927" s="51"/>
      <c r="O927" s="1" t="s">
        <v>6</v>
      </c>
      <c r="P927" s="1" t="s">
        <v>40</v>
      </c>
      <c r="Q927" s="1" t="s">
        <v>41</v>
      </c>
      <c r="R927" s="1" t="s">
        <v>0</v>
      </c>
      <c r="S927" t="s">
        <v>45</v>
      </c>
      <c r="T927" s="1">
        <v>2017</v>
      </c>
      <c r="U927" s="1">
        <v>9</v>
      </c>
      <c r="V927" s="50">
        <v>42979</v>
      </c>
      <c r="W927" s="4">
        <v>3194.0400000000004</v>
      </c>
      <c r="X927" s="48">
        <v>3714</v>
      </c>
    </row>
    <row r="928" spans="2:24" x14ac:dyDescent="0.35">
      <c r="B928" s="8" t="s">
        <v>7</v>
      </c>
      <c r="C928" s="8" t="s">
        <v>32</v>
      </c>
      <c r="D928" s="8" t="s">
        <v>8</v>
      </c>
      <c r="E928" s="8" t="s">
        <v>27</v>
      </c>
      <c r="F928" s="8" t="s">
        <v>28</v>
      </c>
      <c r="G928" s="8">
        <v>2017</v>
      </c>
      <c r="H928" s="8">
        <v>9</v>
      </c>
      <c r="I928" s="10">
        <v>42979</v>
      </c>
      <c r="J928" s="11">
        <v>4910</v>
      </c>
      <c r="K928" s="51"/>
      <c r="O928" s="1" t="s">
        <v>7</v>
      </c>
      <c r="P928" s="1" t="s">
        <v>32</v>
      </c>
      <c r="Q928" s="1" t="s">
        <v>8</v>
      </c>
      <c r="R928" s="1" t="s">
        <v>27</v>
      </c>
      <c r="S928" s="1" t="s">
        <v>28</v>
      </c>
      <c r="T928" s="1">
        <v>2017</v>
      </c>
      <c r="U928" s="1">
        <v>9</v>
      </c>
      <c r="V928" s="50">
        <v>42979</v>
      </c>
      <c r="W928" s="4">
        <v>4369.8999999999996</v>
      </c>
      <c r="X928" s="48">
        <v>4910</v>
      </c>
    </row>
    <row r="929" spans="2:24" x14ac:dyDescent="0.35">
      <c r="B929" s="8" t="s">
        <v>7</v>
      </c>
      <c r="C929" s="8" t="s">
        <v>32</v>
      </c>
      <c r="D929" s="8" t="s">
        <v>8</v>
      </c>
      <c r="E929" s="8" t="s">
        <v>27</v>
      </c>
      <c r="F929" s="8" t="s">
        <v>31</v>
      </c>
      <c r="G929" s="8">
        <v>2017</v>
      </c>
      <c r="H929" s="8">
        <v>9</v>
      </c>
      <c r="I929" s="10">
        <v>42979</v>
      </c>
      <c r="J929" s="11">
        <v>2639</v>
      </c>
      <c r="K929" s="51"/>
      <c r="O929" s="1" t="s">
        <v>7</v>
      </c>
      <c r="P929" s="1" t="s">
        <v>32</v>
      </c>
      <c r="Q929" s="1" t="s">
        <v>8</v>
      </c>
      <c r="R929" s="1" t="s">
        <v>27</v>
      </c>
      <c r="S929" s="1" t="s">
        <v>31</v>
      </c>
      <c r="T929" s="1">
        <v>2017</v>
      </c>
      <c r="U929" s="1">
        <v>9</v>
      </c>
      <c r="V929" s="50">
        <v>42979</v>
      </c>
      <c r="W929" s="4">
        <v>2322.3199999999997</v>
      </c>
      <c r="X929" s="48">
        <v>2639</v>
      </c>
    </row>
    <row r="930" spans="2:24" x14ac:dyDescent="0.35">
      <c r="B930" s="8" t="s">
        <v>6</v>
      </c>
      <c r="C930" s="8" t="s">
        <v>29</v>
      </c>
      <c r="D930" s="8" t="s">
        <v>30</v>
      </c>
      <c r="E930" s="8" t="s">
        <v>23</v>
      </c>
      <c r="F930" s="8" t="s">
        <v>24</v>
      </c>
      <c r="G930" s="8">
        <v>2017</v>
      </c>
      <c r="H930" s="8">
        <v>9</v>
      </c>
      <c r="I930" s="10">
        <v>42979</v>
      </c>
      <c r="J930" s="11">
        <v>2312</v>
      </c>
      <c r="K930" s="51"/>
      <c r="O930" s="1" t="s">
        <v>6</v>
      </c>
      <c r="P930" s="1" t="s">
        <v>29</v>
      </c>
      <c r="Q930" s="1" t="s">
        <v>30</v>
      </c>
      <c r="R930" s="1" t="s">
        <v>23</v>
      </c>
      <c r="S930" s="1" t="s">
        <v>24</v>
      </c>
      <c r="T930" s="1">
        <v>2017</v>
      </c>
      <c r="U930" s="1">
        <v>9</v>
      </c>
      <c r="V930" s="50">
        <v>42979</v>
      </c>
      <c r="W930" s="4">
        <v>2127.04</v>
      </c>
      <c r="X930" s="48">
        <v>2312</v>
      </c>
    </row>
    <row r="931" spans="2:24" x14ac:dyDescent="0.35">
      <c r="B931" s="8" t="s">
        <v>7</v>
      </c>
      <c r="C931" s="8" t="s">
        <v>48</v>
      </c>
      <c r="D931" s="8" t="s">
        <v>9</v>
      </c>
      <c r="E931" s="8" t="s">
        <v>0</v>
      </c>
      <c r="F931" s="6" t="s">
        <v>42</v>
      </c>
      <c r="G931" s="8">
        <v>2017</v>
      </c>
      <c r="H931" s="8">
        <v>9</v>
      </c>
      <c r="I931" s="10">
        <v>42979</v>
      </c>
      <c r="J931" s="11">
        <v>6713</v>
      </c>
      <c r="K931" s="51"/>
      <c r="O931" s="1" t="s">
        <v>7</v>
      </c>
      <c r="P931" s="1" t="s">
        <v>48</v>
      </c>
      <c r="Q931" s="1" t="s">
        <v>9</v>
      </c>
      <c r="R931" s="1" t="s">
        <v>0</v>
      </c>
      <c r="S931" t="s">
        <v>42</v>
      </c>
      <c r="T931" s="1">
        <v>2017</v>
      </c>
      <c r="U931" s="1">
        <v>9</v>
      </c>
      <c r="V931" s="50">
        <v>42979</v>
      </c>
      <c r="W931" s="4">
        <v>5706.0500000000011</v>
      </c>
      <c r="X931" s="48">
        <v>6713</v>
      </c>
    </row>
    <row r="932" spans="2:24" x14ac:dyDescent="0.35">
      <c r="B932" s="8" t="s">
        <v>7</v>
      </c>
      <c r="C932" s="8" t="s">
        <v>48</v>
      </c>
      <c r="D932" s="8" t="s">
        <v>9</v>
      </c>
      <c r="E932" s="8" t="s">
        <v>0</v>
      </c>
      <c r="F932" s="6" t="s">
        <v>26</v>
      </c>
      <c r="G932" s="8">
        <v>2017</v>
      </c>
      <c r="H932" s="8">
        <v>9</v>
      </c>
      <c r="I932" s="10">
        <v>42979</v>
      </c>
      <c r="J932" s="11">
        <v>2718</v>
      </c>
      <c r="K932" s="51"/>
      <c r="O932" s="1" t="s">
        <v>7</v>
      </c>
      <c r="P932" s="1" t="s">
        <v>48</v>
      </c>
      <c r="Q932" s="1" t="s">
        <v>9</v>
      </c>
      <c r="R932" s="1" t="s">
        <v>0</v>
      </c>
      <c r="S932" t="s">
        <v>26</v>
      </c>
      <c r="T932" s="1">
        <v>2017</v>
      </c>
      <c r="U932" s="1">
        <v>9</v>
      </c>
      <c r="V932" s="50">
        <v>42979</v>
      </c>
      <c r="W932" s="4">
        <v>2310.3000000000002</v>
      </c>
      <c r="X932" s="48">
        <v>2718</v>
      </c>
    </row>
    <row r="933" spans="2:24" x14ac:dyDescent="0.35">
      <c r="B933" s="8" t="s">
        <v>7</v>
      </c>
      <c r="C933" s="8" t="s">
        <v>49</v>
      </c>
      <c r="D933" s="8" t="s">
        <v>11</v>
      </c>
      <c r="E933" s="8" t="s">
        <v>0</v>
      </c>
      <c r="F933" s="6" t="s">
        <v>45</v>
      </c>
      <c r="G933" s="8">
        <v>2017</v>
      </c>
      <c r="H933" s="8">
        <v>9</v>
      </c>
      <c r="I933" s="10">
        <v>42979</v>
      </c>
      <c r="J933" s="11">
        <v>4346</v>
      </c>
      <c r="K933" s="51"/>
      <c r="O933" s="1" t="s">
        <v>7</v>
      </c>
      <c r="P933" s="1" t="s">
        <v>49</v>
      </c>
      <c r="Q933" s="1" t="s">
        <v>11</v>
      </c>
      <c r="R933" s="1" t="s">
        <v>0</v>
      </c>
      <c r="S933" t="s">
        <v>45</v>
      </c>
      <c r="T933" s="1">
        <v>2017</v>
      </c>
      <c r="U933" s="1">
        <v>9</v>
      </c>
      <c r="V933" s="50">
        <v>42979</v>
      </c>
      <c r="W933" s="4">
        <v>4085.24</v>
      </c>
      <c r="X933" s="48">
        <v>4346</v>
      </c>
    </row>
    <row r="934" spans="2:24" x14ac:dyDescent="0.35">
      <c r="B934" s="8" t="s">
        <v>7</v>
      </c>
      <c r="C934" s="8" t="s">
        <v>49</v>
      </c>
      <c r="D934" s="8" t="s">
        <v>11</v>
      </c>
      <c r="E934" s="9" t="s">
        <v>27</v>
      </c>
      <c r="F934" s="9" t="s">
        <v>28</v>
      </c>
      <c r="G934" s="8">
        <v>2017</v>
      </c>
      <c r="H934" s="8">
        <v>9</v>
      </c>
      <c r="I934" s="10">
        <v>42979</v>
      </c>
      <c r="J934" s="11">
        <v>3492</v>
      </c>
      <c r="K934" s="51"/>
      <c r="O934" s="1" t="s">
        <v>7</v>
      </c>
      <c r="P934" s="1" t="s">
        <v>49</v>
      </c>
      <c r="Q934" s="1" t="s">
        <v>11</v>
      </c>
      <c r="R934" s="2" t="s">
        <v>27</v>
      </c>
      <c r="S934" s="2" t="s">
        <v>28</v>
      </c>
      <c r="T934" s="1">
        <v>2017</v>
      </c>
      <c r="U934" s="1">
        <v>9</v>
      </c>
      <c r="V934" s="50">
        <v>42979</v>
      </c>
      <c r="W934" s="4">
        <v>3282.48</v>
      </c>
      <c r="X934" s="48">
        <v>3492</v>
      </c>
    </row>
    <row r="935" spans="2:24" x14ac:dyDescent="0.35">
      <c r="B935" s="8" t="s">
        <v>12</v>
      </c>
      <c r="C935" s="8" t="s">
        <v>34</v>
      </c>
      <c r="D935" s="8" t="s">
        <v>35</v>
      </c>
      <c r="E935" s="8" t="s">
        <v>27</v>
      </c>
      <c r="F935" s="9" t="s">
        <v>31</v>
      </c>
      <c r="G935" s="8">
        <v>2017</v>
      </c>
      <c r="H935" s="8">
        <v>9</v>
      </c>
      <c r="I935" s="10">
        <v>42979</v>
      </c>
      <c r="J935" s="11">
        <v>4167</v>
      </c>
      <c r="K935" s="51"/>
      <c r="O935" s="1" t="s">
        <v>12</v>
      </c>
      <c r="P935" s="1" t="s">
        <v>34</v>
      </c>
      <c r="Q935" s="1" t="s">
        <v>35</v>
      </c>
      <c r="R935" s="1" t="s">
        <v>27</v>
      </c>
      <c r="S935" s="2" t="s">
        <v>31</v>
      </c>
      <c r="T935" s="1">
        <v>2017</v>
      </c>
      <c r="U935" s="1">
        <v>9</v>
      </c>
      <c r="V935" s="50">
        <v>42979</v>
      </c>
      <c r="W935" s="4">
        <v>3625.2900000000004</v>
      </c>
      <c r="X935" s="48">
        <v>4167</v>
      </c>
    </row>
    <row r="936" spans="2:24" x14ac:dyDescent="0.35">
      <c r="B936" s="8" t="s">
        <v>12</v>
      </c>
      <c r="C936" s="8" t="s">
        <v>34</v>
      </c>
      <c r="D936" s="8" t="s">
        <v>35</v>
      </c>
      <c r="E936" s="8" t="s">
        <v>27</v>
      </c>
      <c r="F936" s="6" t="s">
        <v>33</v>
      </c>
      <c r="G936" s="8">
        <v>2017</v>
      </c>
      <c r="H936" s="8">
        <v>9</v>
      </c>
      <c r="I936" s="10">
        <v>42979</v>
      </c>
      <c r="J936" s="11">
        <v>3269</v>
      </c>
      <c r="K936" s="51"/>
      <c r="O936" s="1" t="s">
        <v>12</v>
      </c>
      <c r="P936" s="1" t="s">
        <v>34</v>
      </c>
      <c r="Q936" s="1" t="s">
        <v>35</v>
      </c>
      <c r="R936" s="1" t="s">
        <v>27</v>
      </c>
      <c r="S936" t="s">
        <v>33</v>
      </c>
      <c r="T936" s="1">
        <v>2017</v>
      </c>
      <c r="U936" s="1">
        <v>9</v>
      </c>
      <c r="V936" s="50">
        <v>42979</v>
      </c>
      <c r="W936" s="4">
        <v>3072.8599999999997</v>
      </c>
      <c r="X936" s="48">
        <v>3269</v>
      </c>
    </row>
    <row r="937" spans="2:24" x14ac:dyDescent="0.35">
      <c r="B937" s="8" t="s">
        <v>14</v>
      </c>
      <c r="C937" s="8" t="s">
        <v>37</v>
      </c>
      <c r="D937" s="8" t="s">
        <v>38</v>
      </c>
      <c r="E937" s="8" t="s">
        <v>23</v>
      </c>
      <c r="F937" s="8" t="s">
        <v>36</v>
      </c>
      <c r="G937" s="8">
        <v>2017</v>
      </c>
      <c r="H937" s="8">
        <v>9</v>
      </c>
      <c r="I937" s="10">
        <v>42979</v>
      </c>
      <c r="J937" s="11">
        <v>1696</v>
      </c>
      <c r="K937" s="51"/>
      <c r="O937" s="1" t="s">
        <v>14</v>
      </c>
      <c r="P937" s="1" t="s">
        <v>37</v>
      </c>
      <c r="Q937" s="1" t="s">
        <v>38</v>
      </c>
      <c r="R937" s="1" t="s">
        <v>23</v>
      </c>
      <c r="S937" s="1" t="s">
        <v>36</v>
      </c>
      <c r="T937" s="1">
        <v>2017</v>
      </c>
      <c r="U937" s="1">
        <v>9</v>
      </c>
      <c r="V937" s="50">
        <v>42979</v>
      </c>
      <c r="W937" s="4">
        <v>1560.32</v>
      </c>
      <c r="X937" s="48">
        <v>1696</v>
      </c>
    </row>
    <row r="938" spans="2:24" x14ac:dyDescent="0.35">
      <c r="B938" s="8" t="s">
        <v>12</v>
      </c>
      <c r="C938" s="8" t="s">
        <v>44</v>
      </c>
      <c r="D938" s="8" t="s">
        <v>13</v>
      </c>
      <c r="E938" s="8" t="s">
        <v>23</v>
      </c>
      <c r="F938" s="8" t="s">
        <v>39</v>
      </c>
      <c r="G938" s="8">
        <v>2017</v>
      </c>
      <c r="H938" s="8">
        <v>9</v>
      </c>
      <c r="I938" s="10">
        <v>42979</v>
      </c>
      <c r="J938" s="11">
        <v>1650</v>
      </c>
      <c r="K938" s="51"/>
      <c r="O938" s="1" t="s">
        <v>12</v>
      </c>
      <c r="P938" s="1" t="s">
        <v>44</v>
      </c>
      <c r="Q938" s="1" t="s">
        <v>13</v>
      </c>
      <c r="R938" s="1" t="s">
        <v>23</v>
      </c>
      <c r="S938" s="1" t="s">
        <v>39</v>
      </c>
      <c r="T938" s="1">
        <v>2017</v>
      </c>
      <c r="U938" s="1">
        <v>9</v>
      </c>
      <c r="V938" s="50">
        <v>42979</v>
      </c>
      <c r="W938" s="4">
        <v>1468.4999999999998</v>
      </c>
      <c r="X938" s="48">
        <v>1650</v>
      </c>
    </row>
    <row r="939" spans="2:24" x14ac:dyDescent="0.35">
      <c r="B939" s="8" t="s">
        <v>12</v>
      </c>
      <c r="C939" s="8" t="s">
        <v>44</v>
      </c>
      <c r="D939" s="8" t="s">
        <v>13</v>
      </c>
      <c r="E939" s="8" t="s">
        <v>0</v>
      </c>
      <c r="F939" s="8" t="s">
        <v>42</v>
      </c>
      <c r="G939" s="8">
        <v>2017</v>
      </c>
      <c r="H939" s="8">
        <v>9</v>
      </c>
      <c r="I939" s="10">
        <v>42979</v>
      </c>
      <c r="J939" s="11">
        <v>6290</v>
      </c>
      <c r="K939" s="51"/>
      <c r="O939" s="1" t="s">
        <v>12</v>
      </c>
      <c r="P939" s="1" t="s">
        <v>44</v>
      </c>
      <c r="Q939" s="1" t="s">
        <v>13</v>
      </c>
      <c r="R939" s="1" t="s">
        <v>0</v>
      </c>
      <c r="S939" s="1" t="s">
        <v>42</v>
      </c>
      <c r="T939" s="1">
        <v>2017</v>
      </c>
      <c r="U939" s="1">
        <v>9</v>
      </c>
      <c r="V939" s="50">
        <v>42979</v>
      </c>
      <c r="W939" s="4">
        <v>5409.4000000000005</v>
      </c>
      <c r="X939" s="48">
        <v>6290</v>
      </c>
    </row>
    <row r="940" spans="2:24" x14ac:dyDescent="0.35">
      <c r="B940" s="8" t="s">
        <v>14</v>
      </c>
      <c r="C940" s="8" t="s">
        <v>46</v>
      </c>
      <c r="D940" s="8" t="s">
        <v>47</v>
      </c>
      <c r="E940" s="8" t="s">
        <v>0</v>
      </c>
      <c r="F940" s="6" t="s">
        <v>26</v>
      </c>
      <c r="G940" s="8">
        <v>2017</v>
      </c>
      <c r="H940" s="8">
        <v>9</v>
      </c>
      <c r="I940" s="10">
        <v>42979</v>
      </c>
      <c r="J940" s="11">
        <v>3715</v>
      </c>
      <c r="K940" s="51"/>
      <c r="O940" s="1" t="s">
        <v>14</v>
      </c>
      <c r="P940" s="1" t="s">
        <v>46</v>
      </c>
      <c r="Q940" s="1" t="s">
        <v>47</v>
      </c>
      <c r="R940" s="1" t="s">
        <v>0</v>
      </c>
      <c r="S940" t="s">
        <v>26</v>
      </c>
      <c r="T940" s="1">
        <v>2017</v>
      </c>
      <c r="U940" s="1">
        <v>9</v>
      </c>
      <c r="V940" s="50">
        <v>42979</v>
      </c>
      <c r="W940" s="4">
        <v>3157.7500000000005</v>
      </c>
      <c r="X940" s="48">
        <v>3715</v>
      </c>
    </row>
    <row r="941" spans="2:24" x14ac:dyDescent="0.35">
      <c r="B941" s="8" t="s">
        <v>14</v>
      </c>
      <c r="C941" s="8" t="s">
        <v>46</v>
      </c>
      <c r="D941" s="8" t="s">
        <v>47</v>
      </c>
      <c r="E941" s="8" t="s">
        <v>0</v>
      </c>
      <c r="F941" s="6" t="s">
        <v>45</v>
      </c>
      <c r="G941" s="8">
        <v>2017</v>
      </c>
      <c r="H941" s="8">
        <v>9</v>
      </c>
      <c r="I941" s="10">
        <v>42979</v>
      </c>
      <c r="J941" s="11">
        <v>3950</v>
      </c>
      <c r="K941" s="51"/>
      <c r="O941" s="1" t="s">
        <v>14</v>
      </c>
      <c r="P941" s="1" t="s">
        <v>46</v>
      </c>
      <c r="Q941" s="1" t="s">
        <v>47</v>
      </c>
      <c r="R941" s="1" t="s">
        <v>0</v>
      </c>
      <c r="S941" t="s">
        <v>45</v>
      </c>
      <c r="T941" s="1">
        <v>2017</v>
      </c>
      <c r="U941" s="1">
        <v>9</v>
      </c>
      <c r="V941" s="50">
        <v>42979</v>
      </c>
      <c r="W941" s="4">
        <v>3594.4999999999995</v>
      </c>
      <c r="X941" s="48">
        <v>3950</v>
      </c>
    </row>
    <row r="942" spans="2:24" x14ac:dyDescent="0.35">
      <c r="B942" s="8" t="s">
        <v>3</v>
      </c>
      <c r="C942" s="8" t="s">
        <v>25</v>
      </c>
      <c r="D942" s="8" t="s">
        <v>4</v>
      </c>
      <c r="E942" s="8" t="s">
        <v>27</v>
      </c>
      <c r="F942" s="6" t="s">
        <v>33</v>
      </c>
      <c r="G942" s="8">
        <v>2017</v>
      </c>
      <c r="H942" s="8">
        <v>9</v>
      </c>
      <c r="I942" s="10">
        <v>42979</v>
      </c>
      <c r="J942" s="11">
        <v>3856</v>
      </c>
      <c r="K942" s="51"/>
      <c r="O942" s="1" t="s">
        <v>3</v>
      </c>
      <c r="P942" s="1" t="s">
        <v>25</v>
      </c>
      <c r="Q942" s="1" t="s">
        <v>4</v>
      </c>
      <c r="R942" s="1" t="s">
        <v>27</v>
      </c>
      <c r="S942" t="s">
        <v>33</v>
      </c>
      <c r="T942" s="1">
        <v>2017</v>
      </c>
      <c r="U942" s="1">
        <v>9</v>
      </c>
      <c r="V942" s="50">
        <v>42979</v>
      </c>
      <c r="W942" s="4">
        <v>3470.3999999999996</v>
      </c>
      <c r="X942" s="48">
        <v>3856</v>
      </c>
    </row>
    <row r="943" spans="2:24" x14ac:dyDescent="0.35">
      <c r="B943" s="8" t="s">
        <v>3</v>
      </c>
      <c r="C943" s="8" t="s">
        <v>25</v>
      </c>
      <c r="D943" s="8" t="s">
        <v>4</v>
      </c>
      <c r="E943" s="9" t="s">
        <v>23</v>
      </c>
      <c r="F943" s="9" t="s">
        <v>36</v>
      </c>
      <c r="G943" s="8">
        <v>2017</v>
      </c>
      <c r="H943" s="8">
        <v>9</v>
      </c>
      <c r="I943" s="10">
        <v>42979</v>
      </c>
      <c r="J943" s="11">
        <v>1993</v>
      </c>
      <c r="K943" s="51"/>
      <c r="O943" s="1" t="s">
        <v>3</v>
      </c>
      <c r="P943" s="1" t="s">
        <v>25</v>
      </c>
      <c r="Q943" s="1" t="s">
        <v>4</v>
      </c>
      <c r="R943" s="2" t="s">
        <v>23</v>
      </c>
      <c r="S943" s="2" t="s">
        <v>36</v>
      </c>
      <c r="T943" s="1">
        <v>2017</v>
      </c>
      <c r="U943" s="1">
        <v>9</v>
      </c>
      <c r="V943" s="50">
        <v>42979</v>
      </c>
      <c r="W943" s="4">
        <v>1833.56</v>
      </c>
      <c r="X943" s="48">
        <v>1993</v>
      </c>
    </row>
    <row r="944" spans="2:24" x14ac:dyDescent="0.35">
      <c r="B944" s="8" t="s">
        <v>6</v>
      </c>
      <c r="C944" s="8" t="s">
        <v>40</v>
      </c>
      <c r="D944" s="8" t="s">
        <v>41</v>
      </c>
      <c r="E944" s="8" t="s">
        <v>23</v>
      </c>
      <c r="F944" s="9" t="s">
        <v>39</v>
      </c>
      <c r="G944" s="8">
        <v>2017</v>
      </c>
      <c r="H944" s="8">
        <v>9</v>
      </c>
      <c r="I944" s="10">
        <v>42979</v>
      </c>
      <c r="J944" s="11">
        <v>1873</v>
      </c>
      <c r="K944" s="51"/>
      <c r="O944" s="1" t="s">
        <v>6</v>
      </c>
      <c r="P944" s="1" t="s">
        <v>40</v>
      </c>
      <c r="Q944" s="1" t="s">
        <v>41</v>
      </c>
      <c r="R944" s="1" t="s">
        <v>23</v>
      </c>
      <c r="S944" s="2" t="s">
        <v>39</v>
      </c>
      <c r="T944" s="1">
        <v>2017</v>
      </c>
      <c r="U944" s="1">
        <v>9</v>
      </c>
      <c r="V944" s="50">
        <v>42979</v>
      </c>
      <c r="W944" s="4">
        <v>1629.5100000000002</v>
      </c>
      <c r="X944" s="48">
        <v>1873</v>
      </c>
    </row>
    <row r="945" spans="2:24" x14ac:dyDescent="0.35">
      <c r="B945" s="8" t="s">
        <v>7</v>
      </c>
      <c r="C945" s="8" t="s">
        <v>48</v>
      </c>
      <c r="D945" s="8" t="s">
        <v>9</v>
      </c>
      <c r="E945" s="8" t="s">
        <v>0</v>
      </c>
      <c r="F945" s="6" t="s">
        <v>45</v>
      </c>
      <c r="G945" s="8">
        <v>2017</v>
      </c>
      <c r="H945" s="8">
        <v>9</v>
      </c>
      <c r="I945" s="10">
        <v>42979</v>
      </c>
      <c r="J945" s="11">
        <v>3926</v>
      </c>
      <c r="K945" s="51"/>
      <c r="O945" s="1" t="s">
        <v>7</v>
      </c>
      <c r="P945" s="1" t="s">
        <v>48</v>
      </c>
      <c r="Q945" s="1" t="s">
        <v>9</v>
      </c>
      <c r="R945" s="1" t="s">
        <v>0</v>
      </c>
      <c r="S945" t="s">
        <v>45</v>
      </c>
      <c r="T945" s="1">
        <v>2017</v>
      </c>
      <c r="U945" s="1">
        <v>9</v>
      </c>
      <c r="V945" s="50">
        <v>42979</v>
      </c>
      <c r="W945" s="4">
        <v>3337.1000000000004</v>
      </c>
      <c r="X945" s="48">
        <v>3926</v>
      </c>
    </row>
    <row r="946" spans="2:24" x14ac:dyDescent="0.35">
      <c r="B946" s="8" t="s">
        <v>7</v>
      </c>
      <c r="C946" s="8" t="s">
        <v>49</v>
      </c>
      <c r="D946" s="8" t="s">
        <v>11</v>
      </c>
      <c r="E946" s="8" t="s">
        <v>27</v>
      </c>
      <c r="F946" s="8" t="s">
        <v>31</v>
      </c>
      <c r="G946" s="8">
        <v>2017</v>
      </c>
      <c r="H946" s="8">
        <v>9</v>
      </c>
      <c r="I946" s="10">
        <v>42979</v>
      </c>
      <c r="J946" s="11">
        <v>2780</v>
      </c>
      <c r="K946" s="51"/>
      <c r="O946" s="1" t="s">
        <v>7</v>
      </c>
      <c r="P946" s="1" t="s">
        <v>49</v>
      </c>
      <c r="Q946" s="1" t="s">
        <v>11</v>
      </c>
      <c r="R946" s="1" t="s">
        <v>27</v>
      </c>
      <c r="S946" s="1" t="s">
        <v>31</v>
      </c>
      <c r="T946" s="1">
        <v>2017</v>
      </c>
      <c r="U946" s="1">
        <v>9</v>
      </c>
      <c r="V946" s="50">
        <v>42979</v>
      </c>
      <c r="W946" s="4">
        <v>2502</v>
      </c>
      <c r="X946" s="48">
        <v>2780</v>
      </c>
    </row>
    <row r="947" spans="2:24" x14ac:dyDescent="0.35">
      <c r="B947" s="8" t="s">
        <v>7</v>
      </c>
      <c r="C947" s="8" t="s">
        <v>43</v>
      </c>
      <c r="D947" s="8" t="s">
        <v>10</v>
      </c>
      <c r="E947" s="8" t="s">
        <v>27</v>
      </c>
      <c r="F947" s="8" t="s">
        <v>33</v>
      </c>
      <c r="G947" s="8">
        <v>2017</v>
      </c>
      <c r="H947" s="8">
        <v>9</v>
      </c>
      <c r="I947" s="10">
        <v>42979</v>
      </c>
      <c r="J947" s="11">
        <v>3296</v>
      </c>
      <c r="K947" s="51"/>
      <c r="O947" s="1" t="s">
        <v>7</v>
      </c>
      <c r="P947" s="1" t="s">
        <v>43</v>
      </c>
      <c r="Q947" s="1" t="s">
        <v>10</v>
      </c>
      <c r="R947" s="1" t="s">
        <v>27</v>
      </c>
      <c r="S947" s="1" t="s">
        <v>33</v>
      </c>
      <c r="T947" s="1">
        <v>2017</v>
      </c>
      <c r="U947" s="1">
        <v>9</v>
      </c>
      <c r="V947" s="50">
        <v>42979</v>
      </c>
      <c r="W947" s="4">
        <v>2999.3599999999997</v>
      </c>
      <c r="X947" s="48">
        <v>3296</v>
      </c>
    </row>
    <row r="948" spans="2:24" x14ac:dyDescent="0.35">
      <c r="B948" s="8" t="s">
        <v>7</v>
      </c>
      <c r="C948" s="8" t="s">
        <v>32</v>
      </c>
      <c r="D948" s="8" t="s">
        <v>8</v>
      </c>
      <c r="E948" s="8" t="s">
        <v>0</v>
      </c>
      <c r="F948" s="8" t="s">
        <v>45</v>
      </c>
      <c r="G948" s="8">
        <v>2017</v>
      </c>
      <c r="H948" s="8">
        <v>9</v>
      </c>
      <c r="I948" s="10">
        <v>42979</v>
      </c>
      <c r="J948" s="11">
        <v>2635</v>
      </c>
      <c r="K948" s="51"/>
      <c r="O948" s="1" t="s">
        <v>7</v>
      </c>
      <c r="P948" s="1" t="s">
        <v>32</v>
      </c>
      <c r="Q948" s="1" t="s">
        <v>8</v>
      </c>
      <c r="R948" s="1" t="s">
        <v>0</v>
      </c>
      <c r="S948" s="1" t="s">
        <v>45</v>
      </c>
      <c r="T948" s="1">
        <v>2017</v>
      </c>
      <c r="U948" s="1">
        <v>9</v>
      </c>
      <c r="V948" s="50">
        <v>42979</v>
      </c>
      <c r="W948" s="4">
        <v>2318.7999999999997</v>
      </c>
      <c r="X948" s="48">
        <v>2635</v>
      </c>
    </row>
    <row r="949" spans="2:24" x14ac:dyDescent="0.35">
      <c r="B949" s="8" t="s">
        <v>7</v>
      </c>
      <c r="C949" s="8" t="s">
        <v>48</v>
      </c>
      <c r="D949" s="8" t="s">
        <v>9</v>
      </c>
      <c r="E949" s="8" t="s">
        <v>23</v>
      </c>
      <c r="F949" s="6" t="s">
        <v>39</v>
      </c>
      <c r="G949" s="8">
        <v>2017</v>
      </c>
      <c r="H949" s="8">
        <v>9</v>
      </c>
      <c r="I949" s="10">
        <v>42979</v>
      </c>
      <c r="J949" s="11">
        <v>2528</v>
      </c>
      <c r="K949" s="51"/>
      <c r="O949" s="1" t="s">
        <v>7</v>
      </c>
      <c r="P949" s="1" t="s">
        <v>48</v>
      </c>
      <c r="Q949" s="1" t="s">
        <v>9</v>
      </c>
      <c r="R949" s="1" t="s">
        <v>23</v>
      </c>
      <c r="S949" t="s">
        <v>39</v>
      </c>
      <c r="T949" s="1">
        <v>2017</v>
      </c>
      <c r="U949" s="1">
        <v>9</v>
      </c>
      <c r="V949" s="50">
        <v>42979</v>
      </c>
      <c r="W949" s="4">
        <v>2199.36</v>
      </c>
      <c r="X949" s="48">
        <v>2528</v>
      </c>
    </row>
    <row r="950" spans="2:24" x14ac:dyDescent="0.35">
      <c r="B950" s="8" t="s">
        <v>7</v>
      </c>
      <c r="C950" s="8" t="s">
        <v>49</v>
      </c>
      <c r="D950" s="8" t="s">
        <v>11</v>
      </c>
      <c r="E950" s="8" t="s">
        <v>0</v>
      </c>
      <c r="F950" s="6" t="s">
        <v>26</v>
      </c>
      <c r="G950" s="8">
        <v>2017</v>
      </c>
      <c r="H950" s="8">
        <v>9</v>
      </c>
      <c r="I950" s="10">
        <v>42979</v>
      </c>
      <c r="J950" s="11">
        <v>3343</v>
      </c>
      <c r="K950" s="51"/>
      <c r="O950" s="1" t="s">
        <v>7</v>
      </c>
      <c r="P950" s="1" t="s">
        <v>49</v>
      </c>
      <c r="Q950" s="1" t="s">
        <v>11</v>
      </c>
      <c r="R950" s="1" t="s">
        <v>0</v>
      </c>
      <c r="S950" t="s">
        <v>26</v>
      </c>
      <c r="T950" s="1">
        <v>2017</v>
      </c>
      <c r="U950" s="1">
        <v>9</v>
      </c>
      <c r="V950" s="50">
        <v>42979</v>
      </c>
      <c r="W950" s="4">
        <v>2941.8399999999997</v>
      </c>
      <c r="X950" s="48">
        <v>3343</v>
      </c>
    </row>
    <row r="951" spans="2:24" x14ac:dyDescent="0.35">
      <c r="B951" s="8" t="s">
        <v>12</v>
      </c>
      <c r="C951" s="8" t="s">
        <v>34</v>
      </c>
      <c r="D951" s="8" t="s">
        <v>35</v>
      </c>
      <c r="E951" s="8" t="s">
        <v>27</v>
      </c>
      <c r="F951" s="6" t="s">
        <v>28</v>
      </c>
      <c r="G951" s="8">
        <v>2017</v>
      </c>
      <c r="H951" s="8">
        <v>9</v>
      </c>
      <c r="I951" s="10">
        <v>42979</v>
      </c>
      <c r="J951" s="11">
        <v>4333</v>
      </c>
      <c r="K951" s="51"/>
      <c r="O951" s="1" t="s">
        <v>12</v>
      </c>
      <c r="P951" s="1" t="s">
        <v>34</v>
      </c>
      <c r="Q951" s="1" t="s">
        <v>35</v>
      </c>
      <c r="R951" s="1" t="s">
        <v>27</v>
      </c>
      <c r="S951" t="s">
        <v>28</v>
      </c>
      <c r="T951" s="1">
        <v>2017</v>
      </c>
      <c r="U951" s="1">
        <v>9</v>
      </c>
      <c r="V951" s="50">
        <v>42979</v>
      </c>
      <c r="W951" s="4">
        <v>4073.0199999999995</v>
      </c>
      <c r="X951" s="48">
        <v>4333</v>
      </c>
    </row>
    <row r="952" spans="2:24" x14ac:dyDescent="0.35">
      <c r="B952" s="8" t="s">
        <v>14</v>
      </c>
      <c r="C952" s="8" t="s">
        <v>37</v>
      </c>
      <c r="D952" s="8" t="s">
        <v>38</v>
      </c>
      <c r="E952" s="9" t="s">
        <v>27</v>
      </c>
      <c r="F952" s="9" t="s">
        <v>33</v>
      </c>
      <c r="G952" s="8">
        <v>2017</v>
      </c>
      <c r="H952" s="8">
        <v>9</v>
      </c>
      <c r="I952" s="10">
        <v>42979</v>
      </c>
      <c r="J952" s="11">
        <v>3572</v>
      </c>
      <c r="K952" s="51"/>
      <c r="O952" s="1" t="s">
        <v>14</v>
      </c>
      <c r="P952" s="1" t="s">
        <v>37</v>
      </c>
      <c r="Q952" s="1" t="s">
        <v>38</v>
      </c>
      <c r="R952" s="2" t="s">
        <v>27</v>
      </c>
      <c r="S952" s="2" t="s">
        <v>33</v>
      </c>
      <c r="T952" s="1">
        <v>2017</v>
      </c>
      <c r="U952" s="1">
        <v>9</v>
      </c>
      <c r="V952" s="50">
        <v>42979</v>
      </c>
      <c r="W952" s="4">
        <v>3250.5199999999995</v>
      </c>
      <c r="X952" s="48">
        <v>3572</v>
      </c>
    </row>
    <row r="953" spans="2:24" x14ac:dyDescent="0.35">
      <c r="B953" s="8" t="s">
        <v>12</v>
      </c>
      <c r="C953" s="8" t="s">
        <v>44</v>
      </c>
      <c r="D953" s="8" t="s">
        <v>13</v>
      </c>
      <c r="E953" s="8" t="s">
        <v>23</v>
      </c>
      <c r="F953" s="9" t="s">
        <v>24</v>
      </c>
      <c r="G953" s="8">
        <v>2017</v>
      </c>
      <c r="H953" s="8">
        <v>9</v>
      </c>
      <c r="I953" s="10">
        <v>42979</v>
      </c>
      <c r="J953" s="11">
        <v>3117</v>
      </c>
      <c r="K953" s="51"/>
      <c r="O953" s="1" t="s">
        <v>12</v>
      </c>
      <c r="P953" s="1" t="s">
        <v>44</v>
      </c>
      <c r="Q953" s="1" t="s">
        <v>13</v>
      </c>
      <c r="R953" s="1" t="s">
        <v>23</v>
      </c>
      <c r="S953" s="2" t="s">
        <v>24</v>
      </c>
      <c r="T953" s="1">
        <v>2017</v>
      </c>
      <c r="U953" s="1">
        <v>9</v>
      </c>
      <c r="V953" s="50">
        <v>42979</v>
      </c>
      <c r="W953" s="4">
        <v>2742.9599999999996</v>
      </c>
      <c r="X953" s="48">
        <v>3117</v>
      </c>
    </row>
    <row r="954" spans="2:24" x14ac:dyDescent="0.35">
      <c r="B954" s="8" t="s">
        <v>14</v>
      </c>
      <c r="C954" s="8" t="s">
        <v>46</v>
      </c>
      <c r="D954" s="8" t="s">
        <v>47</v>
      </c>
      <c r="E954" s="8" t="s">
        <v>0</v>
      </c>
      <c r="F954" s="6" t="s">
        <v>42</v>
      </c>
      <c r="G954" s="8">
        <v>2017</v>
      </c>
      <c r="H954" s="8">
        <v>9</v>
      </c>
      <c r="I954" s="10">
        <v>42979</v>
      </c>
      <c r="J954" s="11">
        <v>5137</v>
      </c>
      <c r="K954" s="51"/>
      <c r="O954" s="1" t="s">
        <v>14</v>
      </c>
      <c r="P954" s="1" t="s">
        <v>46</v>
      </c>
      <c r="Q954" s="1" t="s">
        <v>47</v>
      </c>
      <c r="R954" s="1" t="s">
        <v>0</v>
      </c>
      <c r="S954" t="s">
        <v>42</v>
      </c>
      <c r="T954" s="1">
        <v>2017</v>
      </c>
      <c r="U954" s="1">
        <v>9</v>
      </c>
      <c r="V954" s="50">
        <v>42979</v>
      </c>
      <c r="W954" s="4">
        <v>4366.4500000000007</v>
      </c>
      <c r="X954" s="48">
        <v>5137</v>
      </c>
    </row>
    <row r="955" spans="2:24" x14ac:dyDescent="0.35">
      <c r="B955" s="8" t="s">
        <v>7</v>
      </c>
      <c r="C955" s="8" t="s">
        <v>48</v>
      </c>
      <c r="D955" s="8" t="s">
        <v>9</v>
      </c>
      <c r="E955" s="8" t="s">
        <v>27</v>
      </c>
      <c r="F955" s="8" t="s">
        <v>33</v>
      </c>
      <c r="G955" s="8">
        <v>2017</v>
      </c>
      <c r="H955" s="8">
        <v>9</v>
      </c>
      <c r="I955" s="10">
        <v>42979</v>
      </c>
      <c r="J955" s="11">
        <v>3709</v>
      </c>
      <c r="K955" s="51"/>
      <c r="O955" s="1" t="s">
        <v>7</v>
      </c>
      <c r="P955" s="1" t="s">
        <v>48</v>
      </c>
      <c r="Q955" s="1" t="s">
        <v>9</v>
      </c>
      <c r="R955" s="1" t="s">
        <v>27</v>
      </c>
      <c r="S955" s="1" t="s">
        <v>33</v>
      </c>
      <c r="T955" s="1">
        <v>2017</v>
      </c>
      <c r="U955" s="1">
        <v>9</v>
      </c>
      <c r="V955" s="50">
        <v>42979</v>
      </c>
      <c r="W955" s="4">
        <v>3449.37</v>
      </c>
      <c r="X955" s="48">
        <v>3709</v>
      </c>
    </row>
    <row r="956" spans="2:24" x14ac:dyDescent="0.35">
      <c r="B956" s="8" t="s">
        <v>7</v>
      </c>
      <c r="C956" s="8" t="s">
        <v>49</v>
      </c>
      <c r="D956" s="8" t="s">
        <v>11</v>
      </c>
      <c r="E956" s="8" t="s">
        <v>23</v>
      </c>
      <c r="F956" s="8" t="s">
        <v>24</v>
      </c>
      <c r="G956" s="8">
        <v>2017</v>
      </c>
      <c r="H956" s="8">
        <v>9</v>
      </c>
      <c r="I956" s="10">
        <v>42979</v>
      </c>
      <c r="J956" s="11">
        <v>1889</v>
      </c>
      <c r="K956" s="51"/>
      <c r="O956" s="1" t="s">
        <v>7</v>
      </c>
      <c r="P956" s="1" t="s">
        <v>49</v>
      </c>
      <c r="Q956" s="1" t="s">
        <v>11</v>
      </c>
      <c r="R956" s="1" t="s">
        <v>23</v>
      </c>
      <c r="S956" s="1" t="s">
        <v>24</v>
      </c>
      <c r="T956" s="1">
        <v>2017</v>
      </c>
      <c r="U956" s="1">
        <v>9</v>
      </c>
      <c r="V956" s="50">
        <v>42979</v>
      </c>
      <c r="W956" s="4">
        <v>1643.4300000000003</v>
      </c>
      <c r="X956" s="48">
        <v>1889</v>
      </c>
    </row>
    <row r="957" spans="2:24" x14ac:dyDescent="0.35">
      <c r="B957" s="8" t="s">
        <v>3</v>
      </c>
      <c r="C957" s="8" t="s">
        <v>22</v>
      </c>
      <c r="D957" s="8" t="s">
        <v>5</v>
      </c>
      <c r="E957" s="8" t="s">
        <v>23</v>
      </c>
      <c r="F957" s="8" t="s">
        <v>24</v>
      </c>
      <c r="G957" s="8">
        <v>2017</v>
      </c>
      <c r="H957" s="8">
        <v>10</v>
      </c>
      <c r="I957" s="10">
        <v>43009</v>
      </c>
      <c r="J957" s="11">
        <v>2014</v>
      </c>
      <c r="K957" s="51"/>
      <c r="O957" s="1" t="s">
        <v>3</v>
      </c>
      <c r="P957" s="1" t="s">
        <v>22</v>
      </c>
      <c r="Q957" s="1" t="s">
        <v>5</v>
      </c>
      <c r="R957" s="1" t="s">
        <v>23</v>
      </c>
      <c r="S957" s="1" t="s">
        <v>24</v>
      </c>
      <c r="T957" s="1">
        <v>2017</v>
      </c>
      <c r="U957" s="1">
        <v>10</v>
      </c>
      <c r="V957" s="50">
        <v>43009</v>
      </c>
      <c r="W957" s="4">
        <v>1752.1800000000003</v>
      </c>
      <c r="X957" s="48">
        <v>2014</v>
      </c>
    </row>
    <row r="958" spans="2:24" x14ac:dyDescent="0.35">
      <c r="B958" s="8" t="s">
        <v>3</v>
      </c>
      <c r="C958" s="8" t="s">
        <v>25</v>
      </c>
      <c r="D958" s="8" t="s">
        <v>4</v>
      </c>
      <c r="E958" s="8" t="s">
        <v>23</v>
      </c>
      <c r="F958" s="6" t="s">
        <v>24</v>
      </c>
      <c r="G958" s="8">
        <v>2017</v>
      </c>
      <c r="H958" s="8">
        <v>10</v>
      </c>
      <c r="I958" s="10">
        <v>43009</v>
      </c>
      <c r="J958" s="11">
        <v>2246</v>
      </c>
      <c r="K958" s="51"/>
      <c r="O958" s="1" t="s">
        <v>3</v>
      </c>
      <c r="P958" s="1" t="s">
        <v>25</v>
      </c>
      <c r="Q958" s="1" t="s">
        <v>4</v>
      </c>
      <c r="R958" s="1" t="s">
        <v>23</v>
      </c>
      <c r="S958" t="s">
        <v>24</v>
      </c>
      <c r="T958" s="1">
        <v>2017</v>
      </c>
      <c r="U958" s="1">
        <v>10</v>
      </c>
      <c r="V958" s="50">
        <v>43009</v>
      </c>
      <c r="W958" s="4">
        <v>2043.86</v>
      </c>
      <c r="X958" s="48">
        <v>2246</v>
      </c>
    </row>
    <row r="959" spans="2:24" x14ac:dyDescent="0.35">
      <c r="B959" s="8" t="s">
        <v>3</v>
      </c>
      <c r="C959" s="8" t="s">
        <v>25</v>
      </c>
      <c r="D959" s="8" t="s">
        <v>4</v>
      </c>
      <c r="E959" s="8" t="s">
        <v>0</v>
      </c>
      <c r="F959" s="6" t="s">
        <v>26</v>
      </c>
      <c r="G959" s="8">
        <v>2017</v>
      </c>
      <c r="H959" s="8">
        <v>10</v>
      </c>
      <c r="I959" s="10">
        <v>43009</v>
      </c>
      <c r="J959" s="11">
        <v>3928</v>
      </c>
      <c r="K959" s="51"/>
      <c r="O959" s="1" t="s">
        <v>3</v>
      </c>
      <c r="P959" s="1" t="s">
        <v>25</v>
      </c>
      <c r="Q959" s="1" t="s">
        <v>4</v>
      </c>
      <c r="R959" s="1" t="s">
        <v>0</v>
      </c>
      <c r="S959" t="s">
        <v>26</v>
      </c>
      <c r="T959" s="1">
        <v>2017</v>
      </c>
      <c r="U959" s="1">
        <v>10</v>
      </c>
      <c r="V959" s="50">
        <v>43009</v>
      </c>
      <c r="W959" s="4">
        <v>3417.3600000000006</v>
      </c>
      <c r="X959" s="48">
        <v>3928</v>
      </c>
    </row>
    <row r="960" spans="2:24" x14ac:dyDescent="0.35">
      <c r="B960" s="8" t="s">
        <v>3</v>
      </c>
      <c r="C960" s="8" t="s">
        <v>22</v>
      </c>
      <c r="D960" s="8" t="s">
        <v>5</v>
      </c>
      <c r="E960" s="8" t="s">
        <v>0</v>
      </c>
      <c r="F960" s="6" t="s">
        <v>26</v>
      </c>
      <c r="G960" s="8">
        <v>2017</v>
      </c>
      <c r="H960" s="8">
        <v>10</v>
      </c>
      <c r="I960" s="10">
        <v>43009</v>
      </c>
      <c r="J960" s="11">
        <v>4054</v>
      </c>
      <c r="K960" s="51"/>
      <c r="O960" s="1" t="s">
        <v>3</v>
      </c>
      <c r="P960" s="1" t="s">
        <v>22</v>
      </c>
      <c r="Q960" s="1" t="s">
        <v>5</v>
      </c>
      <c r="R960" s="1" t="s">
        <v>0</v>
      </c>
      <c r="S960" t="s">
        <v>26</v>
      </c>
      <c r="T960" s="1">
        <v>2017</v>
      </c>
      <c r="U960" s="1">
        <v>10</v>
      </c>
      <c r="V960" s="50">
        <v>43009</v>
      </c>
      <c r="W960" s="4">
        <v>3526.9800000000005</v>
      </c>
      <c r="X960" s="48">
        <v>4054</v>
      </c>
    </row>
    <row r="961" spans="2:24" x14ac:dyDescent="0.35">
      <c r="B961" s="8" t="s">
        <v>3</v>
      </c>
      <c r="C961" s="8" t="s">
        <v>22</v>
      </c>
      <c r="D961" s="8" t="s">
        <v>5</v>
      </c>
      <c r="E961" s="9" t="s">
        <v>27</v>
      </c>
      <c r="F961" s="9" t="s">
        <v>28</v>
      </c>
      <c r="G961" s="8">
        <v>2017</v>
      </c>
      <c r="H961" s="8">
        <v>10</v>
      </c>
      <c r="I961" s="10">
        <v>43009</v>
      </c>
      <c r="J961" s="11">
        <v>4047</v>
      </c>
      <c r="K961" s="51"/>
      <c r="O961" s="1" t="s">
        <v>3</v>
      </c>
      <c r="P961" s="1" t="s">
        <v>22</v>
      </c>
      <c r="Q961" s="1" t="s">
        <v>5</v>
      </c>
      <c r="R961" s="2" t="s">
        <v>27</v>
      </c>
      <c r="S961" s="2" t="s">
        <v>28</v>
      </c>
      <c r="T961" s="1">
        <v>2017</v>
      </c>
      <c r="U961" s="1">
        <v>10</v>
      </c>
      <c r="V961" s="50">
        <v>43009</v>
      </c>
      <c r="W961" s="4">
        <v>3601.8299999999995</v>
      </c>
      <c r="X961" s="48">
        <v>4047</v>
      </c>
    </row>
    <row r="962" spans="2:24" x14ac:dyDescent="0.35">
      <c r="B962" s="8" t="s">
        <v>6</v>
      </c>
      <c r="C962" s="8" t="s">
        <v>29</v>
      </c>
      <c r="D962" s="8" t="s">
        <v>30</v>
      </c>
      <c r="E962" s="8" t="s">
        <v>27</v>
      </c>
      <c r="F962" s="9" t="s">
        <v>31</v>
      </c>
      <c r="G962" s="8">
        <v>2017</v>
      </c>
      <c r="H962" s="8">
        <v>10</v>
      </c>
      <c r="I962" s="10">
        <v>43009</v>
      </c>
      <c r="J962" s="11">
        <v>5004</v>
      </c>
      <c r="K962" s="51"/>
      <c r="O962" s="1" t="s">
        <v>6</v>
      </c>
      <c r="P962" s="1" t="s">
        <v>29</v>
      </c>
      <c r="Q962" s="1" t="s">
        <v>30</v>
      </c>
      <c r="R962" s="1" t="s">
        <v>27</v>
      </c>
      <c r="S962" s="2" t="s">
        <v>31</v>
      </c>
      <c r="T962" s="1">
        <v>2017</v>
      </c>
      <c r="U962" s="1">
        <v>10</v>
      </c>
      <c r="V962" s="50">
        <v>43009</v>
      </c>
      <c r="W962" s="4">
        <v>4653.7199999999993</v>
      </c>
      <c r="X962" s="48">
        <v>5004</v>
      </c>
    </row>
    <row r="963" spans="2:24" x14ac:dyDescent="0.35">
      <c r="B963" s="8" t="s">
        <v>7</v>
      </c>
      <c r="C963" s="8" t="s">
        <v>32</v>
      </c>
      <c r="D963" s="8" t="s">
        <v>8</v>
      </c>
      <c r="E963" s="8" t="s">
        <v>27</v>
      </c>
      <c r="F963" s="6" t="s">
        <v>33</v>
      </c>
      <c r="G963" s="8">
        <v>2017</v>
      </c>
      <c r="H963" s="8">
        <v>10</v>
      </c>
      <c r="I963" s="10">
        <v>43009</v>
      </c>
      <c r="J963" s="11">
        <v>3550</v>
      </c>
      <c r="K963" s="51"/>
      <c r="O963" s="1" t="s">
        <v>7</v>
      </c>
      <c r="P963" s="1" t="s">
        <v>32</v>
      </c>
      <c r="Q963" s="1" t="s">
        <v>8</v>
      </c>
      <c r="R963" s="1" t="s">
        <v>27</v>
      </c>
      <c r="S963" t="s">
        <v>33</v>
      </c>
      <c r="T963" s="1">
        <v>2017</v>
      </c>
      <c r="U963" s="1">
        <v>10</v>
      </c>
      <c r="V963" s="50">
        <v>43009</v>
      </c>
      <c r="W963" s="4">
        <v>3017.5000000000005</v>
      </c>
      <c r="X963" s="48">
        <v>3550</v>
      </c>
    </row>
    <row r="964" spans="2:24" x14ac:dyDescent="0.35">
      <c r="B964" s="8" t="s">
        <v>12</v>
      </c>
      <c r="C964" s="8" t="s">
        <v>34</v>
      </c>
      <c r="D964" s="8" t="s">
        <v>35</v>
      </c>
      <c r="E964" s="8" t="s">
        <v>23</v>
      </c>
      <c r="F964" s="8" t="s">
        <v>36</v>
      </c>
      <c r="G964" s="8">
        <v>2017</v>
      </c>
      <c r="H964" s="8">
        <v>10</v>
      </c>
      <c r="I964" s="10">
        <v>43009</v>
      </c>
      <c r="J964" s="11">
        <v>2804</v>
      </c>
      <c r="K964" s="51"/>
      <c r="O964" s="1" t="s">
        <v>12</v>
      </c>
      <c r="P964" s="1" t="s">
        <v>34</v>
      </c>
      <c r="Q964" s="1" t="s">
        <v>35</v>
      </c>
      <c r="R964" s="1" t="s">
        <v>23</v>
      </c>
      <c r="S964" s="1" t="s">
        <v>36</v>
      </c>
      <c r="T964" s="1">
        <v>2017</v>
      </c>
      <c r="U964" s="1">
        <v>10</v>
      </c>
      <c r="V964" s="50">
        <v>43009</v>
      </c>
      <c r="W964" s="4">
        <v>2411.4400000000005</v>
      </c>
      <c r="X964" s="48">
        <v>2804</v>
      </c>
    </row>
    <row r="965" spans="2:24" x14ac:dyDescent="0.35">
      <c r="B965" s="8" t="s">
        <v>14</v>
      </c>
      <c r="C965" s="8" t="s">
        <v>37</v>
      </c>
      <c r="D965" s="8" t="s">
        <v>38</v>
      </c>
      <c r="E965" s="8" t="s">
        <v>23</v>
      </c>
      <c r="F965" s="8" t="s">
        <v>24</v>
      </c>
      <c r="G965" s="8">
        <v>2017</v>
      </c>
      <c r="H965" s="8">
        <v>10</v>
      </c>
      <c r="I965" s="10">
        <v>43009</v>
      </c>
      <c r="J965" s="11">
        <v>1684</v>
      </c>
      <c r="K965" s="51"/>
      <c r="O965" s="1" t="s">
        <v>14</v>
      </c>
      <c r="P965" s="1" t="s">
        <v>37</v>
      </c>
      <c r="Q965" s="1" t="s">
        <v>38</v>
      </c>
      <c r="R965" s="1" t="s">
        <v>23</v>
      </c>
      <c r="S965" s="1" t="s">
        <v>24</v>
      </c>
      <c r="T965" s="1">
        <v>2017</v>
      </c>
      <c r="U965" s="1">
        <v>10</v>
      </c>
      <c r="V965" s="50">
        <v>43009</v>
      </c>
      <c r="W965" s="4">
        <v>1582.9599999999998</v>
      </c>
      <c r="X965" s="48">
        <v>1684</v>
      </c>
    </row>
    <row r="966" spans="2:24" x14ac:dyDescent="0.35">
      <c r="B966" s="8" t="s">
        <v>3</v>
      </c>
      <c r="C966" s="8" t="s">
        <v>25</v>
      </c>
      <c r="D966" s="8" t="s">
        <v>4</v>
      </c>
      <c r="E966" s="8" t="s">
        <v>23</v>
      </c>
      <c r="F966" s="8" t="s">
        <v>39</v>
      </c>
      <c r="G966" s="8">
        <v>2017</v>
      </c>
      <c r="H966" s="8">
        <v>10</v>
      </c>
      <c r="I966" s="10">
        <v>43009</v>
      </c>
      <c r="J966" s="11">
        <v>2278</v>
      </c>
      <c r="K966" s="51"/>
      <c r="O966" s="1" t="s">
        <v>3</v>
      </c>
      <c r="P966" s="1" t="s">
        <v>25</v>
      </c>
      <c r="Q966" s="1" t="s">
        <v>4</v>
      </c>
      <c r="R966" s="1" t="s">
        <v>23</v>
      </c>
      <c r="S966" s="1" t="s">
        <v>39</v>
      </c>
      <c r="T966" s="1">
        <v>2017</v>
      </c>
      <c r="U966" s="1">
        <v>10</v>
      </c>
      <c r="V966" s="50">
        <v>43009</v>
      </c>
      <c r="W966" s="4">
        <v>1981.8600000000001</v>
      </c>
      <c r="X966" s="48">
        <v>2278</v>
      </c>
    </row>
    <row r="967" spans="2:24" x14ac:dyDescent="0.35">
      <c r="B967" s="8" t="s">
        <v>6</v>
      </c>
      <c r="C967" s="8" t="s">
        <v>40</v>
      </c>
      <c r="D967" s="8" t="s">
        <v>41</v>
      </c>
      <c r="E967" s="8" t="s">
        <v>0</v>
      </c>
      <c r="F967" s="6" t="s">
        <v>42</v>
      </c>
      <c r="G967" s="8">
        <v>2017</v>
      </c>
      <c r="H967" s="8">
        <v>10</v>
      </c>
      <c r="I967" s="10">
        <v>43009</v>
      </c>
      <c r="J967" s="11">
        <v>6611</v>
      </c>
      <c r="K967" s="51"/>
      <c r="O967" s="1" t="s">
        <v>6</v>
      </c>
      <c r="P967" s="1" t="s">
        <v>40</v>
      </c>
      <c r="Q967" s="1" t="s">
        <v>41</v>
      </c>
      <c r="R967" s="1" t="s">
        <v>0</v>
      </c>
      <c r="S967" t="s">
        <v>42</v>
      </c>
      <c r="T967" s="1">
        <v>2017</v>
      </c>
      <c r="U967" s="1">
        <v>10</v>
      </c>
      <c r="V967" s="50">
        <v>43009</v>
      </c>
      <c r="W967" s="4">
        <v>5685.4600000000009</v>
      </c>
      <c r="X967" s="48">
        <v>6611</v>
      </c>
    </row>
    <row r="968" spans="2:24" x14ac:dyDescent="0.35">
      <c r="B968" s="8" t="s">
        <v>7</v>
      </c>
      <c r="C968" s="8" t="s">
        <v>43</v>
      </c>
      <c r="D968" s="8" t="s">
        <v>10</v>
      </c>
      <c r="E968" s="8" t="s">
        <v>0</v>
      </c>
      <c r="F968" s="6" t="s">
        <v>26</v>
      </c>
      <c r="G968" s="8">
        <v>2017</v>
      </c>
      <c r="H968" s="8">
        <v>10</v>
      </c>
      <c r="I968" s="10">
        <v>43009</v>
      </c>
      <c r="J968" s="11">
        <v>3125</v>
      </c>
      <c r="K968" s="51"/>
      <c r="O968" s="1" t="s">
        <v>7</v>
      </c>
      <c r="P968" s="1" t="s">
        <v>43</v>
      </c>
      <c r="Q968" s="1" t="s">
        <v>10</v>
      </c>
      <c r="R968" s="1" t="s">
        <v>0</v>
      </c>
      <c r="S968" t="s">
        <v>26</v>
      </c>
      <c r="T968" s="1">
        <v>2017</v>
      </c>
      <c r="U968" s="1">
        <v>10</v>
      </c>
      <c r="V968" s="50">
        <v>43009</v>
      </c>
      <c r="W968" s="4">
        <v>2906.25</v>
      </c>
      <c r="X968" s="48">
        <v>3125</v>
      </c>
    </row>
    <row r="969" spans="2:24" x14ac:dyDescent="0.35">
      <c r="B969" s="8" t="s">
        <v>12</v>
      </c>
      <c r="C969" s="8" t="s">
        <v>44</v>
      </c>
      <c r="D969" s="8" t="s">
        <v>13</v>
      </c>
      <c r="E969" s="8" t="s">
        <v>0</v>
      </c>
      <c r="F969" s="6" t="s">
        <v>45</v>
      </c>
      <c r="G969" s="8">
        <v>2017</v>
      </c>
      <c r="H969" s="8">
        <v>10</v>
      </c>
      <c r="I969" s="10">
        <v>43009</v>
      </c>
      <c r="J969" s="11">
        <v>4367</v>
      </c>
      <c r="K969" s="51"/>
      <c r="O969" s="1" t="s">
        <v>12</v>
      </c>
      <c r="P969" s="1" t="s">
        <v>44</v>
      </c>
      <c r="Q969" s="1" t="s">
        <v>13</v>
      </c>
      <c r="R969" s="1" t="s">
        <v>0</v>
      </c>
      <c r="S969" t="s">
        <v>45</v>
      </c>
      <c r="T969" s="1">
        <v>2017</v>
      </c>
      <c r="U969" s="1">
        <v>10</v>
      </c>
      <c r="V969" s="50">
        <v>43009</v>
      </c>
      <c r="W969" s="4">
        <v>3973.97</v>
      </c>
      <c r="X969" s="48">
        <v>4367</v>
      </c>
    </row>
    <row r="970" spans="2:24" x14ac:dyDescent="0.35">
      <c r="B970" s="8" t="s">
        <v>14</v>
      </c>
      <c r="C970" s="8" t="s">
        <v>46</v>
      </c>
      <c r="D970" s="8" t="s">
        <v>47</v>
      </c>
      <c r="E970" s="9" t="s">
        <v>27</v>
      </c>
      <c r="F970" s="9" t="s">
        <v>28</v>
      </c>
      <c r="G970" s="8">
        <v>2017</v>
      </c>
      <c r="H970" s="8">
        <v>10</v>
      </c>
      <c r="I970" s="10">
        <v>43009</v>
      </c>
      <c r="J970" s="11">
        <v>3716</v>
      </c>
      <c r="K970" s="51"/>
      <c r="O970" s="1" t="s">
        <v>14</v>
      </c>
      <c r="P970" s="1" t="s">
        <v>46</v>
      </c>
      <c r="Q970" s="1" t="s">
        <v>47</v>
      </c>
      <c r="R970" s="2" t="s">
        <v>27</v>
      </c>
      <c r="S970" s="2" t="s">
        <v>28</v>
      </c>
      <c r="T970" s="1">
        <v>2017</v>
      </c>
      <c r="U970" s="1">
        <v>10</v>
      </c>
      <c r="V970" s="50">
        <v>43009</v>
      </c>
      <c r="W970" s="4">
        <v>3270.0799999999995</v>
      </c>
      <c r="X970" s="48">
        <v>3716</v>
      </c>
    </row>
    <row r="971" spans="2:24" x14ac:dyDescent="0.35">
      <c r="B971" s="8" t="s">
        <v>3</v>
      </c>
      <c r="C971" s="8" t="s">
        <v>22</v>
      </c>
      <c r="D971" s="8" t="s">
        <v>5</v>
      </c>
      <c r="E971" s="8" t="s">
        <v>27</v>
      </c>
      <c r="F971" s="9" t="s">
        <v>31</v>
      </c>
      <c r="G971" s="8">
        <v>2017</v>
      </c>
      <c r="H971" s="8">
        <v>10</v>
      </c>
      <c r="I971" s="10">
        <v>43009</v>
      </c>
      <c r="J971" s="11">
        <v>4374</v>
      </c>
      <c r="K971" s="51"/>
      <c r="O971" s="1" t="s">
        <v>3</v>
      </c>
      <c r="P971" s="1" t="s">
        <v>22</v>
      </c>
      <c r="Q971" s="1" t="s">
        <v>5</v>
      </c>
      <c r="R971" s="1" t="s">
        <v>27</v>
      </c>
      <c r="S971" s="2" t="s">
        <v>31</v>
      </c>
      <c r="T971" s="1">
        <v>2017</v>
      </c>
      <c r="U971" s="1">
        <v>10</v>
      </c>
      <c r="V971" s="50">
        <v>43009</v>
      </c>
      <c r="W971" s="4">
        <v>4024.08</v>
      </c>
      <c r="X971" s="48">
        <v>4374</v>
      </c>
    </row>
    <row r="972" spans="2:24" x14ac:dyDescent="0.35">
      <c r="B972" s="8" t="s">
        <v>6</v>
      </c>
      <c r="C972" s="8" t="s">
        <v>29</v>
      </c>
      <c r="D972" s="8" t="s">
        <v>30</v>
      </c>
      <c r="E972" s="8" t="s">
        <v>27</v>
      </c>
      <c r="F972" s="6" t="s">
        <v>33</v>
      </c>
      <c r="G972" s="8">
        <v>2017</v>
      </c>
      <c r="H972" s="8">
        <v>10</v>
      </c>
      <c r="I972" s="10">
        <v>43009</v>
      </c>
      <c r="J972" s="11">
        <v>3297</v>
      </c>
      <c r="K972" s="51"/>
      <c r="O972" s="1" t="s">
        <v>6</v>
      </c>
      <c r="P972" s="1" t="s">
        <v>29</v>
      </c>
      <c r="Q972" s="1" t="s">
        <v>30</v>
      </c>
      <c r="R972" s="1" t="s">
        <v>27</v>
      </c>
      <c r="S972" t="s">
        <v>33</v>
      </c>
      <c r="T972" s="1">
        <v>2017</v>
      </c>
      <c r="U972" s="1">
        <v>10</v>
      </c>
      <c r="V972" s="50">
        <v>43009</v>
      </c>
      <c r="W972" s="4">
        <v>2802.4500000000003</v>
      </c>
      <c r="X972" s="48">
        <v>3297</v>
      </c>
    </row>
    <row r="973" spans="2:24" x14ac:dyDescent="0.35">
      <c r="B973" s="8" t="s">
        <v>7</v>
      </c>
      <c r="C973" s="8" t="s">
        <v>32</v>
      </c>
      <c r="D973" s="8" t="s">
        <v>8</v>
      </c>
      <c r="E973" s="8" t="s">
        <v>23</v>
      </c>
      <c r="F973" s="8" t="s">
        <v>36</v>
      </c>
      <c r="G973" s="8">
        <v>2017</v>
      </c>
      <c r="H973" s="8">
        <v>10</v>
      </c>
      <c r="I973" s="10">
        <v>43009</v>
      </c>
      <c r="J973" s="11">
        <v>2002</v>
      </c>
      <c r="K973" s="51"/>
      <c r="O973" s="1" t="s">
        <v>7</v>
      </c>
      <c r="P973" s="1" t="s">
        <v>32</v>
      </c>
      <c r="Q973" s="1" t="s">
        <v>8</v>
      </c>
      <c r="R973" s="1" t="s">
        <v>23</v>
      </c>
      <c r="S973" s="1" t="s">
        <v>36</v>
      </c>
      <c r="T973" s="1">
        <v>2017</v>
      </c>
      <c r="U973" s="1">
        <v>10</v>
      </c>
      <c r="V973" s="50">
        <v>43009</v>
      </c>
      <c r="W973" s="4">
        <v>1861.86</v>
      </c>
      <c r="X973" s="48">
        <v>2002</v>
      </c>
    </row>
    <row r="974" spans="2:24" x14ac:dyDescent="0.35">
      <c r="B974" s="8" t="s">
        <v>12</v>
      </c>
      <c r="C974" s="8" t="s">
        <v>34</v>
      </c>
      <c r="D974" s="8" t="s">
        <v>35</v>
      </c>
      <c r="E974" s="8" t="s">
        <v>23</v>
      </c>
      <c r="F974" s="8" t="s">
        <v>24</v>
      </c>
      <c r="G974" s="8">
        <v>2017</v>
      </c>
      <c r="H974" s="8">
        <v>10</v>
      </c>
      <c r="I974" s="10">
        <v>43009</v>
      </c>
      <c r="J974" s="11">
        <v>3012</v>
      </c>
      <c r="K974" s="51"/>
      <c r="O974" s="1" t="s">
        <v>12</v>
      </c>
      <c r="P974" s="1" t="s">
        <v>34</v>
      </c>
      <c r="Q974" s="1" t="s">
        <v>35</v>
      </c>
      <c r="R974" s="1" t="s">
        <v>23</v>
      </c>
      <c r="S974" s="1" t="s">
        <v>24</v>
      </c>
      <c r="T974" s="1">
        <v>2017</v>
      </c>
      <c r="U974" s="1">
        <v>10</v>
      </c>
      <c r="V974" s="50">
        <v>43009</v>
      </c>
      <c r="W974" s="4">
        <v>2650.5599999999995</v>
      </c>
      <c r="X974" s="48">
        <v>3012</v>
      </c>
    </row>
    <row r="975" spans="2:24" x14ac:dyDescent="0.35">
      <c r="B975" s="8" t="s">
        <v>14</v>
      </c>
      <c r="C975" s="8" t="s">
        <v>37</v>
      </c>
      <c r="D975" s="8" t="s">
        <v>38</v>
      </c>
      <c r="E975" s="8" t="s">
        <v>23</v>
      </c>
      <c r="F975" s="8" t="s">
        <v>39</v>
      </c>
      <c r="G975" s="8">
        <v>2017</v>
      </c>
      <c r="H975" s="8">
        <v>10</v>
      </c>
      <c r="I975" s="10">
        <v>43009</v>
      </c>
      <c r="J975" s="11">
        <v>2725</v>
      </c>
      <c r="K975" s="51"/>
      <c r="O975" s="1" t="s">
        <v>14</v>
      </c>
      <c r="P975" s="1" t="s">
        <v>37</v>
      </c>
      <c r="Q975" s="1" t="s">
        <v>38</v>
      </c>
      <c r="R975" s="1" t="s">
        <v>23</v>
      </c>
      <c r="S975" s="1" t="s">
        <v>39</v>
      </c>
      <c r="T975" s="1">
        <v>2017</v>
      </c>
      <c r="U975" s="1">
        <v>10</v>
      </c>
      <c r="V975" s="50">
        <v>43009</v>
      </c>
      <c r="W975" s="4">
        <v>2479.75</v>
      </c>
      <c r="X975" s="48">
        <v>2725</v>
      </c>
    </row>
    <row r="976" spans="2:24" x14ac:dyDescent="0.35">
      <c r="B976" s="8" t="s">
        <v>3</v>
      </c>
      <c r="C976" s="8" t="s">
        <v>25</v>
      </c>
      <c r="D976" s="8" t="s">
        <v>4</v>
      </c>
      <c r="E976" s="8" t="s">
        <v>0</v>
      </c>
      <c r="F976" s="6" t="s">
        <v>42</v>
      </c>
      <c r="G976" s="8">
        <v>2017</v>
      </c>
      <c r="H976" s="8">
        <v>10</v>
      </c>
      <c r="I976" s="10">
        <v>43009</v>
      </c>
      <c r="J976" s="11">
        <v>4188</v>
      </c>
      <c r="K976" s="51"/>
      <c r="O976" s="1" t="s">
        <v>3</v>
      </c>
      <c r="P976" s="1" t="s">
        <v>25</v>
      </c>
      <c r="Q976" s="1" t="s">
        <v>4</v>
      </c>
      <c r="R976" s="1" t="s">
        <v>0</v>
      </c>
      <c r="S976" t="s">
        <v>42</v>
      </c>
      <c r="T976" s="1">
        <v>2017</v>
      </c>
      <c r="U976" s="1">
        <v>10</v>
      </c>
      <c r="V976" s="50">
        <v>43009</v>
      </c>
      <c r="W976" s="4">
        <v>3601.6800000000003</v>
      </c>
      <c r="X976" s="48">
        <v>4188</v>
      </c>
    </row>
    <row r="977" spans="2:24" x14ac:dyDescent="0.35">
      <c r="B977" s="8" t="s">
        <v>6</v>
      </c>
      <c r="C977" s="8" t="s">
        <v>40</v>
      </c>
      <c r="D977" s="8" t="s">
        <v>41</v>
      </c>
      <c r="E977" s="8" t="s">
        <v>0</v>
      </c>
      <c r="F977" s="6" t="s">
        <v>26</v>
      </c>
      <c r="G977" s="8">
        <v>2017</v>
      </c>
      <c r="H977" s="8">
        <v>10</v>
      </c>
      <c r="I977" s="10">
        <v>43009</v>
      </c>
      <c r="J977" s="11">
        <v>5393</v>
      </c>
      <c r="K977" s="51"/>
      <c r="O977" s="1" t="s">
        <v>6</v>
      </c>
      <c r="P977" s="1" t="s">
        <v>40</v>
      </c>
      <c r="Q977" s="1" t="s">
        <v>41</v>
      </c>
      <c r="R977" s="1" t="s">
        <v>0</v>
      </c>
      <c r="S977" t="s">
        <v>26</v>
      </c>
      <c r="T977" s="1">
        <v>2017</v>
      </c>
      <c r="U977" s="1">
        <v>10</v>
      </c>
      <c r="V977" s="50">
        <v>43009</v>
      </c>
      <c r="W977" s="4">
        <v>4745.8399999999992</v>
      </c>
      <c r="X977" s="48">
        <v>5393</v>
      </c>
    </row>
    <row r="978" spans="2:24" x14ac:dyDescent="0.35">
      <c r="B978" s="8" t="s">
        <v>7</v>
      </c>
      <c r="C978" s="8" t="s">
        <v>43</v>
      </c>
      <c r="D978" s="8" t="s">
        <v>10</v>
      </c>
      <c r="E978" s="8" t="s">
        <v>0</v>
      </c>
      <c r="F978" s="6" t="s">
        <v>45</v>
      </c>
      <c r="G978" s="8">
        <v>2017</v>
      </c>
      <c r="H978" s="8">
        <v>10</v>
      </c>
      <c r="I978" s="10">
        <v>43009</v>
      </c>
      <c r="J978" s="11">
        <v>3990</v>
      </c>
      <c r="K978" s="51"/>
      <c r="O978" s="1" t="s">
        <v>7</v>
      </c>
      <c r="P978" s="1" t="s">
        <v>43</v>
      </c>
      <c r="Q978" s="1" t="s">
        <v>10</v>
      </c>
      <c r="R978" s="1" t="s">
        <v>0</v>
      </c>
      <c r="S978" t="s">
        <v>45</v>
      </c>
      <c r="T978" s="1">
        <v>2017</v>
      </c>
      <c r="U978" s="1">
        <v>10</v>
      </c>
      <c r="V978" s="50">
        <v>43009</v>
      </c>
      <c r="W978" s="4">
        <v>3630.8999999999996</v>
      </c>
      <c r="X978" s="48">
        <v>3990</v>
      </c>
    </row>
    <row r="979" spans="2:24" x14ac:dyDescent="0.35">
      <c r="B979" s="8" t="s">
        <v>12</v>
      </c>
      <c r="C979" s="8" t="s">
        <v>44</v>
      </c>
      <c r="D979" s="8" t="s">
        <v>13</v>
      </c>
      <c r="E979" s="9" t="s">
        <v>27</v>
      </c>
      <c r="F979" s="9" t="s">
        <v>28</v>
      </c>
      <c r="G979" s="8">
        <v>2017</v>
      </c>
      <c r="H979" s="8">
        <v>10</v>
      </c>
      <c r="I979" s="10">
        <v>43009</v>
      </c>
      <c r="J979" s="11">
        <v>3284</v>
      </c>
      <c r="K979" s="51"/>
      <c r="O979" s="1" t="s">
        <v>12</v>
      </c>
      <c r="P979" s="1" t="s">
        <v>44</v>
      </c>
      <c r="Q979" s="1" t="s">
        <v>13</v>
      </c>
      <c r="R979" s="2" t="s">
        <v>27</v>
      </c>
      <c r="S979" s="2" t="s">
        <v>28</v>
      </c>
      <c r="T979" s="1">
        <v>2017</v>
      </c>
      <c r="U979" s="1">
        <v>10</v>
      </c>
      <c r="V979" s="50">
        <v>43009</v>
      </c>
      <c r="W979" s="4">
        <v>2824.2400000000002</v>
      </c>
      <c r="X979" s="48">
        <v>3284</v>
      </c>
    </row>
    <row r="980" spans="2:24" x14ac:dyDescent="0.35">
      <c r="B980" s="8" t="s">
        <v>14</v>
      </c>
      <c r="C980" s="8" t="s">
        <v>46</v>
      </c>
      <c r="D980" s="8" t="s">
        <v>47</v>
      </c>
      <c r="E980" s="8" t="s">
        <v>27</v>
      </c>
      <c r="F980" s="9" t="s">
        <v>31</v>
      </c>
      <c r="G980" s="8">
        <v>2017</v>
      </c>
      <c r="H980" s="8">
        <v>10</v>
      </c>
      <c r="I980" s="10">
        <v>43009</v>
      </c>
      <c r="J980" s="11">
        <v>4013</v>
      </c>
      <c r="K980" s="51"/>
      <c r="O980" s="1" t="s">
        <v>14</v>
      </c>
      <c r="P980" s="1" t="s">
        <v>46</v>
      </c>
      <c r="Q980" s="1" t="s">
        <v>47</v>
      </c>
      <c r="R980" s="1" t="s">
        <v>27</v>
      </c>
      <c r="S980" s="2" t="s">
        <v>31</v>
      </c>
      <c r="T980" s="1">
        <v>2017</v>
      </c>
      <c r="U980" s="1">
        <v>10</v>
      </c>
      <c r="V980" s="50">
        <v>43009</v>
      </c>
      <c r="W980" s="4">
        <v>3451.1800000000003</v>
      </c>
      <c r="X980" s="48">
        <v>4013</v>
      </c>
    </row>
    <row r="981" spans="2:24" x14ac:dyDescent="0.35">
      <c r="B981" s="8" t="s">
        <v>3</v>
      </c>
      <c r="C981" s="8" t="s">
        <v>22</v>
      </c>
      <c r="D981" s="8" t="s">
        <v>5</v>
      </c>
      <c r="E981" s="8" t="s">
        <v>27</v>
      </c>
      <c r="F981" s="6" t="s">
        <v>33</v>
      </c>
      <c r="G981" s="8">
        <v>2017</v>
      </c>
      <c r="H981" s="8">
        <v>10</v>
      </c>
      <c r="I981" s="10">
        <v>43009</v>
      </c>
      <c r="J981" s="11">
        <v>3265</v>
      </c>
      <c r="K981" s="51"/>
      <c r="O981" s="1" t="s">
        <v>3</v>
      </c>
      <c r="P981" s="1" t="s">
        <v>22</v>
      </c>
      <c r="Q981" s="1" t="s">
        <v>5</v>
      </c>
      <c r="R981" s="1" t="s">
        <v>27</v>
      </c>
      <c r="S981" t="s">
        <v>33</v>
      </c>
      <c r="T981" s="1">
        <v>2017</v>
      </c>
      <c r="U981" s="1">
        <v>10</v>
      </c>
      <c r="V981" s="50">
        <v>43009</v>
      </c>
      <c r="W981" s="4">
        <v>2807.9000000000005</v>
      </c>
      <c r="X981" s="48">
        <v>3265</v>
      </c>
    </row>
    <row r="982" spans="2:24" x14ac:dyDescent="0.35">
      <c r="B982" s="8" t="s">
        <v>6</v>
      </c>
      <c r="C982" s="8" t="s">
        <v>29</v>
      </c>
      <c r="D982" s="8" t="s">
        <v>30</v>
      </c>
      <c r="E982" s="8" t="s">
        <v>23</v>
      </c>
      <c r="F982" s="8" t="s">
        <v>36</v>
      </c>
      <c r="G982" s="8">
        <v>2017</v>
      </c>
      <c r="H982" s="8">
        <v>10</v>
      </c>
      <c r="I982" s="10">
        <v>43009</v>
      </c>
      <c r="J982" s="11">
        <v>2224</v>
      </c>
      <c r="K982" s="51"/>
      <c r="O982" s="1" t="s">
        <v>6</v>
      </c>
      <c r="P982" s="1" t="s">
        <v>29</v>
      </c>
      <c r="Q982" s="1" t="s">
        <v>30</v>
      </c>
      <c r="R982" s="1" t="s">
        <v>23</v>
      </c>
      <c r="S982" s="1" t="s">
        <v>36</v>
      </c>
      <c r="T982" s="1">
        <v>2017</v>
      </c>
      <c r="U982" s="1">
        <v>10</v>
      </c>
      <c r="V982" s="50">
        <v>43009</v>
      </c>
      <c r="W982" s="4">
        <v>1912.6400000000003</v>
      </c>
      <c r="X982" s="48">
        <v>2224</v>
      </c>
    </row>
    <row r="983" spans="2:24" x14ac:dyDescent="0.35">
      <c r="B983" s="8" t="s">
        <v>7</v>
      </c>
      <c r="C983" s="8" t="s">
        <v>32</v>
      </c>
      <c r="D983" s="8" t="s">
        <v>8</v>
      </c>
      <c r="E983" s="8" t="s">
        <v>23</v>
      </c>
      <c r="F983" s="8" t="s">
        <v>24</v>
      </c>
      <c r="G983" s="8">
        <v>2017</v>
      </c>
      <c r="H983" s="8">
        <v>10</v>
      </c>
      <c r="I983" s="10">
        <v>43009</v>
      </c>
      <c r="J983" s="11">
        <v>3107</v>
      </c>
      <c r="K983" s="51"/>
      <c r="O983" s="1" t="s">
        <v>7</v>
      </c>
      <c r="P983" s="1" t="s">
        <v>32</v>
      </c>
      <c r="Q983" s="1" t="s">
        <v>8</v>
      </c>
      <c r="R983" s="1" t="s">
        <v>23</v>
      </c>
      <c r="S983" s="1" t="s">
        <v>24</v>
      </c>
      <c r="T983" s="1">
        <v>2017</v>
      </c>
      <c r="U983" s="1">
        <v>10</v>
      </c>
      <c r="V983" s="50">
        <v>43009</v>
      </c>
      <c r="W983" s="4">
        <v>2672.0200000000004</v>
      </c>
      <c r="X983" s="48">
        <v>3107</v>
      </c>
    </row>
    <row r="984" spans="2:24" x14ac:dyDescent="0.35">
      <c r="B984" s="8" t="s">
        <v>12</v>
      </c>
      <c r="C984" s="8" t="s">
        <v>34</v>
      </c>
      <c r="D984" s="8" t="s">
        <v>35</v>
      </c>
      <c r="E984" s="8" t="s">
        <v>23</v>
      </c>
      <c r="F984" s="8" t="s">
        <v>39</v>
      </c>
      <c r="G984" s="8">
        <v>2017</v>
      </c>
      <c r="H984" s="8">
        <v>10</v>
      </c>
      <c r="I984" s="10">
        <v>43009</v>
      </c>
      <c r="J984" s="11">
        <v>1942</v>
      </c>
      <c r="K984" s="51"/>
      <c r="O984" s="1" t="s">
        <v>12</v>
      </c>
      <c r="P984" s="1" t="s">
        <v>34</v>
      </c>
      <c r="Q984" s="1" t="s">
        <v>35</v>
      </c>
      <c r="R984" s="1" t="s">
        <v>23</v>
      </c>
      <c r="S984" s="1" t="s">
        <v>39</v>
      </c>
      <c r="T984" s="1">
        <v>2017</v>
      </c>
      <c r="U984" s="1">
        <v>10</v>
      </c>
      <c r="V984" s="50">
        <v>43009</v>
      </c>
      <c r="W984" s="4">
        <v>1767.2199999999998</v>
      </c>
      <c r="X984" s="48">
        <v>1942</v>
      </c>
    </row>
    <row r="985" spans="2:24" x14ac:dyDescent="0.35">
      <c r="B985" s="8" t="s">
        <v>14</v>
      </c>
      <c r="C985" s="8" t="s">
        <v>37</v>
      </c>
      <c r="D985" s="8" t="s">
        <v>38</v>
      </c>
      <c r="E985" s="8" t="s">
        <v>0</v>
      </c>
      <c r="F985" s="6" t="s">
        <v>42</v>
      </c>
      <c r="G985" s="8">
        <v>2017</v>
      </c>
      <c r="H985" s="8">
        <v>10</v>
      </c>
      <c r="I985" s="10">
        <v>43009</v>
      </c>
      <c r="J985" s="11">
        <v>6525</v>
      </c>
      <c r="K985" s="51"/>
      <c r="O985" s="1" t="s">
        <v>14</v>
      </c>
      <c r="P985" s="1" t="s">
        <v>37</v>
      </c>
      <c r="Q985" s="1" t="s">
        <v>38</v>
      </c>
      <c r="R985" s="1" t="s">
        <v>0</v>
      </c>
      <c r="S985" t="s">
        <v>42</v>
      </c>
      <c r="T985" s="1">
        <v>2017</v>
      </c>
      <c r="U985" s="1">
        <v>10</v>
      </c>
      <c r="V985" s="50">
        <v>43009</v>
      </c>
      <c r="W985" s="4">
        <v>6133.5</v>
      </c>
      <c r="X985" s="48">
        <v>6525</v>
      </c>
    </row>
    <row r="986" spans="2:24" x14ac:dyDescent="0.35">
      <c r="B986" s="8" t="s">
        <v>6</v>
      </c>
      <c r="C986" s="8" t="s">
        <v>29</v>
      </c>
      <c r="D986" s="8" t="s">
        <v>30</v>
      </c>
      <c r="E986" s="8" t="s">
        <v>0</v>
      </c>
      <c r="F986" s="6" t="s">
        <v>45</v>
      </c>
      <c r="G986" s="8">
        <v>2017</v>
      </c>
      <c r="H986" s="8">
        <v>10</v>
      </c>
      <c r="I986" s="10">
        <v>43009</v>
      </c>
      <c r="J986" s="11">
        <v>3199</v>
      </c>
      <c r="K986" s="51"/>
      <c r="O986" s="1" t="s">
        <v>6</v>
      </c>
      <c r="P986" s="1" t="s">
        <v>29</v>
      </c>
      <c r="Q986" s="1" t="s">
        <v>30</v>
      </c>
      <c r="R986" s="1" t="s">
        <v>0</v>
      </c>
      <c r="S986" t="s">
        <v>45</v>
      </c>
      <c r="T986" s="1">
        <v>2017</v>
      </c>
      <c r="U986" s="1">
        <v>10</v>
      </c>
      <c r="V986" s="50">
        <v>43009</v>
      </c>
      <c r="W986" s="4">
        <v>2943.08</v>
      </c>
      <c r="X986" s="48">
        <v>3199</v>
      </c>
    </row>
    <row r="987" spans="2:24" x14ac:dyDescent="0.35">
      <c r="B987" s="8" t="s">
        <v>7</v>
      </c>
      <c r="C987" s="8" t="s">
        <v>43</v>
      </c>
      <c r="D987" s="8" t="s">
        <v>10</v>
      </c>
      <c r="E987" s="8" t="s">
        <v>27</v>
      </c>
      <c r="F987" s="6" t="s">
        <v>28</v>
      </c>
      <c r="G987" s="8">
        <v>2017</v>
      </c>
      <c r="H987" s="8">
        <v>10</v>
      </c>
      <c r="I987" s="10">
        <v>43009</v>
      </c>
      <c r="J987" s="11">
        <v>4325</v>
      </c>
      <c r="K987" s="51"/>
      <c r="O987" s="1" t="s">
        <v>7</v>
      </c>
      <c r="P987" s="1" t="s">
        <v>43</v>
      </c>
      <c r="Q987" s="1" t="s">
        <v>10</v>
      </c>
      <c r="R987" s="1" t="s">
        <v>27</v>
      </c>
      <c r="S987" t="s">
        <v>28</v>
      </c>
      <c r="T987" s="1">
        <v>2017</v>
      </c>
      <c r="U987" s="1">
        <v>10</v>
      </c>
      <c r="V987" s="50">
        <v>43009</v>
      </c>
      <c r="W987" s="4">
        <v>3935.7499999999995</v>
      </c>
      <c r="X987" s="48">
        <v>4325</v>
      </c>
    </row>
    <row r="988" spans="2:24" x14ac:dyDescent="0.35">
      <c r="B988" s="8" t="s">
        <v>12</v>
      </c>
      <c r="C988" s="8" t="s">
        <v>44</v>
      </c>
      <c r="D988" s="8" t="s">
        <v>13</v>
      </c>
      <c r="E988" s="9" t="s">
        <v>27</v>
      </c>
      <c r="F988" s="9" t="s">
        <v>31</v>
      </c>
      <c r="G988" s="8">
        <v>2017</v>
      </c>
      <c r="H988" s="8">
        <v>10</v>
      </c>
      <c r="I988" s="10">
        <v>43009</v>
      </c>
      <c r="J988" s="11">
        <v>4076</v>
      </c>
      <c r="K988" s="51"/>
      <c r="O988" s="1" t="s">
        <v>12</v>
      </c>
      <c r="P988" s="1" t="s">
        <v>44</v>
      </c>
      <c r="Q988" s="1" t="s">
        <v>13</v>
      </c>
      <c r="R988" s="2" t="s">
        <v>27</v>
      </c>
      <c r="S988" s="2" t="s">
        <v>31</v>
      </c>
      <c r="T988" s="1">
        <v>2017</v>
      </c>
      <c r="U988" s="1">
        <v>10</v>
      </c>
      <c r="V988" s="50">
        <v>43009</v>
      </c>
      <c r="W988" s="4">
        <v>3749.9199999999996</v>
      </c>
      <c r="X988" s="48">
        <v>4076</v>
      </c>
    </row>
    <row r="989" spans="2:24" x14ac:dyDescent="0.35">
      <c r="B989" s="8" t="s">
        <v>14</v>
      </c>
      <c r="C989" s="8" t="s">
        <v>46</v>
      </c>
      <c r="D989" s="8" t="s">
        <v>47</v>
      </c>
      <c r="E989" s="8" t="s">
        <v>27</v>
      </c>
      <c r="F989" s="9" t="s">
        <v>33</v>
      </c>
      <c r="G989" s="8">
        <v>2017</v>
      </c>
      <c r="H989" s="8">
        <v>10</v>
      </c>
      <c r="I989" s="10">
        <v>43009</v>
      </c>
      <c r="J989" s="11">
        <v>3989</v>
      </c>
      <c r="K989" s="51"/>
      <c r="O989" s="1" t="s">
        <v>14</v>
      </c>
      <c r="P989" s="1" t="s">
        <v>46</v>
      </c>
      <c r="Q989" s="1" t="s">
        <v>47</v>
      </c>
      <c r="R989" s="1" t="s">
        <v>27</v>
      </c>
      <c r="S989" s="2" t="s">
        <v>33</v>
      </c>
      <c r="T989" s="1">
        <v>2017</v>
      </c>
      <c r="U989" s="1">
        <v>10</v>
      </c>
      <c r="V989" s="50">
        <v>43009</v>
      </c>
      <c r="W989" s="4">
        <v>3749.66</v>
      </c>
      <c r="X989" s="48">
        <v>3989</v>
      </c>
    </row>
    <row r="990" spans="2:24" x14ac:dyDescent="0.35">
      <c r="B990" s="8" t="s">
        <v>3</v>
      </c>
      <c r="C990" s="8" t="s">
        <v>22</v>
      </c>
      <c r="D990" s="8" t="s">
        <v>5</v>
      </c>
      <c r="E990" s="8" t="s">
        <v>23</v>
      </c>
      <c r="F990" s="6" t="s">
        <v>36</v>
      </c>
      <c r="G990" s="8">
        <v>2017</v>
      </c>
      <c r="H990" s="8">
        <v>10</v>
      </c>
      <c r="I990" s="10">
        <v>43009</v>
      </c>
      <c r="J990" s="11">
        <v>2683</v>
      </c>
      <c r="K990" s="51"/>
      <c r="O990" s="1" t="s">
        <v>3</v>
      </c>
      <c r="P990" s="1" t="s">
        <v>22</v>
      </c>
      <c r="Q990" s="1" t="s">
        <v>5</v>
      </c>
      <c r="R990" s="1" t="s">
        <v>23</v>
      </c>
      <c r="S990" t="s">
        <v>36</v>
      </c>
      <c r="T990" s="1">
        <v>2017</v>
      </c>
      <c r="U990" s="1">
        <v>10</v>
      </c>
      <c r="V990" s="50">
        <v>43009</v>
      </c>
      <c r="W990" s="4">
        <v>2441.5299999999997</v>
      </c>
      <c r="X990" s="48">
        <v>2683</v>
      </c>
    </row>
    <row r="991" spans="2:24" x14ac:dyDescent="0.35">
      <c r="B991" s="8" t="s">
        <v>6</v>
      </c>
      <c r="C991" s="8" t="s">
        <v>40</v>
      </c>
      <c r="D991" s="8" t="s">
        <v>41</v>
      </c>
      <c r="E991" s="8" t="s">
        <v>23</v>
      </c>
      <c r="F991" s="8" t="s">
        <v>24</v>
      </c>
      <c r="G991" s="8">
        <v>2017</v>
      </c>
      <c r="H991" s="8">
        <v>10</v>
      </c>
      <c r="I991" s="10">
        <v>43009</v>
      </c>
      <c r="J991" s="11">
        <v>2385</v>
      </c>
      <c r="K991" s="51"/>
      <c r="O991" s="1" t="s">
        <v>6</v>
      </c>
      <c r="P991" s="1" t="s">
        <v>40</v>
      </c>
      <c r="Q991" s="1" t="s">
        <v>41</v>
      </c>
      <c r="R991" s="1" t="s">
        <v>23</v>
      </c>
      <c r="S991" s="1" t="s">
        <v>24</v>
      </c>
      <c r="T991" s="1">
        <v>2017</v>
      </c>
      <c r="U991" s="1">
        <v>10</v>
      </c>
      <c r="V991" s="50">
        <v>43009</v>
      </c>
      <c r="W991" s="4">
        <v>2027.2500000000002</v>
      </c>
      <c r="X991" s="48">
        <v>2385</v>
      </c>
    </row>
    <row r="992" spans="2:24" x14ac:dyDescent="0.35">
      <c r="B992" s="8" t="s">
        <v>7</v>
      </c>
      <c r="C992" s="8" t="s">
        <v>32</v>
      </c>
      <c r="D992" s="8" t="s">
        <v>8</v>
      </c>
      <c r="E992" s="8" t="s">
        <v>23</v>
      </c>
      <c r="F992" s="8" t="s">
        <v>39</v>
      </c>
      <c r="G992" s="8">
        <v>2017</v>
      </c>
      <c r="H992" s="8">
        <v>10</v>
      </c>
      <c r="I992" s="10">
        <v>43009</v>
      </c>
      <c r="J992" s="11">
        <v>2340</v>
      </c>
      <c r="K992" s="51"/>
      <c r="O992" s="1" t="s">
        <v>7</v>
      </c>
      <c r="P992" s="1" t="s">
        <v>32</v>
      </c>
      <c r="Q992" s="1" t="s">
        <v>8</v>
      </c>
      <c r="R992" s="1" t="s">
        <v>23</v>
      </c>
      <c r="S992" s="1" t="s">
        <v>39</v>
      </c>
      <c r="T992" s="1">
        <v>2017</v>
      </c>
      <c r="U992" s="1">
        <v>10</v>
      </c>
      <c r="V992" s="50">
        <v>43009</v>
      </c>
      <c r="W992" s="4">
        <v>2035.8000000000002</v>
      </c>
      <c r="X992" s="48">
        <v>2340</v>
      </c>
    </row>
    <row r="993" spans="2:24" x14ac:dyDescent="0.35">
      <c r="B993" s="8" t="s">
        <v>12</v>
      </c>
      <c r="C993" s="8" t="s">
        <v>34</v>
      </c>
      <c r="D993" s="8" t="s">
        <v>35</v>
      </c>
      <c r="E993" s="8" t="s">
        <v>0</v>
      </c>
      <c r="F993" s="8" t="s">
        <v>42</v>
      </c>
      <c r="G993" s="8">
        <v>2017</v>
      </c>
      <c r="H993" s="8">
        <v>10</v>
      </c>
      <c r="I993" s="10">
        <v>43009</v>
      </c>
      <c r="J993" s="11">
        <v>5602</v>
      </c>
      <c r="K993" s="51"/>
      <c r="O993" s="1" t="s">
        <v>12</v>
      </c>
      <c r="P993" s="1" t="s">
        <v>34</v>
      </c>
      <c r="Q993" s="1" t="s">
        <v>35</v>
      </c>
      <c r="R993" s="1" t="s">
        <v>0</v>
      </c>
      <c r="S993" s="1" t="s">
        <v>42</v>
      </c>
      <c r="T993" s="1">
        <v>2017</v>
      </c>
      <c r="U993" s="1">
        <v>10</v>
      </c>
      <c r="V993" s="50">
        <v>43009</v>
      </c>
      <c r="W993" s="4">
        <v>5153.8399999999992</v>
      </c>
      <c r="X993" s="48">
        <v>5602</v>
      </c>
    </row>
    <row r="994" spans="2:24" x14ac:dyDescent="0.35">
      <c r="B994" s="8" t="s">
        <v>14</v>
      </c>
      <c r="C994" s="8" t="s">
        <v>37</v>
      </c>
      <c r="D994" s="8" t="s">
        <v>38</v>
      </c>
      <c r="E994" s="8" t="s">
        <v>0</v>
      </c>
      <c r="F994" s="6" t="s">
        <v>26</v>
      </c>
      <c r="G994" s="8">
        <v>2017</v>
      </c>
      <c r="H994" s="8">
        <v>10</v>
      </c>
      <c r="I994" s="10">
        <v>43009</v>
      </c>
      <c r="J994" s="11">
        <v>3083</v>
      </c>
      <c r="K994" s="51"/>
      <c r="O994" s="1" t="s">
        <v>14</v>
      </c>
      <c r="P994" s="1" t="s">
        <v>37</v>
      </c>
      <c r="Q994" s="1" t="s">
        <v>38</v>
      </c>
      <c r="R994" s="1" t="s">
        <v>0</v>
      </c>
      <c r="S994" t="s">
        <v>26</v>
      </c>
      <c r="T994" s="1">
        <v>2017</v>
      </c>
      <c r="U994" s="1">
        <v>10</v>
      </c>
      <c r="V994" s="50">
        <v>43009</v>
      </c>
      <c r="W994" s="4">
        <v>2867.1899999999996</v>
      </c>
      <c r="X994" s="48">
        <v>3083</v>
      </c>
    </row>
    <row r="995" spans="2:24" x14ac:dyDescent="0.35">
      <c r="B995" s="8" t="s">
        <v>3</v>
      </c>
      <c r="C995" s="8" t="s">
        <v>25</v>
      </c>
      <c r="D995" s="8" t="s">
        <v>4</v>
      </c>
      <c r="E995" s="8" t="s">
        <v>0</v>
      </c>
      <c r="F995" s="6" t="s">
        <v>45</v>
      </c>
      <c r="G995" s="8">
        <v>2017</v>
      </c>
      <c r="H995" s="8">
        <v>10</v>
      </c>
      <c r="I995" s="10">
        <v>43009</v>
      </c>
      <c r="J995" s="11">
        <v>2798</v>
      </c>
      <c r="K995" s="51"/>
      <c r="O995" s="1" t="s">
        <v>3</v>
      </c>
      <c r="P995" s="1" t="s">
        <v>25</v>
      </c>
      <c r="Q995" s="1" t="s">
        <v>4</v>
      </c>
      <c r="R995" s="1" t="s">
        <v>0</v>
      </c>
      <c r="S995" t="s">
        <v>45</v>
      </c>
      <c r="T995" s="1">
        <v>2017</v>
      </c>
      <c r="U995" s="1">
        <v>10</v>
      </c>
      <c r="V995" s="50">
        <v>43009</v>
      </c>
      <c r="W995" s="4">
        <v>2434.2600000000002</v>
      </c>
      <c r="X995" s="48">
        <v>2798</v>
      </c>
    </row>
    <row r="996" spans="2:24" x14ac:dyDescent="0.35">
      <c r="B996" s="8" t="s">
        <v>6</v>
      </c>
      <c r="C996" s="8" t="s">
        <v>29</v>
      </c>
      <c r="D996" s="8" t="s">
        <v>30</v>
      </c>
      <c r="E996" s="8" t="s">
        <v>27</v>
      </c>
      <c r="F996" s="6" t="s">
        <v>28</v>
      </c>
      <c r="G996" s="8">
        <v>2017</v>
      </c>
      <c r="H996" s="8">
        <v>10</v>
      </c>
      <c r="I996" s="10">
        <v>43009</v>
      </c>
      <c r="J996" s="11">
        <v>4883</v>
      </c>
      <c r="K996" s="51"/>
      <c r="O996" s="1" t="s">
        <v>6</v>
      </c>
      <c r="P996" s="1" t="s">
        <v>29</v>
      </c>
      <c r="Q996" s="1" t="s">
        <v>30</v>
      </c>
      <c r="R996" s="1" t="s">
        <v>27</v>
      </c>
      <c r="S996" t="s">
        <v>28</v>
      </c>
      <c r="T996" s="1">
        <v>2017</v>
      </c>
      <c r="U996" s="1">
        <v>10</v>
      </c>
      <c r="V996" s="50">
        <v>43009</v>
      </c>
      <c r="W996" s="4">
        <v>4590.0199999999995</v>
      </c>
      <c r="X996" s="48">
        <v>4883</v>
      </c>
    </row>
    <row r="997" spans="2:24" x14ac:dyDescent="0.35">
      <c r="B997" s="8" t="s">
        <v>7</v>
      </c>
      <c r="C997" s="8" t="s">
        <v>43</v>
      </c>
      <c r="D997" s="8" t="s">
        <v>10</v>
      </c>
      <c r="E997" s="9" t="s">
        <v>27</v>
      </c>
      <c r="F997" s="9" t="s">
        <v>31</v>
      </c>
      <c r="G997" s="8">
        <v>2017</v>
      </c>
      <c r="H997" s="8">
        <v>10</v>
      </c>
      <c r="I997" s="10">
        <v>43009</v>
      </c>
      <c r="J997" s="11">
        <v>3632</v>
      </c>
      <c r="K997" s="51"/>
      <c r="O997" s="1" t="s">
        <v>7</v>
      </c>
      <c r="P997" s="1" t="s">
        <v>43</v>
      </c>
      <c r="Q997" s="1" t="s">
        <v>10</v>
      </c>
      <c r="R997" s="2" t="s">
        <v>27</v>
      </c>
      <c r="S997" s="2" t="s">
        <v>31</v>
      </c>
      <c r="T997" s="1">
        <v>2017</v>
      </c>
      <c r="U997" s="1">
        <v>10</v>
      </c>
      <c r="V997" s="50">
        <v>43009</v>
      </c>
      <c r="W997" s="4">
        <v>3414.08</v>
      </c>
      <c r="X997" s="48">
        <v>3632</v>
      </c>
    </row>
    <row r="998" spans="2:24" x14ac:dyDescent="0.35">
      <c r="B998" s="8" t="s">
        <v>12</v>
      </c>
      <c r="C998" s="8" t="s">
        <v>44</v>
      </c>
      <c r="D998" s="8" t="s">
        <v>13</v>
      </c>
      <c r="E998" s="8" t="s">
        <v>27</v>
      </c>
      <c r="F998" s="9" t="s">
        <v>33</v>
      </c>
      <c r="G998" s="8">
        <v>2017</v>
      </c>
      <c r="H998" s="8">
        <v>10</v>
      </c>
      <c r="I998" s="10">
        <v>43009</v>
      </c>
      <c r="J998" s="11">
        <v>3656</v>
      </c>
      <c r="K998" s="51"/>
      <c r="O998" s="1" t="s">
        <v>12</v>
      </c>
      <c r="P998" s="1" t="s">
        <v>44</v>
      </c>
      <c r="Q998" s="1" t="s">
        <v>13</v>
      </c>
      <c r="R998" s="1" t="s">
        <v>27</v>
      </c>
      <c r="S998" s="2" t="s">
        <v>33</v>
      </c>
      <c r="T998" s="1">
        <v>2017</v>
      </c>
      <c r="U998" s="1">
        <v>10</v>
      </c>
      <c r="V998" s="50">
        <v>43009</v>
      </c>
      <c r="W998" s="4">
        <v>3144.1600000000003</v>
      </c>
      <c r="X998" s="48">
        <v>3656</v>
      </c>
    </row>
    <row r="999" spans="2:24" x14ac:dyDescent="0.35">
      <c r="B999" s="8" t="s">
        <v>14</v>
      </c>
      <c r="C999" s="8" t="s">
        <v>46</v>
      </c>
      <c r="D999" s="8" t="s">
        <v>47</v>
      </c>
      <c r="E999" s="8" t="s">
        <v>23</v>
      </c>
      <c r="F999" s="6" t="s">
        <v>36</v>
      </c>
      <c r="G999" s="8">
        <v>2017</v>
      </c>
      <c r="H999" s="8">
        <v>10</v>
      </c>
      <c r="I999" s="10">
        <v>43009</v>
      </c>
      <c r="J999" s="11">
        <v>2547</v>
      </c>
      <c r="K999" s="51"/>
      <c r="O999" s="1" t="s">
        <v>14</v>
      </c>
      <c r="P999" s="1" t="s">
        <v>46</v>
      </c>
      <c r="Q999" s="1" t="s">
        <v>47</v>
      </c>
      <c r="R999" s="1" t="s">
        <v>23</v>
      </c>
      <c r="S999" t="s">
        <v>36</v>
      </c>
      <c r="T999" s="1">
        <v>2017</v>
      </c>
      <c r="U999" s="1">
        <v>10</v>
      </c>
      <c r="V999" s="50">
        <v>43009</v>
      </c>
      <c r="W999" s="4">
        <v>2164.9500000000003</v>
      </c>
      <c r="X999" s="48">
        <v>2547</v>
      </c>
    </row>
    <row r="1000" spans="2:24" x14ac:dyDescent="0.35">
      <c r="B1000" s="8" t="s">
        <v>6</v>
      </c>
      <c r="C1000" s="8" t="s">
        <v>29</v>
      </c>
      <c r="D1000" s="8" t="s">
        <v>30</v>
      </c>
      <c r="E1000" s="8" t="s">
        <v>23</v>
      </c>
      <c r="F1000" s="8" t="s">
        <v>39</v>
      </c>
      <c r="G1000" s="8">
        <v>2017</v>
      </c>
      <c r="H1000" s="8">
        <v>10</v>
      </c>
      <c r="I1000" s="10">
        <v>43009</v>
      </c>
      <c r="J1000" s="11">
        <v>1582</v>
      </c>
      <c r="K1000" s="51"/>
      <c r="O1000" s="1" t="s">
        <v>6</v>
      </c>
      <c r="P1000" s="1" t="s">
        <v>29</v>
      </c>
      <c r="Q1000" s="1" t="s">
        <v>30</v>
      </c>
      <c r="R1000" s="1" t="s">
        <v>23</v>
      </c>
      <c r="S1000" s="1" t="s">
        <v>39</v>
      </c>
      <c r="T1000" s="1">
        <v>2017</v>
      </c>
      <c r="U1000" s="1">
        <v>10</v>
      </c>
      <c r="V1000" s="50">
        <v>43009</v>
      </c>
      <c r="W1000" s="4">
        <v>1455.4399999999998</v>
      </c>
      <c r="X1000" s="48">
        <v>1582</v>
      </c>
    </row>
    <row r="1001" spans="2:24" x14ac:dyDescent="0.35">
      <c r="B1001" s="8" t="s">
        <v>7</v>
      </c>
      <c r="C1001" s="8" t="s">
        <v>32</v>
      </c>
      <c r="D1001" s="8" t="s">
        <v>8</v>
      </c>
      <c r="E1001" s="8" t="s">
        <v>0</v>
      </c>
      <c r="F1001" s="8" t="s">
        <v>42</v>
      </c>
      <c r="G1001" s="8">
        <v>2017</v>
      </c>
      <c r="H1001" s="8">
        <v>10</v>
      </c>
      <c r="I1001" s="10">
        <v>43009</v>
      </c>
      <c r="J1001" s="11">
        <v>5687</v>
      </c>
      <c r="K1001" s="51"/>
      <c r="O1001" s="1" t="s">
        <v>7</v>
      </c>
      <c r="P1001" s="1" t="s">
        <v>32</v>
      </c>
      <c r="Q1001" s="1" t="s">
        <v>8</v>
      </c>
      <c r="R1001" s="1" t="s">
        <v>0</v>
      </c>
      <c r="S1001" s="1" t="s">
        <v>42</v>
      </c>
      <c r="T1001" s="1">
        <v>2017</v>
      </c>
      <c r="U1001" s="1">
        <v>10</v>
      </c>
      <c r="V1001" s="50">
        <v>43009</v>
      </c>
      <c r="W1001" s="4">
        <v>4947.6900000000005</v>
      </c>
      <c r="X1001" s="48">
        <v>5687</v>
      </c>
    </row>
    <row r="1002" spans="2:24" x14ac:dyDescent="0.35">
      <c r="B1002" s="8" t="s">
        <v>12</v>
      </c>
      <c r="C1002" s="8" t="s">
        <v>44</v>
      </c>
      <c r="D1002" s="8" t="s">
        <v>13</v>
      </c>
      <c r="E1002" s="8" t="s">
        <v>0</v>
      </c>
      <c r="F1002" s="8" t="s">
        <v>26</v>
      </c>
      <c r="G1002" s="8">
        <v>2017</v>
      </c>
      <c r="H1002" s="8">
        <v>10</v>
      </c>
      <c r="I1002" s="10">
        <v>43009</v>
      </c>
      <c r="J1002" s="11">
        <v>4787</v>
      </c>
      <c r="K1002" s="51"/>
      <c r="O1002" s="1" t="s">
        <v>12</v>
      </c>
      <c r="P1002" s="1" t="s">
        <v>44</v>
      </c>
      <c r="Q1002" s="1" t="s">
        <v>13</v>
      </c>
      <c r="R1002" s="1" t="s">
        <v>0</v>
      </c>
      <c r="S1002" s="1" t="s">
        <v>26</v>
      </c>
      <c r="T1002" s="1">
        <v>2017</v>
      </c>
      <c r="U1002" s="1">
        <v>10</v>
      </c>
      <c r="V1002" s="50">
        <v>43009</v>
      </c>
      <c r="W1002" s="4">
        <v>4308.2999999999993</v>
      </c>
      <c r="X1002" s="48">
        <v>4787</v>
      </c>
    </row>
    <row r="1003" spans="2:24" x14ac:dyDescent="0.35">
      <c r="B1003" s="8" t="s">
        <v>14</v>
      </c>
      <c r="C1003" s="8" t="s">
        <v>37</v>
      </c>
      <c r="D1003" s="8" t="s">
        <v>38</v>
      </c>
      <c r="E1003" s="8" t="s">
        <v>0</v>
      </c>
      <c r="F1003" s="6" t="s">
        <v>45</v>
      </c>
      <c r="G1003" s="8">
        <v>2017</v>
      </c>
      <c r="H1003" s="8">
        <v>10</v>
      </c>
      <c r="I1003" s="10">
        <v>43009</v>
      </c>
      <c r="J1003" s="11">
        <v>4998</v>
      </c>
      <c r="K1003" s="51"/>
      <c r="O1003" s="1" t="s">
        <v>14</v>
      </c>
      <c r="P1003" s="1" t="s">
        <v>37</v>
      </c>
      <c r="Q1003" s="1" t="s">
        <v>38</v>
      </c>
      <c r="R1003" s="1" t="s">
        <v>0</v>
      </c>
      <c r="S1003" t="s">
        <v>45</v>
      </c>
      <c r="T1003" s="1">
        <v>2017</v>
      </c>
      <c r="U1003" s="1">
        <v>10</v>
      </c>
      <c r="V1003" s="50">
        <v>43009</v>
      </c>
      <c r="W1003" s="4">
        <v>4598.16</v>
      </c>
      <c r="X1003" s="48">
        <v>4998</v>
      </c>
    </row>
    <row r="1004" spans="2:24" x14ac:dyDescent="0.35">
      <c r="B1004" s="8" t="s">
        <v>3</v>
      </c>
      <c r="C1004" s="8" t="s">
        <v>25</v>
      </c>
      <c r="D1004" s="8" t="s">
        <v>4</v>
      </c>
      <c r="E1004" s="8" t="s">
        <v>27</v>
      </c>
      <c r="F1004" s="6" t="s">
        <v>28</v>
      </c>
      <c r="G1004" s="8">
        <v>2017</v>
      </c>
      <c r="H1004" s="8">
        <v>10</v>
      </c>
      <c r="I1004" s="10">
        <v>43009</v>
      </c>
      <c r="J1004" s="11">
        <v>5073</v>
      </c>
      <c r="K1004" s="51"/>
      <c r="O1004" s="1" t="s">
        <v>3</v>
      </c>
      <c r="P1004" s="1" t="s">
        <v>25</v>
      </c>
      <c r="Q1004" s="1" t="s">
        <v>4</v>
      </c>
      <c r="R1004" s="1" t="s">
        <v>27</v>
      </c>
      <c r="S1004" t="s">
        <v>28</v>
      </c>
      <c r="T1004" s="1">
        <v>2017</v>
      </c>
      <c r="U1004" s="1">
        <v>10</v>
      </c>
      <c r="V1004" s="50">
        <v>43009</v>
      </c>
      <c r="W1004" s="4">
        <v>4312.05</v>
      </c>
      <c r="X1004" s="48">
        <v>5073</v>
      </c>
    </row>
    <row r="1005" spans="2:24" x14ac:dyDescent="0.35">
      <c r="B1005" s="8" t="s">
        <v>3</v>
      </c>
      <c r="C1005" s="8" t="s">
        <v>25</v>
      </c>
      <c r="D1005" s="8" t="s">
        <v>4</v>
      </c>
      <c r="E1005" s="8" t="s">
        <v>27</v>
      </c>
      <c r="F1005" s="6" t="s">
        <v>31</v>
      </c>
      <c r="G1005" s="8">
        <v>2017</v>
      </c>
      <c r="H1005" s="8">
        <v>10</v>
      </c>
      <c r="I1005" s="10">
        <v>43009</v>
      </c>
      <c r="J1005" s="11">
        <v>5273</v>
      </c>
      <c r="K1005" s="51"/>
      <c r="O1005" s="1" t="s">
        <v>3</v>
      </c>
      <c r="P1005" s="1" t="s">
        <v>25</v>
      </c>
      <c r="Q1005" s="1" t="s">
        <v>4</v>
      </c>
      <c r="R1005" s="1" t="s">
        <v>27</v>
      </c>
      <c r="S1005" t="s">
        <v>31</v>
      </c>
      <c r="T1005" s="1">
        <v>2017</v>
      </c>
      <c r="U1005" s="1">
        <v>10</v>
      </c>
      <c r="V1005" s="50">
        <v>43009</v>
      </c>
      <c r="W1005" s="4">
        <v>4956.62</v>
      </c>
      <c r="X1005" s="48">
        <v>5273</v>
      </c>
    </row>
    <row r="1006" spans="2:24" x14ac:dyDescent="0.35">
      <c r="B1006" s="8" t="s">
        <v>6</v>
      </c>
      <c r="C1006" s="8" t="s">
        <v>40</v>
      </c>
      <c r="D1006" s="8" t="s">
        <v>41</v>
      </c>
      <c r="E1006" s="9" t="s">
        <v>27</v>
      </c>
      <c r="F1006" s="9" t="s">
        <v>33</v>
      </c>
      <c r="G1006" s="8">
        <v>2017</v>
      </c>
      <c r="H1006" s="8">
        <v>10</v>
      </c>
      <c r="I1006" s="10">
        <v>43009</v>
      </c>
      <c r="J1006" s="11">
        <v>3404</v>
      </c>
      <c r="K1006" s="51"/>
      <c r="O1006" s="1" t="s">
        <v>6</v>
      </c>
      <c r="P1006" s="1" t="s">
        <v>40</v>
      </c>
      <c r="Q1006" s="1" t="s">
        <v>41</v>
      </c>
      <c r="R1006" s="2" t="s">
        <v>27</v>
      </c>
      <c r="S1006" s="2" t="s">
        <v>33</v>
      </c>
      <c r="T1006" s="1">
        <v>2017</v>
      </c>
      <c r="U1006" s="1">
        <v>10</v>
      </c>
      <c r="V1006" s="50">
        <v>43009</v>
      </c>
      <c r="W1006" s="4">
        <v>3063.5999999999995</v>
      </c>
      <c r="X1006" s="48">
        <v>3404</v>
      </c>
    </row>
    <row r="1007" spans="2:24" x14ac:dyDescent="0.35">
      <c r="B1007" s="8" t="s">
        <v>6</v>
      </c>
      <c r="C1007" s="8" t="s">
        <v>40</v>
      </c>
      <c r="D1007" s="8" t="s">
        <v>41</v>
      </c>
      <c r="E1007" s="8" t="s">
        <v>23</v>
      </c>
      <c r="F1007" s="9" t="s">
        <v>36</v>
      </c>
      <c r="G1007" s="8">
        <v>2017</v>
      </c>
      <c r="H1007" s="8">
        <v>10</v>
      </c>
      <c r="I1007" s="10">
        <v>43009</v>
      </c>
      <c r="J1007" s="11">
        <v>1829</v>
      </c>
      <c r="K1007" s="51"/>
      <c r="O1007" s="1" t="s">
        <v>6</v>
      </c>
      <c r="P1007" s="1" t="s">
        <v>40</v>
      </c>
      <c r="Q1007" s="1" t="s">
        <v>41</v>
      </c>
      <c r="R1007" s="1" t="s">
        <v>23</v>
      </c>
      <c r="S1007" s="2" t="s">
        <v>36</v>
      </c>
      <c r="T1007" s="1">
        <v>2017</v>
      </c>
      <c r="U1007" s="1">
        <v>10</v>
      </c>
      <c r="V1007" s="50">
        <v>43009</v>
      </c>
      <c r="W1007" s="4">
        <v>1664.3899999999999</v>
      </c>
      <c r="X1007" s="48">
        <v>1829</v>
      </c>
    </row>
    <row r="1008" spans="2:24" x14ac:dyDescent="0.35">
      <c r="B1008" s="8" t="s">
        <v>7</v>
      </c>
      <c r="C1008" s="8" t="s">
        <v>43</v>
      </c>
      <c r="D1008" s="8" t="s">
        <v>10</v>
      </c>
      <c r="E1008" s="8" t="s">
        <v>23</v>
      </c>
      <c r="F1008" s="6" t="s">
        <v>24</v>
      </c>
      <c r="G1008" s="8">
        <v>2017</v>
      </c>
      <c r="H1008" s="8">
        <v>10</v>
      </c>
      <c r="I1008" s="10">
        <v>43009</v>
      </c>
      <c r="J1008" s="11">
        <v>2878</v>
      </c>
      <c r="K1008" s="51"/>
      <c r="O1008" s="1" t="s">
        <v>7</v>
      </c>
      <c r="P1008" s="1" t="s">
        <v>43</v>
      </c>
      <c r="Q1008" s="1" t="s">
        <v>10</v>
      </c>
      <c r="R1008" s="1" t="s">
        <v>23</v>
      </c>
      <c r="S1008" t="s">
        <v>24</v>
      </c>
      <c r="T1008" s="1">
        <v>2017</v>
      </c>
      <c r="U1008" s="1">
        <v>10</v>
      </c>
      <c r="V1008" s="50">
        <v>43009</v>
      </c>
      <c r="W1008" s="4">
        <v>2532.64</v>
      </c>
      <c r="X1008" s="48">
        <v>2878</v>
      </c>
    </row>
    <row r="1009" spans="2:24" x14ac:dyDescent="0.35">
      <c r="B1009" s="8" t="s">
        <v>7</v>
      </c>
      <c r="C1009" s="8" t="s">
        <v>43</v>
      </c>
      <c r="D1009" s="8" t="s">
        <v>10</v>
      </c>
      <c r="E1009" s="8" t="s">
        <v>23</v>
      </c>
      <c r="F1009" s="8" t="s">
        <v>39</v>
      </c>
      <c r="G1009" s="8">
        <v>2017</v>
      </c>
      <c r="H1009" s="8">
        <v>10</v>
      </c>
      <c r="I1009" s="10">
        <v>43009</v>
      </c>
      <c r="J1009" s="11">
        <v>1332</v>
      </c>
      <c r="K1009" s="51"/>
      <c r="O1009" s="1" t="s">
        <v>7</v>
      </c>
      <c r="P1009" s="1" t="s">
        <v>43</v>
      </c>
      <c r="Q1009" s="1" t="s">
        <v>10</v>
      </c>
      <c r="R1009" s="1" t="s">
        <v>23</v>
      </c>
      <c r="S1009" s="1" t="s">
        <v>39</v>
      </c>
      <c r="T1009" s="1">
        <v>2017</v>
      </c>
      <c r="U1009" s="1">
        <v>10</v>
      </c>
      <c r="V1009" s="50">
        <v>43009</v>
      </c>
      <c r="W1009" s="4">
        <v>1132.2</v>
      </c>
      <c r="X1009" s="48">
        <v>1332</v>
      </c>
    </row>
    <row r="1010" spans="2:24" x14ac:dyDescent="0.35">
      <c r="B1010" s="8" t="s">
        <v>7</v>
      </c>
      <c r="C1010" s="8" t="s">
        <v>32</v>
      </c>
      <c r="D1010" s="8" t="s">
        <v>8</v>
      </c>
      <c r="E1010" s="8" t="s">
        <v>0</v>
      </c>
      <c r="F1010" s="8" t="s">
        <v>26</v>
      </c>
      <c r="G1010" s="8">
        <v>2017</v>
      </c>
      <c r="H1010" s="8">
        <v>10</v>
      </c>
      <c r="I1010" s="10">
        <v>43009</v>
      </c>
      <c r="J1010" s="11">
        <v>3329</v>
      </c>
      <c r="K1010" s="51"/>
      <c r="O1010" s="1" t="s">
        <v>7</v>
      </c>
      <c r="P1010" s="1" t="s">
        <v>32</v>
      </c>
      <c r="Q1010" s="1" t="s">
        <v>8</v>
      </c>
      <c r="R1010" s="1" t="s">
        <v>0</v>
      </c>
      <c r="S1010" s="1" t="s">
        <v>26</v>
      </c>
      <c r="T1010" s="1">
        <v>2017</v>
      </c>
      <c r="U1010" s="1">
        <v>10</v>
      </c>
      <c r="V1010" s="50">
        <v>43009</v>
      </c>
      <c r="W1010" s="4">
        <v>3129.2599999999998</v>
      </c>
      <c r="X1010" s="48">
        <v>3329</v>
      </c>
    </row>
    <row r="1011" spans="2:24" x14ac:dyDescent="0.35">
      <c r="B1011" s="8" t="s">
        <v>3</v>
      </c>
      <c r="C1011" s="8" t="s">
        <v>22</v>
      </c>
      <c r="D1011" s="8" t="s">
        <v>5</v>
      </c>
      <c r="E1011" s="8" t="s">
        <v>0</v>
      </c>
      <c r="F1011" s="8" t="s">
        <v>45</v>
      </c>
      <c r="G1011" s="8">
        <v>2017</v>
      </c>
      <c r="H1011" s="8">
        <v>10</v>
      </c>
      <c r="I1011" s="10">
        <v>43009</v>
      </c>
      <c r="J1011" s="11">
        <v>2680</v>
      </c>
      <c r="K1011" s="51"/>
      <c r="O1011" s="1" t="s">
        <v>3</v>
      </c>
      <c r="P1011" s="1" t="s">
        <v>22</v>
      </c>
      <c r="Q1011" s="1" t="s">
        <v>5</v>
      </c>
      <c r="R1011" s="1" t="s">
        <v>0</v>
      </c>
      <c r="S1011" s="1" t="s">
        <v>45</v>
      </c>
      <c r="T1011" s="1">
        <v>2017</v>
      </c>
      <c r="U1011" s="1">
        <v>10</v>
      </c>
      <c r="V1011" s="50">
        <v>43009</v>
      </c>
      <c r="W1011" s="4">
        <v>2492.3999999999996</v>
      </c>
      <c r="X1011" s="48">
        <v>2680</v>
      </c>
    </row>
    <row r="1012" spans="2:24" x14ac:dyDescent="0.35">
      <c r="B1012" s="8" t="s">
        <v>7</v>
      </c>
      <c r="C1012" s="8" t="s">
        <v>48</v>
      </c>
      <c r="D1012" s="8" t="s">
        <v>9</v>
      </c>
      <c r="E1012" s="8" t="s">
        <v>23</v>
      </c>
      <c r="F1012" s="6" t="s">
        <v>36</v>
      </c>
      <c r="G1012" s="8">
        <v>2017</v>
      </c>
      <c r="H1012" s="8">
        <v>10</v>
      </c>
      <c r="I1012" s="10">
        <v>43009</v>
      </c>
      <c r="J1012" s="11">
        <v>1691</v>
      </c>
      <c r="K1012" s="51"/>
      <c r="O1012" s="1" t="s">
        <v>7</v>
      </c>
      <c r="P1012" s="1" t="s">
        <v>48</v>
      </c>
      <c r="Q1012" s="1" t="s">
        <v>9</v>
      </c>
      <c r="R1012" s="1" t="s">
        <v>23</v>
      </c>
      <c r="S1012" t="s">
        <v>36</v>
      </c>
      <c r="T1012" s="1">
        <v>2017</v>
      </c>
      <c r="U1012" s="1">
        <v>10</v>
      </c>
      <c r="V1012" s="50">
        <v>43009</v>
      </c>
      <c r="W1012" s="4">
        <v>1589.54</v>
      </c>
      <c r="X1012" s="48">
        <v>1691</v>
      </c>
    </row>
    <row r="1013" spans="2:24" x14ac:dyDescent="0.35">
      <c r="B1013" s="8" t="s">
        <v>7</v>
      </c>
      <c r="C1013" s="8" t="s">
        <v>48</v>
      </c>
      <c r="D1013" s="8" t="s">
        <v>9</v>
      </c>
      <c r="E1013" s="8" t="s">
        <v>23</v>
      </c>
      <c r="F1013" s="6" t="s">
        <v>24</v>
      </c>
      <c r="G1013" s="8">
        <v>2017</v>
      </c>
      <c r="H1013" s="8">
        <v>10</v>
      </c>
      <c r="I1013" s="10">
        <v>43009</v>
      </c>
      <c r="J1013" s="11">
        <v>2659</v>
      </c>
      <c r="K1013" s="51"/>
      <c r="O1013" s="1" t="s">
        <v>7</v>
      </c>
      <c r="P1013" s="1" t="s">
        <v>48</v>
      </c>
      <c r="Q1013" s="1" t="s">
        <v>9</v>
      </c>
      <c r="R1013" s="1" t="s">
        <v>23</v>
      </c>
      <c r="S1013" t="s">
        <v>24</v>
      </c>
      <c r="T1013" s="1">
        <v>2017</v>
      </c>
      <c r="U1013" s="1">
        <v>10</v>
      </c>
      <c r="V1013" s="50">
        <v>43009</v>
      </c>
      <c r="W1013" s="4">
        <v>2313.3300000000004</v>
      </c>
      <c r="X1013" s="48">
        <v>2659</v>
      </c>
    </row>
    <row r="1014" spans="2:24" x14ac:dyDescent="0.35">
      <c r="B1014" s="8" t="s">
        <v>7</v>
      </c>
      <c r="C1014" s="8" t="s">
        <v>49</v>
      </c>
      <c r="D1014" s="8" t="s">
        <v>11</v>
      </c>
      <c r="E1014" s="8" t="s">
        <v>23</v>
      </c>
      <c r="F1014" s="6" t="s">
        <v>39</v>
      </c>
      <c r="G1014" s="8">
        <v>2017</v>
      </c>
      <c r="H1014" s="8">
        <v>10</v>
      </c>
      <c r="I1014" s="10">
        <v>43009</v>
      </c>
      <c r="J1014" s="11">
        <v>2751</v>
      </c>
      <c r="K1014" s="51"/>
      <c r="O1014" s="1" t="s">
        <v>7</v>
      </c>
      <c r="P1014" s="1" t="s">
        <v>49</v>
      </c>
      <c r="Q1014" s="1" t="s">
        <v>11</v>
      </c>
      <c r="R1014" s="1" t="s">
        <v>23</v>
      </c>
      <c r="S1014" t="s">
        <v>39</v>
      </c>
      <c r="T1014" s="1">
        <v>2017</v>
      </c>
      <c r="U1014" s="1">
        <v>10</v>
      </c>
      <c r="V1014" s="50">
        <v>43009</v>
      </c>
      <c r="W1014" s="4">
        <v>2530.9199999999996</v>
      </c>
      <c r="X1014" s="48">
        <v>2751</v>
      </c>
    </row>
    <row r="1015" spans="2:24" x14ac:dyDescent="0.35">
      <c r="B1015" s="8" t="s">
        <v>7</v>
      </c>
      <c r="C1015" s="8" t="s">
        <v>49</v>
      </c>
      <c r="D1015" s="8" t="s">
        <v>11</v>
      </c>
      <c r="E1015" s="9" t="s">
        <v>0</v>
      </c>
      <c r="F1015" s="9" t="s">
        <v>42</v>
      </c>
      <c r="G1015" s="8">
        <v>2017</v>
      </c>
      <c r="H1015" s="8">
        <v>10</v>
      </c>
      <c r="I1015" s="10">
        <v>43009</v>
      </c>
      <c r="J1015" s="11">
        <v>6190</v>
      </c>
      <c r="K1015" s="51"/>
      <c r="O1015" s="1" t="s">
        <v>7</v>
      </c>
      <c r="P1015" s="1" t="s">
        <v>49</v>
      </c>
      <c r="Q1015" s="1" t="s">
        <v>11</v>
      </c>
      <c r="R1015" s="2" t="s">
        <v>0</v>
      </c>
      <c r="S1015" s="2" t="s">
        <v>42</v>
      </c>
      <c r="T1015" s="1">
        <v>2017</v>
      </c>
      <c r="U1015" s="1">
        <v>10</v>
      </c>
      <c r="V1015" s="50">
        <v>43009</v>
      </c>
      <c r="W1015" s="4">
        <v>5570.9999999999991</v>
      </c>
      <c r="X1015" s="48">
        <v>6190</v>
      </c>
    </row>
    <row r="1016" spans="2:24" x14ac:dyDescent="0.35">
      <c r="B1016" s="8" t="s">
        <v>12</v>
      </c>
      <c r="C1016" s="8" t="s">
        <v>34</v>
      </c>
      <c r="D1016" s="8" t="s">
        <v>35</v>
      </c>
      <c r="E1016" s="8" t="s">
        <v>0</v>
      </c>
      <c r="F1016" s="9" t="s">
        <v>26</v>
      </c>
      <c r="G1016" s="8">
        <v>2017</v>
      </c>
      <c r="H1016" s="8">
        <v>10</v>
      </c>
      <c r="I1016" s="10">
        <v>43009</v>
      </c>
      <c r="J1016" s="11">
        <v>5474</v>
      </c>
      <c r="K1016" s="51"/>
      <c r="O1016" s="1" t="s">
        <v>12</v>
      </c>
      <c r="P1016" s="1" t="s">
        <v>34</v>
      </c>
      <c r="Q1016" s="1" t="s">
        <v>35</v>
      </c>
      <c r="R1016" s="1" t="s">
        <v>0</v>
      </c>
      <c r="S1016" s="2" t="s">
        <v>26</v>
      </c>
      <c r="T1016" s="1">
        <v>2017</v>
      </c>
      <c r="U1016" s="1">
        <v>10</v>
      </c>
      <c r="V1016" s="50">
        <v>43009</v>
      </c>
      <c r="W1016" s="4">
        <v>5145.5599999999995</v>
      </c>
      <c r="X1016" s="48">
        <v>5474</v>
      </c>
    </row>
    <row r="1017" spans="2:24" x14ac:dyDescent="0.35">
      <c r="B1017" s="8" t="s">
        <v>12</v>
      </c>
      <c r="C1017" s="8" t="s">
        <v>34</v>
      </c>
      <c r="D1017" s="8" t="s">
        <v>35</v>
      </c>
      <c r="E1017" s="8" t="s">
        <v>0</v>
      </c>
      <c r="F1017" s="6" t="s">
        <v>45</v>
      </c>
      <c r="G1017" s="8">
        <v>2017</v>
      </c>
      <c r="H1017" s="8">
        <v>10</v>
      </c>
      <c r="I1017" s="10">
        <v>43009</v>
      </c>
      <c r="J1017" s="11">
        <v>3737</v>
      </c>
      <c r="K1017" s="51"/>
      <c r="O1017" s="1" t="s">
        <v>12</v>
      </c>
      <c r="P1017" s="1" t="s">
        <v>34</v>
      </c>
      <c r="Q1017" s="1" t="s">
        <v>35</v>
      </c>
      <c r="R1017" s="1" t="s">
        <v>0</v>
      </c>
      <c r="S1017" t="s">
        <v>45</v>
      </c>
      <c r="T1017" s="1">
        <v>2017</v>
      </c>
      <c r="U1017" s="1">
        <v>10</v>
      </c>
      <c r="V1017" s="50">
        <v>43009</v>
      </c>
      <c r="W1017" s="4">
        <v>3400.6699999999996</v>
      </c>
      <c r="X1017" s="48">
        <v>3737</v>
      </c>
    </row>
    <row r="1018" spans="2:24" x14ac:dyDescent="0.35">
      <c r="B1018" s="8" t="s">
        <v>14</v>
      </c>
      <c r="C1018" s="8" t="s">
        <v>37</v>
      </c>
      <c r="D1018" s="8" t="s">
        <v>38</v>
      </c>
      <c r="E1018" s="8" t="s">
        <v>27</v>
      </c>
      <c r="F1018" s="8" t="s">
        <v>28</v>
      </c>
      <c r="G1018" s="8">
        <v>2017</v>
      </c>
      <c r="H1018" s="8">
        <v>10</v>
      </c>
      <c r="I1018" s="10">
        <v>43009</v>
      </c>
      <c r="J1018" s="11">
        <v>5012</v>
      </c>
      <c r="K1018" s="51"/>
      <c r="O1018" s="1" t="s">
        <v>14</v>
      </c>
      <c r="P1018" s="1" t="s">
        <v>37</v>
      </c>
      <c r="Q1018" s="1" t="s">
        <v>38</v>
      </c>
      <c r="R1018" s="1" t="s">
        <v>27</v>
      </c>
      <c r="S1018" s="1" t="s">
        <v>28</v>
      </c>
      <c r="T1018" s="1">
        <v>2017</v>
      </c>
      <c r="U1018" s="1">
        <v>10</v>
      </c>
      <c r="V1018" s="50">
        <v>43009</v>
      </c>
      <c r="W1018" s="4">
        <v>4711.28</v>
      </c>
      <c r="X1018" s="48">
        <v>5012</v>
      </c>
    </row>
    <row r="1019" spans="2:24" x14ac:dyDescent="0.35">
      <c r="B1019" s="8" t="s">
        <v>14</v>
      </c>
      <c r="C1019" s="8" t="s">
        <v>37</v>
      </c>
      <c r="D1019" s="8" t="s">
        <v>38</v>
      </c>
      <c r="E1019" s="8" t="s">
        <v>27</v>
      </c>
      <c r="F1019" s="8" t="s">
        <v>31</v>
      </c>
      <c r="G1019" s="8">
        <v>2017</v>
      </c>
      <c r="H1019" s="8">
        <v>10</v>
      </c>
      <c r="I1019" s="10">
        <v>43009</v>
      </c>
      <c r="J1019" s="11">
        <v>4324</v>
      </c>
      <c r="K1019" s="51"/>
      <c r="O1019" s="1" t="s">
        <v>14</v>
      </c>
      <c r="P1019" s="1" t="s">
        <v>37</v>
      </c>
      <c r="Q1019" s="1" t="s">
        <v>38</v>
      </c>
      <c r="R1019" s="1" t="s">
        <v>27</v>
      </c>
      <c r="S1019" s="1" t="s">
        <v>31</v>
      </c>
      <c r="T1019" s="1">
        <v>2017</v>
      </c>
      <c r="U1019" s="1">
        <v>10</v>
      </c>
      <c r="V1019" s="50">
        <v>43009</v>
      </c>
      <c r="W1019" s="4">
        <v>4064.56</v>
      </c>
      <c r="X1019" s="48">
        <v>4324</v>
      </c>
    </row>
    <row r="1020" spans="2:24" x14ac:dyDescent="0.35">
      <c r="B1020" s="8" t="s">
        <v>12</v>
      </c>
      <c r="C1020" s="8" t="s">
        <v>44</v>
      </c>
      <c r="D1020" s="8" t="s">
        <v>13</v>
      </c>
      <c r="E1020" s="8" t="s">
        <v>23</v>
      </c>
      <c r="F1020" s="8" t="s">
        <v>36</v>
      </c>
      <c r="G1020" s="8">
        <v>2017</v>
      </c>
      <c r="H1020" s="8">
        <v>10</v>
      </c>
      <c r="I1020" s="10">
        <v>43009</v>
      </c>
      <c r="J1020" s="11">
        <v>2553</v>
      </c>
      <c r="K1020" s="51"/>
      <c r="O1020" s="1" t="s">
        <v>12</v>
      </c>
      <c r="P1020" s="1" t="s">
        <v>44</v>
      </c>
      <c r="Q1020" s="1" t="s">
        <v>13</v>
      </c>
      <c r="R1020" s="1" t="s">
        <v>23</v>
      </c>
      <c r="S1020" s="1" t="s">
        <v>36</v>
      </c>
      <c r="T1020" s="1">
        <v>2017</v>
      </c>
      <c r="U1020" s="1">
        <v>10</v>
      </c>
      <c r="V1020" s="50">
        <v>43009</v>
      </c>
      <c r="W1020" s="4">
        <v>2348.7599999999998</v>
      </c>
      <c r="X1020" s="48">
        <v>2553</v>
      </c>
    </row>
    <row r="1021" spans="2:24" x14ac:dyDescent="0.35">
      <c r="B1021" s="8" t="s">
        <v>14</v>
      </c>
      <c r="C1021" s="8" t="s">
        <v>46</v>
      </c>
      <c r="D1021" s="8" t="s">
        <v>47</v>
      </c>
      <c r="E1021" s="8" t="s">
        <v>23</v>
      </c>
      <c r="F1021" s="6" t="s">
        <v>24</v>
      </c>
      <c r="G1021" s="8">
        <v>2017</v>
      </c>
      <c r="H1021" s="8">
        <v>10</v>
      </c>
      <c r="I1021" s="10">
        <v>43009</v>
      </c>
      <c r="J1021" s="11">
        <v>2053</v>
      </c>
      <c r="K1021" s="51"/>
      <c r="O1021" s="1" t="s">
        <v>14</v>
      </c>
      <c r="P1021" s="1" t="s">
        <v>46</v>
      </c>
      <c r="Q1021" s="1" t="s">
        <v>47</v>
      </c>
      <c r="R1021" s="1" t="s">
        <v>23</v>
      </c>
      <c r="S1021" t="s">
        <v>24</v>
      </c>
      <c r="T1021" s="1">
        <v>2017</v>
      </c>
      <c r="U1021" s="1">
        <v>10</v>
      </c>
      <c r="V1021" s="50">
        <v>43009</v>
      </c>
      <c r="W1021" s="4">
        <v>1765.5800000000002</v>
      </c>
      <c r="X1021" s="48">
        <v>2053</v>
      </c>
    </row>
    <row r="1022" spans="2:24" x14ac:dyDescent="0.35">
      <c r="B1022" s="8" t="s">
        <v>14</v>
      </c>
      <c r="C1022" s="8" t="s">
        <v>46</v>
      </c>
      <c r="D1022" s="8" t="s">
        <v>47</v>
      </c>
      <c r="E1022" s="8" t="s">
        <v>23</v>
      </c>
      <c r="F1022" s="6" t="s">
        <v>39</v>
      </c>
      <c r="G1022" s="8">
        <v>2017</v>
      </c>
      <c r="H1022" s="8">
        <v>10</v>
      </c>
      <c r="I1022" s="10">
        <v>43009</v>
      </c>
      <c r="J1022" s="11">
        <v>1380</v>
      </c>
      <c r="K1022" s="51"/>
      <c r="O1022" s="1" t="s">
        <v>14</v>
      </c>
      <c r="P1022" s="1" t="s">
        <v>46</v>
      </c>
      <c r="Q1022" s="1" t="s">
        <v>47</v>
      </c>
      <c r="R1022" s="1" t="s">
        <v>23</v>
      </c>
      <c r="S1022" t="s">
        <v>39</v>
      </c>
      <c r="T1022" s="1">
        <v>2017</v>
      </c>
      <c r="U1022" s="1">
        <v>10</v>
      </c>
      <c r="V1022" s="50">
        <v>43009</v>
      </c>
      <c r="W1022" s="4">
        <v>1283.3999999999999</v>
      </c>
      <c r="X1022" s="48">
        <v>1380</v>
      </c>
    </row>
    <row r="1023" spans="2:24" x14ac:dyDescent="0.35">
      <c r="B1023" s="8" t="s">
        <v>7</v>
      </c>
      <c r="C1023" s="8" t="s">
        <v>43</v>
      </c>
      <c r="D1023" s="8" t="s">
        <v>10</v>
      </c>
      <c r="E1023" s="8" t="s">
        <v>0</v>
      </c>
      <c r="F1023" s="6" t="s">
        <v>42</v>
      </c>
      <c r="G1023" s="8">
        <v>2017</v>
      </c>
      <c r="H1023" s="8">
        <v>10</v>
      </c>
      <c r="I1023" s="10">
        <v>43009</v>
      </c>
      <c r="J1023" s="11">
        <v>6372</v>
      </c>
      <c r="K1023" s="51"/>
      <c r="O1023" s="1" t="s">
        <v>7</v>
      </c>
      <c r="P1023" s="1" t="s">
        <v>43</v>
      </c>
      <c r="Q1023" s="1" t="s">
        <v>10</v>
      </c>
      <c r="R1023" s="1" t="s">
        <v>0</v>
      </c>
      <c r="S1023" t="s">
        <v>42</v>
      </c>
      <c r="T1023" s="1">
        <v>2017</v>
      </c>
      <c r="U1023" s="1">
        <v>10</v>
      </c>
      <c r="V1023" s="50">
        <v>43009</v>
      </c>
      <c r="W1023" s="4">
        <v>5989.6799999999994</v>
      </c>
      <c r="X1023" s="48">
        <v>6372</v>
      </c>
    </row>
    <row r="1024" spans="2:24" x14ac:dyDescent="0.35">
      <c r="B1024" s="8" t="s">
        <v>6</v>
      </c>
      <c r="C1024" s="8" t="s">
        <v>40</v>
      </c>
      <c r="D1024" s="8" t="s">
        <v>41</v>
      </c>
      <c r="E1024" s="9" t="s">
        <v>27</v>
      </c>
      <c r="F1024" s="9" t="s">
        <v>31</v>
      </c>
      <c r="G1024" s="8">
        <v>2017</v>
      </c>
      <c r="H1024" s="8">
        <v>10</v>
      </c>
      <c r="I1024" s="10">
        <v>43009</v>
      </c>
      <c r="J1024" s="11">
        <v>4382</v>
      </c>
      <c r="K1024" s="51"/>
      <c r="O1024" s="1" t="s">
        <v>6</v>
      </c>
      <c r="P1024" s="1" t="s">
        <v>40</v>
      </c>
      <c r="Q1024" s="1" t="s">
        <v>41</v>
      </c>
      <c r="R1024" s="2" t="s">
        <v>27</v>
      </c>
      <c r="S1024" s="2" t="s">
        <v>31</v>
      </c>
      <c r="T1024" s="1">
        <v>2017</v>
      </c>
      <c r="U1024" s="1">
        <v>10</v>
      </c>
      <c r="V1024" s="50">
        <v>43009</v>
      </c>
      <c r="W1024" s="4">
        <v>4031.4399999999996</v>
      </c>
      <c r="X1024" s="48">
        <v>4382</v>
      </c>
    </row>
    <row r="1025" spans="2:24" x14ac:dyDescent="0.35">
      <c r="B1025" s="8" t="s">
        <v>3</v>
      </c>
      <c r="C1025" s="8" t="s">
        <v>22</v>
      </c>
      <c r="D1025" s="8" t="s">
        <v>5</v>
      </c>
      <c r="E1025" s="8" t="s">
        <v>23</v>
      </c>
      <c r="F1025" s="9" t="s">
        <v>39</v>
      </c>
      <c r="G1025" s="8">
        <v>2017</v>
      </c>
      <c r="H1025" s="8">
        <v>10</v>
      </c>
      <c r="I1025" s="10">
        <v>43009</v>
      </c>
      <c r="J1025" s="11">
        <v>1493</v>
      </c>
      <c r="K1025" s="51"/>
      <c r="O1025" s="1" t="s">
        <v>3</v>
      </c>
      <c r="P1025" s="1" t="s">
        <v>22</v>
      </c>
      <c r="Q1025" s="1" t="s">
        <v>5</v>
      </c>
      <c r="R1025" s="1" t="s">
        <v>23</v>
      </c>
      <c r="S1025" s="2" t="s">
        <v>39</v>
      </c>
      <c r="T1025" s="1">
        <v>2017</v>
      </c>
      <c r="U1025" s="1">
        <v>10</v>
      </c>
      <c r="V1025" s="50">
        <v>43009</v>
      </c>
      <c r="W1025" s="4">
        <v>1403.4199999999998</v>
      </c>
      <c r="X1025" s="48">
        <v>1493</v>
      </c>
    </row>
    <row r="1026" spans="2:24" x14ac:dyDescent="0.35">
      <c r="B1026" s="8" t="s">
        <v>3</v>
      </c>
      <c r="C1026" s="8" t="s">
        <v>22</v>
      </c>
      <c r="D1026" s="8" t="s">
        <v>5</v>
      </c>
      <c r="E1026" s="8" t="s">
        <v>0</v>
      </c>
      <c r="F1026" s="6" t="s">
        <v>42</v>
      </c>
      <c r="G1026" s="8">
        <v>2017</v>
      </c>
      <c r="H1026" s="8">
        <v>10</v>
      </c>
      <c r="I1026" s="10">
        <v>43009</v>
      </c>
      <c r="J1026" s="11">
        <v>5210</v>
      </c>
      <c r="K1026" s="51"/>
      <c r="O1026" s="1" t="s">
        <v>3</v>
      </c>
      <c r="P1026" s="1" t="s">
        <v>22</v>
      </c>
      <c r="Q1026" s="1" t="s">
        <v>5</v>
      </c>
      <c r="R1026" s="1" t="s">
        <v>0</v>
      </c>
      <c r="S1026" t="s">
        <v>42</v>
      </c>
      <c r="T1026" s="1">
        <v>2017</v>
      </c>
      <c r="U1026" s="1">
        <v>10</v>
      </c>
      <c r="V1026" s="50">
        <v>43009</v>
      </c>
      <c r="W1026" s="4">
        <v>4584.7999999999993</v>
      </c>
      <c r="X1026" s="48">
        <v>5210</v>
      </c>
    </row>
    <row r="1027" spans="2:24" x14ac:dyDescent="0.35">
      <c r="B1027" s="8" t="s">
        <v>6</v>
      </c>
      <c r="C1027" s="8" t="s">
        <v>29</v>
      </c>
      <c r="D1027" s="8" t="s">
        <v>30</v>
      </c>
      <c r="E1027" s="8" t="s">
        <v>0</v>
      </c>
      <c r="F1027" s="8" t="s">
        <v>26</v>
      </c>
      <c r="G1027" s="8">
        <v>2017</v>
      </c>
      <c r="H1027" s="8">
        <v>10</v>
      </c>
      <c r="I1027" s="10">
        <v>43009</v>
      </c>
      <c r="J1027" s="11">
        <v>2961</v>
      </c>
      <c r="K1027" s="51"/>
      <c r="O1027" s="1" t="s">
        <v>6</v>
      </c>
      <c r="P1027" s="1" t="s">
        <v>29</v>
      </c>
      <c r="Q1027" s="1" t="s">
        <v>30</v>
      </c>
      <c r="R1027" s="1" t="s">
        <v>0</v>
      </c>
      <c r="S1027" s="1" t="s">
        <v>26</v>
      </c>
      <c r="T1027" s="1">
        <v>2017</v>
      </c>
      <c r="U1027" s="1">
        <v>10</v>
      </c>
      <c r="V1027" s="50">
        <v>43009</v>
      </c>
      <c r="W1027" s="4">
        <v>2546.46</v>
      </c>
      <c r="X1027" s="48">
        <v>2961</v>
      </c>
    </row>
    <row r="1028" spans="2:24" x14ac:dyDescent="0.35">
      <c r="B1028" s="8" t="s">
        <v>7</v>
      </c>
      <c r="C1028" s="8" t="s">
        <v>48</v>
      </c>
      <c r="D1028" s="8" t="s">
        <v>9</v>
      </c>
      <c r="E1028" s="8" t="s">
        <v>27</v>
      </c>
      <c r="F1028" s="8" t="s">
        <v>28</v>
      </c>
      <c r="G1028" s="8">
        <v>2017</v>
      </c>
      <c r="H1028" s="8">
        <v>10</v>
      </c>
      <c r="I1028" s="10">
        <v>43009</v>
      </c>
      <c r="J1028" s="11">
        <v>4663</v>
      </c>
      <c r="K1028" s="51"/>
      <c r="O1028" s="1" t="s">
        <v>7</v>
      </c>
      <c r="P1028" s="1" t="s">
        <v>48</v>
      </c>
      <c r="Q1028" s="1" t="s">
        <v>9</v>
      </c>
      <c r="R1028" s="1" t="s">
        <v>27</v>
      </c>
      <c r="S1028" s="1" t="s">
        <v>28</v>
      </c>
      <c r="T1028" s="1">
        <v>2017</v>
      </c>
      <c r="U1028" s="1">
        <v>10</v>
      </c>
      <c r="V1028" s="50">
        <v>43009</v>
      </c>
      <c r="W1028" s="4">
        <v>4196.7</v>
      </c>
      <c r="X1028" s="48">
        <v>4663</v>
      </c>
    </row>
    <row r="1029" spans="2:24" x14ac:dyDescent="0.35">
      <c r="B1029" s="8" t="s">
        <v>7</v>
      </c>
      <c r="C1029" s="8" t="s">
        <v>48</v>
      </c>
      <c r="D1029" s="8" t="s">
        <v>9</v>
      </c>
      <c r="E1029" s="8" t="s">
        <v>27</v>
      </c>
      <c r="F1029" s="8" t="s">
        <v>31</v>
      </c>
      <c r="G1029" s="8">
        <v>2017</v>
      </c>
      <c r="H1029" s="8">
        <v>10</v>
      </c>
      <c r="I1029" s="10">
        <v>43009</v>
      </c>
      <c r="J1029" s="11">
        <v>2859</v>
      </c>
      <c r="K1029" s="51"/>
      <c r="O1029" s="1" t="s">
        <v>7</v>
      </c>
      <c r="P1029" s="1" t="s">
        <v>48</v>
      </c>
      <c r="Q1029" s="1" t="s">
        <v>9</v>
      </c>
      <c r="R1029" s="1" t="s">
        <v>27</v>
      </c>
      <c r="S1029" s="1" t="s">
        <v>31</v>
      </c>
      <c r="T1029" s="1">
        <v>2017</v>
      </c>
      <c r="U1029" s="1">
        <v>10</v>
      </c>
      <c r="V1029" s="50">
        <v>43009</v>
      </c>
      <c r="W1029" s="4">
        <v>2687.46</v>
      </c>
      <c r="X1029" s="48">
        <v>2859</v>
      </c>
    </row>
    <row r="1030" spans="2:24" x14ac:dyDescent="0.35">
      <c r="B1030" s="8" t="s">
        <v>7</v>
      </c>
      <c r="C1030" s="8" t="s">
        <v>49</v>
      </c>
      <c r="D1030" s="8" t="s">
        <v>11</v>
      </c>
      <c r="E1030" s="8" t="s">
        <v>27</v>
      </c>
      <c r="F1030" s="6" t="s">
        <v>33</v>
      </c>
      <c r="G1030" s="8">
        <v>2017</v>
      </c>
      <c r="H1030" s="8">
        <v>10</v>
      </c>
      <c r="I1030" s="10">
        <v>43009</v>
      </c>
      <c r="J1030" s="11">
        <v>3797</v>
      </c>
      <c r="K1030" s="51"/>
      <c r="O1030" s="1" t="s">
        <v>7</v>
      </c>
      <c r="P1030" s="1" t="s">
        <v>49</v>
      </c>
      <c r="Q1030" s="1" t="s">
        <v>11</v>
      </c>
      <c r="R1030" s="1" t="s">
        <v>27</v>
      </c>
      <c r="S1030" t="s">
        <v>33</v>
      </c>
      <c r="T1030" s="1">
        <v>2017</v>
      </c>
      <c r="U1030" s="1">
        <v>10</v>
      </c>
      <c r="V1030" s="50">
        <v>43009</v>
      </c>
      <c r="W1030" s="4">
        <v>3417.2999999999997</v>
      </c>
      <c r="X1030" s="48">
        <v>3797</v>
      </c>
    </row>
    <row r="1031" spans="2:24" x14ac:dyDescent="0.35">
      <c r="B1031" s="8" t="s">
        <v>7</v>
      </c>
      <c r="C1031" s="8" t="s">
        <v>49</v>
      </c>
      <c r="D1031" s="8" t="s">
        <v>11</v>
      </c>
      <c r="E1031" s="8" t="s">
        <v>23</v>
      </c>
      <c r="F1031" s="6" t="s">
        <v>36</v>
      </c>
      <c r="G1031" s="8">
        <v>2017</v>
      </c>
      <c r="H1031" s="8">
        <v>10</v>
      </c>
      <c r="I1031" s="10">
        <v>43009</v>
      </c>
      <c r="J1031" s="11">
        <v>2071</v>
      </c>
      <c r="K1031" s="51"/>
      <c r="O1031" s="1" t="s">
        <v>7</v>
      </c>
      <c r="P1031" s="1" t="s">
        <v>49</v>
      </c>
      <c r="Q1031" s="1" t="s">
        <v>11</v>
      </c>
      <c r="R1031" s="1" t="s">
        <v>23</v>
      </c>
      <c r="S1031" t="s">
        <v>36</v>
      </c>
      <c r="T1031" s="1">
        <v>2017</v>
      </c>
      <c r="U1031" s="1">
        <v>10</v>
      </c>
      <c r="V1031" s="50">
        <v>43009</v>
      </c>
      <c r="W1031" s="4">
        <v>1822.4799999999998</v>
      </c>
      <c r="X1031" s="48">
        <v>2071</v>
      </c>
    </row>
    <row r="1032" spans="2:24" x14ac:dyDescent="0.35">
      <c r="B1032" s="8" t="s">
        <v>7</v>
      </c>
      <c r="C1032" s="8" t="s">
        <v>43</v>
      </c>
      <c r="D1032" s="8" t="s">
        <v>10</v>
      </c>
      <c r="E1032" s="8" t="s">
        <v>23</v>
      </c>
      <c r="F1032" s="6" t="s">
        <v>36</v>
      </c>
      <c r="G1032" s="8">
        <v>2017</v>
      </c>
      <c r="H1032" s="8">
        <v>10</v>
      </c>
      <c r="I1032" s="10">
        <v>43009</v>
      </c>
      <c r="J1032" s="11">
        <v>2377</v>
      </c>
      <c r="K1032" s="51"/>
      <c r="O1032" s="1" t="s">
        <v>7</v>
      </c>
      <c r="P1032" s="1" t="s">
        <v>43</v>
      </c>
      <c r="Q1032" s="1" t="s">
        <v>10</v>
      </c>
      <c r="R1032" s="1" t="s">
        <v>23</v>
      </c>
      <c r="S1032" t="s">
        <v>36</v>
      </c>
      <c r="T1032" s="1">
        <v>2017</v>
      </c>
      <c r="U1032" s="1">
        <v>10</v>
      </c>
      <c r="V1032" s="50">
        <v>43009</v>
      </c>
      <c r="W1032" s="4">
        <v>2067.9900000000002</v>
      </c>
      <c r="X1032" s="48">
        <v>2377</v>
      </c>
    </row>
    <row r="1033" spans="2:24" x14ac:dyDescent="0.35">
      <c r="B1033" s="8" t="s">
        <v>6</v>
      </c>
      <c r="C1033" s="8" t="s">
        <v>40</v>
      </c>
      <c r="D1033" s="8" t="s">
        <v>41</v>
      </c>
      <c r="E1033" s="9" t="s">
        <v>0</v>
      </c>
      <c r="F1033" s="9" t="s">
        <v>45</v>
      </c>
      <c r="G1033" s="8">
        <v>2017</v>
      </c>
      <c r="H1033" s="8">
        <v>10</v>
      </c>
      <c r="I1033" s="10">
        <v>43009</v>
      </c>
      <c r="J1033" s="11">
        <v>4257</v>
      </c>
      <c r="K1033" s="51"/>
      <c r="O1033" s="1" t="s">
        <v>6</v>
      </c>
      <c r="P1033" s="1" t="s">
        <v>40</v>
      </c>
      <c r="Q1033" s="1" t="s">
        <v>41</v>
      </c>
      <c r="R1033" s="2" t="s">
        <v>0</v>
      </c>
      <c r="S1033" s="2" t="s">
        <v>45</v>
      </c>
      <c r="T1033" s="1">
        <v>2017</v>
      </c>
      <c r="U1033" s="1">
        <v>10</v>
      </c>
      <c r="V1033" s="50">
        <v>43009</v>
      </c>
      <c r="W1033" s="4">
        <v>3788.7299999999996</v>
      </c>
      <c r="X1033" s="48">
        <v>4257</v>
      </c>
    </row>
    <row r="1034" spans="2:24" x14ac:dyDescent="0.35">
      <c r="B1034" s="8" t="s">
        <v>7</v>
      </c>
      <c r="C1034" s="8" t="s">
        <v>32</v>
      </c>
      <c r="D1034" s="8" t="s">
        <v>8</v>
      </c>
      <c r="E1034" s="8" t="s">
        <v>27</v>
      </c>
      <c r="F1034" s="9" t="s">
        <v>28</v>
      </c>
      <c r="G1034" s="8">
        <v>2017</v>
      </c>
      <c r="H1034" s="8">
        <v>10</v>
      </c>
      <c r="I1034" s="10">
        <v>43009</v>
      </c>
      <c r="J1034" s="11">
        <v>3602</v>
      </c>
      <c r="K1034" s="51"/>
      <c r="O1034" s="1" t="s">
        <v>7</v>
      </c>
      <c r="P1034" s="1" t="s">
        <v>32</v>
      </c>
      <c r="Q1034" s="1" t="s">
        <v>8</v>
      </c>
      <c r="R1034" s="1" t="s">
        <v>27</v>
      </c>
      <c r="S1034" s="2" t="s">
        <v>28</v>
      </c>
      <c r="T1034" s="1">
        <v>2017</v>
      </c>
      <c r="U1034" s="1">
        <v>10</v>
      </c>
      <c r="V1034" s="50">
        <v>43009</v>
      </c>
      <c r="W1034" s="4">
        <v>3169.7599999999998</v>
      </c>
      <c r="X1034" s="48">
        <v>3602</v>
      </c>
    </row>
    <row r="1035" spans="2:24" x14ac:dyDescent="0.35">
      <c r="B1035" s="8" t="s">
        <v>7</v>
      </c>
      <c r="C1035" s="8" t="s">
        <v>32</v>
      </c>
      <c r="D1035" s="8" t="s">
        <v>8</v>
      </c>
      <c r="E1035" s="8" t="s">
        <v>27</v>
      </c>
      <c r="F1035" s="6" t="s">
        <v>31</v>
      </c>
      <c r="G1035" s="8">
        <v>2017</v>
      </c>
      <c r="H1035" s="8">
        <v>10</v>
      </c>
      <c r="I1035" s="10">
        <v>43009</v>
      </c>
      <c r="J1035" s="11">
        <v>2946</v>
      </c>
      <c r="K1035" s="51"/>
      <c r="O1035" s="1" t="s">
        <v>7</v>
      </c>
      <c r="P1035" s="1" t="s">
        <v>32</v>
      </c>
      <c r="Q1035" s="1" t="s">
        <v>8</v>
      </c>
      <c r="R1035" s="1" t="s">
        <v>27</v>
      </c>
      <c r="S1035" t="s">
        <v>31</v>
      </c>
      <c r="T1035" s="1">
        <v>2017</v>
      </c>
      <c r="U1035" s="1">
        <v>10</v>
      </c>
      <c r="V1035" s="50">
        <v>43009</v>
      </c>
      <c r="W1035" s="4">
        <v>2592.4799999999996</v>
      </c>
      <c r="X1035" s="48">
        <v>2946</v>
      </c>
    </row>
    <row r="1036" spans="2:24" x14ac:dyDescent="0.35">
      <c r="B1036" s="8" t="s">
        <v>6</v>
      </c>
      <c r="C1036" s="8" t="s">
        <v>29</v>
      </c>
      <c r="D1036" s="8" t="s">
        <v>30</v>
      </c>
      <c r="E1036" s="8" t="s">
        <v>23</v>
      </c>
      <c r="F1036" s="8" t="s">
        <v>24</v>
      </c>
      <c r="G1036" s="8">
        <v>2017</v>
      </c>
      <c r="H1036" s="8">
        <v>10</v>
      </c>
      <c r="I1036" s="10">
        <v>43009</v>
      </c>
      <c r="J1036" s="11">
        <v>1551</v>
      </c>
      <c r="K1036" s="51"/>
      <c r="O1036" s="1" t="s">
        <v>6</v>
      </c>
      <c r="P1036" s="1" t="s">
        <v>29</v>
      </c>
      <c r="Q1036" s="1" t="s">
        <v>30</v>
      </c>
      <c r="R1036" s="1" t="s">
        <v>23</v>
      </c>
      <c r="S1036" s="1" t="s">
        <v>24</v>
      </c>
      <c r="T1036" s="1">
        <v>2017</v>
      </c>
      <c r="U1036" s="1">
        <v>10</v>
      </c>
      <c r="V1036" s="50">
        <v>43009</v>
      </c>
      <c r="W1036" s="4">
        <v>1457.9399999999998</v>
      </c>
      <c r="X1036" s="48">
        <v>1551</v>
      </c>
    </row>
    <row r="1037" spans="2:24" x14ac:dyDescent="0.35">
      <c r="B1037" s="8" t="s">
        <v>7</v>
      </c>
      <c r="C1037" s="8" t="s">
        <v>48</v>
      </c>
      <c r="D1037" s="8" t="s">
        <v>9</v>
      </c>
      <c r="E1037" s="8" t="s">
        <v>0</v>
      </c>
      <c r="F1037" s="8" t="s">
        <v>42</v>
      </c>
      <c r="G1037" s="8">
        <v>2017</v>
      </c>
      <c r="H1037" s="8">
        <v>10</v>
      </c>
      <c r="I1037" s="10">
        <v>43009</v>
      </c>
      <c r="J1037" s="11">
        <v>4336</v>
      </c>
      <c r="K1037" s="51"/>
      <c r="O1037" s="1" t="s">
        <v>7</v>
      </c>
      <c r="P1037" s="1" t="s">
        <v>48</v>
      </c>
      <c r="Q1037" s="1" t="s">
        <v>9</v>
      </c>
      <c r="R1037" s="1" t="s">
        <v>0</v>
      </c>
      <c r="S1037" s="1" t="s">
        <v>42</v>
      </c>
      <c r="T1037" s="1">
        <v>2017</v>
      </c>
      <c r="U1037" s="1">
        <v>10</v>
      </c>
      <c r="V1037" s="50">
        <v>43009</v>
      </c>
      <c r="W1037" s="4">
        <v>3685.6000000000004</v>
      </c>
      <c r="X1037" s="48">
        <v>4336</v>
      </c>
    </row>
    <row r="1038" spans="2:24" x14ac:dyDescent="0.35">
      <c r="B1038" s="8" t="s">
        <v>7</v>
      </c>
      <c r="C1038" s="8" t="s">
        <v>48</v>
      </c>
      <c r="D1038" s="8" t="s">
        <v>9</v>
      </c>
      <c r="E1038" s="8" t="s">
        <v>0</v>
      </c>
      <c r="F1038" s="8" t="s">
        <v>26</v>
      </c>
      <c r="G1038" s="8">
        <v>2017</v>
      </c>
      <c r="H1038" s="8">
        <v>10</v>
      </c>
      <c r="I1038" s="10">
        <v>43009</v>
      </c>
      <c r="J1038" s="11">
        <v>4173</v>
      </c>
      <c r="K1038" s="51"/>
      <c r="O1038" s="1" t="s">
        <v>7</v>
      </c>
      <c r="P1038" s="1" t="s">
        <v>48</v>
      </c>
      <c r="Q1038" s="1" t="s">
        <v>9</v>
      </c>
      <c r="R1038" s="1" t="s">
        <v>0</v>
      </c>
      <c r="S1038" s="1" t="s">
        <v>26</v>
      </c>
      <c r="T1038" s="1">
        <v>2017</v>
      </c>
      <c r="U1038" s="1">
        <v>10</v>
      </c>
      <c r="V1038" s="50">
        <v>43009</v>
      </c>
      <c r="W1038" s="4">
        <v>3547.05</v>
      </c>
      <c r="X1038" s="48">
        <v>4173</v>
      </c>
    </row>
    <row r="1039" spans="2:24" x14ac:dyDescent="0.35">
      <c r="B1039" s="8" t="s">
        <v>7</v>
      </c>
      <c r="C1039" s="8" t="s">
        <v>49</v>
      </c>
      <c r="D1039" s="8" t="s">
        <v>11</v>
      </c>
      <c r="E1039" s="8" t="s">
        <v>0</v>
      </c>
      <c r="F1039" s="6" t="s">
        <v>45</v>
      </c>
      <c r="G1039" s="8">
        <v>2017</v>
      </c>
      <c r="H1039" s="8">
        <v>10</v>
      </c>
      <c r="I1039" s="10">
        <v>43009</v>
      </c>
      <c r="J1039" s="11">
        <v>4013</v>
      </c>
      <c r="K1039" s="51"/>
      <c r="O1039" s="1" t="s">
        <v>7</v>
      </c>
      <c r="P1039" s="1" t="s">
        <v>49</v>
      </c>
      <c r="Q1039" s="1" t="s">
        <v>11</v>
      </c>
      <c r="R1039" s="1" t="s">
        <v>0</v>
      </c>
      <c r="S1039" t="s">
        <v>45</v>
      </c>
      <c r="T1039" s="1">
        <v>2017</v>
      </c>
      <c r="U1039" s="1">
        <v>10</v>
      </c>
      <c r="V1039" s="50">
        <v>43009</v>
      </c>
      <c r="W1039" s="4">
        <v>3651.83</v>
      </c>
      <c r="X1039" s="48">
        <v>4013</v>
      </c>
    </row>
    <row r="1040" spans="2:24" x14ac:dyDescent="0.35">
      <c r="B1040" s="8" t="s">
        <v>7</v>
      </c>
      <c r="C1040" s="8" t="s">
        <v>49</v>
      </c>
      <c r="D1040" s="8" t="s">
        <v>11</v>
      </c>
      <c r="E1040" s="8" t="s">
        <v>27</v>
      </c>
      <c r="F1040" s="6" t="s">
        <v>28</v>
      </c>
      <c r="G1040" s="8">
        <v>2017</v>
      </c>
      <c r="H1040" s="8">
        <v>10</v>
      </c>
      <c r="I1040" s="10">
        <v>43009</v>
      </c>
      <c r="J1040" s="11">
        <v>3533</v>
      </c>
      <c r="K1040" s="51"/>
      <c r="O1040" s="1" t="s">
        <v>7</v>
      </c>
      <c r="P1040" s="1" t="s">
        <v>49</v>
      </c>
      <c r="Q1040" s="1" t="s">
        <v>11</v>
      </c>
      <c r="R1040" s="1" t="s">
        <v>27</v>
      </c>
      <c r="S1040" t="s">
        <v>28</v>
      </c>
      <c r="T1040" s="1">
        <v>2017</v>
      </c>
      <c r="U1040" s="1">
        <v>10</v>
      </c>
      <c r="V1040" s="50">
        <v>43009</v>
      </c>
      <c r="W1040" s="4">
        <v>3038.38</v>
      </c>
      <c r="X1040" s="48">
        <v>3533</v>
      </c>
    </row>
    <row r="1041" spans="2:24" x14ac:dyDescent="0.35">
      <c r="B1041" s="8" t="s">
        <v>12</v>
      </c>
      <c r="C1041" s="8" t="s">
        <v>34</v>
      </c>
      <c r="D1041" s="8" t="s">
        <v>35</v>
      </c>
      <c r="E1041" s="8" t="s">
        <v>27</v>
      </c>
      <c r="F1041" s="6" t="s">
        <v>31</v>
      </c>
      <c r="G1041" s="8">
        <v>2017</v>
      </c>
      <c r="H1041" s="8">
        <v>10</v>
      </c>
      <c r="I1041" s="10">
        <v>43009</v>
      </c>
      <c r="J1041" s="11">
        <v>3848</v>
      </c>
      <c r="K1041" s="51"/>
      <c r="O1041" s="1" t="s">
        <v>12</v>
      </c>
      <c r="P1041" s="1" t="s">
        <v>34</v>
      </c>
      <c r="Q1041" s="1" t="s">
        <v>35</v>
      </c>
      <c r="R1041" s="1" t="s">
        <v>27</v>
      </c>
      <c r="S1041" t="s">
        <v>31</v>
      </c>
      <c r="T1041" s="1">
        <v>2017</v>
      </c>
      <c r="U1041" s="1">
        <v>10</v>
      </c>
      <c r="V1041" s="50">
        <v>43009</v>
      </c>
      <c r="W1041" s="4">
        <v>3463.2</v>
      </c>
      <c r="X1041" s="48">
        <v>3848</v>
      </c>
    </row>
    <row r="1042" spans="2:24" x14ac:dyDescent="0.35">
      <c r="B1042" s="8" t="s">
        <v>12</v>
      </c>
      <c r="C1042" s="8" t="s">
        <v>34</v>
      </c>
      <c r="D1042" s="8" t="s">
        <v>35</v>
      </c>
      <c r="E1042" s="9" t="s">
        <v>27</v>
      </c>
      <c r="F1042" s="9" t="s">
        <v>33</v>
      </c>
      <c r="G1042" s="8">
        <v>2017</v>
      </c>
      <c r="H1042" s="8">
        <v>10</v>
      </c>
      <c r="I1042" s="10">
        <v>43009</v>
      </c>
      <c r="J1042" s="11">
        <v>3699</v>
      </c>
      <c r="K1042" s="51"/>
      <c r="O1042" s="1" t="s">
        <v>12</v>
      </c>
      <c r="P1042" s="1" t="s">
        <v>34</v>
      </c>
      <c r="Q1042" s="1" t="s">
        <v>35</v>
      </c>
      <c r="R1042" s="2" t="s">
        <v>27</v>
      </c>
      <c r="S1042" s="2" t="s">
        <v>33</v>
      </c>
      <c r="T1042" s="1">
        <v>2017</v>
      </c>
      <c r="U1042" s="1">
        <v>10</v>
      </c>
      <c r="V1042" s="50">
        <v>43009</v>
      </c>
      <c r="W1042" s="4">
        <v>3440.0699999999997</v>
      </c>
      <c r="X1042" s="48">
        <v>3699</v>
      </c>
    </row>
    <row r="1043" spans="2:24" x14ac:dyDescent="0.35">
      <c r="B1043" s="8" t="s">
        <v>14</v>
      </c>
      <c r="C1043" s="8" t="s">
        <v>37</v>
      </c>
      <c r="D1043" s="8" t="s">
        <v>38</v>
      </c>
      <c r="E1043" s="8" t="s">
        <v>23</v>
      </c>
      <c r="F1043" s="9" t="s">
        <v>36</v>
      </c>
      <c r="G1043" s="8">
        <v>2017</v>
      </c>
      <c r="H1043" s="8">
        <v>10</v>
      </c>
      <c r="I1043" s="10">
        <v>43009</v>
      </c>
      <c r="J1043" s="11">
        <v>2484</v>
      </c>
      <c r="K1043" s="51"/>
      <c r="O1043" s="1" t="s">
        <v>14</v>
      </c>
      <c r="P1043" s="1" t="s">
        <v>37</v>
      </c>
      <c r="Q1043" s="1" t="s">
        <v>38</v>
      </c>
      <c r="R1043" s="1" t="s">
        <v>23</v>
      </c>
      <c r="S1043" s="2" t="s">
        <v>36</v>
      </c>
      <c r="T1043" s="1">
        <v>2017</v>
      </c>
      <c r="U1043" s="1">
        <v>10</v>
      </c>
      <c r="V1043" s="50">
        <v>43009</v>
      </c>
      <c r="W1043" s="4">
        <v>2210.7599999999998</v>
      </c>
      <c r="X1043" s="48">
        <v>2484</v>
      </c>
    </row>
    <row r="1044" spans="2:24" x14ac:dyDescent="0.35">
      <c r="B1044" s="8" t="s">
        <v>12</v>
      </c>
      <c r="C1044" s="8" t="s">
        <v>44</v>
      </c>
      <c r="D1044" s="8" t="s">
        <v>13</v>
      </c>
      <c r="E1044" s="8" t="s">
        <v>23</v>
      </c>
      <c r="F1044" s="6" t="s">
        <v>39</v>
      </c>
      <c r="G1044" s="8">
        <v>2017</v>
      </c>
      <c r="H1044" s="8">
        <v>10</v>
      </c>
      <c r="I1044" s="10">
        <v>43009</v>
      </c>
      <c r="J1044" s="11">
        <v>2037</v>
      </c>
      <c r="K1044" s="51"/>
      <c r="O1044" s="1" t="s">
        <v>12</v>
      </c>
      <c r="P1044" s="1" t="s">
        <v>44</v>
      </c>
      <c r="Q1044" s="1" t="s">
        <v>13</v>
      </c>
      <c r="R1044" s="1" t="s">
        <v>23</v>
      </c>
      <c r="S1044" t="s">
        <v>39</v>
      </c>
      <c r="T1044" s="1">
        <v>2017</v>
      </c>
      <c r="U1044" s="1">
        <v>10</v>
      </c>
      <c r="V1044" s="50">
        <v>43009</v>
      </c>
      <c r="W1044" s="4">
        <v>1853.6699999999998</v>
      </c>
      <c r="X1044" s="48">
        <v>2037</v>
      </c>
    </row>
    <row r="1045" spans="2:24" x14ac:dyDescent="0.35">
      <c r="B1045" s="8" t="s">
        <v>12</v>
      </c>
      <c r="C1045" s="8" t="s">
        <v>44</v>
      </c>
      <c r="D1045" s="8" t="s">
        <v>13</v>
      </c>
      <c r="E1045" s="8" t="s">
        <v>0</v>
      </c>
      <c r="F1045" s="8" t="s">
        <v>42</v>
      </c>
      <c r="G1045" s="8">
        <v>2017</v>
      </c>
      <c r="H1045" s="8">
        <v>10</v>
      </c>
      <c r="I1045" s="10">
        <v>43009</v>
      </c>
      <c r="J1045" s="11">
        <v>4620</v>
      </c>
      <c r="K1045" s="51"/>
      <c r="O1045" s="1" t="s">
        <v>12</v>
      </c>
      <c r="P1045" s="1" t="s">
        <v>44</v>
      </c>
      <c r="Q1045" s="1" t="s">
        <v>13</v>
      </c>
      <c r="R1045" s="1" t="s">
        <v>0</v>
      </c>
      <c r="S1045" s="1" t="s">
        <v>42</v>
      </c>
      <c r="T1045" s="1">
        <v>2017</v>
      </c>
      <c r="U1045" s="1">
        <v>10</v>
      </c>
      <c r="V1045" s="50">
        <v>43009</v>
      </c>
      <c r="W1045" s="4">
        <v>4019.4000000000005</v>
      </c>
      <c r="X1045" s="48">
        <v>4620</v>
      </c>
    </row>
    <row r="1046" spans="2:24" x14ac:dyDescent="0.35">
      <c r="B1046" s="8" t="s">
        <v>14</v>
      </c>
      <c r="C1046" s="8" t="s">
        <v>46</v>
      </c>
      <c r="D1046" s="8" t="s">
        <v>47</v>
      </c>
      <c r="E1046" s="8" t="s">
        <v>0</v>
      </c>
      <c r="F1046" s="8" t="s">
        <v>26</v>
      </c>
      <c r="G1046" s="8">
        <v>2017</v>
      </c>
      <c r="H1046" s="8">
        <v>10</v>
      </c>
      <c r="I1046" s="10">
        <v>43009</v>
      </c>
      <c r="J1046" s="11">
        <v>3166</v>
      </c>
      <c r="K1046" s="51"/>
      <c r="O1046" s="1" t="s">
        <v>14</v>
      </c>
      <c r="P1046" s="1" t="s">
        <v>46</v>
      </c>
      <c r="Q1046" s="1" t="s">
        <v>47</v>
      </c>
      <c r="R1046" s="1" t="s">
        <v>0</v>
      </c>
      <c r="S1046" s="1" t="s">
        <v>26</v>
      </c>
      <c r="T1046" s="1">
        <v>2017</v>
      </c>
      <c r="U1046" s="1">
        <v>10</v>
      </c>
      <c r="V1046" s="50">
        <v>43009</v>
      </c>
      <c r="W1046" s="4">
        <v>2754.4200000000005</v>
      </c>
      <c r="X1046" s="48">
        <v>3166</v>
      </c>
    </row>
    <row r="1047" spans="2:24" x14ac:dyDescent="0.35">
      <c r="B1047" s="8" t="s">
        <v>14</v>
      </c>
      <c r="C1047" s="8" t="s">
        <v>46</v>
      </c>
      <c r="D1047" s="8" t="s">
        <v>47</v>
      </c>
      <c r="E1047" s="8" t="s">
        <v>0</v>
      </c>
      <c r="F1047" s="8" t="s">
        <v>45</v>
      </c>
      <c r="G1047" s="8">
        <v>2017</v>
      </c>
      <c r="H1047" s="8">
        <v>10</v>
      </c>
      <c r="I1047" s="10">
        <v>43009</v>
      </c>
      <c r="J1047" s="11">
        <v>2920</v>
      </c>
      <c r="K1047" s="51"/>
      <c r="O1047" s="1" t="s">
        <v>14</v>
      </c>
      <c r="P1047" s="1" t="s">
        <v>46</v>
      </c>
      <c r="Q1047" s="1" t="s">
        <v>47</v>
      </c>
      <c r="R1047" s="1" t="s">
        <v>0</v>
      </c>
      <c r="S1047" s="1" t="s">
        <v>45</v>
      </c>
      <c r="T1047" s="1">
        <v>2017</v>
      </c>
      <c r="U1047" s="1">
        <v>10</v>
      </c>
      <c r="V1047" s="50">
        <v>43009</v>
      </c>
      <c r="W1047" s="4">
        <v>2511.2000000000003</v>
      </c>
      <c r="X1047" s="48">
        <v>2920</v>
      </c>
    </row>
    <row r="1048" spans="2:24" x14ac:dyDescent="0.35">
      <c r="B1048" s="8" t="s">
        <v>3</v>
      </c>
      <c r="C1048" s="8" t="s">
        <v>25</v>
      </c>
      <c r="D1048" s="8" t="s">
        <v>4</v>
      </c>
      <c r="E1048" s="8" t="s">
        <v>27</v>
      </c>
      <c r="F1048" s="6" t="s">
        <v>33</v>
      </c>
      <c r="G1048" s="8">
        <v>2017</v>
      </c>
      <c r="H1048" s="8">
        <v>10</v>
      </c>
      <c r="I1048" s="10">
        <v>43009</v>
      </c>
      <c r="J1048" s="11">
        <v>3541</v>
      </c>
      <c r="K1048" s="51"/>
      <c r="O1048" s="1" t="s">
        <v>3</v>
      </c>
      <c r="P1048" s="1" t="s">
        <v>25</v>
      </c>
      <c r="Q1048" s="1" t="s">
        <v>4</v>
      </c>
      <c r="R1048" s="1" t="s">
        <v>27</v>
      </c>
      <c r="S1048" t="s">
        <v>33</v>
      </c>
      <c r="T1048" s="1">
        <v>2017</v>
      </c>
      <c r="U1048" s="1">
        <v>10</v>
      </c>
      <c r="V1048" s="50">
        <v>43009</v>
      </c>
      <c r="W1048" s="4">
        <v>3151.49</v>
      </c>
      <c r="X1048" s="48">
        <v>3541</v>
      </c>
    </row>
    <row r="1049" spans="2:24" x14ac:dyDescent="0.35">
      <c r="B1049" s="8" t="s">
        <v>3</v>
      </c>
      <c r="C1049" s="8" t="s">
        <v>25</v>
      </c>
      <c r="D1049" s="8" t="s">
        <v>4</v>
      </c>
      <c r="E1049" s="8" t="s">
        <v>23</v>
      </c>
      <c r="F1049" s="6" t="s">
        <v>36</v>
      </c>
      <c r="G1049" s="8">
        <v>2017</v>
      </c>
      <c r="H1049" s="8">
        <v>10</v>
      </c>
      <c r="I1049" s="10">
        <v>43009</v>
      </c>
      <c r="J1049" s="11">
        <v>2676</v>
      </c>
      <c r="K1049" s="51"/>
      <c r="O1049" s="1" t="s">
        <v>3</v>
      </c>
      <c r="P1049" s="1" t="s">
        <v>25</v>
      </c>
      <c r="Q1049" s="1" t="s">
        <v>4</v>
      </c>
      <c r="R1049" s="1" t="s">
        <v>23</v>
      </c>
      <c r="S1049" t="s">
        <v>36</v>
      </c>
      <c r="T1049" s="1">
        <v>2017</v>
      </c>
      <c r="U1049" s="1">
        <v>10</v>
      </c>
      <c r="V1049" s="50">
        <v>43009</v>
      </c>
      <c r="W1049" s="4">
        <v>2488.6799999999998</v>
      </c>
      <c r="X1049" s="48">
        <v>2676</v>
      </c>
    </row>
    <row r="1050" spans="2:24" x14ac:dyDescent="0.35">
      <c r="B1050" s="8" t="s">
        <v>6</v>
      </c>
      <c r="C1050" s="8" t="s">
        <v>40</v>
      </c>
      <c r="D1050" s="8" t="s">
        <v>41</v>
      </c>
      <c r="E1050" s="8" t="s">
        <v>23</v>
      </c>
      <c r="F1050" s="6" t="s">
        <v>39</v>
      </c>
      <c r="G1050" s="8">
        <v>2017</v>
      </c>
      <c r="H1050" s="8">
        <v>10</v>
      </c>
      <c r="I1050" s="10">
        <v>43009</v>
      </c>
      <c r="J1050" s="11">
        <v>2528</v>
      </c>
      <c r="K1050" s="51"/>
      <c r="O1050" s="1" t="s">
        <v>6</v>
      </c>
      <c r="P1050" s="1" t="s">
        <v>40</v>
      </c>
      <c r="Q1050" s="1" t="s">
        <v>41</v>
      </c>
      <c r="R1050" s="1" t="s">
        <v>23</v>
      </c>
      <c r="S1050" t="s">
        <v>39</v>
      </c>
      <c r="T1050" s="1">
        <v>2017</v>
      </c>
      <c r="U1050" s="1">
        <v>10</v>
      </c>
      <c r="V1050" s="50">
        <v>43009</v>
      </c>
      <c r="W1050" s="4">
        <v>2174.0800000000004</v>
      </c>
      <c r="X1050" s="48">
        <v>2528</v>
      </c>
    </row>
    <row r="1051" spans="2:24" x14ac:dyDescent="0.35">
      <c r="B1051" s="8" t="s">
        <v>7</v>
      </c>
      <c r="C1051" s="8" t="s">
        <v>48</v>
      </c>
      <c r="D1051" s="8" t="s">
        <v>9</v>
      </c>
      <c r="E1051" s="9" t="s">
        <v>0</v>
      </c>
      <c r="F1051" s="9" t="s">
        <v>45</v>
      </c>
      <c r="G1051" s="8">
        <v>2017</v>
      </c>
      <c r="H1051" s="8">
        <v>10</v>
      </c>
      <c r="I1051" s="10">
        <v>43009</v>
      </c>
      <c r="J1051" s="11">
        <v>3904</v>
      </c>
      <c r="K1051" s="51"/>
      <c r="O1051" s="1" t="s">
        <v>7</v>
      </c>
      <c r="P1051" s="1" t="s">
        <v>48</v>
      </c>
      <c r="Q1051" s="1" t="s">
        <v>9</v>
      </c>
      <c r="R1051" s="2" t="s">
        <v>0</v>
      </c>
      <c r="S1051" s="2" t="s">
        <v>45</v>
      </c>
      <c r="T1051" s="1">
        <v>2017</v>
      </c>
      <c r="U1051" s="1">
        <v>10</v>
      </c>
      <c r="V1051" s="50">
        <v>43009</v>
      </c>
      <c r="W1051" s="4">
        <v>3435.5199999999995</v>
      </c>
      <c r="X1051" s="48">
        <v>3904</v>
      </c>
    </row>
    <row r="1052" spans="2:24" x14ac:dyDescent="0.35">
      <c r="B1052" s="8" t="s">
        <v>7</v>
      </c>
      <c r="C1052" s="8" t="s">
        <v>49</v>
      </c>
      <c r="D1052" s="8" t="s">
        <v>11</v>
      </c>
      <c r="E1052" s="8" t="s">
        <v>27</v>
      </c>
      <c r="F1052" s="9" t="s">
        <v>31</v>
      </c>
      <c r="G1052" s="8">
        <v>2017</v>
      </c>
      <c r="H1052" s="8">
        <v>10</v>
      </c>
      <c r="I1052" s="10">
        <v>43009</v>
      </c>
      <c r="J1052" s="11">
        <v>5090</v>
      </c>
      <c r="K1052" s="51"/>
      <c r="O1052" s="1" t="s">
        <v>7</v>
      </c>
      <c r="P1052" s="1" t="s">
        <v>49</v>
      </c>
      <c r="Q1052" s="1" t="s">
        <v>11</v>
      </c>
      <c r="R1052" s="1" t="s">
        <v>27</v>
      </c>
      <c r="S1052" s="2" t="s">
        <v>31</v>
      </c>
      <c r="T1052" s="1">
        <v>2017</v>
      </c>
      <c r="U1052" s="1">
        <v>10</v>
      </c>
      <c r="V1052" s="50">
        <v>43009</v>
      </c>
      <c r="W1052" s="4">
        <v>4682.7999999999993</v>
      </c>
      <c r="X1052" s="48">
        <v>5090</v>
      </c>
    </row>
    <row r="1053" spans="2:24" x14ac:dyDescent="0.35">
      <c r="B1053" s="8" t="s">
        <v>7</v>
      </c>
      <c r="C1053" s="8" t="s">
        <v>43</v>
      </c>
      <c r="D1053" s="8" t="s">
        <v>10</v>
      </c>
      <c r="E1053" s="8" t="s">
        <v>27</v>
      </c>
      <c r="F1053" s="6" t="s">
        <v>33</v>
      </c>
      <c r="G1053" s="8">
        <v>2017</v>
      </c>
      <c r="H1053" s="8">
        <v>10</v>
      </c>
      <c r="I1053" s="10">
        <v>43009</v>
      </c>
      <c r="J1053" s="11">
        <v>3578</v>
      </c>
      <c r="K1053" s="51"/>
      <c r="O1053" s="1" t="s">
        <v>7</v>
      </c>
      <c r="P1053" s="1" t="s">
        <v>43</v>
      </c>
      <c r="Q1053" s="1" t="s">
        <v>10</v>
      </c>
      <c r="R1053" s="1" t="s">
        <v>27</v>
      </c>
      <c r="S1053" t="s">
        <v>33</v>
      </c>
      <c r="T1053" s="1">
        <v>2017</v>
      </c>
      <c r="U1053" s="1">
        <v>10</v>
      </c>
      <c r="V1053" s="50">
        <v>43009</v>
      </c>
      <c r="W1053" s="4">
        <v>3327.54</v>
      </c>
      <c r="X1053" s="48">
        <v>3578</v>
      </c>
    </row>
    <row r="1054" spans="2:24" x14ac:dyDescent="0.35">
      <c r="B1054" s="8" t="s">
        <v>7</v>
      </c>
      <c r="C1054" s="8" t="s">
        <v>32</v>
      </c>
      <c r="D1054" s="8" t="s">
        <v>8</v>
      </c>
      <c r="E1054" s="8" t="s">
        <v>0</v>
      </c>
      <c r="F1054" s="8" t="s">
        <v>45</v>
      </c>
      <c r="G1054" s="8">
        <v>2017</v>
      </c>
      <c r="H1054" s="8">
        <v>10</v>
      </c>
      <c r="I1054" s="10">
        <v>43009</v>
      </c>
      <c r="J1054" s="11">
        <v>4368</v>
      </c>
      <c r="K1054" s="51"/>
      <c r="O1054" s="1" t="s">
        <v>7</v>
      </c>
      <c r="P1054" s="1" t="s">
        <v>32</v>
      </c>
      <c r="Q1054" s="1" t="s">
        <v>8</v>
      </c>
      <c r="R1054" s="1" t="s">
        <v>0</v>
      </c>
      <c r="S1054" s="1" t="s">
        <v>45</v>
      </c>
      <c r="T1054" s="1">
        <v>2017</v>
      </c>
      <c r="U1054" s="1">
        <v>10</v>
      </c>
      <c r="V1054" s="50">
        <v>43009</v>
      </c>
      <c r="W1054" s="4">
        <v>3800.1600000000003</v>
      </c>
      <c r="X1054" s="48">
        <v>4368</v>
      </c>
    </row>
    <row r="1055" spans="2:24" x14ac:dyDescent="0.35">
      <c r="B1055" s="8" t="s">
        <v>7</v>
      </c>
      <c r="C1055" s="8" t="s">
        <v>48</v>
      </c>
      <c r="D1055" s="8" t="s">
        <v>9</v>
      </c>
      <c r="E1055" s="8" t="s">
        <v>23</v>
      </c>
      <c r="F1055" s="8" t="s">
        <v>39</v>
      </c>
      <c r="G1055" s="8">
        <v>2017</v>
      </c>
      <c r="H1055" s="8">
        <v>10</v>
      </c>
      <c r="I1055" s="10">
        <v>43009</v>
      </c>
      <c r="J1055" s="11">
        <v>2871</v>
      </c>
      <c r="K1055" s="51"/>
      <c r="O1055" s="1" t="s">
        <v>7</v>
      </c>
      <c r="P1055" s="1" t="s">
        <v>48</v>
      </c>
      <c r="Q1055" s="1" t="s">
        <v>9</v>
      </c>
      <c r="R1055" s="1" t="s">
        <v>23</v>
      </c>
      <c r="S1055" s="1" t="s">
        <v>39</v>
      </c>
      <c r="T1055" s="1">
        <v>2017</v>
      </c>
      <c r="U1055" s="1">
        <v>10</v>
      </c>
      <c r="V1055" s="50">
        <v>43009</v>
      </c>
      <c r="W1055" s="4">
        <v>2641.3199999999997</v>
      </c>
      <c r="X1055" s="48">
        <v>2871</v>
      </c>
    </row>
    <row r="1056" spans="2:24" x14ac:dyDescent="0.35">
      <c r="B1056" s="8" t="s">
        <v>7</v>
      </c>
      <c r="C1056" s="8" t="s">
        <v>49</v>
      </c>
      <c r="D1056" s="8" t="s">
        <v>11</v>
      </c>
      <c r="E1056" s="8" t="s">
        <v>0</v>
      </c>
      <c r="F1056" s="8" t="s">
        <v>26</v>
      </c>
      <c r="G1056" s="8">
        <v>2017</v>
      </c>
      <c r="H1056" s="8">
        <v>10</v>
      </c>
      <c r="I1056" s="10">
        <v>43009</v>
      </c>
      <c r="J1056" s="11">
        <v>4124</v>
      </c>
      <c r="K1056" s="51"/>
      <c r="O1056" s="1" t="s">
        <v>7</v>
      </c>
      <c r="P1056" s="1" t="s">
        <v>49</v>
      </c>
      <c r="Q1056" s="1" t="s">
        <v>11</v>
      </c>
      <c r="R1056" s="1" t="s">
        <v>0</v>
      </c>
      <c r="S1056" s="1" t="s">
        <v>26</v>
      </c>
      <c r="T1056" s="1">
        <v>2017</v>
      </c>
      <c r="U1056" s="1">
        <v>10</v>
      </c>
      <c r="V1056" s="50">
        <v>43009</v>
      </c>
      <c r="W1056" s="4">
        <v>3876.56</v>
      </c>
      <c r="X1056" s="48">
        <v>4124</v>
      </c>
    </row>
    <row r="1057" spans="2:24" x14ac:dyDescent="0.35">
      <c r="B1057" s="8" t="s">
        <v>12</v>
      </c>
      <c r="C1057" s="8" t="s">
        <v>34</v>
      </c>
      <c r="D1057" s="8" t="s">
        <v>35</v>
      </c>
      <c r="E1057" s="8" t="s">
        <v>27</v>
      </c>
      <c r="F1057" s="6" t="s">
        <v>28</v>
      </c>
      <c r="G1057" s="8">
        <v>2017</v>
      </c>
      <c r="H1057" s="8">
        <v>10</v>
      </c>
      <c r="I1057" s="10">
        <v>43009</v>
      </c>
      <c r="J1057" s="11">
        <v>4401</v>
      </c>
      <c r="K1057" s="51"/>
      <c r="O1057" s="1" t="s">
        <v>12</v>
      </c>
      <c r="P1057" s="1" t="s">
        <v>34</v>
      </c>
      <c r="Q1057" s="1" t="s">
        <v>35</v>
      </c>
      <c r="R1057" s="1" t="s">
        <v>27</v>
      </c>
      <c r="S1057" t="s">
        <v>28</v>
      </c>
      <c r="T1057" s="1">
        <v>2017</v>
      </c>
      <c r="U1057" s="1">
        <v>10</v>
      </c>
      <c r="V1057" s="50">
        <v>43009</v>
      </c>
      <c r="W1057" s="4">
        <v>4004.91</v>
      </c>
      <c r="X1057" s="48">
        <v>4401</v>
      </c>
    </row>
    <row r="1058" spans="2:24" x14ac:dyDescent="0.35">
      <c r="B1058" s="8" t="s">
        <v>14</v>
      </c>
      <c r="C1058" s="8" t="s">
        <v>37</v>
      </c>
      <c r="D1058" s="8" t="s">
        <v>38</v>
      </c>
      <c r="E1058" s="8" t="s">
        <v>27</v>
      </c>
      <c r="F1058" s="6" t="s">
        <v>33</v>
      </c>
      <c r="G1058" s="8">
        <v>2017</v>
      </c>
      <c r="H1058" s="8">
        <v>10</v>
      </c>
      <c r="I1058" s="10">
        <v>43009</v>
      </c>
      <c r="J1058" s="11">
        <v>3380</v>
      </c>
      <c r="K1058" s="51"/>
      <c r="O1058" s="1" t="s">
        <v>14</v>
      </c>
      <c r="P1058" s="1" t="s">
        <v>37</v>
      </c>
      <c r="Q1058" s="1" t="s">
        <v>38</v>
      </c>
      <c r="R1058" s="1" t="s">
        <v>27</v>
      </c>
      <c r="S1058" t="s">
        <v>33</v>
      </c>
      <c r="T1058" s="1">
        <v>2017</v>
      </c>
      <c r="U1058" s="1">
        <v>10</v>
      </c>
      <c r="V1058" s="50">
        <v>43009</v>
      </c>
      <c r="W1058" s="4">
        <v>3075.7999999999997</v>
      </c>
      <c r="X1058" s="48">
        <v>3380</v>
      </c>
    </row>
    <row r="1059" spans="2:24" x14ac:dyDescent="0.35">
      <c r="B1059" s="8" t="s">
        <v>12</v>
      </c>
      <c r="C1059" s="8" t="s">
        <v>44</v>
      </c>
      <c r="D1059" s="8" t="s">
        <v>13</v>
      </c>
      <c r="E1059" s="8" t="s">
        <v>23</v>
      </c>
      <c r="F1059" s="6" t="s">
        <v>24</v>
      </c>
      <c r="G1059" s="8">
        <v>2017</v>
      </c>
      <c r="H1059" s="8">
        <v>10</v>
      </c>
      <c r="I1059" s="10">
        <v>43009</v>
      </c>
      <c r="J1059" s="11">
        <v>2729</v>
      </c>
      <c r="K1059" s="51"/>
      <c r="O1059" s="1" t="s">
        <v>12</v>
      </c>
      <c r="P1059" s="1" t="s">
        <v>44</v>
      </c>
      <c r="Q1059" s="1" t="s">
        <v>13</v>
      </c>
      <c r="R1059" s="1" t="s">
        <v>23</v>
      </c>
      <c r="S1059" t="s">
        <v>24</v>
      </c>
      <c r="T1059" s="1">
        <v>2017</v>
      </c>
      <c r="U1059" s="1">
        <v>10</v>
      </c>
      <c r="V1059" s="50">
        <v>43009</v>
      </c>
      <c r="W1059" s="4">
        <v>2401.5199999999995</v>
      </c>
      <c r="X1059" s="48">
        <v>2729</v>
      </c>
    </row>
    <row r="1060" spans="2:24" x14ac:dyDescent="0.35">
      <c r="B1060" s="8" t="s">
        <v>14</v>
      </c>
      <c r="C1060" s="8" t="s">
        <v>46</v>
      </c>
      <c r="D1060" s="8" t="s">
        <v>47</v>
      </c>
      <c r="E1060" s="9" t="s">
        <v>0</v>
      </c>
      <c r="F1060" s="9" t="s">
        <v>42</v>
      </c>
      <c r="G1060" s="8">
        <v>2017</v>
      </c>
      <c r="H1060" s="8">
        <v>10</v>
      </c>
      <c r="I1060" s="10">
        <v>43009</v>
      </c>
      <c r="J1060" s="11">
        <v>6002</v>
      </c>
      <c r="K1060" s="51"/>
      <c r="O1060" s="1" t="s">
        <v>14</v>
      </c>
      <c r="P1060" s="1" t="s">
        <v>46</v>
      </c>
      <c r="Q1060" s="1" t="s">
        <v>47</v>
      </c>
      <c r="R1060" s="2" t="s">
        <v>0</v>
      </c>
      <c r="S1060" s="2" t="s">
        <v>42</v>
      </c>
      <c r="T1060" s="1">
        <v>2017</v>
      </c>
      <c r="U1060" s="1">
        <v>10</v>
      </c>
      <c r="V1060" s="50">
        <v>43009</v>
      </c>
      <c r="W1060" s="4">
        <v>5461.82</v>
      </c>
      <c r="X1060" s="48">
        <v>6002</v>
      </c>
    </row>
    <row r="1061" spans="2:24" x14ac:dyDescent="0.35">
      <c r="B1061" s="8" t="s">
        <v>7</v>
      </c>
      <c r="C1061" s="8" t="s">
        <v>48</v>
      </c>
      <c r="D1061" s="8" t="s">
        <v>9</v>
      </c>
      <c r="E1061" s="8" t="s">
        <v>27</v>
      </c>
      <c r="F1061" s="9" t="s">
        <v>33</v>
      </c>
      <c r="G1061" s="8">
        <v>2017</v>
      </c>
      <c r="H1061" s="8">
        <v>10</v>
      </c>
      <c r="I1061" s="10">
        <v>43009</v>
      </c>
      <c r="J1061" s="11">
        <v>3988</v>
      </c>
      <c r="K1061" s="51"/>
      <c r="O1061" s="1" t="s">
        <v>7</v>
      </c>
      <c r="P1061" s="1" t="s">
        <v>48</v>
      </c>
      <c r="Q1061" s="1" t="s">
        <v>9</v>
      </c>
      <c r="R1061" s="1" t="s">
        <v>27</v>
      </c>
      <c r="S1061" s="2" t="s">
        <v>33</v>
      </c>
      <c r="T1061" s="1">
        <v>2017</v>
      </c>
      <c r="U1061" s="1">
        <v>10</v>
      </c>
      <c r="V1061" s="50">
        <v>43009</v>
      </c>
      <c r="W1061" s="4">
        <v>3389.8</v>
      </c>
      <c r="X1061" s="48">
        <v>3988</v>
      </c>
    </row>
    <row r="1062" spans="2:24" x14ac:dyDescent="0.35">
      <c r="B1062" s="8" t="s">
        <v>7</v>
      </c>
      <c r="C1062" s="8" t="s">
        <v>49</v>
      </c>
      <c r="D1062" s="8" t="s">
        <v>11</v>
      </c>
      <c r="E1062" s="8" t="s">
        <v>23</v>
      </c>
      <c r="F1062" s="6" t="s">
        <v>24</v>
      </c>
      <c r="G1062" s="8">
        <v>2017</v>
      </c>
      <c r="H1062" s="8">
        <v>10</v>
      </c>
      <c r="I1062" s="10">
        <v>43009</v>
      </c>
      <c r="J1062" s="11">
        <v>2298</v>
      </c>
      <c r="K1062" s="51"/>
      <c r="O1062" s="1" t="s">
        <v>7</v>
      </c>
      <c r="P1062" s="1" t="s">
        <v>49</v>
      </c>
      <c r="Q1062" s="1" t="s">
        <v>11</v>
      </c>
      <c r="R1062" s="1" t="s">
        <v>23</v>
      </c>
      <c r="S1062" t="s">
        <v>24</v>
      </c>
      <c r="T1062" s="1">
        <v>2017</v>
      </c>
      <c r="U1062" s="1">
        <v>10</v>
      </c>
      <c r="V1062" s="50">
        <v>43009</v>
      </c>
      <c r="W1062" s="4">
        <v>2114.16</v>
      </c>
      <c r="X1062" s="48">
        <v>2298</v>
      </c>
    </row>
    <row r="1063" spans="2:24" x14ac:dyDescent="0.35">
      <c r="B1063" s="8" t="s">
        <v>3</v>
      </c>
      <c r="C1063" s="8" t="s">
        <v>22</v>
      </c>
      <c r="D1063" s="8" t="s">
        <v>5</v>
      </c>
      <c r="E1063" s="8" t="s">
        <v>23</v>
      </c>
      <c r="F1063" s="8" t="s">
        <v>24</v>
      </c>
      <c r="G1063" s="8">
        <v>2017</v>
      </c>
      <c r="H1063" s="8">
        <v>11</v>
      </c>
      <c r="I1063" s="10">
        <v>43040</v>
      </c>
      <c r="J1063" s="11">
        <v>2044</v>
      </c>
      <c r="K1063" s="51"/>
      <c r="O1063" s="1" t="s">
        <v>3</v>
      </c>
      <c r="P1063" s="1" t="s">
        <v>22</v>
      </c>
      <c r="Q1063" s="1" t="s">
        <v>5</v>
      </c>
      <c r="R1063" s="1" t="s">
        <v>23</v>
      </c>
      <c r="S1063" s="1" t="s">
        <v>24</v>
      </c>
      <c r="T1063" s="1">
        <v>2017</v>
      </c>
      <c r="U1063" s="1">
        <v>11</v>
      </c>
      <c r="V1063" s="50">
        <v>43040</v>
      </c>
      <c r="W1063" s="4">
        <v>1921.36</v>
      </c>
      <c r="X1063" s="48">
        <v>2044</v>
      </c>
    </row>
    <row r="1064" spans="2:24" x14ac:dyDescent="0.35">
      <c r="B1064" s="8" t="s">
        <v>3</v>
      </c>
      <c r="C1064" s="8" t="s">
        <v>25</v>
      </c>
      <c r="D1064" s="8" t="s">
        <v>4</v>
      </c>
      <c r="E1064" s="8" t="s">
        <v>23</v>
      </c>
      <c r="F1064" s="8" t="s">
        <v>24</v>
      </c>
      <c r="G1064" s="8">
        <v>2017</v>
      </c>
      <c r="H1064" s="8">
        <v>11</v>
      </c>
      <c r="I1064" s="10">
        <v>43040</v>
      </c>
      <c r="J1064" s="11">
        <v>2060</v>
      </c>
      <c r="K1064" s="51"/>
      <c r="O1064" s="1" t="s">
        <v>3</v>
      </c>
      <c r="P1064" s="1" t="s">
        <v>25</v>
      </c>
      <c r="Q1064" s="1" t="s">
        <v>4</v>
      </c>
      <c r="R1064" s="1" t="s">
        <v>23</v>
      </c>
      <c r="S1064" s="1" t="s">
        <v>24</v>
      </c>
      <c r="T1064" s="1">
        <v>2017</v>
      </c>
      <c r="U1064" s="1">
        <v>11</v>
      </c>
      <c r="V1064" s="50">
        <v>43040</v>
      </c>
      <c r="W1064" s="4">
        <v>1915.8</v>
      </c>
      <c r="X1064" s="48">
        <v>2060</v>
      </c>
    </row>
    <row r="1065" spans="2:24" x14ac:dyDescent="0.35">
      <c r="B1065" s="8" t="s">
        <v>3</v>
      </c>
      <c r="C1065" s="8" t="s">
        <v>25</v>
      </c>
      <c r="D1065" s="8" t="s">
        <v>4</v>
      </c>
      <c r="E1065" s="8" t="s">
        <v>0</v>
      </c>
      <c r="F1065" s="8" t="s">
        <v>26</v>
      </c>
      <c r="G1065" s="8">
        <v>2017</v>
      </c>
      <c r="H1065" s="8">
        <v>11</v>
      </c>
      <c r="I1065" s="10">
        <v>43040</v>
      </c>
      <c r="J1065" s="11">
        <v>4539</v>
      </c>
      <c r="K1065" s="51"/>
      <c r="O1065" s="1" t="s">
        <v>3</v>
      </c>
      <c r="P1065" s="1" t="s">
        <v>25</v>
      </c>
      <c r="Q1065" s="1" t="s">
        <v>4</v>
      </c>
      <c r="R1065" s="1" t="s">
        <v>0</v>
      </c>
      <c r="S1065" s="1" t="s">
        <v>26</v>
      </c>
      <c r="T1065" s="1">
        <v>2017</v>
      </c>
      <c r="U1065" s="1">
        <v>11</v>
      </c>
      <c r="V1065" s="50">
        <v>43040</v>
      </c>
      <c r="W1065" s="4">
        <v>4039.7099999999996</v>
      </c>
      <c r="X1065" s="48">
        <v>4539</v>
      </c>
    </row>
    <row r="1066" spans="2:24" x14ac:dyDescent="0.35">
      <c r="B1066" s="8" t="s">
        <v>3</v>
      </c>
      <c r="C1066" s="8" t="s">
        <v>22</v>
      </c>
      <c r="D1066" s="8" t="s">
        <v>5</v>
      </c>
      <c r="E1066" s="8" t="s">
        <v>0</v>
      </c>
      <c r="F1066" s="6" t="s">
        <v>26</v>
      </c>
      <c r="G1066" s="8">
        <v>2017</v>
      </c>
      <c r="H1066" s="8">
        <v>11</v>
      </c>
      <c r="I1066" s="10">
        <v>43040</v>
      </c>
      <c r="J1066" s="11">
        <v>3309</v>
      </c>
      <c r="K1066" s="51"/>
      <c r="O1066" s="1" t="s">
        <v>3</v>
      </c>
      <c r="P1066" s="1" t="s">
        <v>22</v>
      </c>
      <c r="Q1066" s="1" t="s">
        <v>5</v>
      </c>
      <c r="R1066" s="1" t="s">
        <v>0</v>
      </c>
      <c r="S1066" t="s">
        <v>26</v>
      </c>
      <c r="T1066" s="1">
        <v>2017</v>
      </c>
      <c r="U1066" s="1">
        <v>11</v>
      </c>
      <c r="V1066" s="50">
        <v>43040</v>
      </c>
      <c r="W1066" s="4">
        <v>2978.0999999999995</v>
      </c>
      <c r="X1066" s="48">
        <v>3309</v>
      </c>
    </row>
    <row r="1067" spans="2:24" x14ac:dyDescent="0.35">
      <c r="B1067" s="8" t="s">
        <v>3</v>
      </c>
      <c r="C1067" s="8" t="s">
        <v>22</v>
      </c>
      <c r="D1067" s="8" t="s">
        <v>5</v>
      </c>
      <c r="E1067" s="8" t="s">
        <v>27</v>
      </c>
      <c r="F1067" s="6" t="s">
        <v>28</v>
      </c>
      <c r="G1067" s="8">
        <v>2017</v>
      </c>
      <c r="H1067" s="8">
        <v>11</v>
      </c>
      <c r="I1067" s="10">
        <v>43040</v>
      </c>
      <c r="J1067" s="11">
        <v>5005</v>
      </c>
      <c r="K1067" s="51"/>
      <c r="O1067" s="1" t="s">
        <v>3</v>
      </c>
      <c r="P1067" s="1" t="s">
        <v>22</v>
      </c>
      <c r="Q1067" s="1" t="s">
        <v>5</v>
      </c>
      <c r="R1067" s="1" t="s">
        <v>27</v>
      </c>
      <c r="S1067" t="s">
        <v>28</v>
      </c>
      <c r="T1067" s="1">
        <v>2017</v>
      </c>
      <c r="U1067" s="1">
        <v>11</v>
      </c>
      <c r="V1067" s="50">
        <v>43040</v>
      </c>
      <c r="W1067" s="4">
        <v>4604.5999999999995</v>
      </c>
      <c r="X1067" s="48">
        <v>5005</v>
      </c>
    </row>
    <row r="1068" spans="2:24" x14ac:dyDescent="0.35">
      <c r="B1068" s="8" t="s">
        <v>6</v>
      </c>
      <c r="C1068" s="8" t="s">
        <v>29</v>
      </c>
      <c r="D1068" s="8" t="s">
        <v>30</v>
      </c>
      <c r="E1068" s="8" t="s">
        <v>27</v>
      </c>
      <c r="F1068" s="6" t="s">
        <v>31</v>
      </c>
      <c r="G1068" s="8">
        <v>2017</v>
      </c>
      <c r="H1068" s="8">
        <v>11</v>
      </c>
      <c r="I1068" s="10">
        <v>43040</v>
      </c>
      <c r="J1068" s="11">
        <v>2689</v>
      </c>
      <c r="K1068" s="51"/>
      <c r="O1068" s="1" t="s">
        <v>6</v>
      </c>
      <c r="P1068" s="1" t="s">
        <v>29</v>
      </c>
      <c r="Q1068" s="1" t="s">
        <v>30</v>
      </c>
      <c r="R1068" s="1" t="s">
        <v>27</v>
      </c>
      <c r="S1068" t="s">
        <v>31</v>
      </c>
      <c r="T1068" s="1">
        <v>2017</v>
      </c>
      <c r="U1068" s="1">
        <v>11</v>
      </c>
      <c r="V1068" s="50">
        <v>43040</v>
      </c>
      <c r="W1068" s="4">
        <v>2393.2099999999996</v>
      </c>
      <c r="X1068" s="48">
        <v>2689</v>
      </c>
    </row>
    <row r="1069" spans="2:24" x14ac:dyDescent="0.35">
      <c r="B1069" s="8" t="s">
        <v>7</v>
      </c>
      <c r="C1069" s="8" t="s">
        <v>32</v>
      </c>
      <c r="D1069" s="8" t="s">
        <v>8</v>
      </c>
      <c r="E1069" s="9" t="s">
        <v>27</v>
      </c>
      <c r="F1069" s="9" t="s">
        <v>33</v>
      </c>
      <c r="G1069" s="8">
        <v>2017</v>
      </c>
      <c r="H1069" s="8">
        <v>11</v>
      </c>
      <c r="I1069" s="10">
        <v>43040</v>
      </c>
      <c r="J1069" s="11">
        <v>3480</v>
      </c>
      <c r="K1069" s="51"/>
      <c r="O1069" s="1" t="s">
        <v>7</v>
      </c>
      <c r="P1069" s="1" t="s">
        <v>32</v>
      </c>
      <c r="Q1069" s="1" t="s">
        <v>8</v>
      </c>
      <c r="R1069" s="2" t="s">
        <v>27</v>
      </c>
      <c r="S1069" s="2" t="s">
        <v>33</v>
      </c>
      <c r="T1069" s="1">
        <v>2017</v>
      </c>
      <c r="U1069" s="1">
        <v>11</v>
      </c>
      <c r="V1069" s="50">
        <v>43040</v>
      </c>
      <c r="W1069" s="4">
        <v>2958.0000000000005</v>
      </c>
      <c r="X1069" s="48">
        <v>3480</v>
      </c>
    </row>
    <row r="1070" spans="2:24" x14ac:dyDescent="0.35">
      <c r="B1070" s="8" t="s">
        <v>12</v>
      </c>
      <c r="C1070" s="8" t="s">
        <v>34</v>
      </c>
      <c r="D1070" s="8" t="s">
        <v>35</v>
      </c>
      <c r="E1070" s="8" t="s">
        <v>23</v>
      </c>
      <c r="F1070" s="9" t="s">
        <v>36</v>
      </c>
      <c r="G1070" s="8">
        <v>2017</v>
      </c>
      <c r="H1070" s="8">
        <v>11</v>
      </c>
      <c r="I1070" s="10">
        <v>43040</v>
      </c>
      <c r="J1070" s="11">
        <v>2617</v>
      </c>
      <c r="K1070" s="51"/>
      <c r="O1070" s="1" t="s">
        <v>12</v>
      </c>
      <c r="P1070" s="1" t="s">
        <v>34</v>
      </c>
      <c r="Q1070" s="1" t="s">
        <v>35</v>
      </c>
      <c r="R1070" s="1" t="s">
        <v>23</v>
      </c>
      <c r="S1070" s="2" t="s">
        <v>36</v>
      </c>
      <c r="T1070" s="1">
        <v>2017</v>
      </c>
      <c r="U1070" s="1">
        <v>11</v>
      </c>
      <c r="V1070" s="50">
        <v>43040</v>
      </c>
      <c r="W1070" s="4">
        <v>2355.2999999999997</v>
      </c>
      <c r="X1070" s="48">
        <v>2617</v>
      </c>
    </row>
    <row r="1071" spans="2:24" x14ac:dyDescent="0.35">
      <c r="B1071" s="8" t="s">
        <v>14</v>
      </c>
      <c r="C1071" s="8" t="s">
        <v>37</v>
      </c>
      <c r="D1071" s="8" t="s">
        <v>38</v>
      </c>
      <c r="E1071" s="8" t="s">
        <v>23</v>
      </c>
      <c r="F1071" s="6" t="s">
        <v>24</v>
      </c>
      <c r="G1071" s="8">
        <v>2017</v>
      </c>
      <c r="H1071" s="8">
        <v>11</v>
      </c>
      <c r="I1071" s="10">
        <v>43040</v>
      </c>
      <c r="J1071" s="11">
        <v>3357</v>
      </c>
      <c r="K1071" s="51"/>
      <c r="O1071" s="1" t="s">
        <v>14</v>
      </c>
      <c r="P1071" s="1" t="s">
        <v>37</v>
      </c>
      <c r="Q1071" s="1" t="s">
        <v>38</v>
      </c>
      <c r="R1071" s="1" t="s">
        <v>23</v>
      </c>
      <c r="S1071" t="s">
        <v>24</v>
      </c>
      <c r="T1071" s="1">
        <v>2017</v>
      </c>
      <c r="U1071" s="1">
        <v>11</v>
      </c>
      <c r="V1071" s="50">
        <v>43040</v>
      </c>
      <c r="W1071" s="4">
        <v>2853.4500000000003</v>
      </c>
      <c r="X1071" s="48">
        <v>3357</v>
      </c>
    </row>
    <row r="1072" spans="2:24" x14ac:dyDescent="0.35">
      <c r="B1072" s="8" t="s">
        <v>3</v>
      </c>
      <c r="C1072" s="8" t="s">
        <v>25</v>
      </c>
      <c r="D1072" s="8" t="s">
        <v>4</v>
      </c>
      <c r="E1072" s="8" t="s">
        <v>23</v>
      </c>
      <c r="F1072" s="8" t="s">
        <v>39</v>
      </c>
      <c r="G1072" s="8">
        <v>2017</v>
      </c>
      <c r="H1072" s="8">
        <v>11</v>
      </c>
      <c r="I1072" s="10">
        <v>43040</v>
      </c>
      <c r="J1072" s="11">
        <v>1368</v>
      </c>
      <c r="K1072" s="51"/>
      <c r="O1072" s="1" t="s">
        <v>3</v>
      </c>
      <c r="P1072" s="1" t="s">
        <v>25</v>
      </c>
      <c r="Q1072" s="1" t="s">
        <v>4</v>
      </c>
      <c r="R1072" s="1" t="s">
        <v>23</v>
      </c>
      <c r="S1072" s="1" t="s">
        <v>39</v>
      </c>
      <c r="T1072" s="1">
        <v>2017</v>
      </c>
      <c r="U1072" s="1">
        <v>11</v>
      </c>
      <c r="V1072" s="50">
        <v>43040</v>
      </c>
      <c r="W1072" s="4">
        <v>1190.1600000000001</v>
      </c>
      <c r="X1072" s="48">
        <v>1368</v>
      </c>
    </row>
    <row r="1073" spans="2:24" x14ac:dyDescent="0.35">
      <c r="B1073" s="8" t="s">
        <v>6</v>
      </c>
      <c r="C1073" s="8" t="s">
        <v>40</v>
      </c>
      <c r="D1073" s="8" t="s">
        <v>41</v>
      </c>
      <c r="E1073" s="8" t="s">
        <v>0</v>
      </c>
      <c r="F1073" s="8" t="s">
        <v>42</v>
      </c>
      <c r="G1073" s="8">
        <v>2017</v>
      </c>
      <c r="H1073" s="8">
        <v>11</v>
      </c>
      <c r="I1073" s="10">
        <v>43040</v>
      </c>
      <c r="J1073" s="11">
        <v>6195</v>
      </c>
      <c r="K1073" s="51"/>
      <c r="O1073" s="1" t="s">
        <v>6</v>
      </c>
      <c r="P1073" s="1" t="s">
        <v>40</v>
      </c>
      <c r="Q1073" s="1" t="s">
        <v>41</v>
      </c>
      <c r="R1073" s="1" t="s">
        <v>0</v>
      </c>
      <c r="S1073" s="1" t="s">
        <v>42</v>
      </c>
      <c r="T1073" s="1">
        <v>2017</v>
      </c>
      <c r="U1073" s="1">
        <v>11</v>
      </c>
      <c r="V1073" s="50">
        <v>43040</v>
      </c>
      <c r="W1073" s="4">
        <v>5823.2999999999993</v>
      </c>
      <c r="X1073" s="48">
        <v>6195</v>
      </c>
    </row>
    <row r="1074" spans="2:24" x14ac:dyDescent="0.35">
      <c r="B1074" s="8" t="s">
        <v>7</v>
      </c>
      <c r="C1074" s="8" t="s">
        <v>43</v>
      </c>
      <c r="D1074" s="8" t="s">
        <v>10</v>
      </c>
      <c r="E1074" s="8" t="s">
        <v>0</v>
      </c>
      <c r="F1074" s="8" t="s">
        <v>26</v>
      </c>
      <c r="G1074" s="8">
        <v>2017</v>
      </c>
      <c r="H1074" s="8">
        <v>11</v>
      </c>
      <c r="I1074" s="10">
        <v>43040</v>
      </c>
      <c r="J1074" s="11">
        <v>3080</v>
      </c>
      <c r="K1074" s="51"/>
      <c r="O1074" s="1" t="s">
        <v>7</v>
      </c>
      <c r="P1074" s="1" t="s">
        <v>43</v>
      </c>
      <c r="Q1074" s="1" t="s">
        <v>10</v>
      </c>
      <c r="R1074" s="1" t="s">
        <v>0</v>
      </c>
      <c r="S1074" s="1" t="s">
        <v>26</v>
      </c>
      <c r="T1074" s="1">
        <v>2017</v>
      </c>
      <c r="U1074" s="1">
        <v>11</v>
      </c>
      <c r="V1074" s="50">
        <v>43040</v>
      </c>
      <c r="W1074" s="4">
        <v>2864.3999999999996</v>
      </c>
      <c r="X1074" s="48">
        <v>3080</v>
      </c>
    </row>
    <row r="1075" spans="2:24" x14ac:dyDescent="0.35">
      <c r="B1075" s="8" t="s">
        <v>12</v>
      </c>
      <c r="C1075" s="8" t="s">
        <v>44</v>
      </c>
      <c r="D1075" s="8" t="s">
        <v>13</v>
      </c>
      <c r="E1075" s="8" t="s">
        <v>0</v>
      </c>
      <c r="F1075" s="6" t="s">
        <v>45</v>
      </c>
      <c r="G1075" s="8">
        <v>2017</v>
      </c>
      <c r="H1075" s="8">
        <v>11</v>
      </c>
      <c r="I1075" s="10">
        <v>43040</v>
      </c>
      <c r="J1075" s="11">
        <v>4572</v>
      </c>
      <c r="K1075" s="51"/>
      <c r="O1075" s="1" t="s">
        <v>12</v>
      </c>
      <c r="P1075" s="1" t="s">
        <v>44</v>
      </c>
      <c r="Q1075" s="1" t="s">
        <v>13</v>
      </c>
      <c r="R1075" s="1" t="s">
        <v>0</v>
      </c>
      <c r="S1075" t="s">
        <v>45</v>
      </c>
      <c r="T1075" s="1">
        <v>2017</v>
      </c>
      <c r="U1075" s="1">
        <v>11</v>
      </c>
      <c r="V1075" s="50">
        <v>43040</v>
      </c>
      <c r="W1075" s="4">
        <v>3977.6400000000003</v>
      </c>
      <c r="X1075" s="48">
        <v>4572</v>
      </c>
    </row>
    <row r="1076" spans="2:24" x14ac:dyDescent="0.35">
      <c r="B1076" s="8" t="s">
        <v>14</v>
      </c>
      <c r="C1076" s="8" t="s">
        <v>46</v>
      </c>
      <c r="D1076" s="8" t="s">
        <v>47</v>
      </c>
      <c r="E1076" s="8" t="s">
        <v>27</v>
      </c>
      <c r="F1076" s="6" t="s">
        <v>28</v>
      </c>
      <c r="G1076" s="8">
        <v>2017</v>
      </c>
      <c r="H1076" s="8">
        <v>11</v>
      </c>
      <c r="I1076" s="10">
        <v>43040</v>
      </c>
      <c r="J1076" s="11">
        <v>3952</v>
      </c>
      <c r="K1076" s="51"/>
      <c r="O1076" s="1" t="s">
        <v>14</v>
      </c>
      <c r="P1076" s="1" t="s">
        <v>46</v>
      </c>
      <c r="Q1076" s="1" t="s">
        <v>47</v>
      </c>
      <c r="R1076" s="1" t="s">
        <v>27</v>
      </c>
      <c r="S1076" t="s">
        <v>28</v>
      </c>
      <c r="T1076" s="1">
        <v>2017</v>
      </c>
      <c r="U1076" s="1">
        <v>11</v>
      </c>
      <c r="V1076" s="50">
        <v>43040</v>
      </c>
      <c r="W1076" s="4">
        <v>3477.7599999999998</v>
      </c>
      <c r="X1076" s="48">
        <v>3952</v>
      </c>
    </row>
    <row r="1077" spans="2:24" x14ac:dyDescent="0.35">
      <c r="B1077" s="8" t="s">
        <v>3</v>
      </c>
      <c r="C1077" s="8" t="s">
        <v>22</v>
      </c>
      <c r="D1077" s="8" t="s">
        <v>5</v>
      </c>
      <c r="E1077" s="8" t="s">
        <v>27</v>
      </c>
      <c r="F1077" s="6" t="s">
        <v>31</v>
      </c>
      <c r="G1077" s="8">
        <v>2017</v>
      </c>
      <c r="H1077" s="8">
        <v>11</v>
      </c>
      <c r="I1077" s="10">
        <v>43040</v>
      </c>
      <c r="J1077" s="11">
        <v>4606</v>
      </c>
      <c r="K1077" s="51"/>
      <c r="O1077" s="1" t="s">
        <v>3</v>
      </c>
      <c r="P1077" s="1" t="s">
        <v>22</v>
      </c>
      <c r="Q1077" s="1" t="s">
        <v>5</v>
      </c>
      <c r="R1077" s="1" t="s">
        <v>27</v>
      </c>
      <c r="S1077" t="s">
        <v>31</v>
      </c>
      <c r="T1077" s="1">
        <v>2017</v>
      </c>
      <c r="U1077" s="1">
        <v>11</v>
      </c>
      <c r="V1077" s="50">
        <v>43040</v>
      </c>
      <c r="W1077" s="4">
        <v>3961.1600000000003</v>
      </c>
      <c r="X1077" s="48">
        <v>4606</v>
      </c>
    </row>
    <row r="1078" spans="2:24" x14ac:dyDescent="0.35">
      <c r="B1078" s="8" t="s">
        <v>6</v>
      </c>
      <c r="C1078" s="8" t="s">
        <v>29</v>
      </c>
      <c r="D1078" s="8" t="s">
        <v>30</v>
      </c>
      <c r="E1078" s="9" t="s">
        <v>27</v>
      </c>
      <c r="F1078" s="9" t="s">
        <v>33</v>
      </c>
      <c r="G1078" s="8">
        <v>2017</v>
      </c>
      <c r="H1078" s="8">
        <v>11</v>
      </c>
      <c r="I1078" s="10">
        <v>43040</v>
      </c>
      <c r="J1078" s="11">
        <v>3310</v>
      </c>
      <c r="K1078" s="51"/>
      <c r="O1078" s="1" t="s">
        <v>6</v>
      </c>
      <c r="P1078" s="1" t="s">
        <v>29</v>
      </c>
      <c r="Q1078" s="1" t="s">
        <v>30</v>
      </c>
      <c r="R1078" s="2" t="s">
        <v>27</v>
      </c>
      <c r="S1078" s="2" t="s">
        <v>33</v>
      </c>
      <c r="T1078" s="1">
        <v>2017</v>
      </c>
      <c r="U1078" s="1">
        <v>11</v>
      </c>
      <c r="V1078" s="50">
        <v>43040</v>
      </c>
      <c r="W1078" s="4">
        <v>3111.3999999999996</v>
      </c>
      <c r="X1078" s="48">
        <v>3310</v>
      </c>
    </row>
    <row r="1079" spans="2:24" x14ac:dyDescent="0.35">
      <c r="B1079" s="8" t="s">
        <v>7</v>
      </c>
      <c r="C1079" s="8" t="s">
        <v>32</v>
      </c>
      <c r="D1079" s="8" t="s">
        <v>8</v>
      </c>
      <c r="E1079" s="8" t="s">
        <v>23</v>
      </c>
      <c r="F1079" s="9" t="s">
        <v>36</v>
      </c>
      <c r="G1079" s="8">
        <v>2017</v>
      </c>
      <c r="H1079" s="8">
        <v>11</v>
      </c>
      <c r="I1079" s="10">
        <v>43040</v>
      </c>
      <c r="J1079" s="11">
        <v>2742</v>
      </c>
      <c r="K1079" s="51"/>
      <c r="O1079" s="1" t="s">
        <v>7</v>
      </c>
      <c r="P1079" s="1" t="s">
        <v>32</v>
      </c>
      <c r="Q1079" s="1" t="s">
        <v>8</v>
      </c>
      <c r="R1079" s="1" t="s">
        <v>23</v>
      </c>
      <c r="S1079" s="2" t="s">
        <v>36</v>
      </c>
      <c r="T1079" s="1">
        <v>2017</v>
      </c>
      <c r="U1079" s="1">
        <v>11</v>
      </c>
      <c r="V1079" s="50">
        <v>43040</v>
      </c>
      <c r="W1079" s="4">
        <v>2495.2199999999998</v>
      </c>
      <c r="X1079" s="48">
        <v>2742</v>
      </c>
    </row>
    <row r="1080" spans="2:24" x14ac:dyDescent="0.35">
      <c r="B1080" s="8" t="s">
        <v>12</v>
      </c>
      <c r="C1080" s="8" t="s">
        <v>34</v>
      </c>
      <c r="D1080" s="8" t="s">
        <v>35</v>
      </c>
      <c r="E1080" s="8" t="s">
        <v>23</v>
      </c>
      <c r="F1080" s="6" t="s">
        <v>24</v>
      </c>
      <c r="G1080" s="8">
        <v>2017</v>
      </c>
      <c r="H1080" s="8">
        <v>11</v>
      </c>
      <c r="I1080" s="10">
        <v>43040</v>
      </c>
      <c r="J1080" s="11">
        <v>1947</v>
      </c>
      <c r="K1080" s="51"/>
      <c r="O1080" s="1" t="s">
        <v>12</v>
      </c>
      <c r="P1080" s="1" t="s">
        <v>34</v>
      </c>
      <c r="Q1080" s="1" t="s">
        <v>35</v>
      </c>
      <c r="R1080" s="1" t="s">
        <v>23</v>
      </c>
      <c r="S1080" t="s">
        <v>24</v>
      </c>
      <c r="T1080" s="1">
        <v>2017</v>
      </c>
      <c r="U1080" s="1">
        <v>11</v>
      </c>
      <c r="V1080" s="50">
        <v>43040</v>
      </c>
      <c r="W1080" s="4">
        <v>1791.2399999999998</v>
      </c>
      <c r="X1080" s="48">
        <v>1947</v>
      </c>
    </row>
    <row r="1081" spans="2:24" x14ac:dyDescent="0.35">
      <c r="B1081" s="8" t="s">
        <v>14</v>
      </c>
      <c r="C1081" s="8" t="s">
        <v>37</v>
      </c>
      <c r="D1081" s="8" t="s">
        <v>38</v>
      </c>
      <c r="E1081" s="8" t="s">
        <v>23</v>
      </c>
      <c r="F1081" s="8" t="s">
        <v>39</v>
      </c>
      <c r="G1081" s="8">
        <v>2017</v>
      </c>
      <c r="H1081" s="8">
        <v>11</v>
      </c>
      <c r="I1081" s="10">
        <v>43040</v>
      </c>
      <c r="J1081" s="11">
        <v>2296</v>
      </c>
      <c r="K1081" s="51"/>
      <c r="O1081" s="1" t="s">
        <v>14</v>
      </c>
      <c r="P1081" s="1" t="s">
        <v>37</v>
      </c>
      <c r="Q1081" s="1" t="s">
        <v>38</v>
      </c>
      <c r="R1081" s="1" t="s">
        <v>23</v>
      </c>
      <c r="S1081" s="1" t="s">
        <v>39</v>
      </c>
      <c r="T1081" s="1">
        <v>2017</v>
      </c>
      <c r="U1081" s="1">
        <v>11</v>
      </c>
      <c r="V1081" s="50">
        <v>43040</v>
      </c>
      <c r="W1081" s="4">
        <v>2112.3199999999997</v>
      </c>
      <c r="X1081" s="48">
        <v>2296</v>
      </c>
    </row>
    <row r="1082" spans="2:24" x14ac:dyDescent="0.35">
      <c r="B1082" s="8" t="s">
        <v>3</v>
      </c>
      <c r="C1082" s="8" t="s">
        <v>25</v>
      </c>
      <c r="D1082" s="8" t="s">
        <v>4</v>
      </c>
      <c r="E1082" s="8" t="s">
        <v>0</v>
      </c>
      <c r="F1082" s="8" t="s">
        <v>42</v>
      </c>
      <c r="G1082" s="8">
        <v>2017</v>
      </c>
      <c r="H1082" s="8">
        <v>11</v>
      </c>
      <c r="I1082" s="10">
        <v>43040</v>
      </c>
      <c r="J1082" s="11">
        <v>4295</v>
      </c>
      <c r="K1082" s="51"/>
      <c r="O1082" s="1" t="s">
        <v>3</v>
      </c>
      <c r="P1082" s="1" t="s">
        <v>25</v>
      </c>
      <c r="Q1082" s="1" t="s">
        <v>4</v>
      </c>
      <c r="R1082" s="1" t="s">
        <v>0</v>
      </c>
      <c r="S1082" s="1" t="s">
        <v>42</v>
      </c>
      <c r="T1082" s="1">
        <v>2017</v>
      </c>
      <c r="U1082" s="1">
        <v>11</v>
      </c>
      <c r="V1082" s="50">
        <v>43040</v>
      </c>
      <c r="W1082" s="4">
        <v>3822.5499999999997</v>
      </c>
      <c r="X1082" s="48">
        <v>4295</v>
      </c>
    </row>
    <row r="1083" spans="2:24" x14ac:dyDescent="0.35">
      <c r="B1083" s="8" t="s">
        <v>6</v>
      </c>
      <c r="C1083" s="8" t="s">
        <v>40</v>
      </c>
      <c r="D1083" s="8" t="s">
        <v>41</v>
      </c>
      <c r="E1083" s="8" t="s">
        <v>0</v>
      </c>
      <c r="F1083" s="8" t="s">
        <v>26</v>
      </c>
      <c r="G1083" s="8">
        <v>2017</v>
      </c>
      <c r="H1083" s="8">
        <v>11</v>
      </c>
      <c r="I1083" s="10">
        <v>43040</v>
      </c>
      <c r="J1083" s="11">
        <v>5000</v>
      </c>
      <c r="K1083" s="51"/>
      <c r="O1083" s="1" t="s">
        <v>6</v>
      </c>
      <c r="P1083" s="1" t="s">
        <v>40</v>
      </c>
      <c r="Q1083" s="1" t="s">
        <v>41</v>
      </c>
      <c r="R1083" s="1" t="s">
        <v>0</v>
      </c>
      <c r="S1083" s="1" t="s">
        <v>26</v>
      </c>
      <c r="T1083" s="1">
        <v>2017</v>
      </c>
      <c r="U1083" s="1">
        <v>11</v>
      </c>
      <c r="V1083" s="50">
        <v>43040</v>
      </c>
      <c r="W1083" s="4">
        <v>4399.9999999999991</v>
      </c>
      <c r="X1083" s="48">
        <v>5000</v>
      </c>
    </row>
    <row r="1084" spans="2:24" x14ac:dyDescent="0.35">
      <c r="B1084" s="8" t="s">
        <v>7</v>
      </c>
      <c r="C1084" s="8" t="s">
        <v>43</v>
      </c>
      <c r="D1084" s="8" t="s">
        <v>10</v>
      </c>
      <c r="E1084" s="8" t="s">
        <v>0</v>
      </c>
      <c r="F1084" s="6" t="s">
        <v>45</v>
      </c>
      <c r="G1084" s="8">
        <v>2017</v>
      </c>
      <c r="H1084" s="8">
        <v>11</v>
      </c>
      <c r="I1084" s="10">
        <v>43040</v>
      </c>
      <c r="J1084" s="11">
        <v>3086</v>
      </c>
      <c r="K1084" s="51"/>
      <c r="O1084" s="1" t="s">
        <v>7</v>
      </c>
      <c r="P1084" s="1" t="s">
        <v>43</v>
      </c>
      <c r="Q1084" s="1" t="s">
        <v>10</v>
      </c>
      <c r="R1084" s="1" t="s">
        <v>0</v>
      </c>
      <c r="S1084" t="s">
        <v>45</v>
      </c>
      <c r="T1084" s="1">
        <v>2017</v>
      </c>
      <c r="U1084" s="1">
        <v>11</v>
      </c>
      <c r="V1084" s="50">
        <v>43040</v>
      </c>
      <c r="W1084" s="4">
        <v>2623.1000000000004</v>
      </c>
      <c r="X1084" s="48">
        <v>3086</v>
      </c>
    </row>
    <row r="1085" spans="2:24" x14ac:dyDescent="0.35">
      <c r="B1085" s="8" t="s">
        <v>12</v>
      </c>
      <c r="C1085" s="8" t="s">
        <v>44</v>
      </c>
      <c r="D1085" s="8" t="s">
        <v>13</v>
      </c>
      <c r="E1085" s="8" t="s">
        <v>27</v>
      </c>
      <c r="F1085" s="6" t="s">
        <v>28</v>
      </c>
      <c r="G1085" s="8">
        <v>2017</v>
      </c>
      <c r="H1085" s="8">
        <v>11</v>
      </c>
      <c r="I1085" s="10">
        <v>43040</v>
      </c>
      <c r="J1085" s="11">
        <v>4233</v>
      </c>
      <c r="K1085" s="51"/>
      <c r="O1085" s="1" t="s">
        <v>12</v>
      </c>
      <c r="P1085" s="1" t="s">
        <v>44</v>
      </c>
      <c r="Q1085" s="1" t="s">
        <v>13</v>
      </c>
      <c r="R1085" s="1" t="s">
        <v>27</v>
      </c>
      <c r="S1085" t="s">
        <v>28</v>
      </c>
      <c r="T1085" s="1">
        <v>2017</v>
      </c>
      <c r="U1085" s="1">
        <v>11</v>
      </c>
      <c r="V1085" s="50">
        <v>43040</v>
      </c>
      <c r="W1085" s="4">
        <v>3598.05</v>
      </c>
      <c r="X1085" s="48">
        <v>4233</v>
      </c>
    </row>
    <row r="1086" spans="2:24" x14ac:dyDescent="0.35">
      <c r="B1086" s="8" t="s">
        <v>14</v>
      </c>
      <c r="C1086" s="8" t="s">
        <v>46</v>
      </c>
      <c r="D1086" s="8" t="s">
        <v>47</v>
      </c>
      <c r="E1086" s="8" t="s">
        <v>27</v>
      </c>
      <c r="F1086" s="6" t="s">
        <v>31</v>
      </c>
      <c r="G1086" s="8">
        <v>2017</v>
      </c>
      <c r="H1086" s="8">
        <v>11</v>
      </c>
      <c r="I1086" s="10">
        <v>43040</v>
      </c>
      <c r="J1086" s="11">
        <v>3819</v>
      </c>
      <c r="K1086" s="51"/>
      <c r="O1086" s="1" t="s">
        <v>14</v>
      </c>
      <c r="P1086" s="1" t="s">
        <v>46</v>
      </c>
      <c r="Q1086" s="1" t="s">
        <v>47</v>
      </c>
      <c r="R1086" s="1" t="s">
        <v>27</v>
      </c>
      <c r="S1086" t="s">
        <v>31</v>
      </c>
      <c r="T1086" s="1">
        <v>2017</v>
      </c>
      <c r="U1086" s="1">
        <v>11</v>
      </c>
      <c r="V1086" s="50">
        <v>43040</v>
      </c>
      <c r="W1086" s="4">
        <v>3551.6699999999996</v>
      </c>
      <c r="X1086" s="48">
        <v>3819</v>
      </c>
    </row>
    <row r="1087" spans="2:24" x14ac:dyDescent="0.35">
      <c r="B1087" s="8" t="s">
        <v>3</v>
      </c>
      <c r="C1087" s="8" t="s">
        <v>22</v>
      </c>
      <c r="D1087" s="8" t="s">
        <v>5</v>
      </c>
      <c r="E1087" s="9" t="s">
        <v>27</v>
      </c>
      <c r="F1087" s="9" t="s">
        <v>33</v>
      </c>
      <c r="G1087" s="8">
        <v>2017</v>
      </c>
      <c r="H1087" s="8">
        <v>11</v>
      </c>
      <c r="I1087" s="10">
        <v>43040</v>
      </c>
      <c r="J1087" s="11">
        <v>3285</v>
      </c>
      <c r="K1087" s="51"/>
      <c r="O1087" s="1" t="s">
        <v>3</v>
      </c>
      <c r="P1087" s="1" t="s">
        <v>22</v>
      </c>
      <c r="Q1087" s="1" t="s">
        <v>5</v>
      </c>
      <c r="R1087" s="2" t="s">
        <v>27</v>
      </c>
      <c r="S1087" s="2" t="s">
        <v>33</v>
      </c>
      <c r="T1087" s="1">
        <v>2017</v>
      </c>
      <c r="U1087" s="1">
        <v>11</v>
      </c>
      <c r="V1087" s="50">
        <v>43040</v>
      </c>
      <c r="W1087" s="4">
        <v>2825.1000000000004</v>
      </c>
      <c r="X1087" s="48">
        <v>3285</v>
      </c>
    </row>
    <row r="1088" spans="2:24" x14ac:dyDescent="0.35">
      <c r="B1088" s="8" t="s">
        <v>6</v>
      </c>
      <c r="C1088" s="8" t="s">
        <v>29</v>
      </c>
      <c r="D1088" s="8" t="s">
        <v>30</v>
      </c>
      <c r="E1088" s="8" t="s">
        <v>23</v>
      </c>
      <c r="F1088" s="9" t="s">
        <v>36</v>
      </c>
      <c r="G1088" s="8">
        <v>2017</v>
      </c>
      <c r="H1088" s="8">
        <v>11</v>
      </c>
      <c r="I1088" s="10">
        <v>43040</v>
      </c>
      <c r="J1088" s="11">
        <v>1708</v>
      </c>
      <c r="K1088" s="51"/>
      <c r="O1088" s="1" t="s">
        <v>6</v>
      </c>
      <c r="P1088" s="1" t="s">
        <v>29</v>
      </c>
      <c r="Q1088" s="1" t="s">
        <v>30</v>
      </c>
      <c r="R1088" s="1" t="s">
        <v>23</v>
      </c>
      <c r="S1088" s="2" t="s">
        <v>36</v>
      </c>
      <c r="T1088" s="1">
        <v>2017</v>
      </c>
      <c r="U1088" s="1">
        <v>11</v>
      </c>
      <c r="V1088" s="50">
        <v>43040</v>
      </c>
      <c r="W1088" s="4">
        <v>1588.4399999999998</v>
      </c>
      <c r="X1088" s="48">
        <v>1708</v>
      </c>
    </row>
    <row r="1089" spans="2:24" x14ac:dyDescent="0.35">
      <c r="B1089" s="8" t="s">
        <v>7</v>
      </c>
      <c r="C1089" s="8" t="s">
        <v>32</v>
      </c>
      <c r="D1089" s="8" t="s">
        <v>8</v>
      </c>
      <c r="E1089" s="8" t="s">
        <v>23</v>
      </c>
      <c r="F1089" s="6" t="s">
        <v>24</v>
      </c>
      <c r="G1089" s="8">
        <v>2017</v>
      </c>
      <c r="H1089" s="8">
        <v>11</v>
      </c>
      <c r="I1089" s="10">
        <v>43040</v>
      </c>
      <c r="J1089" s="11">
        <v>1852</v>
      </c>
      <c r="K1089" s="51"/>
      <c r="O1089" s="1" t="s">
        <v>7</v>
      </c>
      <c r="P1089" s="1" t="s">
        <v>32</v>
      </c>
      <c r="Q1089" s="1" t="s">
        <v>8</v>
      </c>
      <c r="R1089" s="1" t="s">
        <v>23</v>
      </c>
      <c r="S1089" t="s">
        <v>24</v>
      </c>
      <c r="T1089" s="1">
        <v>2017</v>
      </c>
      <c r="U1089" s="1">
        <v>11</v>
      </c>
      <c r="V1089" s="50">
        <v>43040</v>
      </c>
      <c r="W1089" s="4">
        <v>1740.8799999999999</v>
      </c>
      <c r="X1089" s="48">
        <v>1852</v>
      </c>
    </row>
    <row r="1090" spans="2:24" x14ac:dyDescent="0.35">
      <c r="B1090" s="8" t="s">
        <v>12</v>
      </c>
      <c r="C1090" s="8" t="s">
        <v>34</v>
      </c>
      <c r="D1090" s="8" t="s">
        <v>35</v>
      </c>
      <c r="E1090" s="8" t="s">
        <v>23</v>
      </c>
      <c r="F1090" s="8" t="s">
        <v>39</v>
      </c>
      <c r="G1090" s="8">
        <v>2017</v>
      </c>
      <c r="H1090" s="8">
        <v>11</v>
      </c>
      <c r="I1090" s="10">
        <v>43040</v>
      </c>
      <c r="J1090" s="11">
        <v>1440</v>
      </c>
      <c r="K1090" s="51"/>
      <c r="O1090" s="1" t="s">
        <v>12</v>
      </c>
      <c r="P1090" s="1" t="s">
        <v>34</v>
      </c>
      <c r="Q1090" s="1" t="s">
        <v>35</v>
      </c>
      <c r="R1090" s="1" t="s">
        <v>23</v>
      </c>
      <c r="S1090" s="1" t="s">
        <v>39</v>
      </c>
      <c r="T1090" s="1">
        <v>2017</v>
      </c>
      <c r="U1090" s="1">
        <v>11</v>
      </c>
      <c r="V1090" s="50">
        <v>43040</v>
      </c>
      <c r="W1090" s="4">
        <v>1339.1999999999998</v>
      </c>
      <c r="X1090" s="48">
        <v>1440</v>
      </c>
    </row>
    <row r="1091" spans="2:24" x14ac:dyDescent="0.35">
      <c r="B1091" s="8" t="s">
        <v>14</v>
      </c>
      <c r="C1091" s="8" t="s">
        <v>37</v>
      </c>
      <c r="D1091" s="8" t="s">
        <v>38</v>
      </c>
      <c r="E1091" s="8" t="s">
        <v>0</v>
      </c>
      <c r="F1091" s="8" t="s">
        <v>42</v>
      </c>
      <c r="G1091" s="8">
        <v>2017</v>
      </c>
      <c r="H1091" s="8">
        <v>11</v>
      </c>
      <c r="I1091" s="10">
        <v>43040</v>
      </c>
      <c r="J1091" s="11">
        <v>6412</v>
      </c>
      <c r="K1091" s="51"/>
      <c r="O1091" s="1" t="s">
        <v>14</v>
      </c>
      <c r="P1091" s="1" t="s">
        <v>37</v>
      </c>
      <c r="Q1091" s="1" t="s">
        <v>38</v>
      </c>
      <c r="R1091" s="1" t="s">
        <v>0</v>
      </c>
      <c r="S1091" s="1" t="s">
        <v>42</v>
      </c>
      <c r="T1091" s="1">
        <v>2017</v>
      </c>
      <c r="U1091" s="1">
        <v>11</v>
      </c>
      <c r="V1091" s="50">
        <v>43040</v>
      </c>
      <c r="W1091" s="4">
        <v>5899.0399999999991</v>
      </c>
      <c r="X1091" s="48">
        <v>6412</v>
      </c>
    </row>
    <row r="1092" spans="2:24" x14ac:dyDescent="0.35">
      <c r="B1092" s="8" t="s">
        <v>6</v>
      </c>
      <c r="C1092" s="8" t="s">
        <v>29</v>
      </c>
      <c r="D1092" s="8" t="s">
        <v>30</v>
      </c>
      <c r="E1092" s="8" t="s">
        <v>0</v>
      </c>
      <c r="F1092" s="8" t="s">
        <v>45</v>
      </c>
      <c r="G1092" s="8">
        <v>2017</v>
      </c>
      <c r="H1092" s="8">
        <v>11</v>
      </c>
      <c r="I1092" s="10">
        <v>43040</v>
      </c>
      <c r="J1092" s="11">
        <v>3704</v>
      </c>
      <c r="K1092" s="51"/>
      <c r="O1092" s="1" t="s">
        <v>6</v>
      </c>
      <c r="P1092" s="1" t="s">
        <v>29</v>
      </c>
      <c r="Q1092" s="1" t="s">
        <v>30</v>
      </c>
      <c r="R1092" s="1" t="s">
        <v>0</v>
      </c>
      <c r="S1092" s="1" t="s">
        <v>45</v>
      </c>
      <c r="T1092" s="1">
        <v>2017</v>
      </c>
      <c r="U1092" s="1">
        <v>11</v>
      </c>
      <c r="V1092" s="50">
        <v>43040</v>
      </c>
      <c r="W1092" s="4">
        <v>3259.5199999999995</v>
      </c>
      <c r="X1092" s="48">
        <v>3704</v>
      </c>
    </row>
    <row r="1093" spans="2:24" x14ac:dyDescent="0.35">
      <c r="B1093" s="8" t="s">
        <v>7</v>
      </c>
      <c r="C1093" s="8" t="s">
        <v>43</v>
      </c>
      <c r="D1093" s="8" t="s">
        <v>10</v>
      </c>
      <c r="E1093" s="8" t="s">
        <v>27</v>
      </c>
      <c r="F1093" s="6" t="s">
        <v>28</v>
      </c>
      <c r="G1093" s="8">
        <v>2017</v>
      </c>
      <c r="H1093" s="8">
        <v>11</v>
      </c>
      <c r="I1093" s="10">
        <v>43040</v>
      </c>
      <c r="J1093" s="11">
        <v>4477</v>
      </c>
      <c r="K1093" s="51"/>
      <c r="O1093" s="1" t="s">
        <v>7</v>
      </c>
      <c r="P1093" s="1" t="s">
        <v>43</v>
      </c>
      <c r="Q1093" s="1" t="s">
        <v>10</v>
      </c>
      <c r="R1093" s="1" t="s">
        <v>27</v>
      </c>
      <c r="S1093" t="s">
        <v>28</v>
      </c>
      <c r="T1093" s="1">
        <v>2017</v>
      </c>
      <c r="U1093" s="1">
        <v>11</v>
      </c>
      <c r="V1093" s="50">
        <v>43040</v>
      </c>
      <c r="W1093" s="4">
        <v>3805.4500000000003</v>
      </c>
      <c r="X1093" s="48">
        <v>4477</v>
      </c>
    </row>
    <row r="1094" spans="2:24" x14ac:dyDescent="0.35">
      <c r="B1094" s="8" t="s">
        <v>12</v>
      </c>
      <c r="C1094" s="8" t="s">
        <v>44</v>
      </c>
      <c r="D1094" s="8" t="s">
        <v>13</v>
      </c>
      <c r="E1094" s="8" t="s">
        <v>27</v>
      </c>
      <c r="F1094" s="6" t="s">
        <v>31</v>
      </c>
      <c r="G1094" s="8">
        <v>2017</v>
      </c>
      <c r="H1094" s="8">
        <v>11</v>
      </c>
      <c r="I1094" s="10">
        <v>43040</v>
      </c>
      <c r="J1094" s="11">
        <v>5165</v>
      </c>
      <c r="K1094" s="51"/>
      <c r="O1094" s="1" t="s">
        <v>12</v>
      </c>
      <c r="P1094" s="1" t="s">
        <v>44</v>
      </c>
      <c r="Q1094" s="1" t="s">
        <v>13</v>
      </c>
      <c r="R1094" s="1" t="s">
        <v>27</v>
      </c>
      <c r="S1094" t="s">
        <v>31</v>
      </c>
      <c r="T1094" s="1">
        <v>2017</v>
      </c>
      <c r="U1094" s="1">
        <v>11</v>
      </c>
      <c r="V1094" s="50">
        <v>43040</v>
      </c>
      <c r="W1094" s="4">
        <v>4493.55</v>
      </c>
      <c r="X1094" s="48">
        <v>5165</v>
      </c>
    </row>
    <row r="1095" spans="2:24" x14ac:dyDescent="0.35">
      <c r="B1095" s="8" t="s">
        <v>14</v>
      </c>
      <c r="C1095" s="8" t="s">
        <v>46</v>
      </c>
      <c r="D1095" s="8" t="s">
        <v>47</v>
      </c>
      <c r="E1095" s="8" t="s">
        <v>27</v>
      </c>
      <c r="F1095" s="6" t="s">
        <v>33</v>
      </c>
      <c r="G1095" s="8">
        <v>2017</v>
      </c>
      <c r="H1095" s="8">
        <v>11</v>
      </c>
      <c r="I1095" s="10">
        <v>43040</v>
      </c>
      <c r="J1095" s="11">
        <v>3464</v>
      </c>
      <c r="K1095" s="51"/>
      <c r="O1095" s="1" t="s">
        <v>14</v>
      </c>
      <c r="P1095" s="1" t="s">
        <v>46</v>
      </c>
      <c r="Q1095" s="1" t="s">
        <v>47</v>
      </c>
      <c r="R1095" s="1" t="s">
        <v>27</v>
      </c>
      <c r="S1095" t="s">
        <v>33</v>
      </c>
      <c r="T1095" s="1">
        <v>2017</v>
      </c>
      <c r="U1095" s="1">
        <v>11</v>
      </c>
      <c r="V1095" s="50">
        <v>43040</v>
      </c>
      <c r="W1095" s="4">
        <v>3186.8799999999997</v>
      </c>
      <c r="X1095" s="48">
        <v>3464</v>
      </c>
    </row>
    <row r="1096" spans="2:24" x14ac:dyDescent="0.35">
      <c r="B1096" s="8" t="s">
        <v>3</v>
      </c>
      <c r="C1096" s="8" t="s">
        <v>22</v>
      </c>
      <c r="D1096" s="8" t="s">
        <v>5</v>
      </c>
      <c r="E1096" s="9" t="s">
        <v>23</v>
      </c>
      <c r="F1096" s="9" t="s">
        <v>36</v>
      </c>
      <c r="G1096" s="8">
        <v>2017</v>
      </c>
      <c r="H1096" s="8">
        <v>11</v>
      </c>
      <c r="I1096" s="10">
        <v>43040</v>
      </c>
      <c r="J1096" s="11">
        <v>1915</v>
      </c>
      <c r="K1096" s="51"/>
      <c r="O1096" s="1" t="s">
        <v>3</v>
      </c>
      <c r="P1096" s="1" t="s">
        <v>22</v>
      </c>
      <c r="Q1096" s="1" t="s">
        <v>5</v>
      </c>
      <c r="R1096" s="2" t="s">
        <v>23</v>
      </c>
      <c r="S1096" s="2" t="s">
        <v>36</v>
      </c>
      <c r="T1096" s="1">
        <v>2017</v>
      </c>
      <c r="U1096" s="1">
        <v>11</v>
      </c>
      <c r="V1096" s="50">
        <v>43040</v>
      </c>
      <c r="W1096" s="4">
        <v>1627.7500000000002</v>
      </c>
      <c r="X1096" s="48">
        <v>1915</v>
      </c>
    </row>
    <row r="1097" spans="2:24" x14ac:dyDescent="0.35">
      <c r="B1097" s="8" t="s">
        <v>6</v>
      </c>
      <c r="C1097" s="8" t="s">
        <v>40</v>
      </c>
      <c r="D1097" s="8" t="s">
        <v>41</v>
      </c>
      <c r="E1097" s="8" t="s">
        <v>23</v>
      </c>
      <c r="F1097" s="9" t="s">
        <v>24</v>
      </c>
      <c r="G1097" s="8">
        <v>2017</v>
      </c>
      <c r="H1097" s="8">
        <v>11</v>
      </c>
      <c r="I1097" s="10">
        <v>43040</v>
      </c>
      <c r="J1097" s="11">
        <v>3080</v>
      </c>
      <c r="K1097" s="51"/>
      <c r="O1097" s="1" t="s">
        <v>6</v>
      </c>
      <c r="P1097" s="1" t="s">
        <v>40</v>
      </c>
      <c r="Q1097" s="1" t="s">
        <v>41</v>
      </c>
      <c r="R1097" s="1" t="s">
        <v>23</v>
      </c>
      <c r="S1097" s="2" t="s">
        <v>24</v>
      </c>
      <c r="T1097" s="1">
        <v>2017</v>
      </c>
      <c r="U1097" s="1">
        <v>11</v>
      </c>
      <c r="V1097" s="50">
        <v>43040</v>
      </c>
      <c r="W1097" s="4">
        <v>2741.2</v>
      </c>
      <c r="X1097" s="48">
        <v>3080</v>
      </c>
    </row>
    <row r="1098" spans="2:24" x14ac:dyDescent="0.35">
      <c r="B1098" s="8" t="s">
        <v>7</v>
      </c>
      <c r="C1098" s="8" t="s">
        <v>32</v>
      </c>
      <c r="D1098" s="8" t="s">
        <v>8</v>
      </c>
      <c r="E1098" s="8" t="s">
        <v>23</v>
      </c>
      <c r="F1098" s="6" t="s">
        <v>39</v>
      </c>
      <c r="G1098" s="8">
        <v>2017</v>
      </c>
      <c r="H1098" s="8">
        <v>11</v>
      </c>
      <c r="I1098" s="10">
        <v>43040</v>
      </c>
      <c r="J1098" s="11">
        <v>2856</v>
      </c>
      <c r="K1098" s="51"/>
      <c r="O1098" s="1" t="s">
        <v>7</v>
      </c>
      <c r="P1098" s="1" t="s">
        <v>32</v>
      </c>
      <c r="Q1098" s="1" t="s">
        <v>8</v>
      </c>
      <c r="R1098" s="1" t="s">
        <v>23</v>
      </c>
      <c r="S1098" t="s">
        <v>39</v>
      </c>
      <c r="T1098" s="1">
        <v>2017</v>
      </c>
      <c r="U1098" s="1">
        <v>11</v>
      </c>
      <c r="V1098" s="50">
        <v>43040</v>
      </c>
      <c r="W1098" s="4">
        <v>2627.52</v>
      </c>
      <c r="X1098" s="48">
        <v>2856</v>
      </c>
    </row>
    <row r="1099" spans="2:24" x14ac:dyDescent="0.35">
      <c r="B1099" s="8" t="s">
        <v>12</v>
      </c>
      <c r="C1099" s="8" t="s">
        <v>34</v>
      </c>
      <c r="D1099" s="8" t="s">
        <v>35</v>
      </c>
      <c r="E1099" s="8" t="s">
        <v>0</v>
      </c>
      <c r="F1099" s="8" t="s">
        <v>42</v>
      </c>
      <c r="G1099" s="8">
        <v>2017</v>
      </c>
      <c r="H1099" s="8">
        <v>11</v>
      </c>
      <c r="I1099" s="10">
        <v>43040</v>
      </c>
      <c r="J1099" s="11">
        <v>5784</v>
      </c>
      <c r="K1099" s="51"/>
      <c r="O1099" s="1" t="s">
        <v>12</v>
      </c>
      <c r="P1099" s="1" t="s">
        <v>34</v>
      </c>
      <c r="Q1099" s="1" t="s">
        <v>35</v>
      </c>
      <c r="R1099" s="1" t="s">
        <v>0</v>
      </c>
      <c r="S1099" s="1" t="s">
        <v>42</v>
      </c>
      <c r="T1099" s="1">
        <v>2017</v>
      </c>
      <c r="U1099" s="1">
        <v>11</v>
      </c>
      <c r="V1099" s="50">
        <v>43040</v>
      </c>
      <c r="W1099" s="4">
        <v>5205.5999999999995</v>
      </c>
      <c r="X1099" s="48">
        <v>5784</v>
      </c>
    </row>
    <row r="1100" spans="2:24" x14ac:dyDescent="0.35">
      <c r="B1100" s="8" t="s">
        <v>14</v>
      </c>
      <c r="C1100" s="8" t="s">
        <v>37</v>
      </c>
      <c r="D1100" s="8" t="s">
        <v>38</v>
      </c>
      <c r="E1100" s="8" t="s">
        <v>0</v>
      </c>
      <c r="F1100" s="8" t="s">
        <v>26</v>
      </c>
      <c r="G1100" s="8">
        <v>2017</v>
      </c>
      <c r="H1100" s="8">
        <v>11</v>
      </c>
      <c r="I1100" s="10">
        <v>43040</v>
      </c>
      <c r="J1100" s="11">
        <v>3974</v>
      </c>
      <c r="K1100" s="51"/>
      <c r="O1100" s="1" t="s">
        <v>14</v>
      </c>
      <c r="P1100" s="1" t="s">
        <v>37</v>
      </c>
      <c r="Q1100" s="1" t="s">
        <v>38</v>
      </c>
      <c r="R1100" s="1" t="s">
        <v>0</v>
      </c>
      <c r="S1100" s="1" t="s">
        <v>26</v>
      </c>
      <c r="T1100" s="1">
        <v>2017</v>
      </c>
      <c r="U1100" s="1">
        <v>11</v>
      </c>
      <c r="V1100" s="50">
        <v>43040</v>
      </c>
      <c r="W1100" s="4">
        <v>3457.3800000000006</v>
      </c>
      <c r="X1100" s="48">
        <v>3974</v>
      </c>
    </row>
    <row r="1101" spans="2:24" x14ac:dyDescent="0.35">
      <c r="B1101" s="8" t="s">
        <v>3</v>
      </c>
      <c r="C1101" s="8" t="s">
        <v>25</v>
      </c>
      <c r="D1101" s="8" t="s">
        <v>4</v>
      </c>
      <c r="E1101" s="8" t="s">
        <v>0</v>
      </c>
      <c r="F1101" s="8" t="s">
        <v>45</v>
      </c>
      <c r="G1101" s="8">
        <v>2017</v>
      </c>
      <c r="H1101" s="8">
        <v>11</v>
      </c>
      <c r="I1101" s="10">
        <v>43040</v>
      </c>
      <c r="J1101" s="11">
        <v>3277</v>
      </c>
      <c r="K1101" s="51"/>
      <c r="O1101" s="1" t="s">
        <v>3</v>
      </c>
      <c r="P1101" s="1" t="s">
        <v>25</v>
      </c>
      <c r="Q1101" s="1" t="s">
        <v>4</v>
      </c>
      <c r="R1101" s="1" t="s">
        <v>0</v>
      </c>
      <c r="S1101" s="1" t="s">
        <v>45</v>
      </c>
      <c r="T1101" s="1">
        <v>2017</v>
      </c>
      <c r="U1101" s="1">
        <v>11</v>
      </c>
      <c r="V1101" s="50">
        <v>43040</v>
      </c>
      <c r="W1101" s="4">
        <v>3080.3799999999997</v>
      </c>
      <c r="X1101" s="48">
        <v>3277</v>
      </c>
    </row>
    <row r="1102" spans="2:24" x14ac:dyDescent="0.35">
      <c r="B1102" s="8" t="s">
        <v>6</v>
      </c>
      <c r="C1102" s="8" t="s">
        <v>29</v>
      </c>
      <c r="D1102" s="8" t="s">
        <v>30</v>
      </c>
      <c r="E1102" s="8" t="s">
        <v>27</v>
      </c>
      <c r="F1102" s="6" t="s">
        <v>28</v>
      </c>
      <c r="G1102" s="8">
        <v>2017</v>
      </c>
      <c r="H1102" s="8">
        <v>11</v>
      </c>
      <c r="I1102" s="10">
        <v>43040</v>
      </c>
      <c r="J1102" s="11">
        <v>4361</v>
      </c>
      <c r="K1102" s="51"/>
      <c r="O1102" s="1" t="s">
        <v>6</v>
      </c>
      <c r="P1102" s="1" t="s">
        <v>29</v>
      </c>
      <c r="Q1102" s="1" t="s">
        <v>30</v>
      </c>
      <c r="R1102" s="1" t="s">
        <v>27</v>
      </c>
      <c r="S1102" t="s">
        <v>28</v>
      </c>
      <c r="T1102" s="1">
        <v>2017</v>
      </c>
      <c r="U1102" s="1">
        <v>11</v>
      </c>
      <c r="V1102" s="50">
        <v>43040</v>
      </c>
      <c r="W1102" s="4">
        <v>3968.5099999999998</v>
      </c>
      <c r="X1102" s="48">
        <v>4361</v>
      </c>
    </row>
    <row r="1103" spans="2:24" x14ac:dyDescent="0.35">
      <c r="B1103" s="8" t="s">
        <v>7</v>
      </c>
      <c r="C1103" s="8" t="s">
        <v>43</v>
      </c>
      <c r="D1103" s="8" t="s">
        <v>10</v>
      </c>
      <c r="E1103" s="8" t="s">
        <v>27</v>
      </c>
      <c r="F1103" s="6" t="s">
        <v>31</v>
      </c>
      <c r="G1103" s="8">
        <v>2017</v>
      </c>
      <c r="H1103" s="8">
        <v>11</v>
      </c>
      <c r="I1103" s="10">
        <v>43040</v>
      </c>
      <c r="J1103" s="11">
        <v>4509</v>
      </c>
      <c r="K1103" s="51"/>
      <c r="O1103" s="1" t="s">
        <v>7</v>
      </c>
      <c r="P1103" s="1" t="s">
        <v>43</v>
      </c>
      <c r="Q1103" s="1" t="s">
        <v>10</v>
      </c>
      <c r="R1103" s="1" t="s">
        <v>27</v>
      </c>
      <c r="S1103" t="s">
        <v>31</v>
      </c>
      <c r="T1103" s="1">
        <v>2017</v>
      </c>
      <c r="U1103" s="1">
        <v>11</v>
      </c>
      <c r="V1103" s="50">
        <v>43040</v>
      </c>
      <c r="W1103" s="4">
        <v>3922.8300000000004</v>
      </c>
      <c r="X1103" s="48">
        <v>4509</v>
      </c>
    </row>
    <row r="1104" spans="2:24" x14ac:dyDescent="0.35">
      <c r="B1104" s="8" t="s">
        <v>12</v>
      </c>
      <c r="C1104" s="8" t="s">
        <v>44</v>
      </c>
      <c r="D1104" s="8" t="s">
        <v>13</v>
      </c>
      <c r="E1104" s="8" t="s">
        <v>27</v>
      </c>
      <c r="F1104" s="6" t="s">
        <v>33</v>
      </c>
      <c r="G1104" s="8">
        <v>2017</v>
      </c>
      <c r="H1104" s="8">
        <v>11</v>
      </c>
      <c r="I1104" s="10">
        <v>43040</v>
      </c>
      <c r="J1104" s="11">
        <v>3861</v>
      </c>
      <c r="K1104" s="51"/>
      <c r="O1104" s="1" t="s">
        <v>12</v>
      </c>
      <c r="P1104" s="1" t="s">
        <v>44</v>
      </c>
      <c r="Q1104" s="1" t="s">
        <v>13</v>
      </c>
      <c r="R1104" s="1" t="s">
        <v>27</v>
      </c>
      <c r="S1104" t="s">
        <v>33</v>
      </c>
      <c r="T1104" s="1">
        <v>2017</v>
      </c>
      <c r="U1104" s="1">
        <v>11</v>
      </c>
      <c r="V1104" s="50">
        <v>43040</v>
      </c>
      <c r="W1104" s="4">
        <v>3590.7299999999996</v>
      </c>
      <c r="X1104" s="48">
        <v>3861</v>
      </c>
    </row>
    <row r="1105" spans="2:24" x14ac:dyDescent="0.35">
      <c r="B1105" s="8" t="s">
        <v>14</v>
      </c>
      <c r="C1105" s="8" t="s">
        <v>46</v>
      </c>
      <c r="D1105" s="8" t="s">
        <v>47</v>
      </c>
      <c r="E1105" s="9" t="s">
        <v>23</v>
      </c>
      <c r="F1105" s="9" t="s">
        <v>36</v>
      </c>
      <c r="G1105" s="8">
        <v>2017</v>
      </c>
      <c r="H1105" s="8">
        <v>11</v>
      </c>
      <c r="I1105" s="10">
        <v>43040</v>
      </c>
      <c r="J1105" s="11">
        <v>2268</v>
      </c>
      <c r="K1105" s="51"/>
      <c r="O1105" s="1" t="s">
        <v>14</v>
      </c>
      <c r="P1105" s="1" t="s">
        <v>46</v>
      </c>
      <c r="Q1105" s="1" t="s">
        <v>47</v>
      </c>
      <c r="R1105" s="2" t="s">
        <v>23</v>
      </c>
      <c r="S1105" s="2" t="s">
        <v>36</v>
      </c>
      <c r="T1105" s="1">
        <v>2017</v>
      </c>
      <c r="U1105" s="1">
        <v>11</v>
      </c>
      <c r="V1105" s="50">
        <v>43040</v>
      </c>
      <c r="W1105" s="4">
        <v>2109.2399999999998</v>
      </c>
      <c r="X1105" s="48">
        <v>2268</v>
      </c>
    </row>
    <row r="1106" spans="2:24" x14ac:dyDescent="0.35">
      <c r="B1106" s="8" t="s">
        <v>6</v>
      </c>
      <c r="C1106" s="8" t="s">
        <v>29</v>
      </c>
      <c r="D1106" s="8" t="s">
        <v>30</v>
      </c>
      <c r="E1106" s="8" t="s">
        <v>23</v>
      </c>
      <c r="F1106" s="9" t="s">
        <v>39</v>
      </c>
      <c r="G1106" s="8">
        <v>2017</v>
      </c>
      <c r="H1106" s="8">
        <v>11</v>
      </c>
      <c r="I1106" s="10">
        <v>43040</v>
      </c>
      <c r="J1106" s="11">
        <v>2036</v>
      </c>
      <c r="K1106" s="51"/>
      <c r="O1106" s="1" t="s">
        <v>6</v>
      </c>
      <c r="P1106" s="1" t="s">
        <v>29</v>
      </c>
      <c r="Q1106" s="1" t="s">
        <v>30</v>
      </c>
      <c r="R1106" s="1" t="s">
        <v>23</v>
      </c>
      <c r="S1106" s="2" t="s">
        <v>39</v>
      </c>
      <c r="T1106" s="1">
        <v>2017</v>
      </c>
      <c r="U1106" s="1">
        <v>11</v>
      </c>
      <c r="V1106" s="50">
        <v>43040</v>
      </c>
      <c r="W1106" s="4">
        <v>1750.9600000000003</v>
      </c>
      <c r="X1106" s="48">
        <v>2036</v>
      </c>
    </row>
    <row r="1107" spans="2:24" x14ac:dyDescent="0.35">
      <c r="B1107" s="8" t="s">
        <v>7</v>
      </c>
      <c r="C1107" s="8" t="s">
        <v>32</v>
      </c>
      <c r="D1107" s="8" t="s">
        <v>8</v>
      </c>
      <c r="E1107" s="8" t="s">
        <v>0</v>
      </c>
      <c r="F1107" s="6" t="s">
        <v>42</v>
      </c>
      <c r="G1107" s="8">
        <v>2017</v>
      </c>
      <c r="H1107" s="8">
        <v>11</v>
      </c>
      <c r="I1107" s="10">
        <v>43040</v>
      </c>
      <c r="J1107" s="11">
        <v>4226</v>
      </c>
      <c r="K1107" s="51"/>
      <c r="O1107" s="1" t="s">
        <v>7</v>
      </c>
      <c r="P1107" s="1" t="s">
        <v>32</v>
      </c>
      <c r="Q1107" s="1" t="s">
        <v>8</v>
      </c>
      <c r="R1107" s="1" t="s">
        <v>0</v>
      </c>
      <c r="S1107" t="s">
        <v>42</v>
      </c>
      <c r="T1107" s="1">
        <v>2017</v>
      </c>
      <c r="U1107" s="1">
        <v>11</v>
      </c>
      <c r="V1107" s="50">
        <v>43040</v>
      </c>
      <c r="W1107" s="4">
        <v>3761.1399999999994</v>
      </c>
      <c r="X1107" s="48">
        <v>4226</v>
      </c>
    </row>
    <row r="1108" spans="2:24" x14ac:dyDescent="0.35">
      <c r="B1108" s="8" t="s">
        <v>12</v>
      </c>
      <c r="C1108" s="8" t="s">
        <v>44</v>
      </c>
      <c r="D1108" s="8" t="s">
        <v>13</v>
      </c>
      <c r="E1108" s="8" t="s">
        <v>0</v>
      </c>
      <c r="F1108" s="8" t="s">
        <v>26</v>
      </c>
      <c r="G1108" s="8">
        <v>2017</v>
      </c>
      <c r="H1108" s="8">
        <v>11</v>
      </c>
      <c r="I1108" s="10">
        <v>43040</v>
      </c>
      <c r="J1108" s="11">
        <v>5487</v>
      </c>
      <c r="K1108" s="51"/>
      <c r="O1108" s="1" t="s">
        <v>12</v>
      </c>
      <c r="P1108" s="1" t="s">
        <v>44</v>
      </c>
      <c r="Q1108" s="1" t="s">
        <v>13</v>
      </c>
      <c r="R1108" s="1" t="s">
        <v>0</v>
      </c>
      <c r="S1108" s="1" t="s">
        <v>26</v>
      </c>
      <c r="T1108" s="1">
        <v>2017</v>
      </c>
      <c r="U1108" s="1">
        <v>11</v>
      </c>
      <c r="V1108" s="50">
        <v>43040</v>
      </c>
      <c r="W1108" s="4">
        <v>4883.4299999999994</v>
      </c>
      <c r="X1108" s="48">
        <v>5487</v>
      </c>
    </row>
    <row r="1109" spans="2:24" x14ac:dyDescent="0.35">
      <c r="B1109" s="8" t="s">
        <v>14</v>
      </c>
      <c r="C1109" s="8" t="s">
        <v>37</v>
      </c>
      <c r="D1109" s="8" t="s">
        <v>38</v>
      </c>
      <c r="E1109" s="8" t="s">
        <v>0</v>
      </c>
      <c r="F1109" s="8" t="s">
        <v>45</v>
      </c>
      <c r="G1109" s="8">
        <v>2017</v>
      </c>
      <c r="H1109" s="8">
        <v>11</v>
      </c>
      <c r="I1109" s="10">
        <v>43040</v>
      </c>
      <c r="J1109" s="11">
        <v>2112</v>
      </c>
      <c r="K1109" s="51"/>
      <c r="O1109" s="1" t="s">
        <v>14</v>
      </c>
      <c r="P1109" s="1" t="s">
        <v>37</v>
      </c>
      <c r="Q1109" s="1" t="s">
        <v>38</v>
      </c>
      <c r="R1109" s="1" t="s">
        <v>0</v>
      </c>
      <c r="S1109" s="1" t="s">
        <v>45</v>
      </c>
      <c r="T1109" s="1">
        <v>2017</v>
      </c>
      <c r="U1109" s="1">
        <v>11</v>
      </c>
      <c r="V1109" s="50">
        <v>43040</v>
      </c>
      <c r="W1109" s="4">
        <v>1964.1599999999999</v>
      </c>
      <c r="X1109" s="48">
        <v>2112</v>
      </c>
    </row>
    <row r="1110" spans="2:24" x14ac:dyDescent="0.35">
      <c r="B1110" s="8" t="s">
        <v>3</v>
      </c>
      <c r="C1110" s="8" t="s">
        <v>25</v>
      </c>
      <c r="D1110" s="8" t="s">
        <v>4</v>
      </c>
      <c r="E1110" s="8" t="s">
        <v>27</v>
      </c>
      <c r="F1110" s="8" t="s">
        <v>28</v>
      </c>
      <c r="G1110" s="8">
        <v>2017</v>
      </c>
      <c r="H1110" s="8">
        <v>11</v>
      </c>
      <c r="I1110" s="10">
        <v>43040</v>
      </c>
      <c r="J1110" s="11">
        <v>3943</v>
      </c>
      <c r="K1110" s="51"/>
      <c r="O1110" s="1" t="s">
        <v>3</v>
      </c>
      <c r="P1110" s="1" t="s">
        <v>25</v>
      </c>
      <c r="Q1110" s="1" t="s">
        <v>4</v>
      </c>
      <c r="R1110" s="1" t="s">
        <v>27</v>
      </c>
      <c r="S1110" s="1" t="s">
        <v>28</v>
      </c>
      <c r="T1110" s="1">
        <v>2017</v>
      </c>
      <c r="U1110" s="1">
        <v>11</v>
      </c>
      <c r="V1110" s="50">
        <v>43040</v>
      </c>
      <c r="W1110" s="4">
        <v>3627.5599999999995</v>
      </c>
      <c r="X1110" s="48">
        <v>3943</v>
      </c>
    </row>
    <row r="1111" spans="2:24" x14ac:dyDescent="0.35">
      <c r="B1111" s="8" t="s">
        <v>3</v>
      </c>
      <c r="C1111" s="8" t="s">
        <v>25</v>
      </c>
      <c r="D1111" s="8" t="s">
        <v>4</v>
      </c>
      <c r="E1111" s="8" t="s">
        <v>27</v>
      </c>
      <c r="F1111" s="6" t="s">
        <v>31</v>
      </c>
      <c r="G1111" s="8">
        <v>2017</v>
      </c>
      <c r="H1111" s="8">
        <v>11</v>
      </c>
      <c r="I1111" s="10">
        <v>43040</v>
      </c>
      <c r="J1111" s="11">
        <v>3996</v>
      </c>
      <c r="K1111" s="51"/>
      <c r="O1111" s="1" t="s">
        <v>3</v>
      </c>
      <c r="P1111" s="1" t="s">
        <v>25</v>
      </c>
      <c r="Q1111" s="1" t="s">
        <v>4</v>
      </c>
      <c r="R1111" s="1" t="s">
        <v>27</v>
      </c>
      <c r="S1111" t="s">
        <v>31</v>
      </c>
      <c r="T1111" s="1">
        <v>2017</v>
      </c>
      <c r="U1111" s="1">
        <v>11</v>
      </c>
      <c r="V1111" s="50">
        <v>43040</v>
      </c>
      <c r="W1111" s="4">
        <v>3396.6000000000004</v>
      </c>
      <c r="X1111" s="48">
        <v>3996</v>
      </c>
    </row>
    <row r="1112" spans="2:24" x14ac:dyDescent="0.35">
      <c r="B1112" s="8" t="s">
        <v>6</v>
      </c>
      <c r="C1112" s="8" t="s">
        <v>40</v>
      </c>
      <c r="D1112" s="8" t="s">
        <v>41</v>
      </c>
      <c r="E1112" s="8" t="s">
        <v>27</v>
      </c>
      <c r="F1112" s="6" t="s">
        <v>33</v>
      </c>
      <c r="G1112" s="8">
        <v>2017</v>
      </c>
      <c r="H1112" s="8">
        <v>11</v>
      </c>
      <c r="I1112" s="10">
        <v>43040</v>
      </c>
      <c r="J1112" s="11">
        <v>3473</v>
      </c>
      <c r="K1112" s="51"/>
      <c r="O1112" s="1" t="s">
        <v>6</v>
      </c>
      <c r="P1112" s="1" t="s">
        <v>40</v>
      </c>
      <c r="Q1112" s="1" t="s">
        <v>41</v>
      </c>
      <c r="R1112" s="1" t="s">
        <v>27</v>
      </c>
      <c r="S1112" t="s">
        <v>33</v>
      </c>
      <c r="T1112" s="1">
        <v>2017</v>
      </c>
      <c r="U1112" s="1">
        <v>11</v>
      </c>
      <c r="V1112" s="50">
        <v>43040</v>
      </c>
      <c r="W1112" s="4">
        <v>3021.51</v>
      </c>
      <c r="X1112" s="48">
        <v>3473</v>
      </c>
    </row>
    <row r="1113" spans="2:24" x14ac:dyDescent="0.35">
      <c r="B1113" s="8" t="s">
        <v>6</v>
      </c>
      <c r="C1113" s="8" t="s">
        <v>40</v>
      </c>
      <c r="D1113" s="8" t="s">
        <v>41</v>
      </c>
      <c r="E1113" s="8" t="s">
        <v>23</v>
      </c>
      <c r="F1113" s="6" t="s">
        <v>36</v>
      </c>
      <c r="G1113" s="8">
        <v>2017</v>
      </c>
      <c r="H1113" s="8">
        <v>11</v>
      </c>
      <c r="I1113" s="10">
        <v>43040</v>
      </c>
      <c r="J1113" s="11">
        <v>1590</v>
      </c>
      <c r="K1113" s="51"/>
      <c r="O1113" s="1" t="s">
        <v>6</v>
      </c>
      <c r="P1113" s="1" t="s">
        <v>40</v>
      </c>
      <c r="Q1113" s="1" t="s">
        <v>41</v>
      </c>
      <c r="R1113" s="1" t="s">
        <v>23</v>
      </c>
      <c r="S1113" t="s">
        <v>36</v>
      </c>
      <c r="T1113" s="1">
        <v>2017</v>
      </c>
      <c r="U1113" s="1">
        <v>11</v>
      </c>
      <c r="V1113" s="50">
        <v>43040</v>
      </c>
      <c r="W1113" s="4">
        <v>1383.3000000000002</v>
      </c>
      <c r="X1113" s="48">
        <v>1590</v>
      </c>
    </row>
    <row r="1114" spans="2:24" x14ac:dyDescent="0.35">
      <c r="B1114" s="8" t="s">
        <v>7</v>
      </c>
      <c r="C1114" s="8" t="s">
        <v>43</v>
      </c>
      <c r="D1114" s="8" t="s">
        <v>10</v>
      </c>
      <c r="E1114" s="9" t="s">
        <v>23</v>
      </c>
      <c r="F1114" s="9" t="s">
        <v>24</v>
      </c>
      <c r="G1114" s="8">
        <v>2017</v>
      </c>
      <c r="H1114" s="8">
        <v>11</v>
      </c>
      <c r="I1114" s="10">
        <v>43040</v>
      </c>
      <c r="J1114" s="11">
        <v>2943</v>
      </c>
      <c r="K1114" s="51"/>
      <c r="O1114" s="1" t="s">
        <v>7</v>
      </c>
      <c r="P1114" s="1" t="s">
        <v>43</v>
      </c>
      <c r="Q1114" s="1" t="s">
        <v>10</v>
      </c>
      <c r="R1114" s="2" t="s">
        <v>23</v>
      </c>
      <c r="S1114" s="2" t="s">
        <v>24</v>
      </c>
      <c r="T1114" s="1">
        <v>2017</v>
      </c>
      <c r="U1114" s="1">
        <v>11</v>
      </c>
      <c r="V1114" s="50">
        <v>43040</v>
      </c>
      <c r="W1114" s="4">
        <v>2560.4100000000003</v>
      </c>
      <c r="X1114" s="48">
        <v>2943</v>
      </c>
    </row>
    <row r="1115" spans="2:24" x14ac:dyDescent="0.35">
      <c r="B1115" s="8" t="s">
        <v>7</v>
      </c>
      <c r="C1115" s="8" t="s">
        <v>43</v>
      </c>
      <c r="D1115" s="8" t="s">
        <v>10</v>
      </c>
      <c r="E1115" s="8" t="s">
        <v>23</v>
      </c>
      <c r="F1115" s="9" t="s">
        <v>39</v>
      </c>
      <c r="G1115" s="8">
        <v>2017</v>
      </c>
      <c r="H1115" s="8">
        <v>11</v>
      </c>
      <c r="I1115" s="10">
        <v>43040</v>
      </c>
      <c r="J1115" s="11">
        <v>2431</v>
      </c>
      <c r="K1115" s="51"/>
      <c r="O1115" s="1" t="s">
        <v>7</v>
      </c>
      <c r="P1115" s="1" t="s">
        <v>43</v>
      </c>
      <c r="Q1115" s="1" t="s">
        <v>10</v>
      </c>
      <c r="R1115" s="1" t="s">
        <v>23</v>
      </c>
      <c r="S1115" s="2" t="s">
        <v>39</v>
      </c>
      <c r="T1115" s="1">
        <v>2017</v>
      </c>
      <c r="U1115" s="1">
        <v>11</v>
      </c>
      <c r="V1115" s="50">
        <v>43040</v>
      </c>
      <c r="W1115" s="4">
        <v>2090.6600000000003</v>
      </c>
      <c r="X1115" s="48">
        <v>2431</v>
      </c>
    </row>
    <row r="1116" spans="2:24" x14ac:dyDescent="0.35">
      <c r="B1116" s="8" t="s">
        <v>7</v>
      </c>
      <c r="C1116" s="8" t="s">
        <v>32</v>
      </c>
      <c r="D1116" s="8" t="s">
        <v>8</v>
      </c>
      <c r="E1116" s="8" t="s">
        <v>0</v>
      </c>
      <c r="F1116" s="6" t="s">
        <v>26</v>
      </c>
      <c r="G1116" s="8">
        <v>2017</v>
      </c>
      <c r="H1116" s="8">
        <v>11</v>
      </c>
      <c r="I1116" s="10">
        <v>43040</v>
      </c>
      <c r="J1116" s="11">
        <v>4553</v>
      </c>
      <c r="K1116" s="51"/>
      <c r="O1116" s="1" t="s">
        <v>7</v>
      </c>
      <c r="P1116" s="1" t="s">
        <v>32</v>
      </c>
      <c r="Q1116" s="1" t="s">
        <v>8</v>
      </c>
      <c r="R1116" s="1" t="s">
        <v>0</v>
      </c>
      <c r="S1116" t="s">
        <v>26</v>
      </c>
      <c r="T1116" s="1">
        <v>2017</v>
      </c>
      <c r="U1116" s="1">
        <v>11</v>
      </c>
      <c r="V1116" s="50">
        <v>43040</v>
      </c>
      <c r="W1116" s="4">
        <v>3870.05</v>
      </c>
      <c r="X1116" s="48">
        <v>4553</v>
      </c>
    </row>
    <row r="1117" spans="2:24" x14ac:dyDescent="0.35">
      <c r="B1117" s="8" t="s">
        <v>3</v>
      </c>
      <c r="C1117" s="8" t="s">
        <v>22</v>
      </c>
      <c r="D1117" s="8" t="s">
        <v>5</v>
      </c>
      <c r="E1117" s="8" t="s">
        <v>0</v>
      </c>
      <c r="F1117" s="8" t="s">
        <v>45</v>
      </c>
      <c r="G1117" s="8">
        <v>2017</v>
      </c>
      <c r="H1117" s="8">
        <v>11</v>
      </c>
      <c r="I1117" s="10">
        <v>43040</v>
      </c>
      <c r="J1117" s="11">
        <v>4326</v>
      </c>
      <c r="K1117" s="51"/>
      <c r="O1117" s="1" t="s">
        <v>3</v>
      </c>
      <c r="P1117" s="1" t="s">
        <v>22</v>
      </c>
      <c r="Q1117" s="1" t="s">
        <v>5</v>
      </c>
      <c r="R1117" s="1" t="s">
        <v>0</v>
      </c>
      <c r="S1117" s="1" t="s">
        <v>45</v>
      </c>
      <c r="T1117" s="1">
        <v>2017</v>
      </c>
      <c r="U1117" s="1">
        <v>11</v>
      </c>
      <c r="V1117" s="50">
        <v>43040</v>
      </c>
      <c r="W1117" s="4">
        <v>3936.66</v>
      </c>
      <c r="X1117" s="48">
        <v>4326</v>
      </c>
    </row>
    <row r="1118" spans="2:24" x14ac:dyDescent="0.35">
      <c r="B1118" s="8" t="s">
        <v>7</v>
      </c>
      <c r="C1118" s="8" t="s">
        <v>48</v>
      </c>
      <c r="D1118" s="8" t="s">
        <v>9</v>
      </c>
      <c r="E1118" s="8" t="s">
        <v>23</v>
      </c>
      <c r="F1118" s="8" t="s">
        <v>36</v>
      </c>
      <c r="G1118" s="8">
        <v>2017</v>
      </c>
      <c r="H1118" s="8">
        <v>11</v>
      </c>
      <c r="I1118" s="10">
        <v>43040</v>
      </c>
      <c r="J1118" s="11">
        <v>2091</v>
      </c>
      <c r="K1118" s="51"/>
      <c r="O1118" s="1" t="s">
        <v>7</v>
      </c>
      <c r="P1118" s="1" t="s">
        <v>48</v>
      </c>
      <c r="Q1118" s="1" t="s">
        <v>9</v>
      </c>
      <c r="R1118" s="1" t="s">
        <v>23</v>
      </c>
      <c r="S1118" s="1" t="s">
        <v>36</v>
      </c>
      <c r="T1118" s="1">
        <v>2017</v>
      </c>
      <c r="U1118" s="1">
        <v>11</v>
      </c>
      <c r="V1118" s="50">
        <v>43040</v>
      </c>
      <c r="W1118" s="4">
        <v>1944.6299999999999</v>
      </c>
      <c r="X1118" s="48">
        <v>2091</v>
      </c>
    </row>
    <row r="1119" spans="2:24" x14ac:dyDescent="0.35">
      <c r="B1119" s="8" t="s">
        <v>7</v>
      </c>
      <c r="C1119" s="8" t="s">
        <v>48</v>
      </c>
      <c r="D1119" s="8" t="s">
        <v>9</v>
      </c>
      <c r="E1119" s="8" t="s">
        <v>23</v>
      </c>
      <c r="F1119" s="8" t="s">
        <v>24</v>
      </c>
      <c r="G1119" s="8">
        <v>2017</v>
      </c>
      <c r="H1119" s="8">
        <v>11</v>
      </c>
      <c r="I1119" s="10">
        <v>43040</v>
      </c>
      <c r="J1119" s="11">
        <v>2260</v>
      </c>
      <c r="K1119" s="51"/>
      <c r="O1119" s="1" t="s">
        <v>7</v>
      </c>
      <c r="P1119" s="1" t="s">
        <v>48</v>
      </c>
      <c r="Q1119" s="1" t="s">
        <v>9</v>
      </c>
      <c r="R1119" s="1" t="s">
        <v>23</v>
      </c>
      <c r="S1119" s="1" t="s">
        <v>24</v>
      </c>
      <c r="T1119" s="1">
        <v>2017</v>
      </c>
      <c r="U1119" s="1">
        <v>11</v>
      </c>
      <c r="V1119" s="50">
        <v>43040</v>
      </c>
      <c r="W1119" s="4">
        <v>1966.2000000000003</v>
      </c>
      <c r="X1119" s="48">
        <v>2260</v>
      </c>
    </row>
    <row r="1120" spans="2:24" x14ac:dyDescent="0.35">
      <c r="B1120" s="8" t="s">
        <v>7</v>
      </c>
      <c r="C1120" s="8" t="s">
        <v>49</v>
      </c>
      <c r="D1120" s="8" t="s">
        <v>11</v>
      </c>
      <c r="E1120" s="8" t="s">
        <v>23</v>
      </c>
      <c r="F1120" s="6" t="s">
        <v>39</v>
      </c>
      <c r="G1120" s="8">
        <v>2017</v>
      </c>
      <c r="H1120" s="8">
        <v>11</v>
      </c>
      <c r="I1120" s="10">
        <v>43040</v>
      </c>
      <c r="J1120" s="11">
        <v>2078</v>
      </c>
      <c r="K1120" s="51"/>
      <c r="O1120" s="1" t="s">
        <v>7</v>
      </c>
      <c r="P1120" s="1" t="s">
        <v>49</v>
      </c>
      <c r="Q1120" s="1" t="s">
        <v>11</v>
      </c>
      <c r="R1120" s="1" t="s">
        <v>23</v>
      </c>
      <c r="S1120" t="s">
        <v>39</v>
      </c>
      <c r="T1120" s="1">
        <v>2017</v>
      </c>
      <c r="U1120" s="1">
        <v>11</v>
      </c>
      <c r="V1120" s="50">
        <v>43040</v>
      </c>
      <c r="W1120" s="4">
        <v>1828.6399999999999</v>
      </c>
      <c r="X1120" s="48">
        <v>2078</v>
      </c>
    </row>
    <row r="1121" spans="2:24" x14ac:dyDescent="0.35">
      <c r="B1121" s="8" t="s">
        <v>7</v>
      </c>
      <c r="C1121" s="8" t="s">
        <v>49</v>
      </c>
      <c r="D1121" s="8" t="s">
        <v>11</v>
      </c>
      <c r="E1121" s="8" t="s">
        <v>0</v>
      </c>
      <c r="F1121" s="6" t="s">
        <v>42</v>
      </c>
      <c r="G1121" s="8">
        <v>2017</v>
      </c>
      <c r="H1121" s="8">
        <v>11</v>
      </c>
      <c r="I1121" s="10">
        <v>43040</v>
      </c>
      <c r="J1121" s="11">
        <v>4288</v>
      </c>
      <c r="K1121" s="51"/>
      <c r="O1121" s="1" t="s">
        <v>7</v>
      </c>
      <c r="P1121" s="1" t="s">
        <v>49</v>
      </c>
      <c r="Q1121" s="1" t="s">
        <v>11</v>
      </c>
      <c r="R1121" s="1" t="s">
        <v>0</v>
      </c>
      <c r="S1121" t="s">
        <v>42</v>
      </c>
      <c r="T1121" s="1">
        <v>2017</v>
      </c>
      <c r="U1121" s="1">
        <v>11</v>
      </c>
      <c r="V1121" s="50">
        <v>43040</v>
      </c>
      <c r="W1121" s="4">
        <v>3859.2</v>
      </c>
      <c r="X1121" s="48">
        <v>4288</v>
      </c>
    </row>
    <row r="1122" spans="2:24" x14ac:dyDescent="0.35">
      <c r="B1122" s="8" t="s">
        <v>12</v>
      </c>
      <c r="C1122" s="8" t="s">
        <v>34</v>
      </c>
      <c r="D1122" s="8" t="s">
        <v>35</v>
      </c>
      <c r="E1122" s="8" t="s">
        <v>0</v>
      </c>
      <c r="F1122" s="6" t="s">
        <v>26</v>
      </c>
      <c r="G1122" s="8">
        <v>2017</v>
      </c>
      <c r="H1122" s="8">
        <v>11</v>
      </c>
      <c r="I1122" s="10">
        <v>43040</v>
      </c>
      <c r="J1122" s="11">
        <v>3623</v>
      </c>
      <c r="K1122" s="51"/>
      <c r="O1122" s="1" t="s">
        <v>12</v>
      </c>
      <c r="P1122" s="1" t="s">
        <v>34</v>
      </c>
      <c r="Q1122" s="1" t="s">
        <v>35</v>
      </c>
      <c r="R1122" s="1" t="s">
        <v>0</v>
      </c>
      <c r="S1122" t="s">
        <v>26</v>
      </c>
      <c r="T1122" s="1">
        <v>2017</v>
      </c>
      <c r="U1122" s="1">
        <v>11</v>
      </c>
      <c r="V1122" s="50">
        <v>43040</v>
      </c>
      <c r="W1122" s="4">
        <v>3188.24</v>
      </c>
      <c r="X1122" s="48">
        <v>3623</v>
      </c>
    </row>
    <row r="1123" spans="2:24" x14ac:dyDescent="0.35">
      <c r="B1123" s="8" t="s">
        <v>12</v>
      </c>
      <c r="C1123" s="8" t="s">
        <v>34</v>
      </c>
      <c r="D1123" s="8" t="s">
        <v>35</v>
      </c>
      <c r="E1123" s="9" t="s">
        <v>0</v>
      </c>
      <c r="F1123" s="9" t="s">
        <v>45</v>
      </c>
      <c r="G1123" s="8">
        <v>2017</v>
      </c>
      <c r="H1123" s="8">
        <v>11</v>
      </c>
      <c r="I1123" s="10">
        <v>43040</v>
      </c>
      <c r="J1123" s="11">
        <v>4217</v>
      </c>
      <c r="K1123" s="51"/>
      <c r="O1123" s="1" t="s">
        <v>12</v>
      </c>
      <c r="P1123" s="1" t="s">
        <v>34</v>
      </c>
      <c r="Q1123" s="1" t="s">
        <v>35</v>
      </c>
      <c r="R1123" s="2" t="s">
        <v>0</v>
      </c>
      <c r="S1123" s="2" t="s">
        <v>45</v>
      </c>
      <c r="T1123" s="1">
        <v>2017</v>
      </c>
      <c r="U1123" s="1">
        <v>11</v>
      </c>
      <c r="V1123" s="50">
        <v>43040</v>
      </c>
      <c r="W1123" s="4">
        <v>3837.47</v>
      </c>
      <c r="X1123" s="48">
        <v>4217</v>
      </c>
    </row>
    <row r="1124" spans="2:24" x14ac:dyDescent="0.35">
      <c r="B1124" s="8" t="s">
        <v>14</v>
      </c>
      <c r="C1124" s="8" t="s">
        <v>37</v>
      </c>
      <c r="D1124" s="8" t="s">
        <v>38</v>
      </c>
      <c r="E1124" s="8" t="s">
        <v>27</v>
      </c>
      <c r="F1124" s="9" t="s">
        <v>28</v>
      </c>
      <c r="G1124" s="8">
        <v>2017</v>
      </c>
      <c r="H1124" s="8">
        <v>11</v>
      </c>
      <c r="I1124" s="10">
        <v>43040</v>
      </c>
      <c r="J1124" s="11">
        <v>3479</v>
      </c>
      <c r="K1124" s="51"/>
      <c r="O1124" s="1" t="s">
        <v>14</v>
      </c>
      <c r="P1124" s="1" t="s">
        <v>37</v>
      </c>
      <c r="Q1124" s="1" t="s">
        <v>38</v>
      </c>
      <c r="R1124" s="1" t="s">
        <v>27</v>
      </c>
      <c r="S1124" s="2" t="s">
        <v>28</v>
      </c>
      <c r="T1124" s="1">
        <v>2017</v>
      </c>
      <c r="U1124" s="1">
        <v>11</v>
      </c>
      <c r="V1124" s="50">
        <v>43040</v>
      </c>
      <c r="W1124" s="4">
        <v>3235.47</v>
      </c>
      <c r="X1124" s="48">
        <v>3479</v>
      </c>
    </row>
    <row r="1125" spans="2:24" x14ac:dyDescent="0.35">
      <c r="B1125" s="8" t="s">
        <v>14</v>
      </c>
      <c r="C1125" s="8" t="s">
        <v>37</v>
      </c>
      <c r="D1125" s="8" t="s">
        <v>38</v>
      </c>
      <c r="E1125" s="8" t="s">
        <v>27</v>
      </c>
      <c r="F1125" s="6" t="s">
        <v>31</v>
      </c>
      <c r="G1125" s="8">
        <v>2017</v>
      </c>
      <c r="H1125" s="8">
        <v>11</v>
      </c>
      <c r="I1125" s="10">
        <v>43040</v>
      </c>
      <c r="J1125" s="11">
        <v>3306</v>
      </c>
      <c r="K1125" s="51"/>
      <c r="O1125" s="1" t="s">
        <v>14</v>
      </c>
      <c r="P1125" s="1" t="s">
        <v>37</v>
      </c>
      <c r="Q1125" s="1" t="s">
        <v>38</v>
      </c>
      <c r="R1125" s="1" t="s">
        <v>27</v>
      </c>
      <c r="S1125" t="s">
        <v>31</v>
      </c>
      <c r="T1125" s="1">
        <v>2017</v>
      </c>
      <c r="U1125" s="1">
        <v>11</v>
      </c>
      <c r="V1125" s="50">
        <v>43040</v>
      </c>
      <c r="W1125" s="4">
        <v>2810.1000000000004</v>
      </c>
      <c r="X1125" s="48">
        <v>3306</v>
      </c>
    </row>
    <row r="1126" spans="2:24" x14ac:dyDescent="0.35">
      <c r="B1126" s="8" t="s">
        <v>12</v>
      </c>
      <c r="C1126" s="8" t="s">
        <v>44</v>
      </c>
      <c r="D1126" s="8" t="s">
        <v>13</v>
      </c>
      <c r="E1126" s="8" t="s">
        <v>23</v>
      </c>
      <c r="F1126" s="8" t="s">
        <v>36</v>
      </c>
      <c r="G1126" s="8">
        <v>2017</v>
      </c>
      <c r="H1126" s="8">
        <v>11</v>
      </c>
      <c r="I1126" s="10">
        <v>43040</v>
      </c>
      <c r="J1126" s="11">
        <v>1567</v>
      </c>
      <c r="K1126" s="51"/>
      <c r="O1126" s="1" t="s">
        <v>12</v>
      </c>
      <c r="P1126" s="1" t="s">
        <v>44</v>
      </c>
      <c r="Q1126" s="1" t="s">
        <v>13</v>
      </c>
      <c r="R1126" s="1" t="s">
        <v>23</v>
      </c>
      <c r="S1126" s="1" t="s">
        <v>36</v>
      </c>
      <c r="T1126" s="1">
        <v>2017</v>
      </c>
      <c r="U1126" s="1">
        <v>11</v>
      </c>
      <c r="V1126" s="50">
        <v>43040</v>
      </c>
      <c r="W1126" s="4">
        <v>1457.31</v>
      </c>
      <c r="X1126" s="48">
        <v>1567</v>
      </c>
    </row>
    <row r="1127" spans="2:24" x14ac:dyDescent="0.35">
      <c r="B1127" s="8" t="s">
        <v>14</v>
      </c>
      <c r="C1127" s="8" t="s">
        <v>46</v>
      </c>
      <c r="D1127" s="8" t="s">
        <v>47</v>
      </c>
      <c r="E1127" s="8" t="s">
        <v>23</v>
      </c>
      <c r="F1127" s="8" t="s">
        <v>24</v>
      </c>
      <c r="G1127" s="8">
        <v>2017</v>
      </c>
      <c r="H1127" s="8">
        <v>11</v>
      </c>
      <c r="I1127" s="10">
        <v>43040</v>
      </c>
      <c r="J1127" s="11">
        <v>1505</v>
      </c>
      <c r="K1127" s="51"/>
      <c r="O1127" s="1" t="s">
        <v>14</v>
      </c>
      <c r="P1127" s="1" t="s">
        <v>46</v>
      </c>
      <c r="Q1127" s="1" t="s">
        <v>47</v>
      </c>
      <c r="R1127" s="1" t="s">
        <v>23</v>
      </c>
      <c r="S1127" s="1" t="s">
        <v>24</v>
      </c>
      <c r="T1127" s="1">
        <v>2017</v>
      </c>
      <c r="U1127" s="1">
        <v>11</v>
      </c>
      <c r="V1127" s="50">
        <v>43040</v>
      </c>
      <c r="W1127" s="4">
        <v>1294.3000000000002</v>
      </c>
      <c r="X1127" s="48">
        <v>1505</v>
      </c>
    </row>
    <row r="1128" spans="2:24" x14ac:dyDescent="0.35">
      <c r="B1128" s="8" t="s">
        <v>14</v>
      </c>
      <c r="C1128" s="8" t="s">
        <v>46</v>
      </c>
      <c r="D1128" s="8" t="s">
        <v>47</v>
      </c>
      <c r="E1128" s="8" t="s">
        <v>23</v>
      </c>
      <c r="F1128" s="8" t="s">
        <v>39</v>
      </c>
      <c r="G1128" s="8">
        <v>2017</v>
      </c>
      <c r="H1128" s="8">
        <v>11</v>
      </c>
      <c r="I1128" s="10">
        <v>43040</v>
      </c>
      <c r="J1128" s="11">
        <v>2893</v>
      </c>
      <c r="K1128" s="51"/>
      <c r="O1128" s="1" t="s">
        <v>14</v>
      </c>
      <c r="P1128" s="1" t="s">
        <v>46</v>
      </c>
      <c r="Q1128" s="1" t="s">
        <v>47</v>
      </c>
      <c r="R1128" s="1" t="s">
        <v>23</v>
      </c>
      <c r="S1128" s="1" t="s">
        <v>39</v>
      </c>
      <c r="T1128" s="1">
        <v>2017</v>
      </c>
      <c r="U1128" s="1">
        <v>11</v>
      </c>
      <c r="V1128" s="50">
        <v>43040</v>
      </c>
      <c r="W1128" s="4">
        <v>2516.9100000000003</v>
      </c>
      <c r="X1128" s="48">
        <v>2893</v>
      </c>
    </row>
    <row r="1129" spans="2:24" x14ac:dyDescent="0.35">
      <c r="B1129" s="8" t="s">
        <v>7</v>
      </c>
      <c r="C1129" s="8" t="s">
        <v>43</v>
      </c>
      <c r="D1129" s="8" t="s">
        <v>10</v>
      </c>
      <c r="E1129" s="8" t="s">
        <v>0</v>
      </c>
      <c r="F1129" s="6" t="s">
        <v>42</v>
      </c>
      <c r="G1129" s="8">
        <v>2017</v>
      </c>
      <c r="H1129" s="8">
        <v>11</v>
      </c>
      <c r="I1129" s="10">
        <v>43040</v>
      </c>
      <c r="J1129" s="11">
        <v>6273</v>
      </c>
      <c r="K1129" s="51"/>
      <c r="O1129" s="1" t="s">
        <v>7</v>
      </c>
      <c r="P1129" s="1" t="s">
        <v>43</v>
      </c>
      <c r="Q1129" s="1" t="s">
        <v>10</v>
      </c>
      <c r="R1129" s="1" t="s">
        <v>0</v>
      </c>
      <c r="S1129" t="s">
        <v>42</v>
      </c>
      <c r="T1129" s="1">
        <v>2017</v>
      </c>
      <c r="U1129" s="1">
        <v>11</v>
      </c>
      <c r="V1129" s="50">
        <v>43040</v>
      </c>
      <c r="W1129" s="4">
        <v>5520.24</v>
      </c>
      <c r="X1129" s="48">
        <v>6273</v>
      </c>
    </row>
    <row r="1130" spans="2:24" x14ac:dyDescent="0.35">
      <c r="B1130" s="8" t="s">
        <v>6</v>
      </c>
      <c r="C1130" s="8" t="s">
        <v>40</v>
      </c>
      <c r="D1130" s="8" t="s">
        <v>41</v>
      </c>
      <c r="E1130" s="8" t="s">
        <v>27</v>
      </c>
      <c r="F1130" s="6" t="s">
        <v>31</v>
      </c>
      <c r="G1130" s="8">
        <v>2017</v>
      </c>
      <c r="H1130" s="8">
        <v>11</v>
      </c>
      <c r="I1130" s="10">
        <v>43040</v>
      </c>
      <c r="J1130" s="11">
        <v>5351</v>
      </c>
      <c r="K1130" s="51"/>
      <c r="O1130" s="1" t="s">
        <v>6</v>
      </c>
      <c r="P1130" s="1" t="s">
        <v>40</v>
      </c>
      <c r="Q1130" s="1" t="s">
        <v>41</v>
      </c>
      <c r="R1130" s="1" t="s">
        <v>27</v>
      </c>
      <c r="S1130" t="s">
        <v>31</v>
      </c>
      <c r="T1130" s="1">
        <v>2017</v>
      </c>
      <c r="U1130" s="1">
        <v>11</v>
      </c>
      <c r="V1130" s="50">
        <v>43040</v>
      </c>
      <c r="W1130" s="4">
        <v>4601.8600000000006</v>
      </c>
      <c r="X1130" s="48">
        <v>5351</v>
      </c>
    </row>
    <row r="1131" spans="2:24" x14ac:dyDescent="0.35">
      <c r="B1131" s="8" t="s">
        <v>3</v>
      </c>
      <c r="C1131" s="8" t="s">
        <v>22</v>
      </c>
      <c r="D1131" s="8" t="s">
        <v>5</v>
      </c>
      <c r="E1131" s="8" t="s">
        <v>23</v>
      </c>
      <c r="F1131" s="6" t="s">
        <v>39</v>
      </c>
      <c r="G1131" s="8">
        <v>2017</v>
      </c>
      <c r="H1131" s="8">
        <v>11</v>
      </c>
      <c r="I1131" s="10">
        <v>43040</v>
      </c>
      <c r="J1131" s="11">
        <v>1435</v>
      </c>
      <c r="K1131" s="51"/>
      <c r="O1131" s="1" t="s">
        <v>3</v>
      </c>
      <c r="P1131" s="1" t="s">
        <v>22</v>
      </c>
      <c r="Q1131" s="1" t="s">
        <v>5</v>
      </c>
      <c r="R1131" s="1" t="s">
        <v>23</v>
      </c>
      <c r="S1131" t="s">
        <v>39</v>
      </c>
      <c r="T1131" s="1">
        <v>2017</v>
      </c>
      <c r="U1131" s="1">
        <v>11</v>
      </c>
      <c r="V1131" s="50">
        <v>43040</v>
      </c>
      <c r="W1131" s="4">
        <v>1305.8499999999999</v>
      </c>
      <c r="X1131" s="48">
        <v>1435</v>
      </c>
    </row>
    <row r="1132" spans="2:24" x14ac:dyDescent="0.35">
      <c r="B1132" s="8" t="s">
        <v>3</v>
      </c>
      <c r="C1132" s="8" t="s">
        <v>22</v>
      </c>
      <c r="D1132" s="8" t="s">
        <v>5</v>
      </c>
      <c r="E1132" s="9" t="s">
        <v>0</v>
      </c>
      <c r="F1132" s="9" t="s">
        <v>42</v>
      </c>
      <c r="G1132" s="8">
        <v>2017</v>
      </c>
      <c r="H1132" s="8">
        <v>11</v>
      </c>
      <c r="I1132" s="10">
        <v>43040</v>
      </c>
      <c r="J1132" s="11">
        <v>5472</v>
      </c>
      <c r="K1132" s="51"/>
      <c r="O1132" s="1" t="s">
        <v>3</v>
      </c>
      <c r="P1132" s="1" t="s">
        <v>22</v>
      </c>
      <c r="Q1132" s="1" t="s">
        <v>5</v>
      </c>
      <c r="R1132" s="2" t="s">
        <v>0</v>
      </c>
      <c r="S1132" s="2" t="s">
        <v>42</v>
      </c>
      <c r="T1132" s="1">
        <v>2017</v>
      </c>
      <c r="U1132" s="1">
        <v>11</v>
      </c>
      <c r="V1132" s="50">
        <v>43040</v>
      </c>
      <c r="W1132" s="4">
        <v>4760.6400000000003</v>
      </c>
      <c r="X1132" s="48">
        <v>5472</v>
      </c>
    </row>
    <row r="1133" spans="2:24" x14ac:dyDescent="0.35">
      <c r="B1133" s="8" t="s">
        <v>6</v>
      </c>
      <c r="C1133" s="8" t="s">
        <v>29</v>
      </c>
      <c r="D1133" s="8" t="s">
        <v>30</v>
      </c>
      <c r="E1133" s="8" t="s">
        <v>0</v>
      </c>
      <c r="F1133" s="9" t="s">
        <v>26</v>
      </c>
      <c r="G1133" s="8">
        <v>2017</v>
      </c>
      <c r="H1133" s="8">
        <v>11</v>
      </c>
      <c r="I1133" s="10">
        <v>43040</v>
      </c>
      <c r="J1133" s="11">
        <v>4383</v>
      </c>
      <c r="K1133" s="51"/>
      <c r="O1133" s="1" t="s">
        <v>6</v>
      </c>
      <c r="P1133" s="1" t="s">
        <v>29</v>
      </c>
      <c r="Q1133" s="1" t="s">
        <v>30</v>
      </c>
      <c r="R1133" s="1" t="s">
        <v>0</v>
      </c>
      <c r="S1133" s="2" t="s">
        <v>26</v>
      </c>
      <c r="T1133" s="1">
        <v>2017</v>
      </c>
      <c r="U1133" s="1">
        <v>11</v>
      </c>
      <c r="V1133" s="50">
        <v>43040</v>
      </c>
      <c r="W1133" s="4">
        <v>3944.7</v>
      </c>
      <c r="X1133" s="48">
        <v>4383</v>
      </c>
    </row>
    <row r="1134" spans="2:24" x14ac:dyDescent="0.35">
      <c r="B1134" s="8" t="s">
        <v>7</v>
      </c>
      <c r="C1134" s="8" t="s">
        <v>48</v>
      </c>
      <c r="D1134" s="8" t="s">
        <v>9</v>
      </c>
      <c r="E1134" s="8" t="s">
        <v>27</v>
      </c>
      <c r="F1134" s="6" t="s">
        <v>28</v>
      </c>
      <c r="G1134" s="8">
        <v>2017</v>
      </c>
      <c r="H1134" s="8">
        <v>11</v>
      </c>
      <c r="I1134" s="10">
        <v>43040</v>
      </c>
      <c r="J1134" s="11">
        <v>5078</v>
      </c>
      <c r="K1134" s="51"/>
      <c r="O1134" s="1" t="s">
        <v>7</v>
      </c>
      <c r="P1134" s="1" t="s">
        <v>48</v>
      </c>
      <c r="Q1134" s="1" t="s">
        <v>9</v>
      </c>
      <c r="R1134" s="1" t="s">
        <v>27</v>
      </c>
      <c r="S1134" t="s">
        <v>28</v>
      </c>
      <c r="T1134" s="1">
        <v>2017</v>
      </c>
      <c r="U1134" s="1">
        <v>11</v>
      </c>
      <c r="V1134" s="50">
        <v>43040</v>
      </c>
      <c r="W1134" s="4">
        <v>4620.9799999999996</v>
      </c>
      <c r="X1134" s="48">
        <v>5078</v>
      </c>
    </row>
    <row r="1135" spans="2:24" x14ac:dyDescent="0.35">
      <c r="B1135" s="8" t="s">
        <v>7</v>
      </c>
      <c r="C1135" s="8" t="s">
        <v>48</v>
      </c>
      <c r="D1135" s="8" t="s">
        <v>9</v>
      </c>
      <c r="E1135" s="8" t="s">
        <v>27</v>
      </c>
      <c r="F1135" s="8" t="s">
        <v>31</v>
      </c>
      <c r="G1135" s="8">
        <v>2017</v>
      </c>
      <c r="H1135" s="8">
        <v>11</v>
      </c>
      <c r="I1135" s="10">
        <v>43040</v>
      </c>
      <c r="J1135" s="11">
        <v>4820</v>
      </c>
      <c r="K1135" s="51"/>
      <c r="O1135" s="1" t="s">
        <v>7</v>
      </c>
      <c r="P1135" s="1" t="s">
        <v>48</v>
      </c>
      <c r="Q1135" s="1" t="s">
        <v>9</v>
      </c>
      <c r="R1135" s="1" t="s">
        <v>27</v>
      </c>
      <c r="S1135" s="1" t="s">
        <v>31</v>
      </c>
      <c r="T1135" s="1">
        <v>2017</v>
      </c>
      <c r="U1135" s="1">
        <v>11</v>
      </c>
      <c r="V1135" s="50">
        <v>43040</v>
      </c>
      <c r="W1135" s="4">
        <v>4434.3999999999996</v>
      </c>
      <c r="X1135" s="48">
        <v>4820</v>
      </c>
    </row>
    <row r="1136" spans="2:24" x14ac:dyDescent="0.35">
      <c r="B1136" s="8" t="s">
        <v>7</v>
      </c>
      <c r="C1136" s="8" t="s">
        <v>49</v>
      </c>
      <c r="D1136" s="8" t="s">
        <v>11</v>
      </c>
      <c r="E1136" s="8" t="s">
        <v>27</v>
      </c>
      <c r="F1136" s="8" t="s">
        <v>33</v>
      </c>
      <c r="G1136" s="8">
        <v>2017</v>
      </c>
      <c r="H1136" s="8">
        <v>11</v>
      </c>
      <c r="I1136" s="10">
        <v>43040</v>
      </c>
      <c r="J1136" s="11">
        <v>3415</v>
      </c>
      <c r="K1136" s="51"/>
      <c r="O1136" s="1" t="s">
        <v>7</v>
      </c>
      <c r="P1136" s="1" t="s">
        <v>49</v>
      </c>
      <c r="Q1136" s="1" t="s">
        <v>11</v>
      </c>
      <c r="R1136" s="1" t="s">
        <v>27</v>
      </c>
      <c r="S1136" s="1" t="s">
        <v>33</v>
      </c>
      <c r="T1136" s="1">
        <v>2017</v>
      </c>
      <c r="U1136" s="1">
        <v>11</v>
      </c>
      <c r="V1136" s="50">
        <v>43040</v>
      </c>
      <c r="W1136" s="4">
        <v>2936.9000000000005</v>
      </c>
      <c r="X1136" s="48">
        <v>3415</v>
      </c>
    </row>
    <row r="1137" spans="2:24" x14ac:dyDescent="0.35">
      <c r="B1137" s="8" t="s">
        <v>7</v>
      </c>
      <c r="C1137" s="8" t="s">
        <v>49</v>
      </c>
      <c r="D1137" s="8" t="s">
        <v>11</v>
      </c>
      <c r="E1137" s="8" t="s">
        <v>23</v>
      </c>
      <c r="F1137" s="8" t="s">
        <v>36</v>
      </c>
      <c r="G1137" s="8">
        <v>2017</v>
      </c>
      <c r="H1137" s="8">
        <v>11</v>
      </c>
      <c r="I1137" s="10">
        <v>43040</v>
      </c>
      <c r="J1137" s="11">
        <v>1687</v>
      </c>
      <c r="K1137" s="51"/>
      <c r="O1137" s="1" t="s">
        <v>7</v>
      </c>
      <c r="P1137" s="1" t="s">
        <v>49</v>
      </c>
      <c r="Q1137" s="1" t="s">
        <v>11</v>
      </c>
      <c r="R1137" s="1" t="s">
        <v>23</v>
      </c>
      <c r="S1137" s="1" t="s">
        <v>36</v>
      </c>
      <c r="T1137" s="1">
        <v>2017</v>
      </c>
      <c r="U1137" s="1">
        <v>11</v>
      </c>
      <c r="V1137" s="50">
        <v>43040</v>
      </c>
      <c r="W1137" s="4">
        <v>1450.8200000000002</v>
      </c>
      <c r="X1137" s="48">
        <v>1687</v>
      </c>
    </row>
    <row r="1138" spans="2:24" x14ac:dyDescent="0.35">
      <c r="B1138" s="8" t="s">
        <v>7</v>
      </c>
      <c r="C1138" s="8" t="s">
        <v>43</v>
      </c>
      <c r="D1138" s="8" t="s">
        <v>10</v>
      </c>
      <c r="E1138" s="8" t="s">
        <v>23</v>
      </c>
      <c r="F1138" s="6" t="s">
        <v>36</v>
      </c>
      <c r="G1138" s="8">
        <v>2017</v>
      </c>
      <c r="H1138" s="8">
        <v>11</v>
      </c>
      <c r="I1138" s="10">
        <v>43040</v>
      </c>
      <c r="J1138" s="11">
        <v>2389</v>
      </c>
      <c r="K1138" s="51"/>
      <c r="O1138" s="1" t="s">
        <v>7</v>
      </c>
      <c r="P1138" s="1" t="s">
        <v>43</v>
      </c>
      <c r="Q1138" s="1" t="s">
        <v>10</v>
      </c>
      <c r="R1138" s="1" t="s">
        <v>23</v>
      </c>
      <c r="S1138" t="s">
        <v>36</v>
      </c>
      <c r="T1138" s="1">
        <v>2017</v>
      </c>
      <c r="U1138" s="1">
        <v>11</v>
      </c>
      <c r="V1138" s="50">
        <v>43040</v>
      </c>
      <c r="W1138" s="4">
        <v>2197.8799999999997</v>
      </c>
      <c r="X1138" s="48">
        <v>2389</v>
      </c>
    </row>
    <row r="1139" spans="2:24" x14ac:dyDescent="0.35">
      <c r="B1139" s="8" t="s">
        <v>6</v>
      </c>
      <c r="C1139" s="8" t="s">
        <v>40</v>
      </c>
      <c r="D1139" s="8" t="s">
        <v>41</v>
      </c>
      <c r="E1139" s="8" t="s">
        <v>0</v>
      </c>
      <c r="F1139" s="6" t="s">
        <v>45</v>
      </c>
      <c r="G1139" s="8">
        <v>2017</v>
      </c>
      <c r="H1139" s="8">
        <v>11</v>
      </c>
      <c r="I1139" s="10">
        <v>43040</v>
      </c>
      <c r="J1139" s="11">
        <v>3588</v>
      </c>
      <c r="K1139" s="51"/>
      <c r="O1139" s="1" t="s">
        <v>6</v>
      </c>
      <c r="P1139" s="1" t="s">
        <v>40</v>
      </c>
      <c r="Q1139" s="1" t="s">
        <v>41</v>
      </c>
      <c r="R1139" s="1" t="s">
        <v>0</v>
      </c>
      <c r="S1139" t="s">
        <v>45</v>
      </c>
      <c r="T1139" s="1">
        <v>2017</v>
      </c>
      <c r="U1139" s="1">
        <v>11</v>
      </c>
      <c r="V1139" s="50">
        <v>43040</v>
      </c>
      <c r="W1139" s="4">
        <v>3372.72</v>
      </c>
      <c r="X1139" s="48">
        <v>3588</v>
      </c>
    </row>
    <row r="1140" spans="2:24" x14ac:dyDescent="0.35">
      <c r="B1140" s="8" t="s">
        <v>7</v>
      </c>
      <c r="C1140" s="8" t="s">
        <v>32</v>
      </c>
      <c r="D1140" s="8" t="s">
        <v>8</v>
      </c>
      <c r="E1140" s="8" t="s">
        <v>27</v>
      </c>
      <c r="F1140" s="6" t="s">
        <v>28</v>
      </c>
      <c r="G1140" s="8">
        <v>2017</v>
      </c>
      <c r="H1140" s="8">
        <v>11</v>
      </c>
      <c r="I1140" s="10">
        <v>43040</v>
      </c>
      <c r="J1140" s="11">
        <v>4482</v>
      </c>
      <c r="K1140" s="51"/>
      <c r="O1140" s="1" t="s">
        <v>7</v>
      </c>
      <c r="P1140" s="1" t="s">
        <v>32</v>
      </c>
      <c r="Q1140" s="1" t="s">
        <v>8</v>
      </c>
      <c r="R1140" s="1" t="s">
        <v>27</v>
      </c>
      <c r="S1140" t="s">
        <v>28</v>
      </c>
      <c r="T1140" s="1">
        <v>2017</v>
      </c>
      <c r="U1140" s="1">
        <v>11</v>
      </c>
      <c r="V1140" s="50">
        <v>43040</v>
      </c>
      <c r="W1140" s="4">
        <v>3944.1599999999994</v>
      </c>
      <c r="X1140" s="48">
        <v>4482</v>
      </c>
    </row>
    <row r="1141" spans="2:24" x14ac:dyDescent="0.35">
      <c r="B1141" s="8" t="s">
        <v>7</v>
      </c>
      <c r="C1141" s="8" t="s">
        <v>32</v>
      </c>
      <c r="D1141" s="8" t="s">
        <v>8</v>
      </c>
      <c r="E1141" s="9" t="s">
        <v>27</v>
      </c>
      <c r="F1141" s="9" t="s">
        <v>31</v>
      </c>
      <c r="G1141" s="8">
        <v>2017</v>
      </c>
      <c r="H1141" s="8">
        <v>11</v>
      </c>
      <c r="I1141" s="10">
        <v>43040</v>
      </c>
      <c r="J1141" s="11">
        <v>5023</v>
      </c>
      <c r="K1141" s="51"/>
      <c r="O1141" s="1" t="s">
        <v>7</v>
      </c>
      <c r="P1141" s="1" t="s">
        <v>32</v>
      </c>
      <c r="Q1141" s="1" t="s">
        <v>8</v>
      </c>
      <c r="R1141" s="2" t="s">
        <v>27</v>
      </c>
      <c r="S1141" s="2" t="s">
        <v>31</v>
      </c>
      <c r="T1141" s="1">
        <v>2017</v>
      </c>
      <c r="U1141" s="1">
        <v>11</v>
      </c>
      <c r="V1141" s="50">
        <v>43040</v>
      </c>
      <c r="W1141" s="4">
        <v>4370.01</v>
      </c>
      <c r="X1141" s="48">
        <v>5023</v>
      </c>
    </row>
    <row r="1142" spans="2:24" x14ac:dyDescent="0.35">
      <c r="B1142" s="8" t="s">
        <v>6</v>
      </c>
      <c r="C1142" s="8" t="s">
        <v>29</v>
      </c>
      <c r="D1142" s="8" t="s">
        <v>30</v>
      </c>
      <c r="E1142" s="8" t="s">
        <v>23</v>
      </c>
      <c r="F1142" s="9" t="s">
        <v>24</v>
      </c>
      <c r="G1142" s="8">
        <v>2017</v>
      </c>
      <c r="H1142" s="8">
        <v>11</v>
      </c>
      <c r="I1142" s="10">
        <v>43040</v>
      </c>
      <c r="J1142" s="11">
        <v>1508</v>
      </c>
      <c r="K1142" s="51"/>
      <c r="O1142" s="1" t="s">
        <v>6</v>
      </c>
      <c r="P1142" s="1" t="s">
        <v>29</v>
      </c>
      <c r="Q1142" s="1" t="s">
        <v>30</v>
      </c>
      <c r="R1142" s="1" t="s">
        <v>23</v>
      </c>
      <c r="S1142" s="2" t="s">
        <v>24</v>
      </c>
      <c r="T1142" s="1">
        <v>2017</v>
      </c>
      <c r="U1142" s="1">
        <v>11</v>
      </c>
      <c r="V1142" s="50">
        <v>43040</v>
      </c>
      <c r="W1142" s="4">
        <v>1402.4399999999998</v>
      </c>
      <c r="X1142" s="48">
        <v>1508</v>
      </c>
    </row>
    <row r="1143" spans="2:24" x14ac:dyDescent="0.35">
      <c r="B1143" s="8" t="s">
        <v>7</v>
      </c>
      <c r="C1143" s="8" t="s">
        <v>48</v>
      </c>
      <c r="D1143" s="8" t="s">
        <v>9</v>
      </c>
      <c r="E1143" s="8" t="s">
        <v>0</v>
      </c>
      <c r="F1143" s="6" t="s">
        <v>42</v>
      </c>
      <c r="G1143" s="8">
        <v>2017</v>
      </c>
      <c r="H1143" s="8">
        <v>11</v>
      </c>
      <c r="I1143" s="10">
        <v>43040</v>
      </c>
      <c r="J1143" s="11">
        <v>6931</v>
      </c>
      <c r="K1143" s="51"/>
      <c r="O1143" s="1" t="s">
        <v>7</v>
      </c>
      <c r="P1143" s="1" t="s">
        <v>48</v>
      </c>
      <c r="Q1143" s="1" t="s">
        <v>9</v>
      </c>
      <c r="R1143" s="1" t="s">
        <v>0</v>
      </c>
      <c r="S1143" t="s">
        <v>42</v>
      </c>
      <c r="T1143" s="1">
        <v>2017</v>
      </c>
      <c r="U1143" s="1">
        <v>11</v>
      </c>
      <c r="V1143" s="50">
        <v>43040</v>
      </c>
      <c r="W1143" s="4">
        <v>6515.1399999999994</v>
      </c>
      <c r="X1143" s="48">
        <v>6931</v>
      </c>
    </row>
    <row r="1144" spans="2:24" x14ac:dyDescent="0.35">
      <c r="B1144" s="8" t="s">
        <v>7</v>
      </c>
      <c r="C1144" s="8" t="s">
        <v>48</v>
      </c>
      <c r="D1144" s="8" t="s">
        <v>9</v>
      </c>
      <c r="E1144" s="8" t="s">
        <v>0</v>
      </c>
      <c r="F1144" s="8" t="s">
        <v>26</v>
      </c>
      <c r="G1144" s="8">
        <v>2017</v>
      </c>
      <c r="H1144" s="8">
        <v>11</v>
      </c>
      <c r="I1144" s="10">
        <v>43040</v>
      </c>
      <c r="J1144" s="11">
        <v>3247</v>
      </c>
      <c r="K1144" s="51"/>
      <c r="O1144" s="1" t="s">
        <v>7</v>
      </c>
      <c r="P1144" s="1" t="s">
        <v>48</v>
      </c>
      <c r="Q1144" s="1" t="s">
        <v>9</v>
      </c>
      <c r="R1144" s="1" t="s">
        <v>0</v>
      </c>
      <c r="S1144" s="1" t="s">
        <v>26</v>
      </c>
      <c r="T1144" s="1">
        <v>2017</v>
      </c>
      <c r="U1144" s="1">
        <v>11</v>
      </c>
      <c r="V1144" s="50">
        <v>43040</v>
      </c>
      <c r="W1144" s="4">
        <v>2954.7699999999995</v>
      </c>
      <c r="X1144" s="48">
        <v>3247</v>
      </c>
    </row>
    <row r="1145" spans="2:24" x14ac:dyDescent="0.35">
      <c r="B1145" s="8" t="s">
        <v>7</v>
      </c>
      <c r="C1145" s="8" t="s">
        <v>49</v>
      </c>
      <c r="D1145" s="8" t="s">
        <v>11</v>
      </c>
      <c r="E1145" s="8" t="s">
        <v>0</v>
      </c>
      <c r="F1145" s="8" t="s">
        <v>45</v>
      </c>
      <c r="G1145" s="8">
        <v>2017</v>
      </c>
      <c r="H1145" s="8">
        <v>11</v>
      </c>
      <c r="I1145" s="10">
        <v>43040</v>
      </c>
      <c r="J1145" s="11">
        <v>3891</v>
      </c>
      <c r="K1145" s="51"/>
      <c r="O1145" s="1" t="s">
        <v>7</v>
      </c>
      <c r="P1145" s="1" t="s">
        <v>49</v>
      </c>
      <c r="Q1145" s="1" t="s">
        <v>11</v>
      </c>
      <c r="R1145" s="1" t="s">
        <v>0</v>
      </c>
      <c r="S1145" s="1" t="s">
        <v>45</v>
      </c>
      <c r="T1145" s="1">
        <v>2017</v>
      </c>
      <c r="U1145" s="1">
        <v>11</v>
      </c>
      <c r="V1145" s="50">
        <v>43040</v>
      </c>
      <c r="W1145" s="4">
        <v>3579.72</v>
      </c>
      <c r="X1145" s="48">
        <v>3891</v>
      </c>
    </row>
    <row r="1146" spans="2:24" x14ac:dyDescent="0.35">
      <c r="B1146" s="8" t="s">
        <v>7</v>
      </c>
      <c r="C1146" s="8" t="s">
        <v>49</v>
      </c>
      <c r="D1146" s="8" t="s">
        <v>11</v>
      </c>
      <c r="E1146" s="8" t="s">
        <v>27</v>
      </c>
      <c r="F1146" s="8" t="s">
        <v>28</v>
      </c>
      <c r="G1146" s="8">
        <v>2017</v>
      </c>
      <c r="H1146" s="8">
        <v>11</v>
      </c>
      <c r="I1146" s="10">
        <v>43040</v>
      </c>
      <c r="J1146" s="11">
        <v>4797</v>
      </c>
      <c r="K1146" s="51"/>
      <c r="O1146" s="1" t="s">
        <v>7</v>
      </c>
      <c r="P1146" s="1" t="s">
        <v>49</v>
      </c>
      <c r="Q1146" s="1" t="s">
        <v>11</v>
      </c>
      <c r="R1146" s="1" t="s">
        <v>27</v>
      </c>
      <c r="S1146" s="1" t="s">
        <v>28</v>
      </c>
      <c r="T1146" s="1">
        <v>2017</v>
      </c>
      <c r="U1146" s="1">
        <v>11</v>
      </c>
      <c r="V1146" s="50">
        <v>43040</v>
      </c>
      <c r="W1146" s="4">
        <v>4317.2999999999993</v>
      </c>
      <c r="X1146" s="48">
        <v>4797</v>
      </c>
    </row>
    <row r="1147" spans="2:24" x14ac:dyDescent="0.35">
      <c r="B1147" s="8" t="s">
        <v>12</v>
      </c>
      <c r="C1147" s="8" t="s">
        <v>34</v>
      </c>
      <c r="D1147" s="8" t="s">
        <v>35</v>
      </c>
      <c r="E1147" s="8" t="s">
        <v>27</v>
      </c>
      <c r="F1147" s="6" t="s">
        <v>31</v>
      </c>
      <c r="G1147" s="8">
        <v>2017</v>
      </c>
      <c r="H1147" s="8">
        <v>11</v>
      </c>
      <c r="I1147" s="10">
        <v>43040</v>
      </c>
      <c r="J1147" s="11">
        <v>4272</v>
      </c>
      <c r="K1147" s="51"/>
      <c r="O1147" s="1" t="s">
        <v>12</v>
      </c>
      <c r="P1147" s="1" t="s">
        <v>34</v>
      </c>
      <c r="Q1147" s="1" t="s">
        <v>35</v>
      </c>
      <c r="R1147" s="1" t="s">
        <v>27</v>
      </c>
      <c r="S1147" t="s">
        <v>31</v>
      </c>
      <c r="T1147" s="1">
        <v>2017</v>
      </c>
      <c r="U1147" s="1">
        <v>11</v>
      </c>
      <c r="V1147" s="50">
        <v>43040</v>
      </c>
      <c r="W1147" s="4">
        <v>3673.9200000000005</v>
      </c>
      <c r="X1147" s="48">
        <v>4272</v>
      </c>
    </row>
    <row r="1148" spans="2:24" x14ac:dyDescent="0.35">
      <c r="B1148" s="8" t="s">
        <v>12</v>
      </c>
      <c r="C1148" s="8" t="s">
        <v>34</v>
      </c>
      <c r="D1148" s="8" t="s">
        <v>35</v>
      </c>
      <c r="E1148" s="8" t="s">
        <v>27</v>
      </c>
      <c r="F1148" s="6" t="s">
        <v>33</v>
      </c>
      <c r="G1148" s="8">
        <v>2017</v>
      </c>
      <c r="H1148" s="8">
        <v>11</v>
      </c>
      <c r="I1148" s="10">
        <v>43040</v>
      </c>
      <c r="J1148" s="11">
        <v>3121</v>
      </c>
      <c r="K1148" s="51"/>
      <c r="O1148" s="1" t="s">
        <v>12</v>
      </c>
      <c r="P1148" s="1" t="s">
        <v>34</v>
      </c>
      <c r="Q1148" s="1" t="s">
        <v>35</v>
      </c>
      <c r="R1148" s="1" t="s">
        <v>27</v>
      </c>
      <c r="S1148" t="s">
        <v>33</v>
      </c>
      <c r="T1148" s="1">
        <v>2017</v>
      </c>
      <c r="U1148" s="1">
        <v>11</v>
      </c>
      <c r="V1148" s="50">
        <v>43040</v>
      </c>
      <c r="W1148" s="4">
        <v>2746.4799999999996</v>
      </c>
      <c r="X1148" s="48">
        <v>3121</v>
      </c>
    </row>
    <row r="1149" spans="2:24" x14ac:dyDescent="0.35">
      <c r="B1149" s="8" t="s">
        <v>14</v>
      </c>
      <c r="C1149" s="8" t="s">
        <v>37</v>
      </c>
      <c r="D1149" s="8" t="s">
        <v>38</v>
      </c>
      <c r="E1149" s="8" t="s">
        <v>23</v>
      </c>
      <c r="F1149" s="6" t="s">
        <v>36</v>
      </c>
      <c r="G1149" s="8">
        <v>2017</v>
      </c>
      <c r="H1149" s="8">
        <v>11</v>
      </c>
      <c r="I1149" s="10">
        <v>43040</v>
      </c>
      <c r="J1149" s="11">
        <v>2424</v>
      </c>
      <c r="K1149" s="51"/>
      <c r="O1149" s="1" t="s">
        <v>14</v>
      </c>
      <c r="P1149" s="1" t="s">
        <v>37</v>
      </c>
      <c r="Q1149" s="1" t="s">
        <v>38</v>
      </c>
      <c r="R1149" s="1" t="s">
        <v>23</v>
      </c>
      <c r="S1149" t="s">
        <v>36</v>
      </c>
      <c r="T1149" s="1">
        <v>2017</v>
      </c>
      <c r="U1149" s="1">
        <v>11</v>
      </c>
      <c r="V1149" s="50">
        <v>43040</v>
      </c>
      <c r="W1149" s="4">
        <v>2230.08</v>
      </c>
      <c r="X1149" s="48">
        <v>2424</v>
      </c>
    </row>
    <row r="1150" spans="2:24" x14ac:dyDescent="0.35">
      <c r="B1150" s="8" t="s">
        <v>12</v>
      </c>
      <c r="C1150" s="8" t="s">
        <v>44</v>
      </c>
      <c r="D1150" s="8" t="s">
        <v>13</v>
      </c>
      <c r="E1150" s="9" t="s">
        <v>23</v>
      </c>
      <c r="F1150" s="9" t="s">
        <v>39</v>
      </c>
      <c r="G1150" s="8">
        <v>2017</v>
      </c>
      <c r="H1150" s="8">
        <v>11</v>
      </c>
      <c r="I1150" s="10">
        <v>43040</v>
      </c>
      <c r="J1150" s="11">
        <v>1833</v>
      </c>
      <c r="K1150" s="51"/>
      <c r="O1150" s="1" t="s">
        <v>12</v>
      </c>
      <c r="P1150" s="1" t="s">
        <v>44</v>
      </c>
      <c r="Q1150" s="1" t="s">
        <v>13</v>
      </c>
      <c r="R1150" s="2" t="s">
        <v>23</v>
      </c>
      <c r="S1150" s="2" t="s">
        <v>39</v>
      </c>
      <c r="T1150" s="1">
        <v>2017</v>
      </c>
      <c r="U1150" s="1">
        <v>11</v>
      </c>
      <c r="V1150" s="50">
        <v>43040</v>
      </c>
      <c r="W1150" s="4">
        <v>1686.36</v>
      </c>
      <c r="X1150" s="48">
        <v>1833</v>
      </c>
    </row>
    <row r="1151" spans="2:24" x14ac:dyDescent="0.35">
      <c r="B1151" s="8" t="s">
        <v>12</v>
      </c>
      <c r="C1151" s="8" t="s">
        <v>44</v>
      </c>
      <c r="D1151" s="8" t="s">
        <v>13</v>
      </c>
      <c r="E1151" s="8" t="s">
        <v>0</v>
      </c>
      <c r="F1151" s="9" t="s">
        <v>42</v>
      </c>
      <c r="G1151" s="8">
        <v>2017</v>
      </c>
      <c r="H1151" s="8">
        <v>11</v>
      </c>
      <c r="I1151" s="10">
        <v>43040</v>
      </c>
      <c r="J1151" s="11">
        <v>5901</v>
      </c>
      <c r="K1151" s="51"/>
      <c r="O1151" s="1" t="s">
        <v>12</v>
      </c>
      <c r="P1151" s="1" t="s">
        <v>44</v>
      </c>
      <c r="Q1151" s="1" t="s">
        <v>13</v>
      </c>
      <c r="R1151" s="1" t="s">
        <v>0</v>
      </c>
      <c r="S1151" s="2" t="s">
        <v>42</v>
      </c>
      <c r="T1151" s="1">
        <v>2017</v>
      </c>
      <c r="U1151" s="1">
        <v>11</v>
      </c>
      <c r="V1151" s="50">
        <v>43040</v>
      </c>
      <c r="W1151" s="4">
        <v>5251.8899999999994</v>
      </c>
      <c r="X1151" s="48">
        <v>5901</v>
      </c>
    </row>
    <row r="1152" spans="2:24" x14ac:dyDescent="0.35">
      <c r="B1152" s="8" t="s">
        <v>14</v>
      </c>
      <c r="C1152" s="8" t="s">
        <v>46</v>
      </c>
      <c r="D1152" s="8" t="s">
        <v>47</v>
      </c>
      <c r="E1152" s="8" t="s">
        <v>0</v>
      </c>
      <c r="F1152" s="6" t="s">
        <v>26</v>
      </c>
      <c r="G1152" s="8">
        <v>2017</v>
      </c>
      <c r="H1152" s="8">
        <v>11</v>
      </c>
      <c r="I1152" s="10">
        <v>43040</v>
      </c>
      <c r="J1152" s="11">
        <v>3372</v>
      </c>
      <c r="K1152" s="51"/>
      <c r="O1152" s="1" t="s">
        <v>14</v>
      </c>
      <c r="P1152" s="1" t="s">
        <v>46</v>
      </c>
      <c r="Q1152" s="1" t="s">
        <v>47</v>
      </c>
      <c r="R1152" s="1" t="s">
        <v>0</v>
      </c>
      <c r="S1152" t="s">
        <v>26</v>
      </c>
      <c r="T1152" s="1">
        <v>2017</v>
      </c>
      <c r="U1152" s="1">
        <v>11</v>
      </c>
      <c r="V1152" s="50">
        <v>43040</v>
      </c>
      <c r="W1152" s="4">
        <v>2899.9200000000005</v>
      </c>
      <c r="X1152" s="48">
        <v>3372</v>
      </c>
    </row>
    <row r="1153" spans="2:24" x14ac:dyDescent="0.35">
      <c r="B1153" s="8" t="s">
        <v>14</v>
      </c>
      <c r="C1153" s="8" t="s">
        <v>46</v>
      </c>
      <c r="D1153" s="8" t="s">
        <v>47</v>
      </c>
      <c r="E1153" s="8" t="s">
        <v>0</v>
      </c>
      <c r="F1153" s="8" t="s">
        <v>45</v>
      </c>
      <c r="G1153" s="8">
        <v>2017</v>
      </c>
      <c r="H1153" s="8">
        <v>11</v>
      </c>
      <c r="I1153" s="10">
        <v>43040</v>
      </c>
      <c r="J1153" s="11">
        <v>4869</v>
      </c>
      <c r="K1153" s="51"/>
      <c r="O1153" s="1" t="s">
        <v>14</v>
      </c>
      <c r="P1153" s="1" t="s">
        <v>46</v>
      </c>
      <c r="Q1153" s="1" t="s">
        <v>47</v>
      </c>
      <c r="R1153" s="1" t="s">
        <v>0</v>
      </c>
      <c r="S1153" s="1" t="s">
        <v>45</v>
      </c>
      <c r="T1153" s="1">
        <v>2017</v>
      </c>
      <c r="U1153" s="1">
        <v>11</v>
      </c>
      <c r="V1153" s="50">
        <v>43040</v>
      </c>
      <c r="W1153" s="4">
        <v>4528.17</v>
      </c>
      <c r="X1153" s="48">
        <v>4869</v>
      </c>
    </row>
    <row r="1154" spans="2:24" x14ac:dyDescent="0.35">
      <c r="B1154" s="8" t="s">
        <v>3</v>
      </c>
      <c r="C1154" s="8" t="s">
        <v>25</v>
      </c>
      <c r="D1154" s="8" t="s">
        <v>4</v>
      </c>
      <c r="E1154" s="8" t="s">
        <v>27</v>
      </c>
      <c r="F1154" s="8" t="s">
        <v>33</v>
      </c>
      <c r="G1154" s="8">
        <v>2017</v>
      </c>
      <c r="H1154" s="8">
        <v>11</v>
      </c>
      <c r="I1154" s="10">
        <v>43040</v>
      </c>
      <c r="J1154" s="11">
        <v>3823</v>
      </c>
      <c r="K1154" s="51"/>
      <c r="O1154" s="1" t="s">
        <v>3</v>
      </c>
      <c r="P1154" s="1" t="s">
        <v>25</v>
      </c>
      <c r="Q1154" s="1" t="s">
        <v>4</v>
      </c>
      <c r="R1154" s="1" t="s">
        <v>27</v>
      </c>
      <c r="S1154" s="1" t="s">
        <v>33</v>
      </c>
      <c r="T1154" s="1">
        <v>2017</v>
      </c>
      <c r="U1154" s="1">
        <v>11</v>
      </c>
      <c r="V1154" s="50">
        <v>43040</v>
      </c>
      <c r="W1154" s="4">
        <v>3249.55</v>
      </c>
      <c r="X1154" s="48">
        <v>3823</v>
      </c>
    </row>
    <row r="1155" spans="2:24" x14ac:dyDescent="0.35">
      <c r="B1155" s="8" t="s">
        <v>3</v>
      </c>
      <c r="C1155" s="8" t="s">
        <v>25</v>
      </c>
      <c r="D1155" s="8" t="s">
        <v>4</v>
      </c>
      <c r="E1155" s="8" t="s">
        <v>23</v>
      </c>
      <c r="F1155" s="8" t="s">
        <v>36</v>
      </c>
      <c r="G1155" s="8">
        <v>2017</v>
      </c>
      <c r="H1155" s="8">
        <v>11</v>
      </c>
      <c r="I1155" s="10">
        <v>43040</v>
      </c>
      <c r="J1155" s="11">
        <v>2357</v>
      </c>
      <c r="K1155" s="51"/>
      <c r="O1155" s="1" t="s">
        <v>3</v>
      </c>
      <c r="P1155" s="1" t="s">
        <v>25</v>
      </c>
      <c r="Q1155" s="1" t="s">
        <v>4</v>
      </c>
      <c r="R1155" s="1" t="s">
        <v>23</v>
      </c>
      <c r="S1155" s="1" t="s">
        <v>36</v>
      </c>
      <c r="T1155" s="1">
        <v>2017</v>
      </c>
      <c r="U1155" s="1">
        <v>11</v>
      </c>
      <c r="V1155" s="50">
        <v>43040</v>
      </c>
      <c r="W1155" s="4">
        <v>2003.4500000000003</v>
      </c>
      <c r="X1155" s="48">
        <v>2357</v>
      </c>
    </row>
    <row r="1156" spans="2:24" x14ac:dyDescent="0.35">
      <c r="B1156" s="8" t="s">
        <v>6</v>
      </c>
      <c r="C1156" s="8" t="s">
        <v>40</v>
      </c>
      <c r="D1156" s="8" t="s">
        <v>41</v>
      </c>
      <c r="E1156" s="8" t="s">
        <v>23</v>
      </c>
      <c r="F1156" s="6" t="s">
        <v>39</v>
      </c>
      <c r="G1156" s="8">
        <v>2017</v>
      </c>
      <c r="H1156" s="8">
        <v>11</v>
      </c>
      <c r="I1156" s="10">
        <v>43040</v>
      </c>
      <c r="J1156" s="11">
        <v>1332</v>
      </c>
      <c r="K1156" s="51"/>
      <c r="O1156" s="1" t="s">
        <v>6</v>
      </c>
      <c r="P1156" s="1" t="s">
        <v>40</v>
      </c>
      <c r="Q1156" s="1" t="s">
        <v>41</v>
      </c>
      <c r="R1156" s="1" t="s">
        <v>23</v>
      </c>
      <c r="S1156" t="s">
        <v>39</v>
      </c>
      <c r="T1156" s="1">
        <v>2017</v>
      </c>
      <c r="U1156" s="1">
        <v>11</v>
      </c>
      <c r="V1156" s="50">
        <v>43040</v>
      </c>
      <c r="W1156" s="4">
        <v>1252.08</v>
      </c>
      <c r="X1156" s="48">
        <v>1332</v>
      </c>
    </row>
    <row r="1157" spans="2:24" x14ac:dyDescent="0.35">
      <c r="B1157" s="8" t="s">
        <v>7</v>
      </c>
      <c r="C1157" s="8" t="s">
        <v>48</v>
      </c>
      <c r="D1157" s="8" t="s">
        <v>9</v>
      </c>
      <c r="E1157" s="8" t="s">
        <v>0</v>
      </c>
      <c r="F1157" s="6" t="s">
        <v>45</v>
      </c>
      <c r="G1157" s="8">
        <v>2017</v>
      </c>
      <c r="H1157" s="8">
        <v>11</v>
      </c>
      <c r="I1157" s="10">
        <v>43040</v>
      </c>
      <c r="J1157" s="11">
        <v>3366</v>
      </c>
      <c r="K1157" s="51"/>
      <c r="O1157" s="1" t="s">
        <v>7</v>
      </c>
      <c r="P1157" s="1" t="s">
        <v>48</v>
      </c>
      <c r="Q1157" s="1" t="s">
        <v>9</v>
      </c>
      <c r="R1157" s="1" t="s">
        <v>0</v>
      </c>
      <c r="S1157" t="s">
        <v>45</v>
      </c>
      <c r="T1157" s="1">
        <v>2017</v>
      </c>
      <c r="U1157" s="1">
        <v>11</v>
      </c>
      <c r="V1157" s="50">
        <v>43040</v>
      </c>
      <c r="W1157" s="4">
        <v>3063.0599999999995</v>
      </c>
      <c r="X1157" s="48">
        <v>3366</v>
      </c>
    </row>
    <row r="1158" spans="2:24" x14ac:dyDescent="0.35">
      <c r="B1158" s="8" t="s">
        <v>7</v>
      </c>
      <c r="C1158" s="8" t="s">
        <v>49</v>
      </c>
      <c r="D1158" s="8" t="s">
        <v>11</v>
      </c>
      <c r="E1158" s="8" t="s">
        <v>27</v>
      </c>
      <c r="F1158" s="6" t="s">
        <v>31</v>
      </c>
      <c r="G1158" s="8">
        <v>2017</v>
      </c>
      <c r="H1158" s="8">
        <v>11</v>
      </c>
      <c r="I1158" s="10">
        <v>43040</v>
      </c>
      <c r="J1158" s="11">
        <v>3360</v>
      </c>
      <c r="K1158" s="51"/>
      <c r="O1158" s="1" t="s">
        <v>7</v>
      </c>
      <c r="P1158" s="1" t="s">
        <v>49</v>
      </c>
      <c r="Q1158" s="1" t="s">
        <v>11</v>
      </c>
      <c r="R1158" s="1" t="s">
        <v>27</v>
      </c>
      <c r="S1158" t="s">
        <v>31</v>
      </c>
      <c r="T1158" s="1">
        <v>2017</v>
      </c>
      <c r="U1158" s="1">
        <v>11</v>
      </c>
      <c r="V1158" s="50">
        <v>43040</v>
      </c>
      <c r="W1158" s="4">
        <v>2889.6000000000004</v>
      </c>
      <c r="X1158" s="48">
        <v>3360</v>
      </c>
    </row>
    <row r="1159" spans="2:24" x14ac:dyDescent="0.35">
      <c r="B1159" s="8" t="s">
        <v>7</v>
      </c>
      <c r="C1159" s="8" t="s">
        <v>43</v>
      </c>
      <c r="D1159" s="8" t="s">
        <v>10</v>
      </c>
      <c r="E1159" s="9" t="s">
        <v>27</v>
      </c>
      <c r="F1159" s="9" t="s">
        <v>33</v>
      </c>
      <c r="G1159" s="8">
        <v>2017</v>
      </c>
      <c r="H1159" s="8">
        <v>11</v>
      </c>
      <c r="I1159" s="10">
        <v>43040</v>
      </c>
      <c r="J1159" s="11">
        <v>3512</v>
      </c>
      <c r="K1159" s="51"/>
      <c r="O1159" s="1" t="s">
        <v>7</v>
      </c>
      <c r="P1159" s="1" t="s">
        <v>43</v>
      </c>
      <c r="Q1159" s="1" t="s">
        <v>10</v>
      </c>
      <c r="R1159" s="2" t="s">
        <v>27</v>
      </c>
      <c r="S1159" s="2" t="s">
        <v>33</v>
      </c>
      <c r="T1159" s="1">
        <v>2017</v>
      </c>
      <c r="U1159" s="1">
        <v>11</v>
      </c>
      <c r="V1159" s="50">
        <v>43040</v>
      </c>
      <c r="W1159" s="4">
        <v>3301.2799999999997</v>
      </c>
      <c r="X1159" s="48">
        <v>3512</v>
      </c>
    </row>
    <row r="1160" spans="2:24" x14ac:dyDescent="0.35">
      <c r="B1160" s="8" t="s">
        <v>7</v>
      </c>
      <c r="C1160" s="8" t="s">
        <v>32</v>
      </c>
      <c r="D1160" s="8" t="s">
        <v>8</v>
      </c>
      <c r="E1160" s="8" t="s">
        <v>0</v>
      </c>
      <c r="F1160" s="9" t="s">
        <v>45</v>
      </c>
      <c r="G1160" s="8">
        <v>2017</v>
      </c>
      <c r="H1160" s="8">
        <v>11</v>
      </c>
      <c r="I1160" s="10">
        <v>43040</v>
      </c>
      <c r="J1160" s="11">
        <v>3034</v>
      </c>
      <c r="K1160" s="51"/>
      <c r="O1160" s="1" t="s">
        <v>7</v>
      </c>
      <c r="P1160" s="1" t="s">
        <v>32</v>
      </c>
      <c r="Q1160" s="1" t="s">
        <v>8</v>
      </c>
      <c r="R1160" s="1" t="s">
        <v>0</v>
      </c>
      <c r="S1160" s="2" t="s">
        <v>45</v>
      </c>
      <c r="T1160" s="1">
        <v>2017</v>
      </c>
      <c r="U1160" s="1">
        <v>11</v>
      </c>
      <c r="V1160" s="50">
        <v>43040</v>
      </c>
      <c r="W1160" s="4">
        <v>2760.9399999999996</v>
      </c>
      <c r="X1160" s="48">
        <v>3034</v>
      </c>
    </row>
    <row r="1161" spans="2:24" x14ac:dyDescent="0.35">
      <c r="B1161" s="8" t="s">
        <v>7</v>
      </c>
      <c r="C1161" s="8" t="s">
        <v>48</v>
      </c>
      <c r="D1161" s="8" t="s">
        <v>9</v>
      </c>
      <c r="E1161" s="8" t="s">
        <v>23</v>
      </c>
      <c r="F1161" s="6" t="s">
        <v>39</v>
      </c>
      <c r="G1161" s="8">
        <v>2017</v>
      </c>
      <c r="H1161" s="8">
        <v>11</v>
      </c>
      <c r="I1161" s="10">
        <v>43040</v>
      </c>
      <c r="J1161" s="11">
        <v>2800</v>
      </c>
      <c r="K1161" s="51"/>
      <c r="O1161" s="1" t="s">
        <v>7</v>
      </c>
      <c r="P1161" s="1" t="s">
        <v>48</v>
      </c>
      <c r="Q1161" s="1" t="s">
        <v>9</v>
      </c>
      <c r="R1161" s="1" t="s">
        <v>23</v>
      </c>
      <c r="S1161" t="s">
        <v>39</v>
      </c>
      <c r="T1161" s="1">
        <v>2017</v>
      </c>
      <c r="U1161" s="1">
        <v>11</v>
      </c>
      <c r="V1161" s="50">
        <v>43040</v>
      </c>
      <c r="W1161" s="4">
        <v>2491.9999999999995</v>
      </c>
      <c r="X1161" s="48">
        <v>2800</v>
      </c>
    </row>
    <row r="1162" spans="2:24" x14ac:dyDescent="0.35">
      <c r="B1162" s="8" t="s">
        <v>7</v>
      </c>
      <c r="C1162" s="8" t="s">
        <v>49</v>
      </c>
      <c r="D1162" s="8" t="s">
        <v>11</v>
      </c>
      <c r="E1162" s="8" t="s">
        <v>0</v>
      </c>
      <c r="F1162" s="8" t="s">
        <v>26</v>
      </c>
      <c r="G1162" s="8">
        <v>2017</v>
      </c>
      <c r="H1162" s="8">
        <v>11</v>
      </c>
      <c r="I1162" s="10">
        <v>43040</v>
      </c>
      <c r="J1162" s="11">
        <v>2711</v>
      </c>
      <c r="K1162" s="51"/>
      <c r="O1162" s="1" t="s">
        <v>7</v>
      </c>
      <c r="P1162" s="1" t="s">
        <v>49</v>
      </c>
      <c r="Q1162" s="1" t="s">
        <v>11</v>
      </c>
      <c r="R1162" s="1" t="s">
        <v>0</v>
      </c>
      <c r="S1162" s="1" t="s">
        <v>26</v>
      </c>
      <c r="T1162" s="1">
        <v>2017</v>
      </c>
      <c r="U1162" s="1">
        <v>11</v>
      </c>
      <c r="V1162" s="50">
        <v>43040</v>
      </c>
      <c r="W1162" s="4">
        <v>2467.0099999999998</v>
      </c>
      <c r="X1162" s="48">
        <v>2711</v>
      </c>
    </row>
    <row r="1163" spans="2:24" x14ac:dyDescent="0.35">
      <c r="B1163" s="8" t="s">
        <v>12</v>
      </c>
      <c r="C1163" s="8" t="s">
        <v>34</v>
      </c>
      <c r="D1163" s="8" t="s">
        <v>35</v>
      </c>
      <c r="E1163" s="8" t="s">
        <v>27</v>
      </c>
      <c r="F1163" s="8" t="s">
        <v>28</v>
      </c>
      <c r="G1163" s="8">
        <v>2017</v>
      </c>
      <c r="H1163" s="8">
        <v>11</v>
      </c>
      <c r="I1163" s="10">
        <v>43040</v>
      </c>
      <c r="J1163" s="11">
        <v>4237</v>
      </c>
      <c r="K1163" s="51"/>
      <c r="O1163" s="1" t="s">
        <v>12</v>
      </c>
      <c r="P1163" s="1" t="s">
        <v>34</v>
      </c>
      <c r="Q1163" s="1" t="s">
        <v>35</v>
      </c>
      <c r="R1163" s="1" t="s">
        <v>27</v>
      </c>
      <c r="S1163" s="1" t="s">
        <v>28</v>
      </c>
      <c r="T1163" s="1">
        <v>2017</v>
      </c>
      <c r="U1163" s="1">
        <v>11</v>
      </c>
      <c r="V1163" s="50">
        <v>43040</v>
      </c>
      <c r="W1163" s="4">
        <v>3770.9299999999994</v>
      </c>
      <c r="X1163" s="48">
        <v>4237</v>
      </c>
    </row>
    <row r="1164" spans="2:24" x14ac:dyDescent="0.35">
      <c r="B1164" s="8" t="s">
        <v>14</v>
      </c>
      <c r="C1164" s="8" t="s">
        <v>37</v>
      </c>
      <c r="D1164" s="8" t="s">
        <v>38</v>
      </c>
      <c r="E1164" s="8" t="s">
        <v>27</v>
      </c>
      <c r="F1164" s="8" t="s">
        <v>33</v>
      </c>
      <c r="G1164" s="8">
        <v>2017</v>
      </c>
      <c r="H1164" s="8">
        <v>11</v>
      </c>
      <c r="I1164" s="10">
        <v>43040</v>
      </c>
      <c r="J1164" s="11">
        <v>3322</v>
      </c>
      <c r="K1164" s="51"/>
      <c r="O1164" s="1" t="s">
        <v>14</v>
      </c>
      <c r="P1164" s="1" t="s">
        <v>37</v>
      </c>
      <c r="Q1164" s="1" t="s">
        <v>38</v>
      </c>
      <c r="R1164" s="1" t="s">
        <v>27</v>
      </c>
      <c r="S1164" s="1" t="s">
        <v>33</v>
      </c>
      <c r="T1164" s="1">
        <v>2017</v>
      </c>
      <c r="U1164" s="1">
        <v>11</v>
      </c>
      <c r="V1164" s="50">
        <v>43040</v>
      </c>
      <c r="W1164" s="4">
        <v>3023.0199999999995</v>
      </c>
      <c r="X1164" s="48">
        <v>3322</v>
      </c>
    </row>
    <row r="1165" spans="2:24" x14ac:dyDescent="0.35">
      <c r="B1165" s="8" t="s">
        <v>12</v>
      </c>
      <c r="C1165" s="8" t="s">
        <v>44</v>
      </c>
      <c r="D1165" s="8" t="s">
        <v>13</v>
      </c>
      <c r="E1165" s="8" t="s">
        <v>23</v>
      </c>
      <c r="F1165" s="6" t="s">
        <v>24</v>
      </c>
      <c r="G1165" s="8">
        <v>2017</v>
      </c>
      <c r="H1165" s="8">
        <v>11</v>
      </c>
      <c r="I1165" s="10">
        <v>43040</v>
      </c>
      <c r="J1165" s="11">
        <v>2637</v>
      </c>
      <c r="K1165" s="51"/>
      <c r="O1165" s="1" t="s">
        <v>12</v>
      </c>
      <c r="P1165" s="1" t="s">
        <v>44</v>
      </c>
      <c r="Q1165" s="1" t="s">
        <v>13</v>
      </c>
      <c r="R1165" s="1" t="s">
        <v>23</v>
      </c>
      <c r="S1165" t="s">
        <v>24</v>
      </c>
      <c r="T1165" s="1">
        <v>2017</v>
      </c>
      <c r="U1165" s="1">
        <v>11</v>
      </c>
      <c r="V1165" s="50">
        <v>43040</v>
      </c>
      <c r="W1165" s="4">
        <v>2294.1900000000005</v>
      </c>
      <c r="X1165" s="48">
        <v>2637</v>
      </c>
    </row>
    <row r="1166" spans="2:24" x14ac:dyDescent="0.35">
      <c r="B1166" s="8" t="s">
        <v>14</v>
      </c>
      <c r="C1166" s="8" t="s">
        <v>46</v>
      </c>
      <c r="D1166" s="8" t="s">
        <v>47</v>
      </c>
      <c r="E1166" s="8" t="s">
        <v>0</v>
      </c>
      <c r="F1166" s="6" t="s">
        <v>42</v>
      </c>
      <c r="G1166" s="8">
        <v>2017</v>
      </c>
      <c r="H1166" s="8">
        <v>11</v>
      </c>
      <c r="I1166" s="10">
        <v>43040</v>
      </c>
      <c r="J1166" s="11">
        <v>6223</v>
      </c>
      <c r="K1166" s="51"/>
      <c r="O1166" s="1" t="s">
        <v>14</v>
      </c>
      <c r="P1166" s="1" t="s">
        <v>46</v>
      </c>
      <c r="Q1166" s="1" t="s">
        <v>47</v>
      </c>
      <c r="R1166" s="1" t="s">
        <v>0</v>
      </c>
      <c r="S1166" t="s">
        <v>42</v>
      </c>
      <c r="T1166" s="1">
        <v>2017</v>
      </c>
      <c r="U1166" s="1">
        <v>11</v>
      </c>
      <c r="V1166" s="50">
        <v>43040</v>
      </c>
      <c r="W1166" s="4">
        <v>5849.62</v>
      </c>
      <c r="X1166" s="48">
        <v>6223</v>
      </c>
    </row>
    <row r="1167" spans="2:24" x14ac:dyDescent="0.35">
      <c r="B1167" s="8" t="s">
        <v>7</v>
      </c>
      <c r="C1167" s="8" t="s">
        <v>48</v>
      </c>
      <c r="D1167" s="8" t="s">
        <v>9</v>
      </c>
      <c r="E1167" s="8" t="s">
        <v>27</v>
      </c>
      <c r="F1167" s="6" t="s">
        <v>33</v>
      </c>
      <c r="G1167" s="8">
        <v>2017</v>
      </c>
      <c r="H1167" s="8">
        <v>11</v>
      </c>
      <c r="I1167" s="10">
        <v>43040</v>
      </c>
      <c r="J1167" s="11">
        <v>3111</v>
      </c>
      <c r="K1167" s="51"/>
      <c r="O1167" s="1" t="s">
        <v>7</v>
      </c>
      <c r="P1167" s="1" t="s">
        <v>48</v>
      </c>
      <c r="Q1167" s="1" t="s">
        <v>9</v>
      </c>
      <c r="R1167" s="1" t="s">
        <v>27</v>
      </c>
      <c r="S1167" t="s">
        <v>33</v>
      </c>
      <c r="T1167" s="1">
        <v>2017</v>
      </c>
      <c r="U1167" s="1">
        <v>11</v>
      </c>
      <c r="V1167" s="50">
        <v>43040</v>
      </c>
      <c r="W1167" s="4">
        <v>2893.23</v>
      </c>
      <c r="X1167" s="48">
        <v>3111</v>
      </c>
    </row>
    <row r="1168" spans="2:24" x14ac:dyDescent="0.35">
      <c r="B1168" s="8" t="s">
        <v>7</v>
      </c>
      <c r="C1168" s="8" t="s">
        <v>49</v>
      </c>
      <c r="D1168" s="8" t="s">
        <v>11</v>
      </c>
      <c r="E1168" s="9" t="s">
        <v>23</v>
      </c>
      <c r="F1168" s="9" t="s">
        <v>24</v>
      </c>
      <c r="G1168" s="8">
        <v>2017</v>
      </c>
      <c r="H1168" s="8">
        <v>11</v>
      </c>
      <c r="I1168" s="10">
        <v>43040</v>
      </c>
      <c r="J1168" s="11">
        <v>3065</v>
      </c>
      <c r="K1168" s="51"/>
      <c r="O1168" s="1" t="s">
        <v>7</v>
      </c>
      <c r="P1168" s="1" t="s">
        <v>49</v>
      </c>
      <c r="Q1168" s="1" t="s">
        <v>11</v>
      </c>
      <c r="R1168" s="2" t="s">
        <v>23</v>
      </c>
      <c r="S1168" s="2" t="s">
        <v>24</v>
      </c>
      <c r="T1168" s="1">
        <v>2017</v>
      </c>
      <c r="U1168" s="1">
        <v>11</v>
      </c>
      <c r="V1168" s="50">
        <v>43040</v>
      </c>
      <c r="W1168" s="4">
        <v>2697.2</v>
      </c>
      <c r="X1168" s="48">
        <v>3065</v>
      </c>
    </row>
    <row r="1169" spans="2:24" x14ac:dyDescent="0.35">
      <c r="B1169" s="8" t="s">
        <v>3</v>
      </c>
      <c r="C1169" s="8" t="s">
        <v>22</v>
      </c>
      <c r="D1169" s="8" t="s">
        <v>5</v>
      </c>
      <c r="E1169" s="8" t="s">
        <v>23</v>
      </c>
      <c r="F1169" s="9" t="s">
        <v>24</v>
      </c>
      <c r="G1169" s="8">
        <v>2017</v>
      </c>
      <c r="H1169" s="8">
        <v>12</v>
      </c>
      <c r="I1169" s="10">
        <v>43070</v>
      </c>
      <c r="J1169" s="11">
        <v>2349</v>
      </c>
      <c r="K1169" s="51"/>
      <c r="O1169" s="1" t="s">
        <v>3</v>
      </c>
      <c r="P1169" s="1" t="s">
        <v>22</v>
      </c>
      <c r="Q1169" s="1" t="s">
        <v>5</v>
      </c>
      <c r="R1169" s="1" t="s">
        <v>23</v>
      </c>
      <c r="S1169" s="2" t="s">
        <v>24</v>
      </c>
      <c r="T1169" s="1">
        <v>2017</v>
      </c>
      <c r="U1169" s="1">
        <v>12</v>
      </c>
      <c r="V1169" s="50">
        <v>43070</v>
      </c>
      <c r="W1169" s="4">
        <v>1996.65</v>
      </c>
      <c r="X1169" s="48">
        <v>2349</v>
      </c>
    </row>
    <row r="1170" spans="2:24" x14ac:dyDescent="0.35">
      <c r="B1170" s="8" t="s">
        <v>3</v>
      </c>
      <c r="C1170" s="8" t="s">
        <v>25</v>
      </c>
      <c r="D1170" s="8" t="s">
        <v>4</v>
      </c>
      <c r="E1170" s="8" t="s">
        <v>23</v>
      </c>
      <c r="F1170" s="6" t="s">
        <v>24</v>
      </c>
      <c r="G1170" s="8">
        <v>2017</v>
      </c>
      <c r="H1170" s="8">
        <v>12</v>
      </c>
      <c r="I1170" s="10">
        <v>43070</v>
      </c>
      <c r="J1170" s="11">
        <v>1724</v>
      </c>
      <c r="K1170" s="51"/>
      <c r="O1170" s="1" t="s">
        <v>3</v>
      </c>
      <c r="P1170" s="1" t="s">
        <v>25</v>
      </c>
      <c r="Q1170" s="1" t="s">
        <v>4</v>
      </c>
      <c r="R1170" s="1" t="s">
        <v>23</v>
      </c>
      <c r="S1170" t="s">
        <v>24</v>
      </c>
      <c r="T1170" s="1">
        <v>2017</v>
      </c>
      <c r="U1170" s="1">
        <v>12</v>
      </c>
      <c r="V1170" s="50">
        <v>43070</v>
      </c>
      <c r="W1170" s="4">
        <v>1465.4</v>
      </c>
      <c r="X1170" s="48">
        <v>1724</v>
      </c>
    </row>
    <row r="1171" spans="2:24" x14ac:dyDescent="0.35">
      <c r="B1171" s="8" t="s">
        <v>3</v>
      </c>
      <c r="C1171" s="8" t="s">
        <v>25</v>
      </c>
      <c r="D1171" s="8" t="s">
        <v>4</v>
      </c>
      <c r="E1171" s="8" t="s">
        <v>0</v>
      </c>
      <c r="F1171" s="8" t="s">
        <v>26</v>
      </c>
      <c r="G1171" s="8">
        <v>2017</v>
      </c>
      <c r="H1171" s="8">
        <v>12</v>
      </c>
      <c r="I1171" s="10">
        <v>43070</v>
      </c>
      <c r="J1171" s="11">
        <v>4629</v>
      </c>
      <c r="K1171" s="51"/>
      <c r="O1171" s="1" t="s">
        <v>3</v>
      </c>
      <c r="P1171" s="1" t="s">
        <v>25</v>
      </c>
      <c r="Q1171" s="1" t="s">
        <v>4</v>
      </c>
      <c r="R1171" s="1" t="s">
        <v>0</v>
      </c>
      <c r="S1171" s="1" t="s">
        <v>26</v>
      </c>
      <c r="T1171" s="1">
        <v>2017</v>
      </c>
      <c r="U1171" s="1">
        <v>12</v>
      </c>
      <c r="V1171" s="50">
        <v>43070</v>
      </c>
      <c r="W1171" s="4">
        <v>4351.26</v>
      </c>
      <c r="X1171" s="48">
        <v>4629</v>
      </c>
    </row>
    <row r="1172" spans="2:24" x14ac:dyDescent="0.35">
      <c r="B1172" s="8" t="s">
        <v>3</v>
      </c>
      <c r="C1172" s="8" t="s">
        <v>22</v>
      </c>
      <c r="D1172" s="8" t="s">
        <v>5</v>
      </c>
      <c r="E1172" s="8" t="s">
        <v>0</v>
      </c>
      <c r="F1172" s="8" t="s">
        <v>26</v>
      </c>
      <c r="G1172" s="8">
        <v>2017</v>
      </c>
      <c r="H1172" s="8">
        <v>12</v>
      </c>
      <c r="I1172" s="10">
        <v>43070</v>
      </c>
      <c r="J1172" s="11">
        <v>3519</v>
      </c>
      <c r="K1172" s="51"/>
      <c r="O1172" s="1" t="s">
        <v>3</v>
      </c>
      <c r="P1172" s="1" t="s">
        <v>22</v>
      </c>
      <c r="Q1172" s="1" t="s">
        <v>5</v>
      </c>
      <c r="R1172" s="1" t="s">
        <v>0</v>
      </c>
      <c r="S1172" s="1" t="s">
        <v>26</v>
      </c>
      <c r="T1172" s="1">
        <v>2017</v>
      </c>
      <c r="U1172" s="1">
        <v>12</v>
      </c>
      <c r="V1172" s="50">
        <v>43070</v>
      </c>
      <c r="W1172" s="4">
        <v>3167.0999999999995</v>
      </c>
      <c r="X1172" s="48">
        <v>3519</v>
      </c>
    </row>
    <row r="1173" spans="2:24" x14ac:dyDescent="0.35">
      <c r="B1173" s="8" t="s">
        <v>3</v>
      </c>
      <c r="C1173" s="8" t="s">
        <v>22</v>
      </c>
      <c r="D1173" s="8" t="s">
        <v>5</v>
      </c>
      <c r="E1173" s="8" t="s">
        <v>27</v>
      </c>
      <c r="F1173" s="8" t="s">
        <v>28</v>
      </c>
      <c r="G1173" s="8">
        <v>2017</v>
      </c>
      <c r="H1173" s="8">
        <v>12</v>
      </c>
      <c r="I1173" s="10">
        <v>43070</v>
      </c>
      <c r="J1173" s="11">
        <v>3332</v>
      </c>
      <c r="K1173" s="51"/>
      <c r="O1173" s="1" t="s">
        <v>3</v>
      </c>
      <c r="P1173" s="1" t="s">
        <v>22</v>
      </c>
      <c r="Q1173" s="1" t="s">
        <v>5</v>
      </c>
      <c r="R1173" s="1" t="s">
        <v>27</v>
      </c>
      <c r="S1173" s="1" t="s">
        <v>28</v>
      </c>
      <c r="T1173" s="1">
        <v>2017</v>
      </c>
      <c r="U1173" s="1">
        <v>12</v>
      </c>
      <c r="V1173" s="50">
        <v>43070</v>
      </c>
      <c r="W1173" s="4">
        <v>3098.7599999999998</v>
      </c>
      <c r="X1173" s="48">
        <v>3332</v>
      </c>
    </row>
    <row r="1174" spans="2:24" x14ac:dyDescent="0.35">
      <c r="B1174" s="8" t="s">
        <v>6</v>
      </c>
      <c r="C1174" s="8" t="s">
        <v>29</v>
      </c>
      <c r="D1174" s="8" t="s">
        <v>30</v>
      </c>
      <c r="E1174" s="8" t="s">
        <v>27</v>
      </c>
      <c r="F1174" s="6" t="s">
        <v>31</v>
      </c>
      <c r="G1174" s="8">
        <v>2017</v>
      </c>
      <c r="H1174" s="8">
        <v>12</v>
      </c>
      <c r="I1174" s="10">
        <v>43070</v>
      </c>
      <c r="J1174" s="11">
        <v>5032</v>
      </c>
      <c r="K1174" s="51"/>
      <c r="O1174" s="1" t="s">
        <v>6</v>
      </c>
      <c r="P1174" s="1" t="s">
        <v>29</v>
      </c>
      <c r="Q1174" s="1" t="s">
        <v>30</v>
      </c>
      <c r="R1174" s="1" t="s">
        <v>27</v>
      </c>
      <c r="S1174" t="s">
        <v>31</v>
      </c>
      <c r="T1174" s="1">
        <v>2017</v>
      </c>
      <c r="U1174" s="1">
        <v>12</v>
      </c>
      <c r="V1174" s="50">
        <v>43070</v>
      </c>
      <c r="W1174" s="4">
        <v>4528.7999999999993</v>
      </c>
      <c r="X1174" s="48">
        <v>5032</v>
      </c>
    </row>
    <row r="1175" spans="2:24" x14ac:dyDescent="0.35">
      <c r="B1175" s="8" t="s">
        <v>7</v>
      </c>
      <c r="C1175" s="8" t="s">
        <v>32</v>
      </c>
      <c r="D1175" s="8" t="s">
        <v>8</v>
      </c>
      <c r="E1175" s="8" t="s">
        <v>27</v>
      </c>
      <c r="F1175" s="6" t="s">
        <v>33</v>
      </c>
      <c r="G1175" s="8">
        <v>2017</v>
      </c>
      <c r="H1175" s="8">
        <v>12</v>
      </c>
      <c r="I1175" s="10">
        <v>43070</v>
      </c>
      <c r="J1175" s="11">
        <v>3110</v>
      </c>
      <c r="K1175" s="51"/>
      <c r="O1175" s="1" t="s">
        <v>7</v>
      </c>
      <c r="P1175" s="1" t="s">
        <v>32</v>
      </c>
      <c r="Q1175" s="1" t="s">
        <v>8</v>
      </c>
      <c r="R1175" s="1" t="s">
        <v>27</v>
      </c>
      <c r="S1175" t="s">
        <v>33</v>
      </c>
      <c r="T1175" s="1">
        <v>2017</v>
      </c>
      <c r="U1175" s="1">
        <v>12</v>
      </c>
      <c r="V1175" s="50">
        <v>43070</v>
      </c>
      <c r="W1175" s="4">
        <v>2798.9999999999995</v>
      </c>
      <c r="X1175" s="48">
        <v>3110</v>
      </c>
    </row>
    <row r="1176" spans="2:24" x14ac:dyDescent="0.35">
      <c r="B1176" s="8" t="s">
        <v>12</v>
      </c>
      <c r="C1176" s="8" t="s">
        <v>34</v>
      </c>
      <c r="D1176" s="8" t="s">
        <v>35</v>
      </c>
      <c r="E1176" s="8" t="s">
        <v>23</v>
      </c>
      <c r="F1176" s="6" t="s">
        <v>36</v>
      </c>
      <c r="G1176" s="8">
        <v>2017</v>
      </c>
      <c r="H1176" s="8">
        <v>12</v>
      </c>
      <c r="I1176" s="10">
        <v>43070</v>
      </c>
      <c r="J1176" s="11">
        <v>2891</v>
      </c>
      <c r="K1176" s="51"/>
      <c r="O1176" s="1" t="s">
        <v>12</v>
      </c>
      <c r="P1176" s="1" t="s">
        <v>34</v>
      </c>
      <c r="Q1176" s="1" t="s">
        <v>35</v>
      </c>
      <c r="R1176" s="1" t="s">
        <v>23</v>
      </c>
      <c r="S1176" t="s">
        <v>36</v>
      </c>
      <c r="T1176" s="1">
        <v>2017</v>
      </c>
      <c r="U1176" s="1">
        <v>12</v>
      </c>
      <c r="V1176" s="50">
        <v>43070</v>
      </c>
      <c r="W1176" s="4">
        <v>2630.81</v>
      </c>
      <c r="X1176" s="48">
        <v>2891</v>
      </c>
    </row>
    <row r="1177" spans="2:24" x14ac:dyDescent="0.35">
      <c r="B1177" s="8" t="s">
        <v>14</v>
      </c>
      <c r="C1177" s="8" t="s">
        <v>37</v>
      </c>
      <c r="D1177" s="8" t="s">
        <v>38</v>
      </c>
      <c r="E1177" s="9" t="s">
        <v>23</v>
      </c>
      <c r="F1177" s="9" t="s">
        <v>24</v>
      </c>
      <c r="G1177" s="8">
        <v>2017</v>
      </c>
      <c r="H1177" s="8">
        <v>12</v>
      </c>
      <c r="I1177" s="10">
        <v>43070</v>
      </c>
      <c r="J1177" s="11">
        <v>2936</v>
      </c>
      <c r="K1177" s="51"/>
      <c r="O1177" s="1" t="s">
        <v>14</v>
      </c>
      <c r="P1177" s="1" t="s">
        <v>37</v>
      </c>
      <c r="Q1177" s="1" t="s">
        <v>38</v>
      </c>
      <c r="R1177" s="2" t="s">
        <v>23</v>
      </c>
      <c r="S1177" s="2" t="s">
        <v>24</v>
      </c>
      <c r="T1177" s="1">
        <v>2017</v>
      </c>
      <c r="U1177" s="1">
        <v>12</v>
      </c>
      <c r="V1177" s="50">
        <v>43070</v>
      </c>
      <c r="W1177" s="4">
        <v>2701.12</v>
      </c>
      <c r="X1177" s="48">
        <v>2936</v>
      </c>
    </row>
    <row r="1178" spans="2:24" x14ac:dyDescent="0.35">
      <c r="B1178" s="8" t="s">
        <v>3</v>
      </c>
      <c r="C1178" s="8" t="s">
        <v>25</v>
      </c>
      <c r="D1178" s="8" t="s">
        <v>4</v>
      </c>
      <c r="E1178" s="8" t="s">
        <v>23</v>
      </c>
      <c r="F1178" s="9" t="s">
        <v>39</v>
      </c>
      <c r="G1178" s="8">
        <v>2017</v>
      </c>
      <c r="H1178" s="8">
        <v>12</v>
      </c>
      <c r="I1178" s="10">
        <v>43070</v>
      </c>
      <c r="J1178" s="11">
        <v>1915</v>
      </c>
      <c r="K1178" s="51"/>
      <c r="O1178" s="1" t="s">
        <v>3</v>
      </c>
      <c r="P1178" s="1" t="s">
        <v>25</v>
      </c>
      <c r="Q1178" s="1" t="s">
        <v>4</v>
      </c>
      <c r="R1178" s="1" t="s">
        <v>23</v>
      </c>
      <c r="S1178" s="2" t="s">
        <v>39</v>
      </c>
      <c r="T1178" s="1">
        <v>2017</v>
      </c>
      <c r="U1178" s="1">
        <v>12</v>
      </c>
      <c r="V1178" s="50">
        <v>43070</v>
      </c>
      <c r="W1178" s="4">
        <v>1685.1999999999998</v>
      </c>
      <c r="X1178" s="48">
        <v>1915</v>
      </c>
    </row>
    <row r="1179" spans="2:24" x14ac:dyDescent="0.35">
      <c r="B1179" s="8" t="s">
        <v>6</v>
      </c>
      <c r="C1179" s="8" t="s">
        <v>40</v>
      </c>
      <c r="D1179" s="8" t="s">
        <v>41</v>
      </c>
      <c r="E1179" s="8" t="s">
        <v>0</v>
      </c>
      <c r="F1179" s="6" t="s">
        <v>42</v>
      </c>
      <c r="G1179" s="8">
        <v>2017</v>
      </c>
      <c r="H1179" s="8">
        <v>12</v>
      </c>
      <c r="I1179" s="10">
        <v>43070</v>
      </c>
      <c r="J1179" s="11">
        <v>5390</v>
      </c>
      <c r="K1179" s="51"/>
      <c r="O1179" s="1" t="s">
        <v>6</v>
      </c>
      <c r="P1179" s="1" t="s">
        <v>40</v>
      </c>
      <c r="Q1179" s="1" t="s">
        <v>41</v>
      </c>
      <c r="R1179" s="1" t="s">
        <v>0</v>
      </c>
      <c r="S1179" t="s">
        <v>42</v>
      </c>
      <c r="T1179" s="1">
        <v>2017</v>
      </c>
      <c r="U1179" s="1">
        <v>12</v>
      </c>
      <c r="V1179" s="50">
        <v>43070</v>
      </c>
      <c r="W1179" s="4">
        <v>5066.5999999999995</v>
      </c>
      <c r="X1179" s="48">
        <v>5390</v>
      </c>
    </row>
    <row r="1180" spans="2:24" x14ac:dyDescent="0.35">
      <c r="B1180" s="8" t="s">
        <v>7</v>
      </c>
      <c r="C1180" s="8" t="s">
        <v>43</v>
      </c>
      <c r="D1180" s="8" t="s">
        <v>10</v>
      </c>
      <c r="E1180" s="8" t="s">
        <v>0</v>
      </c>
      <c r="F1180" s="8" t="s">
        <v>26</v>
      </c>
      <c r="G1180" s="8">
        <v>2017</v>
      </c>
      <c r="H1180" s="8">
        <v>12</v>
      </c>
      <c r="I1180" s="10">
        <v>43070</v>
      </c>
      <c r="J1180" s="11">
        <v>3365</v>
      </c>
      <c r="K1180" s="51"/>
      <c r="O1180" s="1" t="s">
        <v>7</v>
      </c>
      <c r="P1180" s="1" t="s">
        <v>43</v>
      </c>
      <c r="Q1180" s="1" t="s">
        <v>10</v>
      </c>
      <c r="R1180" s="1" t="s">
        <v>0</v>
      </c>
      <c r="S1180" s="1" t="s">
        <v>26</v>
      </c>
      <c r="T1180" s="1">
        <v>2017</v>
      </c>
      <c r="U1180" s="1">
        <v>12</v>
      </c>
      <c r="V1180" s="50">
        <v>43070</v>
      </c>
      <c r="W1180" s="4">
        <v>3129.45</v>
      </c>
      <c r="X1180" s="48">
        <v>3365</v>
      </c>
    </row>
    <row r="1181" spans="2:24" x14ac:dyDescent="0.35">
      <c r="B1181" s="8" t="s">
        <v>12</v>
      </c>
      <c r="C1181" s="8" t="s">
        <v>44</v>
      </c>
      <c r="D1181" s="8" t="s">
        <v>13</v>
      </c>
      <c r="E1181" s="8" t="s">
        <v>0</v>
      </c>
      <c r="F1181" s="8" t="s">
        <v>45</v>
      </c>
      <c r="G1181" s="8">
        <v>2017</v>
      </c>
      <c r="H1181" s="8">
        <v>12</v>
      </c>
      <c r="I1181" s="10">
        <v>43070</v>
      </c>
      <c r="J1181" s="11">
        <v>4517</v>
      </c>
      <c r="K1181" s="51"/>
      <c r="O1181" s="1" t="s">
        <v>12</v>
      </c>
      <c r="P1181" s="1" t="s">
        <v>44</v>
      </c>
      <c r="Q1181" s="1" t="s">
        <v>13</v>
      </c>
      <c r="R1181" s="1" t="s">
        <v>0</v>
      </c>
      <c r="S1181" s="1" t="s">
        <v>45</v>
      </c>
      <c r="T1181" s="1">
        <v>2017</v>
      </c>
      <c r="U1181" s="1">
        <v>12</v>
      </c>
      <c r="V1181" s="50">
        <v>43070</v>
      </c>
      <c r="W1181" s="4">
        <v>4110.4699999999993</v>
      </c>
      <c r="X1181" s="48">
        <v>4517</v>
      </c>
    </row>
    <row r="1182" spans="2:24" x14ac:dyDescent="0.35">
      <c r="B1182" s="8" t="s">
        <v>14</v>
      </c>
      <c r="C1182" s="8" t="s">
        <v>46</v>
      </c>
      <c r="D1182" s="8" t="s">
        <v>47</v>
      </c>
      <c r="E1182" s="8" t="s">
        <v>27</v>
      </c>
      <c r="F1182" s="8" t="s">
        <v>28</v>
      </c>
      <c r="G1182" s="8">
        <v>2017</v>
      </c>
      <c r="H1182" s="8">
        <v>12</v>
      </c>
      <c r="I1182" s="10">
        <v>43070</v>
      </c>
      <c r="J1182" s="11">
        <v>3312</v>
      </c>
      <c r="K1182" s="51"/>
      <c r="O1182" s="1" t="s">
        <v>14</v>
      </c>
      <c r="P1182" s="1" t="s">
        <v>46</v>
      </c>
      <c r="Q1182" s="1" t="s">
        <v>47</v>
      </c>
      <c r="R1182" s="1" t="s">
        <v>27</v>
      </c>
      <c r="S1182" s="1" t="s">
        <v>28</v>
      </c>
      <c r="T1182" s="1">
        <v>2017</v>
      </c>
      <c r="U1182" s="1">
        <v>12</v>
      </c>
      <c r="V1182" s="50">
        <v>43070</v>
      </c>
      <c r="W1182" s="4">
        <v>3113.2799999999997</v>
      </c>
      <c r="X1182" s="48">
        <v>3312</v>
      </c>
    </row>
    <row r="1183" spans="2:24" x14ac:dyDescent="0.35">
      <c r="B1183" s="8" t="s">
        <v>3</v>
      </c>
      <c r="C1183" s="8" t="s">
        <v>22</v>
      </c>
      <c r="D1183" s="8" t="s">
        <v>5</v>
      </c>
      <c r="E1183" s="8" t="s">
        <v>27</v>
      </c>
      <c r="F1183" s="6" t="s">
        <v>31</v>
      </c>
      <c r="G1183" s="8">
        <v>2017</v>
      </c>
      <c r="H1183" s="8">
        <v>12</v>
      </c>
      <c r="I1183" s="10">
        <v>43070</v>
      </c>
      <c r="J1183" s="11">
        <v>5401</v>
      </c>
      <c r="K1183" s="51"/>
      <c r="O1183" s="1" t="s">
        <v>3</v>
      </c>
      <c r="P1183" s="1" t="s">
        <v>22</v>
      </c>
      <c r="Q1183" s="1" t="s">
        <v>5</v>
      </c>
      <c r="R1183" s="1" t="s">
        <v>27</v>
      </c>
      <c r="S1183" t="s">
        <v>31</v>
      </c>
      <c r="T1183" s="1">
        <v>2017</v>
      </c>
      <c r="U1183" s="1">
        <v>12</v>
      </c>
      <c r="V1183" s="50">
        <v>43070</v>
      </c>
      <c r="W1183" s="4">
        <v>4590.8500000000004</v>
      </c>
      <c r="X1183" s="48">
        <v>5401</v>
      </c>
    </row>
    <row r="1184" spans="2:24" x14ac:dyDescent="0.35">
      <c r="B1184" s="8" t="s">
        <v>6</v>
      </c>
      <c r="C1184" s="8" t="s">
        <v>29</v>
      </c>
      <c r="D1184" s="8" t="s">
        <v>30</v>
      </c>
      <c r="E1184" s="8" t="s">
        <v>27</v>
      </c>
      <c r="F1184" s="6" t="s">
        <v>33</v>
      </c>
      <c r="G1184" s="8">
        <v>2017</v>
      </c>
      <c r="H1184" s="8">
        <v>12</v>
      </c>
      <c r="I1184" s="10">
        <v>43070</v>
      </c>
      <c r="J1184" s="11">
        <v>4087</v>
      </c>
      <c r="K1184" s="51"/>
      <c r="O1184" s="1" t="s">
        <v>6</v>
      </c>
      <c r="P1184" s="1" t="s">
        <v>29</v>
      </c>
      <c r="Q1184" s="1" t="s">
        <v>30</v>
      </c>
      <c r="R1184" s="1" t="s">
        <v>27</v>
      </c>
      <c r="S1184" t="s">
        <v>33</v>
      </c>
      <c r="T1184" s="1">
        <v>2017</v>
      </c>
      <c r="U1184" s="1">
        <v>12</v>
      </c>
      <c r="V1184" s="50">
        <v>43070</v>
      </c>
      <c r="W1184" s="4">
        <v>3637.4299999999994</v>
      </c>
      <c r="X1184" s="48">
        <v>4087</v>
      </c>
    </row>
    <row r="1185" spans="2:24" x14ac:dyDescent="0.35">
      <c r="B1185" s="8" t="s">
        <v>7</v>
      </c>
      <c r="C1185" s="8" t="s">
        <v>32</v>
      </c>
      <c r="D1185" s="8" t="s">
        <v>8</v>
      </c>
      <c r="E1185" s="8" t="s">
        <v>23</v>
      </c>
      <c r="F1185" s="6" t="s">
        <v>36</v>
      </c>
      <c r="G1185" s="8">
        <v>2017</v>
      </c>
      <c r="H1185" s="8">
        <v>12</v>
      </c>
      <c r="I1185" s="10">
        <v>43070</v>
      </c>
      <c r="J1185" s="11">
        <v>2552</v>
      </c>
      <c r="K1185" s="51"/>
      <c r="O1185" s="1" t="s">
        <v>7</v>
      </c>
      <c r="P1185" s="1" t="s">
        <v>32</v>
      </c>
      <c r="Q1185" s="1" t="s">
        <v>8</v>
      </c>
      <c r="R1185" s="1" t="s">
        <v>23</v>
      </c>
      <c r="S1185" t="s">
        <v>36</v>
      </c>
      <c r="T1185" s="1">
        <v>2017</v>
      </c>
      <c r="U1185" s="1">
        <v>12</v>
      </c>
      <c r="V1185" s="50">
        <v>43070</v>
      </c>
      <c r="W1185" s="4">
        <v>2220.2400000000002</v>
      </c>
      <c r="X1185" s="48">
        <v>2552</v>
      </c>
    </row>
    <row r="1186" spans="2:24" x14ac:dyDescent="0.35">
      <c r="B1186" s="8" t="s">
        <v>12</v>
      </c>
      <c r="C1186" s="8" t="s">
        <v>34</v>
      </c>
      <c r="D1186" s="8" t="s">
        <v>35</v>
      </c>
      <c r="E1186" s="9" t="s">
        <v>23</v>
      </c>
      <c r="F1186" s="9" t="s">
        <v>24</v>
      </c>
      <c r="G1186" s="8">
        <v>2017</v>
      </c>
      <c r="H1186" s="8">
        <v>12</v>
      </c>
      <c r="I1186" s="10">
        <v>43070</v>
      </c>
      <c r="J1186" s="11">
        <v>2236</v>
      </c>
      <c r="K1186" s="51"/>
      <c r="O1186" s="1" t="s">
        <v>12</v>
      </c>
      <c r="P1186" s="1" t="s">
        <v>34</v>
      </c>
      <c r="Q1186" s="1" t="s">
        <v>35</v>
      </c>
      <c r="R1186" s="2" t="s">
        <v>23</v>
      </c>
      <c r="S1186" s="2" t="s">
        <v>24</v>
      </c>
      <c r="T1186" s="1">
        <v>2017</v>
      </c>
      <c r="U1186" s="1">
        <v>12</v>
      </c>
      <c r="V1186" s="50">
        <v>43070</v>
      </c>
      <c r="W1186" s="4">
        <v>2057.12</v>
      </c>
      <c r="X1186" s="48">
        <v>2236</v>
      </c>
    </row>
    <row r="1187" spans="2:24" x14ac:dyDescent="0.35">
      <c r="B1187" s="8" t="s">
        <v>14</v>
      </c>
      <c r="C1187" s="8" t="s">
        <v>37</v>
      </c>
      <c r="D1187" s="8" t="s">
        <v>38</v>
      </c>
      <c r="E1187" s="8" t="s">
        <v>23</v>
      </c>
      <c r="F1187" s="9" t="s">
        <v>39</v>
      </c>
      <c r="G1187" s="8">
        <v>2017</v>
      </c>
      <c r="H1187" s="8">
        <v>12</v>
      </c>
      <c r="I1187" s="10">
        <v>43070</v>
      </c>
      <c r="J1187" s="11">
        <v>2598</v>
      </c>
      <c r="K1187" s="51"/>
      <c r="O1187" s="1" t="s">
        <v>14</v>
      </c>
      <c r="P1187" s="1" t="s">
        <v>37</v>
      </c>
      <c r="Q1187" s="1" t="s">
        <v>38</v>
      </c>
      <c r="R1187" s="1" t="s">
        <v>23</v>
      </c>
      <c r="S1187" s="2" t="s">
        <v>39</v>
      </c>
      <c r="T1187" s="1">
        <v>2017</v>
      </c>
      <c r="U1187" s="1">
        <v>12</v>
      </c>
      <c r="V1187" s="50">
        <v>43070</v>
      </c>
      <c r="W1187" s="4">
        <v>2416.14</v>
      </c>
      <c r="X1187" s="48">
        <v>2598</v>
      </c>
    </row>
    <row r="1188" spans="2:24" x14ac:dyDescent="0.35">
      <c r="B1188" s="8" t="s">
        <v>3</v>
      </c>
      <c r="C1188" s="8" t="s">
        <v>25</v>
      </c>
      <c r="D1188" s="8" t="s">
        <v>4</v>
      </c>
      <c r="E1188" s="8" t="s">
        <v>0</v>
      </c>
      <c r="F1188" s="6" t="s">
        <v>42</v>
      </c>
      <c r="G1188" s="8">
        <v>2017</v>
      </c>
      <c r="H1188" s="8">
        <v>12</v>
      </c>
      <c r="I1188" s="10">
        <v>43070</v>
      </c>
      <c r="J1188" s="11">
        <v>4007</v>
      </c>
      <c r="K1188" s="51"/>
      <c r="O1188" s="1" t="s">
        <v>3</v>
      </c>
      <c r="P1188" s="1" t="s">
        <v>25</v>
      </c>
      <c r="Q1188" s="1" t="s">
        <v>4</v>
      </c>
      <c r="R1188" s="1" t="s">
        <v>0</v>
      </c>
      <c r="S1188" t="s">
        <v>42</v>
      </c>
      <c r="T1188" s="1">
        <v>2017</v>
      </c>
      <c r="U1188" s="1">
        <v>12</v>
      </c>
      <c r="V1188" s="50">
        <v>43070</v>
      </c>
      <c r="W1188" s="4">
        <v>3446.0200000000004</v>
      </c>
      <c r="X1188" s="48">
        <v>4007</v>
      </c>
    </row>
    <row r="1189" spans="2:24" x14ac:dyDescent="0.35">
      <c r="B1189" s="8" t="s">
        <v>6</v>
      </c>
      <c r="C1189" s="8" t="s">
        <v>40</v>
      </c>
      <c r="D1189" s="8" t="s">
        <v>41</v>
      </c>
      <c r="E1189" s="8" t="s">
        <v>0</v>
      </c>
      <c r="F1189" s="8" t="s">
        <v>26</v>
      </c>
      <c r="G1189" s="8">
        <v>2017</v>
      </c>
      <c r="H1189" s="8">
        <v>12</v>
      </c>
      <c r="I1189" s="10">
        <v>43070</v>
      </c>
      <c r="J1189" s="11">
        <v>3475</v>
      </c>
      <c r="K1189" s="51"/>
      <c r="O1189" s="1" t="s">
        <v>6</v>
      </c>
      <c r="P1189" s="1" t="s">
        <v>40</v>
      </c>
      <c r="Q1189" s="1" t="s">
        <v>41</v>
      </c>
      <c r="R1189" s="1" t="s">
        <v>0</v>
      </c>
      <c r="S1189" s="1" t="s">
        <v>26</v>
      </c>
      <c r="T1189" s="1">
        <v>2017</v>
      </c>
      <c r="U1189" s="1">
        <v>12</v>
      </c>
      <c r="V1189" s="50">
        <v>43070</v>
      </c>
      <c r="W1189" s="4">
        <v>3197</v>
      </c>
      <c r="X1189" s="48">
        <v>3475</v>
      </c>
    </row>
    <row r="1190" spans="2:24" x14ac:dyDescent="0.35">
      <c r="B1190" s="8" t="s">
        <v>7</v>
      </c>
      <c r="C1190" s="8" t="s">
        <v>43</v>
      </c>
      <c r="D1190" s="8" t="s">
        <v>10</v>
      </c>
      <c r="E1190" s="8" t="s">
        <v>0</v>
      </c>
      <c r="F1190" s="8" t="s">
        <v>45</v>
      </c>
      <c r="G1190" s="8">
        <v>2017</v>
      </c>
      <c r="H1190" s="8">
        <v>12</v>
      </c>
      <c r="I1190" s="10">
        <v>43070</v>
      </c>
      <c r="J1190" s="11">
        <v>4622</v>
      </c>
      <c r="K1190" s="51"/>
      <c r="O1190" s="1" t="s">
        <v>7</v>
      </c>
      <c r="P1190" s="1" t="s">
        <v>43</v>
      </c>
      <c r="Q1190" s="1" t="s">
        <v>10</v>
      </c>
      <c r="R1190" s="1" t="s">
        <v>0</v>
      </c>
      <c r="S1190" s="1" t="s">
        <v>45</v>
      </c>
      <c r="T1190" s="1">
        <v>2017</v>
      </c>
      <c r="U1190" s="1">
        <v>12</v>
      </c>
      <c r="V1190" s="50">
        <v>43070</v>
      </c>
      <c r="W1190" s="4">
        <v>4067.3599999999997</v>
      </c>
      <c r="X1190" s="48">
        <v>4622</v>
      </c>
    </row>
    <row r="1191" spans="2:24" x14ac:dyDescent="0.35">
      <c r="B1191" s="8" t="s">
        <v>12</v>
      </c>
      <c r="C1191" s="8" t="s">
        <v>44</v>
      </c>
      <c r="D1191" s="8" t="s">
        <v>13</v>
      </c>
      <c r="E1191" s="8" t="s">
        <v>27</v>
      </c>
      <c r="F1191" s="8" t="s">
        <v>28</v>
      </c>
      <c r="G1191" s="8">
        <v>2017</v>
      </c>
      <c r="H1191" s="8">
        <v>12</v>
      </c>
      <c r="I1191" s="10">
        <v>43070</v>
      </c>
      <c r="J1191" s="11">
        <v>3387</v>
      </c>
      <c r="K1191" s="51"/>
      <c r="O1191" s="1" t="s">
        <v>12</v>
      </c>
      <c r="P1191" s="1" t="s">
        <v>44</v>
      </c>
      <c r="Q1191" s="1" t="s">
        <v>13</v>
      </c>
      <c r="R1191" s="1" t="s">
        <v>27</v>
      </c>
      <c r="S1191" s="1" t="s">
        <v>28</v>
      </c>
      <c r="T1191" s="1">
        <v>2017</v>
      </c>
      <c r="U1191" s="1">
        <v>12</v>
      </c>
      <c r="V1191" s="50">
        <v>43070</v>
      </c>
      <c r="W1191" s="4">
        <v>3116.04</v>
      </c>
      <c r="X1191" s="48">
        <v>3387</v>
      </c>
    </row>
    <row r="1192" spans="2:24" x14ac:dyDescent="0.35">
      <c r="B1192" s="8" t="s">
        <v>14</v>
      </c>
      <c r="C1192" s="8" t="s">
        <v>46</v>
      </c>
      <c r="D1192" s="8" t="s">
        <v>47</v>
      </c>
      <c r="E1192" s="8" t="s">
        <v>27</v>
      </c>
      <c r="F1192" s="6" t="s">
        <v>31</v>
      </c>
      <c r="G1192" s="8">
        <v>2017</v>
      </c>
      <c r="H1192" s="8">
        <v>12</v>
      </c>
      <c r="I1192" s="10">
        <v>43070</v>
      </c>
      <c r="J1192" s="11">
        <v>3855</v>
      </c>
      <c r="K1192" s="51"/>
      <c r="O1192" s="1" t="s">
        <v>14</v>
      </c>
      <c r="P1192" s="1" t="s">
        <v>46</v>
      </c>
      <c r="Q1192" s="1" t="s">
        <v>47</v>
      </c>
      <c r="R1192" s="1" t="s">
        <v>27</v>
      </c>
      <c r="S1192" t="s">
        <v>31</v>
      </c>
      <c r="T1192" s="1">
        <v>2017</v>
      </c>
      <c r="U1192" s="1">
        <v>12</v>
      </c>
      <c r="V1192" s="50">
        <v>43070</v>
      </c>
      <c r="W1192" s="4">
        <v>3546.6</v>
      </c>
      <c r="X1192" s="48">
        <v>3855</v>
      </c>
    </row>
    <row r="1193" spans="2:24" x14ac:dyDescent="0.35">
      <c r="B1193" s="8" t="s">
        <v>3</v>
      </c>
      <c r="C1193" s="8" t="s">
        <v>22</v>
      </c>
      <c r="D1193" s="8" t="s">
        <v>5</v>
      </c>
      <c r="E1193" s="8" t="s">
        <v>27</v>
      </c>
      <c r="F1193" s="6" t="s">
        <v>33</v>
      </c>
      <c r="G1193" s="8">
        <v>2017</v>
      </c>
      <c r="H1193" s="8">
        <v>12</v>
      </c>
      <c r="I1193" s="10">
        <v>43070</v>
      </c>
      <c r="J1193" s="11">
        <v>3428</v>
      </c>
      <c r="K1193" s="51"/>
      <c r="O1193" s="1" t="s">
        <v>3</v>
      </c>
      <c r="P1193" s="1" t="s">
        <v>22</v>
      </c>
      <c r="Q1193" s="1" t="s">
        <v>5</v>
      </c>
      <c r="R1193" s="1" t="s">
        <v>27</v>
      </c>
      <c r="S1193" t="s">
        <v>33</v>
      </c>
      <c r="T1193" s="1">
        <v>2017</v>
      </c>
      <c r="U1193" s="1">
        <v>12</v>
      </c>
      <c r="V1193" s="50">
        <v>43070</v>
      </c>
      <c r="W1193" s="4">
        <v>2948.0800000000004</v>
      </c>
      <c r="X1193" s="48">
        <v>3428</v>
      </c>
    </row>
    <row r="1194" spans="2:24" x14ac:dyDescent="0.35">
      <c r="B1194" s="8" t="s">
        <v>6</v>
      </c>
      <c r="C1194" s="8" t="s">
        <v>29</v>
      </c>
      <c r="D1194" s="8" t="s">
        <v>30</v>
      </c>
      <c r="E1194" s="8" t="s">
        <v>23</v>
      </c>
      <c r="F1194" s="6" t="s">
        <v>36</v>
      </c>
      <c r="G1194" s="8">
        <v>2017</v>
      </c>
      <c r="H1194" s="8">
        <v>12</v>
      </c>
      <c r="I1194" s="10">
        <v>43070</v>
      </c>
      <c r="J1194" s="11">
        <v>2995</v>
      </c>
      <c r="K1194" s="51"/>
      <c r="O1194" s="1" t="s">
        <v>6</v>
      </c>
      <c r="P1194" s="1" t="s">
        <v>29</v>
      </c>
      <c r="Q1194" s="1" t="s">
        <v>30</v>
      </c>
      <c r="R1194" s="1" t="s">
        <v>23</v>
      </c>
      <c r="S1194" t="s">
        <v>36</v>
      </c>
      <c r="T1194" s="1">
        <v>2017</v>
      </c>
      <c r="U1194" s="1">
        <v>12</v>
      </c>
      <c r="V1194" s="50">
        <v>43070</v>
      </c>
      <c r="W1194" s="4">
        <v>2755.3999999999996</v>
      </c>
      <c r="X1194" s="48">
        <v>2995</v>
      </c>
    </row>
    <row r="1195" spans="2:24" x14ac:dyDescent="0.35">
      <c r="B1195" s="8" t="s">
        <v>7</v>
      </c>
      <c r="C1195" s="8" t="s">
        <v>32</v>
      </c>
      <c r="D1195" s="8" t="s">
        <v>8</v>
      </c>
      <c r="E1195" s="9" t="s">
        <v>23</v>
      </c>
      <c r="F1195" s="9" t="s">
        <v>24</v>
      </c>
      <c r="G1195" s="8">
        <v>2017</v>
      </c>
      <c r="H1195" s="8">
        <v>12</v>
      </c>
      <c r="I1195" s="10">
        <v>43070</v>
      </c>
      <c r="J1195" s="11">
        <v>3386</v>
      </c>
      <c r="K1195" s="51"/>
      <c r="O1195" s="1" t="s">
        <v>7</v>
      </c>
      <c r="P1195" s="1" t="s">
        <v>32</v>
      </c>
      <c r="Q1195" s="1" t="s">
        <v>8</v>
      </c>
      <c r="R1195" s="2" t="s">
        <v>23</v>
      </c>
      <c r="S1195" s="2" t="s">
        <v>24</v>
      </c>
      <c r="T1195" s="1">
        <v>2017</v>
      </c>
      <c r="U1195" s="1">
        <v>12</v>
      </c>
      <c r="V1195" s="50">
        <v>43070</v>
      </c>
      <c r="W1195" s="4">
        <v>3115.12</v>
      </c>
      <c r="X1195" s="48">
        <v>3386</v>
      </c>
    </row>
    <row r="1196" spans="2:24" x14ac:dyDescent="0.35">
      <c r="B1196" s="8" t="s">
        <v>12</v>
      </c>
      <c r="C1196" s="8" t="s">
        <v>34</v>
      </c>
      <c r="D1196" s="8" t="s">
        <v>35</v>
      </c>
      <c r="E1196" s="8" t="s">
        <v>23</v>
      </c>
      <c r="F1196" s="9" t="s">
        <v>39</v>
      </c>
      <c r="G1196" s="8">
        <v>2017</v>
      </c>
      <c r="H1196" s="8">
        <v>12</v>
      </c>
      <c r="I1196" s="10">
        <v>43070</v>
      </c>
      <c r="J1196" s="11">
        <v>1239</v>
      </c>
      <c r="K1196" s="51"/>
      <c r="O1196" s="1" t="s">
        <v>12</v>
      </c>
      <c r="P1196" s="1" t="s">
        <v>34</v>
      </c>
      <c r="Q1196" s="1" t="s">
        <v>35</v>
      </c>
      <c r="R1196" s="1" t="s">
        <v>23</v>
      </c>
      <c r="S1196" s="2" t="s">
        <v>39</v>
      </c>
      <c r="T1196" s="1">
        <v>2017</v>
      </c>
      <c r="U1196" s="1">
        <v>12</v>
      </c>
      <c r="V1196" s="50">
        <v>43070</v>
      </c>
      <c r="W1196" s="4">
        <v>1090.32</v>
      </c>
      <c r="X1196" s="48">
        <v>1239</v>
      </c>
    </row>
    <row r="1197" spans="2:24" x14ac:dyDescent="0.35">
      <c r="B1197" s="8" t="s">
        <v>14</v>
      </c>
      <c r="C1197" s="8" t="s">
        <v>37</v>
      </c>
      <c r="D1197" s="8" t="s">
        <v>38</v>
      </c>
      <c r="E1197" s="8" t="s">
        <v>0</v>
      </c>
      <c r="F1197" s="6" t="s">
        <v>42</v>
      </c>
      <c r="G1197" s="8">
        <v>2017</v>
      </c>
      <c r="H1197" s="8">
        <v>12</v>
      </c>
      <c r="I1197" s="10">
        <v>43070</v>
      </c>
      <c r="J1197" s="11">
        <v>6671</v>
      </c>
      <c r="K1197" s="51"/>
      <c r="O1197" s="1" t="s">
        <v>14</v>
      </c>
      <c r="P1197" s="1" t="s">
        <v>37</v>
      </c>
      <c r="Q1197" s="1" t="s">
        <v>38</v>
      </c>
      <c r="R1197" s="1" t="s">
        <v>0</v>
      </c>
      <c r="S1197" t="s">
        <v>42</v>
      </c>
      <c r="T1197" s="1">
        <v>2017</v>
      </c>
      <c r="U1197" s="1">
        <v>12</v>
      </c>
      <c r="V1197" s="50">
        <v>43070</v>
      </c>
      <c r="W1197" s="4">
        <v>5937.19</v>
      </c>
      <c r="X1197" s="48">
        <v>6671</v>
      </c>
    </row>
    <row r="1198" spans="2:24" x14ac:dyDescent="0.35">
      <c r="B1198" s="8" t="s">
        <v>6</v>
      </c>
      <c r="C1198" s="8" t="s">
        <v>29</v>
      </c>
      <c r="D1198" s="8" t="s">
        <v>30</v>
      </c>
      <c r="E1198" s="8" t="s">
        <v>0</v>
      </c>
      <c r="F1198" s="8" t="s">
        <v>45</v>
      </c>
      <c r="G1198" s="8">
        <v>2017</v>
      </c>
      <c r="H1198" s="8">
        <v>12</v>
      </c>
      <c r="I1198" s="10">
        <v>43070</v>
      </c>
      <c r="J1198" s="11">
        <v>4276</v>
      </c>
      <c r="K1198" s="51"/>
      <c r="O1198" s="1" t="s">
        <v>6</v>
      </c>
      <c r="P1198" s="1" t="s">
        <v>29</v>
      </c>
      <c r="Q1198" s="1" t="s">
        <v>30</v>
      </c>
      <c r="R1198" s="1" t="s">
        <v>0</v>
      </c>
      <c r="S1198" s="1" t="s">
        <v>45</v>
      </c>
      <c r="T1198" s="1">
        <v>2017</v>
      </c>
      <c r="U1198" s="1">
        <v>12</v>
      </c>
      <c r="V1198" s="50">
        <v>43070</v>
      </c>
      <c r="W1198" s="4">
        <v>4019.4399999999996</v>
      </c>
      <c r="X1198" s="48">
        <v>4276</v>
      </c>
    </row>
    <row r="1199" spans="2:24" x14ac:dyDescent="0.35">
      <c r="B1199" s="8" t="s">
        <v>7</v>
      </c>
      <c r="C1199" s="8" t="s">
        <v>43</v>
      </c>
      <c r="D1199" s="8" t="s">
        <v>10</v>
      </c>
      <c r="E1199" s="8" t="s">
        <v>27</v>
      </c>
      <c r="F1199" s="8" t="s">
        <v>28</v>
      </c>
      <c r="G1199" s="8">
        <v>2017</v>
      </c>
      <c r="H1199" s="8">
        <v>12</v>
      </c>
      <c r="I1199" s="10">
        <v>43070</v>
      </c>
      <c r="J1199" s="11">
        <v>4885</v>
      </c>
      <c r="K1199" s="51"/>
      <c r="O1199" s="1" t="s">
        <v>7</v>
      </c>
      <c r="P1199" s="1" t="s">
        <v>43</v>
      </c>
      <c r="Q1199" s="1" t="s">
        <v>10</v>
      </c>
      <c r="R1199" s="1" t="s">
        <v>27</v>
      </c>
      <c r="S1199" s="1" t="s">
        <v>28</v>
      </c>
      <c r="T1199" s="1">
        <v>2017</v>
      </c>
      <c r="U1199" s="1">
        <v>12</v>
      </c>
      <c r="V1199" s="50">
        <v>43070</v>
      </c>
      <c r="W1199" s="4">
        <v>4298.7999999999993</v>
      </c>
      <c r="X1199" s="48">
        <v>4885</v>
      </c>
    </row>
    <row r="1200" spans="2:24" x14ac:dyDescent="0.35">
      <c r="B1200" s="8" t="s">
        <v>12</v>
      </c>
      <c r="C1200" s="8" t="s">
        <v>44</v>
      </c>
      <c r="D1200" s="8" t="s">
        <v>13</v>
      </c>
      <c r="E1200" s="8" t="s">
        <v>27</v>
      </c>
      <c r="F1200" s="8" t="s">
        <v>31</v>
      </c>
      <c r="G1200" s="8">
        <v>2017</v>
      </c>
      <c r="H1200" s="8">
        <v>12</v>
      </c>
      <c r="I1200" s="10">
        <v>43070</v>
      </c>
      <c r="J1200" s="11">
        <v>3980</v>
      </c>
      <c r="K1200" s="51"/>
      <c r="O1200" s="1" t="s">
        <v>12</v>
      </c>
      <c r="P1200" s="1" t="s">
        <v>44</v>
      </c>
      <c r="Q1200" s="1" t="s">
        <v>13</v>
      </c>
      <c r="R1200" s="1" t="s">
        <v>27</v>
      </c>
      <c r="S1200" s="1" t="s">
        <v>31</v>
      </c>
      <c r="T1200" s="1">
        <v>2017</v>
      </c>
      <c r="U1200" s="1">
        <v>12</v>
      </c>
      <c r="V1200" s="50">
        <v>43070</v>
      </c>
      <c r="W1200" s="4">
        <v>3422.8</v>
      </c>
      <c r="X1200" s="48">
        <v>3980</v>
      </c>
    </row>
    <row r="1201" spans="2:24" x14ac:dyDescent="0.35">
      <c r="B1201" s="8" t="s">
        <v>14</v>
      </c>
      <c r="C1201" s="8" t="s">
        <v>46</v>
      </c>
      <c r="D1201" s="8" t="s">
        <v>47</v>
      </c>
      <c r="E1201" s="8" t="s">
        <v>27</v>
      </c>
      <c r="F1201" s="6" t="s">
        <v>33</v>
      </c>
      <c r="G1201" s="8">
        <v>2017</v>
      </c>
      <c r="H1201" s="8">
        <v>12</v>
      </c>
      <c r="I1201" s="10">
        <v>43070</v>
      </c>
      <c r="J1201" s="11">
        <v>3261</v>
      </c>
      <c r="K1201" s="51"/>
      <c r="O1201" s="1" t="s">
        <v>14</v>
      </c>
      <c r="P1201" s="1" t="s">
        <v>46</v>
      </c>
      <c r="Q1201" s="1" t="s">
        <v>47</v>
      </c>
      <c r="R1201" s="1" t="s">
        <v>27</v>
      </c>
      <c r="S1201" t="s">
        <v>33</v>
      </c>
      <c r="T1201" s="1">
        <v>2017</v>
      </c>
      <c r="U1201" s="1">
        <v>12</v>
      </c>
      <c r="V1201" s="50">
        <v>43070</v>
      </c>
      <c r="W1201" s="4">
        <v>2967.5099999999998</v>
      </c>
      <c r="X1201" s="48">
        <v>3261</v>
      </c>
    </row>
    <row r="1202" spans="2:24" x14ac:dyDescent="0.35">
      <c r="B1202" s="8" t="s">
        <v>3</v>
      </c>
      <c r="C1202" s="8" t="s">
        <v>22</v>
      </c>
      <c r="D1202" s="8" t="s">
        <v>5</v>
      </c>
      <c r="E1202" s="8" t="s">
        <v>23</v>
      </c>
      <c r="F1202" s="6" t="s">
        <v>36</v>
      </c>
      <c r="G1202" s="8">
        <v>2017</v>
      </c>
      <c r="H1202" s="8">
        <v>12</v>
      </c>
      <c r="I1202" s="10">
        <v>43070</v>
      </c>
      <c r="J1202" s="11">
        <v>2696</v>
      </c>
      <c r="K1202" s="51"/>
      <c r="O1202" s="1" t="s">
        <v>3</v>
      </c>
      <c r="P1202" s="1" t="s">
        <v>22</v>
      </c>
      <c r="Q1202" s="1" t="s">
        <v>5</v>
      </c>
      <c r="R1202" s="1" t="s">
        <v>23</v>
      </c>
      <c r="S1202" t="s">
        <v>36</v>
      </c>
      <c r="T1202" s="1">
        <v>2017</v>
      </c>
      <c r="U1202" s="1">
        <v>12</v>
      </c>
      <c r="V1202" s="50">
        <v>43070</v>
      </c>
      <c r="W1202" s="4">
        <v>2399.4399999999996</v>
      </c>
      <c r="X1202" s="48">
        <v>2696</v>
      </c>
    </row>
    <row r="1203" spans="2:24" x14ac:dyDescent="0.35">
      <c r="B1203" s="8" t="s">
        <v>6</v>
      </c>
      <c r="C1203" s="8" t="s">
        <v>40</v>
      </c>
      <c r="D1203" s="8" t="s">
        <v>41</v>
      </c>
      <c r="E1203" s="8" t="s">
        <v>23</v>
      </c>
      <c r="F1203" s="6" t="s">
        <v>24</v>
      </c>
      <c r="G1203" s="8">
        <v>2017</v>
      </c>
      <c r="H1203" s="8">
        <v>12</v>
      </c>
      <c r="I1203" s="10">
        <v>43070</v>
      </c>
      <c r="J1203" s="11">
        <v>3243</v>
      </c>
      <c r="K1203" s="51"/>
      <c r="O1203" s="1" t="s">
        <v>6</v>
      </c>
      <c r="P1203" s="1" t="s">
        <v>40</v>
      </c>
      <c r="Q1203" s="1" t="s">
        <v>41</v>
      </c>
      <c r="R1203" s="1" t="s">
        <v>23</v>
      </c>
      <c r="S1203" t="s">
        <v>24</v>
      </c>
      <c r="T1203" s="1">
        <v>2017</v>
      </c>
      <c r="U1203" s="1">
        <v>12</v>
      </c>
      <c r="V1203" s="50">
        <v>43070</v>
      </c>
      <c r="W1203" s="4">
        <v>2756.55</v>
      </c>
      <c r="X1203" s="48">
        <v>3243</v>
      </c>
    </row>
    <row r="1204" spans="2:24" x14ac:dyDescent="0.35">
      <c r="B1204" s="8" t="s">
        <v>7</v>
      </c>
      <c r="C1204" s="8" t="s">
        <v>32</v>
      </c>
      <c r="D1204" s="8" t="s">
        <v>8</v>
      </c>
      <c r="E1204" s="9" t="s">
        <v>23</v>
      </c>
      <c r="F1204" s="9" t="s">
        <v>39</v>
      </c>
      <c r="G1204" s="8">
        <v>2017</v>
      </c>
      <c r="H1204" s="8">
        <v>12</v>
      </c>
      <c r="I1204" s="10">
        <v>43070</v>
      </c>
      <c r="J1204" s="11">
        <v>2153</v>
      </c>
      <c r="K1204" s="51"/>
      <c r="O1204" s="1" t="s">
        <v>7</v>
      </c>
      <c r="P1204" s="1" t="s">
        <v>32</v>
      </c>
      <c r="Q1204" s="1" t="s">
        <v>8</v>
      </c>
      <c r="R1204" s="2" t="s">
        <v>23</v>
      </c>
      <c r="S1204" s="2" t="s">
        <v>39</v>
      </c>
      <c r="T1204" s="1">
        <v>2017</v>
      </c>
      <c r="U1204" s="1">
        <v>12</v>
      </c>
      <c r="V1204" s="50">
        <v>43070</v>
      </c>
      <c r="W1204" s="4">
        <v>1937.6999999999998</v>
      </c>
      <c r="X1204" s="48">
        <v>2153</v>
      </c>
    </row>
    <row r="1205" spans="2:24" x14ac:dyDescent="0.35">
      <c r="B1205" s="8" t="s">
        <v>12</v>
      </c>
      <c r="C1205" s="8" t="s">
        <v>34</v>
      </c>
      <c r="D1205" s="8" t="s">
        <v>35</v>
      </c>
      <c r="E1205" s="8" t="s">
        <v>0</v>
      </c>
      <c r="F1205" s="9" t="s">
        <v>42</v>
      </c>
      <c r="G1205" s="8">
        <v>2017</v>
      </c>
      <c r="H1205" s="8">
        <v>12</v>
      </c>
      <c r="I1205" s="10">
        <v>43070</v>
      </c>
      <c r="J1205" s="11">
        <v>5225</v>
      </c>
      <c r="K1205" s="51"/>
      <c r="O1205" s="1" t="s">
        <v>12</v>
      </c>
      <c r="P1205" s="1" t="s">
        <v>34</v>
      </c>
      <c r="Q1205" s="1" t="s">
        <v>35</v>
      </c>
      <c r="R1205" s="1" t="s">
        <v>0</v>
      </c>
      <c r="S1205" s="2" t="s">
        <v>42</v>
      </c>
      <c r="T1205" s="1">
        <v>2017</v>
      </c>
      <c r="U1205" s="1">
        <v>12</v>
      </c>
      <c r="V1205" s="50">
        <v>43070</v>
      </c>
      <c r="W1205" s="4">
        <v>4545.7500000000009</v>
      </c>
      <c r="X1205" s="48">
        <v>5225</v>
      </c>
    </row>
    <row r="1206" spans="2:24" x14ac:dyDescent="0.35">
      <c r="B1206" s="8" t="s">
        <v>14</v>
      </c>
      <c r="C1206" s="8" t="s">
        <v>37</v>
      </c>
      <c r="D1206" s="8" t="s">
        <v>38</v>
      </c>
      <c r="E1206" s="8" t="s">
        <v>0</v>
      </c>
      <c r="F1206" s="6" t="s">
        <v>26</v>
      </c>
      <c r="G1206" s="8">
        <v>2017</v>
      </c>
      <c r="H1206" s="8">
        <v>12</v>
      </c>
      <c r="I1206" s="10">
        <v>43070</v>
      </c>
      <c r="J1206" s="11">
        <v>5099</v>
      </c>
      <c r="K1206" s="51"/>
      <c r="O1206" s="1" t="s">
        <v>14</v>
      </c>
      <c r="P1206" s="1" t="s">
        <v>37</v>
      </c>
      <c r="Q1206" s="1" t="s">
        <v>38</v>
      </c>
      <c r="R1206" s="1" t="s">
        <v>0</v>
      </c>
      <c r="S1206" t="s">
        <v>26</v>
      </c>
      <c r="T1206" s="1">
        <v>2017</v>
      </c>
      <c r="U1206" s="1">
        <v>12</v>
      </c>
      <c r="V1206" s="50">
        <v>43070</v>
      </c>
      <c r="W1206" s="4">
        <v>4538.1099999999997</v>
      </c>
      <c r="X1206" s="48">
        <v>5099</v>
      </c>
    </row>
    <row r="1207" spans="2:24" x14ac:dyDescent="0.35">
      <c r="B1207" s="8" t="s">
        <v>3</v>
      </c>
      <c r="C1207" s="8" t="s">
        <v>25</v>
      </c>
      <c r="D1207" s="8" t="s">
        <v>4</v>
      </c>
      <c r="E1207" s="8" t="s">
        <v>0</v>
      </c>
      <c r="F1207" s="8" t="s">
        <v>45</v>
      </c>
      <c r="G1207" s="8">
        <v>2017</v>
      </c>
      <c r="H1207" s="8">
        <v>12</v>
      </c>
      <c r="I1207" s="10">
        <v>43070</v>
      </c>
      <c r="J1207" s="11">
        <v>3708</v>
      </c>
      <c r="K1207" s="51"/>
      <c r="O1207" s="1" t="s">
        <v>3</v>
      </c>
      <c r="P1207" s="1" t="s">
        <v>25</v>
      </c>
      <c r="Q1207" s="1" t="s">
        <v>4</v>
      </c>
      <c r="R1207" s="1" t="s">
        <v>0</v>
      </c>
      <c r="S1207" s="1" t="s">
        <v>45</v>
      </c>
      <c r="T1207" s="1">
        <v>2017</v>
      </c>
      <c r="U1207" s="1">
        <v>12</v>
      </c>
      <c r="V1207" s="50">
        <v>43070</v>
      </c>
      <c r="W1207" s="4">
        <v>3337.2</v>
      </c>
      <c r="X1207" s="48">
        <v>3708</v>
      </c>
    </row>
    <row r="1208" spans="2:24" x14ac:dyDescent="0.35">
      <c r="B1208" s="8" t="s">
        <v>6</v>
      </c>
      <c r="C1208" s="8" t="s">
        <v>29</v>
      </c>
      <c r="D1208" s="8" t="s">
        <v>30</v>
      </c>
      <c r="E1208" s="8" t="s">
        <v>27</v>
      </c>
      <c r="F1208" s="8" t="s">
        <v>28</v>
      </c>
      <c r="G1208" s="8">
        <v>2017</v>
      </c>
      <c r="H1208" s="8">
        <v>12</v>
      </c>
      <c r="I1208" s="10">
        <v>43070</v>
      </c>
      <c r="J1208" s="11">
        <v>3534</v>
      </c>
      <c r="K1208" s="51"/>
      <c r="O1208" s="1" t="s">
        <v>6</v>
      </c>
      <c r="P1208" s="1" t="s">
        <v>29</v>
      </c>
      <c r="Q1208" s="1" t="s">
        <v>30</v>
      </c>
      <c r="R1208" s="1" t="s">
        <v>27</v>
      </c>
      <c r="S1208" s="1" t="s">
        <v>28</v>
      </c>
      <c r="T1208" s="1">
        <v>2017</v>
      </c>
      <c r="U1208" s="1">
        <v>12</v>
      </c>
      <c r="V1208" s="50">
        <v>43070</v>
      </c>
      <c r="W1208" s="4">
        <v>3321.96</v>
      </c>
      <c r="X1208" s="48">
        <v>3534</v>
      </c>
    </row>
    <row r="1209" spans="2:24" x14ac:dyDescent="0.35">
      <c r="B1209" s="8" t="s">
        <v>7</v>
      </c>
      <c r="C1209" s="8" t="s">
        <v>43</v>
      </c>
      <c r="D1209" s="8" t="s">
        <v>10</v>
      </c>
      <c r="E1209" s="8" t="s">
        <v>27</v>
      </c>
      <c r="F1209" s="8" t="s">
        <v>31</v>
      </c>
      <c r="G1209" s="8">
        <v>2017</v>
      </c>
      <c r="H1209" s="8">
        <v>12</v>
      </c>
      <c r="I1209" s="10">
        <v>43070</v>
      </c>
      <c r="J1209" s="11">
        <v>3490</v>
      </c>
      <c r="K1209" s="51"/>
      <c r="O1209" s="1" t="s">
        <v>7</v>
      </c>
      <c r="P1209" s="1" t="s">
        <v>43</v>
      </c>
      <c r="Q1209" s="1" t="s">
        <v>10</v>
      </c>
      <c r="R1209" s="1" t="s">
        <v>27</v>
      </c>
      <c r="S1209" s="1" t="s">
        <v>31</v>
      </c>
      <c r="T1209" s="1">
        <v>2017</v>
      </c>
      <c r="U1209" s="1">
        <v>12</v>
      </c>
      <c r="V1209" s="50">
        <v>43070</v>
      </c>
      <c r="W1209" s="4">
        <v>3245.7</v>
      </c>
      <c r="X1209" s="48">
        <v>3490</v>
      </c>
    </row>
    <row r="1210" spans="2:24" x14ac:dyDescent="0.35">
      <c r="B1210" s="8" t="s">
        <v>12</v>
      </c>
      <c r="C1210" s="8" t="s">
        <v>44</v>
      </c>
      <c r="D1210" s="8" t="s">
        <v>13</v>
      </c>
      <c r="E1210" s="8" t="s">
        <v>27</v>
      </c>
      <c r="F1210" s="6" t="s">
        <v>33</v>
      </c>
      <c r="G1210" s="8">
        <v>2017</v>
      </c>
      <c r="H1210" s="8">
        <v>12</v>
      </c>
      <c r="I1210" s="10">
        <v>43070</v>
      </c>
      <c r="J1210" s="11">
        <v>3972</v>
      </c>
      <c r="K1210" s="51"/>
      <c r="O1210" s="1" t="s">
        <v>12</v>
      </c>
      <c r="P1210" s="1" t="s">
        <v>44</v>
      </c>
      <c r="Q1210" s="1" t="s">
        <v>13</v>
      </c>
      <c r="R1210" s="1" t="s">
        <v>27</v>
      </c>
      <c r="S1210" t="s">
        <v>33</v>
      </c>
      <c r="T1210" s="1">
        <v>2017</v>
      </c>
      <c r="U1210" s="1">
        <v>12</v>
      </c>
      <c r="V1210" s="50">
        <v>43070</v>
      </c>
      <c r="W1210" s="4">
        <v>3614.5199999999995</v>
      </c>
      <c r="X1210" s="48">
        <v>3972</v>
      </c>
    </row>
    <row r="1211" spans="2:24" x14ac:dyDescent="0.35">
      <c r="B1211" s="8" t="s">
        <v>14</v>
      </c>
      <c r="C1211" s="8" t="s">
        <v>46</v>
      </c>
      <c r="D1211" s="8" t="s">
        <v>47</v>
      </c>
      <c r="E1211" s="8" t="s">
        <v>23</v>
      </c>
      <c r="F1211" s="6" t="s">
        <v>36</v>
      </c>
      <c r="G1211" s="8">
        <v>2017</v>
      </c>
      <c r="H1211" s="8">
        <v>12</v>
      </c>
      <c r="I1211" s="10">
        <v>43070</v>
      </c>
      <c r="J1211" s="11">
        <v>2679</v>
      </c>
      <c r="K1211" s="51"/>
      <c r="O1211" s="1" t="s">
        <v>14</v>
      </c>
      <c r="P1211" s="1" t="s">
        <v>46</v>
      </c>
      <c r="Q1211" s="1" t="s">
        <v>47</v>
      </c>
      <c r="R1211" s="1" t="s">
        <v>23</v>
      </c>
      <c r="S1211" t="s">
        <v>36</v>
      </c>
      <c r="T1211" s="1">
        <v>2017</v>
      </c>
      <c r="U1211" s="1">
        <v>12</v>
      </c>
      <c r="V1211" s="50">
        <v>43070</v>
      </c>
      <c r="W1211" s="4">
        <v>2303.9400000000005</v>
      </c>
      <c r="X1211" s="48">
        <v>2679</v>
      </c>
    </row>
    <row r="1212" spans="2:24" x14ac:dyDescent="0.35">
      <c r="B1212" s="8" t="s">
        <v>6</v>
      </c>
      <c r="C1212" s="8" t="s">
        <v>29</v>
      </c>
      <c r="D1212" s="8" t="s">
        <v>30</v>
      </c>
      <c r="E1212" s="8" t="s">
        <v>23</v>
      </c>
      <c r="F1212" s="6" t="s">
        <v>39</v>
      </c>
      <c r="G1212" s="8">
        <v>2017</v>
      </c>
      <c r="H1212" s="8">
        <v>12</v>
      </c>
      <c r="I1212" s="10">
        <v>43070</v>
      </c>
      <c r="J1212" s="11">
        <v>1837</v>
      </c>
      <c r="K1212" s="51"/>
      <c r="O1212" s="1" t="s">
        <v>6</v>
      </c>
      <c r="P1212" s="1" t="s">
        <v>29</v>
      </c>
      <c r="Q1212" s="1" t="s">
        <v>30</v>
      </c>
      <c r="R1212" s="1" t="s">
        <v>23</v>
      </c>
      <c r="S1212" t="s">
        <v>39</v>
      </c>
      <c r="T1212" s="1">
        <v>2017</v>
      </c>
      <c r="U1212" s="1">
        <v>12</v>
      </c>
      <c r="V1212" s="50">
        <v>43070</v>
      </c>
      <c r="W1212" s="4">
        <v>1616.5599999999997</v>
      </c>
      <c r="X1212" s="48">
        <v>1837</v>
      </c>
    </row>
    <row r="1213" spans="2:24" x14ac:dyDescent="0.35">
      <c r="B1213" s="8" t="s">
        <v>7</v>
      </c>
      <c r="C1213" s="8" t="s">
        <v>32</v>
      </c>
      <c r="D1213" s="8" t="s">
        <v>8</v>
      </c>
      <c r="E1213" s="9" t="s">
        <v>0</v>
      </c>
      <c r="F1213" s="9" t="s">
        <v>42</v>
      </c>
      <c r="G1213" s="8">
        <v>2017</v>
      </c>
      <c r="H1213" s="8">
        <v>12</v>
      </c>
      <c r="I1213" s="10">
        <v>43070</v>
      </c>
      <c r="J1213" s="11">
        <v>6325</v>
      </c>
      <c r="K1213" s="51"/>
      <c r="O1213" s="1" t="s">
        <v>7</v>
      </c>
      <c r="P1213" s="1" t="s">
        <v>32</v>
      </c>
      <c r="Q1213" s="1" t="s">
        <v>8</v>
      </c>
      <c r="R1213" s="2" t="s">
        <v>0</v>
      </c>
      <c r="S1213" s="2" t="s">
        <v>42</v>
      </c>
      <c r="T1213" s="1">
        <v>2017</v>
      </c>
      <c r="U1213" s="1">
        <v>12</v>
      </c>
      <c r="V1213" s="50">
        <v>43070</v>
      </c>
      <c r="W1213" s="4">
        <v>5376.2500000000009</v>
      </c>
      <c r="X1213" s="48">
        <v>6325</v>
      </c>
    </row>
    <row r="1214" spans="2:24" x14ac:dyDescent="0.35">
      <c r="B1214" s="8" t="s">
        <v>12</v>
      </c>
      <c r="C1214" s="8" t="s">
        <v>44</v>
      </c>
      <c r="D1214" s="8" t="s">
        <v>13</v>
      </c>
      <c r="E1214" s="8" t="s">
        <v>0</v>
      </c>
      <c r="F1214" s="9" t="s">
        <v>26</v>
      </c>
      <c r="G1214" s="8">
        <v>2017</v>
      </c>
      <c r="H1214" s="8">
        <v>12</v>
      </c>
      <c r="I1214" s="10">
        <v>43070</v>
      </c>
      <c r="J1214" s="11">
        <v>3304</v>
      </c>
      <c r="K1214" s="51"/>
      <c r="O1214" s="1" t="s">
        <v>12</v>
      </c>
      <c r="P1214" s="1" t="s">
        <v>44</v>
      </c>
      <c r="Q1214" s="1" t="s">
        <v>13</v>
      </c>
      <c r="R1214" s="1" t="s">
        <v>0</v>
      </c>
      <c r="S1214" s="2" t="s">
        <v>26</v>
      </c>
      <c r="T1214" s="1">
        <v>2017</v>
      </c>
      <c r="U1214" s="1">
        <v>12</v>
      </c>
      <c r="V1214" s="50">
        <v>43070</v>
      </c>
      <c r="W1214" s="4">
        <v>2973.5999999999995</v>
      </c>
      <c r="X1214" s="48">
        <v>3304</v>
      </c>
    </row>
    <row r="1215" spans="2:24" x14ac:dyDescent="0.35">
      <c r="B1215" s="8" t="s">
        <v>14</v>
      </c>
      <c r="C1215" s="8" t="s">
        <v>37</v>
      </c>
      <c r="D1215" s="8" t="s">
        <v>38</v>
      </c>
      <c r="E1215" s="8" t="s">
        <v>0</v>
      </c>
      <c r="F1215" s="6" t="s">
        <v>45</v>
      </c>
      <c r="G1215" s="8">
        <v>2017</v>
      </c>
      <c r="H1215" s="8">
        <v>12</v>
      </c>
      <c r="I1215" s="10">
        <v>43070</v>
      </c>
      <c r="J1215" s="11">
        <v>4674</v>
      </c>
      <c r="K1215" s="51"/>
      <c r="O1215" s="1" t="s">
        <v>14</v>
      </c>
      <c r="P1215" s="1" t="s">
        <v>37</v>
      </c>
      <c r="Q1215" s="1" t="s">
        <v>38</v>
      </c>
      <c r="R1215" s="1" t="s">
        <v>0</v>
      </c>
      <c r="S1215" t="s">
        <v>45</v>
      </c>
      <c r="T1215" s="1">
        <v>2017</v>
      </c>
      <c r="U1215" s="1">
        <v>12</v>
      </c>
      <c r="V1215" s="50">
        <v>43070</v>
      </c>
      <c r="W1215" s="4">
        <v>4066.3800000000006</v>
      </c>
      <c r="X1215" s="48">
        <v>4674</v>
      </c>
    </row>
    <row r="1216" spans="2:24" x14ac:dyDescent="0.35">
      <c r="B1216" s="8" t="s">
        <v>3</v>
      </c>
      <c r="C1216" s="8" t="s">
        <v>25</v>
      </c>
      <c r="D1216" s="8" t="s">
        <v>4</v>
      </c>
      <c r="E1216" s="8" t="s">
        <v>27</v>
      </c>
      <c r="F1216" s="8" t="s">
        <v>28</v>
      </c>
      <c r="G1216" s="8">
        <v>2017</v>
      </c>
      <c r="H1216" s="8">
        <v>12</v>
      </c>
      <c r="I1216" s="10">
        <v>43070</v>
      </c>
      <c r="J1216" s="11">
        <v>4911</v>
      </c>
      <c r="K1216" s="51"/>
      <c r="O1216" s="1" t="s">
        <v>3</v>
      </c>
      <c r="P1216" s="1" t="s">
        <v>25</v>
      </c>
      <c r="Q1216" s="1" t="s">
        <v>4</v>
      </c>
      <c r="R1216" s="1" t="s">
        <v>27</v>
      </c>
      <c r="S1216" s="1" t="s">
        <v>28</v>
      </c>
      <c r="T1216" s="1">
        <v>2017</v>
      </c>
      <c r="U1216" s="1">
        <v>12</v>
      </c>
      <c r="V1216" s="50">
        <v>43070</v>
      </c>
      <c r="W1216" s="4">
        <v>4469.0099999999993</v>
      </c>
      <c r="X1216" s="48">
        <v>4911</v>
      </c>
    </row>
    <row r="1217" spans="2:24" x14ac:dyDescent="0.35">
      <c r="B1217" s="8" t="s">
        <v>3</v>
      </c>
      <c r="C1217" s="8" t="s">
        <v>25</v>
      </c>
      <c r="D1217" s="8" t="s">
        <v>4</v>
      </c>
      <c r="E1217" s="8" t="s">
        <v>27</v>
      </c>
      <c r="F1217" s="8" t="s">
        <v>31</v>
      </c>
      <c r="G1217" s="8">
        <v>2017</v>
      </c>
      <c r="H1217" s="8">
        <v>12</v>
      </c>
      <c r="I1217" s="10">
        <v>43070</v>
      </c>
      <c r="J1217" s="11">
        <v>4907</v>
      </c>
      <c r="K1217" s="51"/>
      <c r="O1217" s="1" t="s">
        <v>3</v>
      </c>
      <c r="P1217" s="1" t="s">
        <v>25</v>
      </c>
      <c r="Q1217" s="1" t="s">
        <v>4</v>
      </c>
      <c r="R1217" s="1" t="s">
        <v>27</v>
      </c>
      <c r="S1217" s="1" t="s">
        <v>31</v>
      </c>
      <c r="T1217" s="1">
        <v>2017</v>
      </c>
      <c r="U1217" s="1">
        <v>12</v>
      </c>
      <c r="V1217" s="50">
        <v>43070</v>
      </c>
      <c r="W1217" s="4">
        <v>4465.37</v>
      </c>
      <c r="X1217" s="48">
        <v>4907</v>
      </c>
    </row>
    <row r="1218" spans="2:24" x14ac:dyDescent="0.35">
      <c r="B1218" s="8" t="s">
        <v>6</v>
      </c>
      <c r="C1218" s="8" t="s">
        <v>40</v>
      </c>
      <c r="D1218" s="8" t="s">
        <v>41</v>
      </c>
      <c r="E1218" s="8" t="s">
        <v>27</v>
      </c>
      <c r="F1218" s="8" t="s">
        <v>33</v>
      </c>
      <c r="G1218" s="8">
        <v>2017</v>
      </c>
      <c r="H1218" s="8">
        <v>12</v>
      </c>
      <c r="I1218" s="10">
        <v>43070</v>
      </c>
      <c r="J1218" s="11">
        <v>3354</v>
      </c>
      <c r="K1218" s="51"/>
      <c r="O1218" s="1" t="s">
        <v>6</v>
      </c>
      <c r="P1218" s="1" t="s">
        <v>40</v>
      </c>
      <c r="Q1218" s="1" t="s">
        <v>41</v>
      </c>
      <c r="R1218" s="1" t="s">
        <v>27</v>
      </c>
      <c r="S1218" s="1" t="s">
        <v>33</v>
      </c>
      <c r="T1218" s="1">
        <v>2017</v>
      </c>
      <c r="U1218" s="1">
        <v>12</v>
      </c>
      <c r="V1218" s="50">
        <v>43070</v>
      </c>
      <c r="W1218" s="4">
        <v>3119.22</v>
      </c>
      <c r="X1218" s="48">
        <v>3354</v>
      </c>
    </row>
    <row r="1219" spans="2:24" x14ac:dyDescent="0.35">
      <c r="B1219" s="8" t="s">
        <v>6</v>
      </c>
      <c r="C1219" s="8" t="s">
        <v>40</v>
      </c>
      <c r="D1219" s="8" t="s">
        <v>41</v>
      </c>
      <c r="E1219" s="8" t="s">
        <v>23</v>
      </c>
      <c r="F1219" s="6" t="s">
        <v>36</v>
      </c>
      <c r="G1219" s="8">
        <v>2017</v>
      </c>
      <c r="H1219" s="8">
        <v>12</v>
      </c>
      <c r="I1219" s="10">
        <v>43070</v>
      </c>
      <c r="J1219" s="11">
        <v>1736</v>
      </c>
      <c r="K1219" s="51"/>
      <c r="O1219" s="1" t="s">
        <v>6</v>
      </c>
      <c r="P1219" s="1" t="s">
        <v>40</v>
      </c>
      <c r="Q1219" s="1" t="s">
        <v>41</v>
      </c>
      <c r="R1219" s="1" t="s">
        <v>23</v>
      </c>
      <c r="S1219" t="s">
        <v>36</v>
      </c>
      <c r="T1219" s="1">
        <v>2017</v>
      </c>
      <c r="U1219" s="1">
        <v>12</v>
      </c>
      <c r="V1219" s="50">
        <v>43070</v>
      </c>
      <c r="W1219" s="4">
        <v>1492.9600000000003</v>
      </c>
      <c r="X1219" s="48">
        <v>1736</v>
      </c>
    </row>
    <row r="1220" spans="2:24" x14ac:dyDescent="0.35">
      <c r="B1220" s="8" t="s">
        <v>7</v>
      </c>
      <c r="C1220" s="8" t="s">
        <v>43</v>
      </c>
      <c r="D1220" s="8" t="s">
        <v>10</v>
      </c>
      <c r="E1220" s="8" t="s">
        <v>23</v>
      </c>
      <c r="F1220" s="6" t="s">
        <v>24</v>
      </c>
      <c r="G1220" s="8">
        <v>2017</v>
      </c>
      <c r="H1220" s="8">
        <v>12</v>
      </c>
      <c r="I1220" s="10">
        <v>43070</v>
      </c>
      <c r="J1220" s="11">
        <v>2776</v>
      </c>
      <c r="K1220" s="51"/>
      <c r="O1220" s="1" t="s">
        <v>7</v>
      </c>
      <c r="P1220" s="1" t="s">
        <v>43</v>
      </c>
      <c r="Q1220" s="1" t="s">
        <v>10</v>
      </c>
      <c r="R1220" s="1" t="s">
        <v>23</v>
      </c>
      <c r="S1220" t="s">
        <v>24</v>
      </c>
      <c r="T1220" s="1">
        <v>2017</v>
      </c>
      <c r="U1220" s="1">
        <v>12</v>
      </c>
      <c r="V1220" s="50">
        <v>43070</v>
      </c>
      <c r="W1220" s="4">
        <v>2470.64</v>
      </c>
      <c r="X1220" s="48">
        <v>2776</v>
      </c>
    </row>
    <row r="1221" spans="2:24" x14ac:dyDescent="0.35">
      <c r="B1221" s="8" t="s">
        <v>7</v>
      </c>
      <c r="C1221" s="8" t="s">
        <v>43</v>
      </c>
      <c r="D1221" s="8" t="s">
        <v>10</v>
      </c>
      <c r="E1221" s="8" t="s">
        <v>23</v>
      </c>
      <c r="F1221" s="6" t="s">
        <v>39</v>
      </c>
      <c r="G1221" s="8">
        <v>2017</v>
      </c>
      <c r="H1221" s="8">
        <v>12</v>
      </c>
      <c r="I1221" s="10">
        <v>43070</v>
      </c>
      <c r="J1221" s="11">
        <v>1639</v>
      </c>
      <c r="K1221" s="51"/>
      <c r="O1221" s="1" t="s">
        <v>7</v>
      </c>
      <c r="P1221" s="1" t="s">
        <v>43</v>
      </c>
      <c r="Q1221" s="1" t="s">
        <v>10</v>
      </c>
      <c r="R1221" s="1" t="s">
        <v>23</v>
      </c>
      <c r="S1221" t="s">
        <v>39</v>
      </c>
      <c r="T1221" s="1">
        <v>2017</v>
      </c>
      <c r="U1221" s="1">
        <v>12</v>
      </c>
      <c r="V1221" s="50">
        <v>43070</v>
      </c>
      <c r="W1221" s="4">
        <v>1425.9300000000003</v>
      </c>
      <c r="X1221" s="48">
        <v>1639</v>
      </c>
    </row>
    <row r="1222" spans="2:24" x14ac:dyDescent="0.35">
      <c r="B1222" s="8" t="s">
        <v>7</v>
      </c>
      <c r="C1222" s="8" t="s">
        <v>32</v>
      </c>
      <c r="D1222" s="8" t="s">
        <v>8</v>
      </c>
      <c r="E1222" s="9" t="s">
        <v>0</v>
      </c>
      <c r="F1222" s="9" t="s">
        <v>26</v>
      </c>
      <c r="G1222" s="8">
        <v>2017</v>
      </c>
      <c r="H1222" s="8">
        <v>12</v>
      </c>
      <c r="I1222" s="10">
        <v>43070</v>
      </c>
      <c r="J1222" s="11">
        <v>4641</v>
      </c>
      <c r="K1222" s="51"/>
      <c r="O1222" s="1" t="s">
        <v>7</v>
      </c>
      <c r="P1222" s="1" t="s">
        <v>32</v>
      </c>
      <c r="Q1222" s="1" t="s">
        <v>8</v>
      </c>
      <c r="R1222" s="2" t="s">
        <v>0</v>
      </c>
      <c r="S1222" s="2" t="s">
        <v>26</v>
      </c>
      <c r="T1222" s="1">
        <v>2017</v>
      </c>
      <c r="U1222" s="1">
        <v>12</v>
      </c>
      <c r="V1222" s="50">
        <v>43070</v>
      </c>
      <c r="W1222" s="4">
        <v>4037.6700000000005</v>
      </c>
      <c r="X1222" s="48">
        <v>4641</v>
      </c>
    </row>
    <row r="1223" spans="2:24" x14ac:dyDescent="0.35">
      <c r="B1223" s="8" t="s">
        <v>3</v>
      </c>
      <c r="C1223" s="8" t="s">
        <v>22</v>
      </c>
      <c r="D1223" s="8" t="s">
        <v>5</v>
      </c>
      <c r="E1223" s="8" t="s">
        <v>0</v>
      </c>
      <c r="F1223" s="9" t="s">
        <v>45</v>
      </c>
      <c r="G1223" s="8">
        <v>2017</v>
      </c>
      <c r="H1223" s="8">
        <v>12</v>
      </c>
      <c r="I1223" s="10">
        <v>43070</v>
      </c>
      <c r="J1223" s="11">
        <v>2088</v>
      </c>
      <c r="K1223" s="51"/>
      <c r="O1223" s="1" t="s">
        <v>3</v>
      </c>
      <c r="P1223" s="1" t="s">
        <v>22</v>
      </c>
      <c r="Q1223" s="1" t="s">
        <v>5</v>
      </c>
      <c r="R1223" s="1" t="s">
        <v>0</v>
      </c>
      <c r="S1223" s="2" t="s">
        <v>45</v>
      </c>
      <c r="T1223" s="1">
        <v>2017</v>
      </c>
      <c r="U1223" s="1">
        <v>12</v>
      </c>
      <c r="V1223" s="50">
        <v>43070</v>
      </c>
      <c r="W1223" s="4">
        <v>1920.9599999999998</v>
      </c>
      <c r="X1223" s="48">
        <v>2088</v>
      </c>
    </row>
    <row r="1224" spans="2:24" x14ac:dyDescent="0.35">
      <c r="B1224" s="8" t="s">
        <v>7</v>
      </c>
      <c r="C1224" s="8" t="s">
        <v>48</v>
      </c>
      <c r="D1224" s="8" t="s">
        <v>9</v>
      </c>
      <c r="E1224" s="8" t="s">
        <v>23</v>
      </c>
      <c r="F1224" s="6" t="s">
        <v>36</v>
      </c>
      <c r="G1224" s="8">
        <v>2017</v>
      </c>
      <c r="H1224" s="8">
        <v>12</v>
      </c>
      <c r="I1224" s="10">
        <v>43070</v>
      </c>
      <c r="J1224" s="11">
        <v>2114</v>
      </c>
      <c r="K1224" s="51"/>
      <c r="O1224" s="1" t="s">
        <v>7</v>
      </c>
      <c r="P1224" s="1" t="s">
        <v>48</v>
      </c>
      <c r="Q1224" s="1" t="s">
        <v>9</v>
      </c>
      <c r="R1224" s="1" t="s">
        <v>23</v>
      </c>
      <c r="S1224" t="s">
        <v>36</v>
      </c>
      <c r="T1224" s="1">
        <v>2017</v>
      </c>
      <c r="U1224" s="1">
        <v>12</v>
      </c>
      <c r="V1224" s="50">
        <v>43070</v>
      </c>
      <c r="W1224" s="4">
        <v>1902.6</v>
      </c>
      <c r="X1224" s="48">
        <v>2114</v>
      </c>
    </row>
    <row r="1225" spans="2:24" x14ac:dyDescent="0.35">
      <c r="B1225" s="8" t="s">
        <v>7</v>
      </c>
      <c r="C1225" s="8" t="s">
        <v>48</v>
      </c>
      <c r="D1225" s="8" t="s">
        <v>9</v>
      </c>
      <c r="E1225" s="8" t="s">
        <v>23</v>
      </c>
      <c r="F1225" s="8" t="s">
        <v>24</v>
      </c>
      <c r="G1225" s="8">
        <v>2017</v>
      </c>
      <c r="H1225" s="8">
        <v>12</v>
      </c>
      <c r="I1225" s="10">
        <v>43070</v>
      </c>
      <c r="J1225" s="11">
        <v>1734</v>
      </c>
      <c r="K1225" s="51"/>
      <c r="O1225" s="1" t="s">
        <v>7</v>
      </c>
      <c r="P1225" s="1" t="s">
        <v>48</v>
      </c>
      <c r="Q1225" s="1" t="s">
        <v>9</v>
      </c>
      <c r="R1225" s="1" t="s">
        <v>23</v>
      </c>
      <c r="S1225" s="1" t="s">
        <v>24</v>
      </c>
      <c r="T1225" s="1">
        <v>2017</v>
      </c>
      <c r="U1225" s="1">
        <v>12</v>
      </c>
      <c r="V1225" s="50">
        <v>43070</v>
      </c>
      <c r="W1225" s="4">
        <v>1543.2599999999998</v>
      </c>
      <c r="X1225" s="48">
        <v>1734</v>
      </c>
    </row>
    <row r="1226" spans="2:24" x14ac:dyDescent="0.35">
      <c r="B1226" s="8" t="s">
        <v>7</v>
      </c>
      <c r="C1226" s="8" t="s">
        <v>49</v>
      </c>
      <c r="D1226" s="8" t="s">
        <v>11</v>
      </c>
      <c r="E1226" s="8" t="s">
        <v>23</v>
      </c>
      <c r="F1226" s="8" t="s">
        <v>39</v>
      </c>
      <c r="G1226" s="8">
        <v>2017</v>
      </c>
      <c r="H1226" s="8">
        <v>12</v>
      </c>
      <c r="I1226" s="10">
        <v>43070</v>
      </c>
      <c r="J1226" s="11">
        <v>2609</v>
      </c>
      <c r="K1226" s="51"/>
      <c r="O1226" s="1" t="s">
        <v>7</v>
      </c>
      <c r="P1226" s="1" t="s">
        <v>49</v>
      </c>
      <c r="Q1226" s="1" t="s">
        <v>11</v>
      </c>
      <c r="R1226" s="1" t="s">
        <v>23</v>
      </c>
      <c r="S1226" s="1" t="s">
        <v>39</v>
      </c>
      <c r="T1226" s="1">
        <v>2017</v>
      </c>
      <c r="U1226" s="1">
        <v>12</v>
      </c>
      <c r="V1226" s="50">
        <v>43070</v>
      </c>
      <c r="W1226" s="4">
        <v>2400.2799999999997</v>
      </c>
      <c r="X1226" s="48">
        <v>2609</v>
      </c>
    </row>
    <row r="1227" spans="2:24" x14ac:dyDescent="0.35">
      <c r="B1227" s="8" t="s">
        <v>7</v>
      </c>
      <c r="C1227" s="8" t="s">
        <v>49</v>
      </c>
      <c r="D1227" s="8" t="s">
        <v>11</v>
      </c>
      <c r="E1227" s="8" t="s">
        <v>0</v>
      </c>
      <c r="F1227" s="8" t="s">
        <v>42</v>
      </c>
      <c r="G1227" s="8">
        <v>2017</v>
      </c>
      <c r="H1227" s="8">
        <v>12</v>
      </c>
      <c r="I1227" s="10">
        <v>43070</v>
      </c>
      <c r="J1227" s="11">
        <v>5394</v>
      </c>
      <c r="K1227" s="51"/>
      <c r="O1227" s="1" t="s">
        <v>7</v>
      </c>
      <c r="P1227" s="1" t="s">
        <v>49</v>
      </c>
      <c r="Q1227" s="1" t="s">
        <v>11</v>
      </c>
      <c r="R1227" s="1" t="s">
        <v>0</v>
      </c>
      <c r="S1227" s="1" t="s">
        <v>42</v>
      </c>
      <c r="T1227" s="1">
        <v>2017</v>
      </c>
      <c r="U1227" s="1">
        <v>12</v>
      </c>
      <c r="V1227" s="50">
        <v>43070</v>
      </c>
      <c r="W1227" s="4">
        <v>5016.42</v>
      </c>
      <c r="X1227" s="48">
        <v>5394</v>
      </c>
    </row>
    <row r="1228" spans="2:24" x14ac:dyDescent="0.35">
      <c r="B1228" s="8" t="s">
        <v>12</v>
      </c>
      <c r="C1228" s="8" t="s">
        <v>34</v>
      </c>
      <c r="D1228" s="8" t="s">
        <v>35</v>
      </c>
      <c r="E1228" s="8" t="s">
        <v>0</v>
      </c>
      <c r="F1228" s="6" t="s">
        <v>26</v>
      </c>
      <c r="G1228" s="8">
        <v>2017</v>
      </c>
      <c r="H1228" s="8">
        <v>12</v>
      </c>
      <c r="I1228" s="10">
        <v>43070</v>
      </c>
      <c r="J1228" s="11">
        <v>4694</v>
      </c>
      <c r="K1228" s="51"/>
      <c r="O1228" s="1" t="s">
        <v>12</v>
      </c>
      <c r="P1228" s="1" t="s">
        <v>34</v>
      </c>
      <c r="Q1228" s="1" t="s">
        <v>35</v>
      </c>
      <c r="R1228" s="1" t="s">
        <v>0</v>
      </c>
      <c r="S1228" t="s">
        <v>26</v>
      </c>
      <c r="T1228" s="1">
        <v>2017</v>
      </c>
      <c r="U1228" s="1">
        <v>12</v>
      </c>
      <c r="V1228" s="50">
        <v>43070</v>
      </c>
      <c r="W1228" s="4">
        <v>4083.7800000000007</v>
      </c>
      <c r="X1228" s="48">
        <v>4694</v>
      </c>
    </row>
    <row r="1229" spans="2:24" x14ac:dyDescent="0.35">
      <c r="B1229" s="8" t="s">
        <v>12</v>
      </c>
      <c r="C1229" s="8" t="s">
        <v>34</v>
      </c>
      <c r="D1229" s="8" t="s">
        <v>35</v>
      </c>
      <c r="E1229" s="8" t="s">
        <v>0</v>
      </c>
      <c r="F1229" s="6" t="s">
        <v>45</v>
      </c>
      <c r="G1229" s="8">
        <v>2017</v>
      </c>
      <c r="H1229" s="8">
        <v>12</v>
      </c>
      <c r="I1229" s="10">
        <v>43070</v>
      </c>
      <c r="J1229" s="11">
        <v>4777</v>
      </c>
      <c r="K1229" s="51"/>
      <c r="O1229" s="1" t="s">
        <v>12</v>
      </c>
      <c r="P1229" s="1" t="s">
        <v>34</v>
      </c>
      <c r="Q1229" s="1" t="s">
        <v>35</v>
      </c>
      <c r="R1229" s="1" t="s">
        <v>0</v>
      </c>
      <c r="S1229" t="s">
        <v>45</v>
      </c>
      <c r="T1229" s="1">
        <v>2017</v>
      </c>
      <c r="U1229" s="1">
        <v>12</v>
      </c>
      <c r="V1229" s="50">
        <v>43070</v>
      </c>
      <c r="W1229" s="4">
        <v>4251.53</v>
      </c>
      <c r="X1229" s="48">
        <v>4777</v>
      </c>
    </row>
    <row r="1230" spans="2:24" x14ac:dyDescent="0.35">
      <c r="B1230" s="8" t="s">
        <v>14</v>
      </c>
      <c r="C1230" s="8" t="s">
        <v>37</v>
      </c>
      <c r="D1230" s="8" t="s">
        <v>38</v>
      </c>
      <c r="E1230" s="8" t="s">
        <v>27</v>
      </c>
      <c r="F1230" s="6" t="s">
        <v>28</v>
      </c>
      <c r="G1230" s="8">
        <v>2017</v>
      </c>
      <c r="H1230" s="8">
        <v>12</v>
      </c>
      <c r="I1230" s="10">
        <v>43070</v>
      </c>
      <c r="J1230" s="11">
        <v>4659</v>
      </c>
      <c r="K1230" s="51"/>
      <c r="O1230" s="1" t="s">
        <v>14</v>
      </c>
      <c r="P1230" s="1" t="s">
        <v>37</v>
      </c>
      <c r="Q1230" s="1" t="s">
        <v>38</v>
      </c>
      <c r="R1230" s="1" t="s">
        <v>27</v>
      </c>
      <c r="S1230" t="s">
        <v>28</v>
      </c>
      <c r="T1230" s="1">
        <v>2017</v>
      </c>
      <c r="U1230" s="1">
        <v>12</v>
      </c>
      <c r="V1230" s="50">
        <v>43070</v>
      </c>
      <c r="W1230" s="4">
        <v>4099.9199999999992</v>
      </c>
      <c r="X1230" s="48">
        <v>4659</v>
      </c>
    </row>
    <row r="1231" spans="2:24" x14ac:dyDescent="0.35">
      <c r="B1231" s="8" t="s">
        <v>14</v>
      </c>
      <c r="C1231" s="8" t="s">
        <v>37</v>
      </c>
      <c r="D1231" s="8" t="s">
        <v>38</v>
      </c>
      <c r="E1231" s="9" t="s">
        <v>27</v>
      </c>
      <c r="F1231" s="9" t="s">
        <v>31</v>
      </c>
      <c r="G1231" s="8">
        <v>2017</v>
      </c>
      <c r="H1231" s="8">
        <v>12</v>
      </c>
      <c r="I1231" s="10">
        <v>43070</v>
      </c>
      <c r="J1231" s="11">
        <v>2688</v>
      </c>
      <c r="K1231" s="51"/>
      <c r="O1231" s="1" t="s">
        <v>14</v>
      </c>
      <c r="P1231" s="1" t="s">
        <v>37</v>
      </c>
      <c r="Q1231" s="1" t="s">
        <v>38</v>
      </c>
      <c r="R1231" s="2" t="s">
        <v>27</v>
      </c>
      <c r="S1231" s="2" t="s">
        <v>31</v>
      </c>
      <c r="T1231" s="1">
        <v>2017</v>
      </c>
      <c r="U1231" s="1">
        <v>12</v>
      </c>
      <c r="V1231" s="50">
        <v>43070</v>
      </c>
      <c r="W1231" s="4">
        <v>2284.8000000000002</v>
      </c>
      <c r="X1231" s="48">
        <v>2688</v>
      </c>
    </row>
    <row r="1232" spans="2:24" x14ac:dyDescent="0.35">
      <c r="B1232" s="8" t="s">
        <v>12</v>
      </c>
      <c r="C1232" s="8" t="s">
        <v>44</v>
      </c>
      <c r="D1232" s="8" t="s">
        <v>13</v>
      </c>
      <c r="E1232" s="8" t="s">
        <v>23</v>
      </c>
      <c r="F1232" s="9" t="s">
        <v>36</v>
      </c>
      <c r="G1232" s="8">
        <v>2017</v>
      </c>
      <c r="H1232" s="8">
        <v>12</v>
      </c>
      <c r="I1232" s="10">
        <v>43070</v>
      </c>
      <c r="J1232" s="11">
        <v>1949</v>
      </c>
      <c r="K1232" s="51"/>
      <c r="O1232" s="1" t="s">
        <v>12</v>
      </c>
      <c r="P1232" s="1" t="s">
        <v>44</v>
      </c>
      <c r="Q1232" s="1" t="s">
        <v>13</v>
      </c>
      <c r="R1232" s="1" t="s">
        <v>23</v>
      </c>
      <c r="S1232" s="2" t="s">
        <v>36</v>
      </c>
      <c r="T1232" s="1">
        <v>2017</v>
      </c>
      <c r="U1232" s="1">
        <v>12</v>
      </c>
      <c r="V1232" s="50">
        <v>43070</v>
      </c>
      <c r="W1232" s="4">
        <v>1812.57</v>
      </c>
      <c r="X1232" s="48">
        <v>1949</v>
      </c>
    </row>
    <row r="1233" spans="2:24" x14ac:dyDescent="0.35">
      <c r="B1233" s="8" t="s">
        <v>14</v>
      </c>
      <c r="C1233" s="8" t="s">
        <v>46</v>
      </c>
      <c r="D1233" s="8" t="s">
        <v>47</v>
      </c>
      <c r="E1233" s="8" t="s">
        <v>23</v>
      </c>
      <c r="F1233" s="6" t="s">
        <v>24</v>
      </c>
      <c r="G1233" s="8">
        <v>2017</v>
      </c>
      <c r="H1233" s="8">
        <v>12</v>
      </c>
      <c r="I1233" s="10">
        <v>43070</v>
      </c>
      <c r="J1233" s="11">
        <v>2436</v>
      </c>
      <c r="K1233" s="51"/>
      <c r="O1233" s="1" t="s">
        <v>14</v>
      </c>
      <c r="P1233" s="1" t="s">
        <v>46</v>
      </c>
      <c r="Q1233" s="1" t="s">
        <v>47</v>
      </c>
      <c r="R1233" s="1" t="s">
        <v>23</v>
      </c>
      <c r="S1233" t="s">
        <v>24</v>
      </c>
      <c r="T1233" s="1">
        <v>2017</v>
      </c>
      <c r="U1233" s="1">
        <v>12</v>
      </c>
      <c r="V1233" s="50">
        <v>43070</v>
      </c>
      <c r="W1233" s="4">
        <v>2265.48</v>
      </c>
      <c r="X1233" s="48">
        <v>2436</v>
      </c>
    </row>
    <row r="1234" spans="2:24" x14ac:dyDescent="0.35">
      <c r="B1234" s="8" t="s">
        <v>14</v>
      </c>
      <c r="C1234" s="8" t="s">
        <v>46</v>
      </c>
      <c r="D1234" s="8" t="s">
        <v>47</v>
      </c>
      <c r="E1234" s="8" t="s">
        <v>23</v>
      </c>
      <c r="F1234" s="8" t="s">
        <v>39</v>
      </c>
      <c r="G1234" s="8">
        <v>2017</v>
      </c>
      <c r="H1234" s="8">
        <v>12</v>
      </c>
      <c r="I1234" s="10">
        <v>43070</v>
      </c>
      <c r="J1234" s="11">
        <v>1680</v>
      </c>
      <c r="K1234" s="51"/>
      <c r="O1234" s="1" t="s">
        <v>14</v>
      </c>
      <c r="P1234" s="1" t="s">
        <v>46</v>
      </c>
      <c r="Q1234" s="1" t="s">
        <v>47</v>
      </c>
      <c r="R1234" s="1" t="s">
        <v>23</v>
      </c>
      <c r="S1234" s="1" t="s">
        <v>39</v>
      </c>
      <c r="T1234" s="1">
        <v>2017</v>
      </c>
      <c r="U1234" s="1">
        <v>12</v>
      </c>
      <c r="V1234" s="50">
        <v>43070</v>
      </c>
      <c r="W1234" s="4">
        <v>1428.0000000000002</v>
      </c>
      <c r="X1234" s="48">
        <v>1680</v>
      </c>
    </row>
    <row r="1235" spans="2:24" x14ac:dyDescent="0.35">
      <c r="B1235" s="8" t="s">
        <v>7</v>
      </c>
      <c r="C1235" s="8" t="s">
        <v>43</v>
      </c>
      <c r="D1235" s="8" t="s">
        <v>10</v>
      </c>
      <c r="E1235" s="8" t="s">
        <v>0</v>
      </c>
      <c r="F1235" s="8" t="s">
        <v>42</v>
      </c>
      <c r="G1235" s="8">
        <v>2017</v>
      </c>
      <c r="H1235" s="8">
        <v>12</v>
      </c>
      <c r="I1235" s="10">
        <v>43070</v>
      </c>
      <c r="J1235" s="11">
        <v>6944</v>
      </c>
      <c r="K1235" s="51"/>
      <c r="O1235" s="1" t="s">
        <v>7</v>
      </c>
      <c r="P1235" s="1" t="s">
        <v>43</v>
      </c>
      <c r="Q1235" s="1" t="s">
        <v>10</v>
      </c>
      <c r="R1235" s="1" t="s">
        <v>0</v>
      </c>
      <c r="S1235" s="1" t="s">
        <v>42</v>
      </c>
      <c r="T1235" s="1">
        <v>2017</v>
      </c>
      <c r="U1235" s="1">
        <v>12</v>
      </c>
      <c r="V1235" s="50">
        <v>43070</v>
      </c>
      <c r="W1235" s="4">
        <v>5902.4000000000005</v>
      </c>
      <c r="X1235" s="48">
        <v>6944</v>
      </c>
    </row>
    <row r="1236" spans="2:24" x14ac:dyDescent="0.35">
      <c r="B1236" s="8" t="s">
        <v>6</v>
      </c>
      <c r="C1236" s="8" t="s">
        <v>40</v>
      </c>
      <c r="D1236" s="8" t="s">
        <v>41</v>
      </c>
      <c r="E1236" s="8" t="s">
        <v>27</v>
      </c>
      <c r="F1236" s="8" t="s">
        <v>31</v>
      </c>
      <c r="G1236" s="8">
        <v>2017</v>
      </c>
      <c r="H1236" s="8">
        <v>12</v>
      </c>
      <c r="I1236" s="10">
        <v>43070</v>
      </c>
      <c r="J1236" s="11">
        <v>4850</v>
      </c>
      <c r="K1236" s="51"/>
      <c r="O1236" s="1" t="s">
        <v>6</v>
      </c>
      <c r="P1236" s="1" t="s">
        <v>40</v>
      </c>
      <c r="Q1236" s="1" t="s">
        <v>41</v>
      </c>
      <c r="R1236" s="1" t="s">
        <v>27</v>
      </c>
      <c r="S1236" s="1" t="s">
        <v>31</v>
      </c>
      <c r="T1236" s="1">
        <v>2017</v>
      </c>
      <c r="U1236" s="1">
        <v>12</v>
      </c>
      <c r="V1236" s="50">
        <v>43070</v>
      </c>
      <c r="W1236" s="4">
        <v>4122.5</v>
      </c>
      <c r="X1236" s="48">
        <v>4850</v>
      </c>
    </row>
    <row r="1237" spans="2:24" x14ac:dyDescent="0.35">
      <c r="B1237" s="8" t="s">
        <v>3</v>
      </c>
      <c r="C1237" s="8" t="s">
        <v>22</v>
      </c>
      <c r="D1237" s="8" t="s">
        <v>5</v>
      </c>
      <c r="E1237" s="8" t="s">
        <v>23</v>
      </c>
      <c r="F1237" s="6" t="s">
        <v>39</v>
      </c>
      <c r="G1237" s="8">
        <v>2017</v>
      </c>
      <c r="H1237" s="8">
        <v>12</v>
      </c>
      <c r="I1237" s="10">
        <v>43070</v>
      </c>
      <c r="J1237" s="11">
        <v>1318</v>
      </c>
      <c r="K1237" s="51"/>
      <c r="O1237" s="1" t="s">
        <v>3</v>
      </c>
      <c r="P1237" s="1" t="s">
        <v>22</v>
      </c>
      <c r="Q1237" s="1" t="s">
        <v>5</v>
      </c>
      <c r="R1237" s="1" t="s">
        <v>23</v>
      </c>
      <c r="S1237" t="s">
        <v>39</v>
      </c>
      <c r="T1237" s="1">
        <v>2017</v>
      </c>
      <c r="U1237" s="1">
        <v>12</v>
      </c>
      <c r="V1237" s="50">
        <v>43070</v>
      </c>
      <c r="W1237" s="4">
        <v>1212.56</v>
      </c>
      <c r="X1237" s="48">
        <v>1318</v>
      </c>
    </row>
    <row r="1238" spans="2:24" x14ac:dyDescent="0.35">
      <c r="B1238" s="8" t="s">
        <v>3</v>
      </c>
      <c r="C1238" s="8" t="s">
        <v>22</v>
      </c>
      <c r="D1238" s="8" t="s">
        <v>5</v>
      </c>
      <c r="E1238" s="8" t="s">
        <v>0</v>
      </c>
      <c r="F1238" s="6" t="s">
        <v>42</v>
      </c>
      <c r="G1238" s="8">
        <v>2017</v>
      </c>
      <c r="H1238" s="8">
        <v>12</v>
      </c>
      <c r="I1238" s="10">
        <v>43070</v>
      </c>
      <c r="J1238" s="11">
        <v>6562</v>
      </c>
      <c r="K1238" s="51"/>
      <c r="O1238" s="1" t="s">
        <v>3</v>
      </c>
      <c r="P1238" s="1" t="s">
        <v>22</v>
      </c>
      <c r="Q1238" s="1" t="s">
        <v>5</v>
      </c>
      <c r="R1238" s="1" t="s">
        <v>0</v>
      </c>
      <c r="S1238" t="s">
        <v>42</v>
      </c>
      <c r="T1238" s="1">
        <v>2017</v>
      </c>
      <c r="U1238" s="1">
        <v>12</v>
      </c>
      <c r="V1238" s="50">
        <v>43070</v>
      </c>
      <c r="W1238" s="4">
        <v>5577.7000000000007</v>
      </c>
      <c r="X1238" s="48">
        <v>6562</v>
      </c>
    </row>
    <row r="1239" spans="2:24" x14ac:dyDescent="0.35">
      <c r="B1239" s="8" t="s">
        <v>6</v>
      </c>
      <c r="C1239" s="8" t="s">
        <v>29</v>
      </c>
      <c r="D1239" s="8" t="s">
        <v>30</v>
      </c>
      <c r="E1239" s="8" t="s">
        <v>0</v>
      </c>
      <c r="F1239" s="6" t="s">
        <v>26</v>
      </c>
      <c r="G1239" s="8">
        <v>2017</v>
      </c>
      <c r="H1239" s="8">
        <v>12</v>
      </c>
      <c r="I1239" s="10">
        <v>43070</v>
      </c>
      <c r="J1239" s="11">
        <v>2788</v>
      </c>
      <c r="K1239" s="51"/>
      <c r="O1239" s="1" t="s">
        <v>6</v>
      </c>
      <c r="P1239" s="1" t="s">
        <v>29</v>
      </c>
      <c r="Q1239" s="1" t="s">
        <v>30</v>
      </c>
      <c r="R1239" s="1" t="s">
        <v>0</v>
      </c>
      <c r="S1239" t="s">
        <v>26</v>
      </c>
      <c r="T1239" s="1">
        <v>2017</v>
      </c>
      <c r="U1239" s="1">
        <v>12</v>
      </c>
      <c r="V1239" s="50">
        <v>43070</v>
      </c>
      <c r="W1239" s="4">
        <v>2425.5600000000004</v>
      </c>
      <c r="X1239" s="48">
        <v>2788</v>
      </c>
    </row>
    <row r="1240" spans="2:24" x14ac:dyDescent="0.35">
      <c r="B1240" s="8" t="s">
        <v>7</v>
      </c>
      <c r="C1240" s="8" t="s">
        <v>48</v>
      </c>
      <c r="D1240" s="8" t="s">
        <v>9</v>
      </c>
      <c r="E1240" s="9" t="s">
        <v>27</v>
      </c>
      <c r="F1240" s="9" t="s">
        <v>28</v>
      </c>
      <c r="G1240" s="8">
        <v>2017</v>
      </c>
      <c r="H1240" s="8">
        <v>12</v>
      </c>
      <c r="I1240" s="10">
        <v>43070</v>
      </c>
      <c r="J1240" s="11">
        <v>4633</v>
      </c>
      <c r="K1240" s="51"/>
      <c r="O1240" s="1" t="s">
        <v>7</v>
      </c>
      <c r="P1240" s="1" t="s">
        <v>48</v>
      </c>
      <c r="Q1240" s="1" t="s">
        <v>9</v>
      </c>
      <c r="R1240" s="2" t="s">
        <v>27</v>
      </c>
      <c r="S1240" s="2" t="s">
        <v>28</v>
      </c>
      <c r="T1240" s="1">
        <v>2017</v>
      </c>
      <c r="U1240" s="1">
        <v>12</v>
      </c>
      <c r="V1240" s="50">
        <v>43070</v>
      </c>
      <c r="W1240" s="4">
        <v>4077.0399999999995</v>
      </c>
      <c r="X1240" s="48">
        <v>4633</v>
      </c>
    </row>
    <row r="1241" spans="2:24" x14ac:dyDescent="0.35">
      <c r="B1241" s="8" t="s">
        <v>7</v>
      </c>
      <c r="C1241" s="8" t="s">
        <v>48</v>
      </c>
      <c r="D1241" s="8" t="s">
        <v>9</v>
      </c>
      <c r="E1241" s="8" t="s">
        <v>27</v>
      </c>
      <c r="F1241" s="9" t="s">
        <v>31</v>
      </c>
      <c r="G1241" s="8">
        <v>2017</v>
      </c>
      <c r="H1241" s="8">
        <v>12</v>
      </c>
      <c r="I1241" s="10">
        <v>43070</v>
      </c>
      <c r="J1241" s="11">
        <v>5540</v>
      </c>
      <c r="K1241" s="51"/>
      <c r="O1241" s="1" t="s">
        <v>7</v>
      </c>
      <c r="P1241" s="1" t="s">
        <v>48</v>
      </c>
      <c r="Q1241" s="1" t="s">
        <v>9</v>
      </c>
      <c r="R1241" s="1" t="s">
        <v>27</v>
      </c>
      <c r="S1241" s="2" t="s">
        <v>31</v>
      </c>
      <c r="T1241" s="1">
        <v>2017</v>
      </c>
      <c r="U1241" s="1">
        <v>12</v>
      </c>
      <c r="V1241" s="50">
        <v>43070</v>
      </c>
      <c r="W1241" s="4">
        <v>5207.5999999999995</v>
      </c>
      <c r="X1241" s="48">
        <v>5540</v>
      </c>
    </row>
    <row r="1242" spans="2:24" x14ac:dyDescent="0.35">
      <c r="B1242" s="8" t="s">
        <v>7</v>
      </c>
      <c r="C1242" s="8" t="s">
        <v>49</v>
      </c>
      <c r="D1242" s="8" t="s">
        <v>11</v>
      </c>
      <c r="E1242" s="8" t="s">
        <v>27</v>
      </c>
      <c r="F1242" s="6" t="s">
        <v>33</v>
      </c>
      <c r="G1242" s="8">
        <v>2017</v>
      </c>
      <c r="H1242" s="8">
        <v>12</v>
      </c>
      <c r="I1242" s="10">
        <v>43070</v>
      </c>
      <c r="J1242" s="11">
        <v>3903</v>
      </c>
      <c r="K1242" s="51"/>
      <c r="O1242" s="1" t="s">
        <v>7</v>
      </c>
      <c r="P1242" s="1" t="s">
        <v>49</v>
      </c>
      <c r="Q1242" s="1" t="s">
        <v>11</v>
      </c>
      <c r="R1242" s="1" t="s">
        <v>27</v>
      </c>
      <c r="S1242" t="s">
        <v>33</v>
      </c>
      <c r="T1242" s="1">
        <v>2017</v>
      </c>
      <c r="U1242" s="1">
        <v>12</v>
      </c>
      <c r="V1242" s="50">
        <v>43070</v>
      </c>
      <c r="W1242" s="4">
        <v>3356.5800000000004</v>
      </c>
      <c r="X1242" s="48">
        <v>3903</v>
      </c>
    </row>
    <row r="1243" spans="2:24" x14ac:dyDescent="0.35">
      <c r="B1243" s="8" t="s">
        <v>7</v>
      </c>
      <c r="C1243" s="8" t="s">
        <v>49</v>
      </c>
      <c r="D1243" s="8" t="s">
        <v>11</v>
      </c>
      <c r="E1243" s="8" t="s">
        <v>23</v>
      </c>
      <c r="F1243" s="8" t="s">
        <v>36</v>
      </c>
      <c r="G1243" s="8">
        <v>2017</v>
      </c>
      <c r="H1243" s="8">
        <v>12</v>
      </c>
      <c r="I1243" s="10">
        <v>43070</v>
      </c>
      <c r="J1243" s="11">
        <v>2663</v>
      </c>
      <c r="K1243" s="51"/>
      <c r="O1243" s="1" t="s">
        <v>7</v>
      </c>
      <c r="P1243" s="1" t="s">
        <v>49</v>
      </c>
      <c r="Q1243" s="1" t="s">
        <v>11</v>
      </c>
      <c r="R1243" s="1" t="s">
        <v>23</v>
      </c>
      <c r="S1243" s="1" t="s">
        <v>36</v>
      </c>
      <c r="T1243" s="1">
        <v>2017</v>
      </c>
      <c r="U1243" s="1">
        <v>12</v>
      </c>
      <c r="V1243" s="50">
        <v>43070</v>
      </c>
      <c r="W1243" s="4">
        <v>2370.0699999999997</v>
      </c>
      <c r="X1243" s="48">
        <v>2663</v>
      </c>
    </row>
    <row r="1244" spans="2:24" x14ac:dyDescent="0.35">
      <c r="B1244" s="8" t="s">
        <v>7</v>
      </c>
      <c r="C1244" s="8" t="s">
        <v>43</v>
      </c>
      <c r="D1244" s="8" t="s">
        <v>10</v>
      </c>
      <c r="E1244" s="8" t="s">
        <v>23</v>
      </c>
      <c r="F1244" s="8" t="s">
        <v>36</v>
      </c>
      <c r="G1244" s="8">
        <v>2017</v>
      </c>
      <c r="H1244" s="8">
        <v>12</v>
      </c>
      <c r="I1244" s="10">
        <v>43070</v>
      </c>
      <c r="J1244" s="11">
        <v>2223</v>
      </c>
      <c r="K1244" s="51"/>
      <c r="O1244" s="1" t="s">
        <v>7</v>
      </c>
      <c r="P1244" s="1" t="s">
        <v>43</v>
      </c>
      <c r="Q1244" s="1" t="s">
        <v>10</v>
      </c>
      <c r="R1244" s="1" t="s">
        <v>23</v>
      </c>
      <c r="S1244" s="1" t="s">
        <v>36</v>
      </c>
      <c r="T1244" s="1">
        <v>2017</v>
      </c>
      <c r="U1244" s="1">
        <v>12</v>
      </c>
      <c r="V1244" s="50">
        <v>43070</v>
      </c>
      <c r="W1244" s="4">
        <v>2067.39</v>
      </c>
      <c r="X1244" s="48">
        <v>2223</v>
      </c>
    </row>
    <row r="1245" spans="2:24" x14ac:dyDescent="0.35">
      <c r="B1245" s="8" t="s">
        <v>6</v>
      </c>
      <c r="C1245" s="8" t="s">
        <v>40</v>
      </c>
      <c r="D1245" s="8" t="s">
        <v>41</v>
      </c>
      <c r="E1245" s="8" t="s">
        <v>0</v>
      </c>
      <c r="F1245" s="8" t="s">
        <v>45</v>
      </c>
      <c r="G1245" s="8">
        <v>2017</v>
      </c>
      <c r="H1245" s="8">
        <v>12</v>
      </c>
      <c r="I1245" s="10">
        <v>43070</v>
      </c>
      <c r="J1245" s="8">
        <v>4293</v>
      </c>
      <c r="K1245" s="51"/>
      <c r="O1245" s="1" t="s">
        <v>6</v>
      </c>
      <c r="P1245" s="1" t="s">
        <v>40</v>
      </c>
      <c r="Q1245" s="1" t="s">
        <v>41</v>
      </c>
      <c r="R1245" s="1" t="s">
        <v>0</v>
      </c>
      <c r="S1245" s="1" t="s">
        <v>45</v>
      </c>
      <c r="T1245" s="1">
        <v>2017</v>
      </c>
      <c r="U1245" s="1">
        <v>12</v>
      </c>
      <c r="V1245" s="50">
        <v>43070</v>
      </c>
      <c r="W1245" s="4">
        <v>3649.05</v>
      </c>
      <c r="X1245" s="48">
        <v>4293</v>
      </c>
    </row>
    <row r="1246" spans="2:24" x14ac:dyDescent="0.35">
      <c r="B1246" s="8" t="s">
        <v>7</v>
      </c>
      <c r="C1246" s="8" t="s">
        <v>32</v>
      </c>
      <c r="D1246" s="8" t="s">
        <v>8</v>
      </c>
      <c r="E1246" s="8" t="s">
        <v>27</v>
      </c>
      <c r="F1246" s="6" t="s">
        <v>28</v>
      </c>
      <c r="G1246" s="8">
        <v>2017</v>
      </c>
      <c r="H1246" s="8">
        <v>12</v>
      </c>
      <c r="I1246" s="10">
        <v>43070</v>
      </c>
      <c r="J1246" s="11">
        <v>3451</v>
      </c>
      <c r="K1246" s="51"/>
      <c r="O1246" s="1" t="s">
        <v>7</v>
      </c>
      <c r="P1246" s="1" t="s">
        <v>32</v>
      </c>
      <c r="Q1246" s="1" t="s">
        <v>8</v>
      </c>
      <c r="R1246" s="1" t="s">
        <v>27</v>
      </c>
      <c r="S1246" t="s">
        <v>28</v>
      </c>
      <c r="T1246" s="1">
        <v>2017</v>
      </c>
      <c r="U1246" s="1">
        <v>12</v>
      </c>
      <c r="V1246" s="50">
        <v>43070</v>
      </c>
      <c r="W1246" s="4">
        <v>3036.8799999999997</v>
      </c>
      <c r="X1246" s="48">
        <v>3451</v>
      </c>
    </row>
    <row r="1247" spans="2:24" x14ac:dyDescent="0.35">
      <c r="B1247" s="8" t="s">
        <v>7</v>
      </c>
      <c r="C1247" s="8" t="s">
        <v>32</v>
      </c>
      <c r="D1247" s="8" t="s">
        <v>8</v>
      </c>
      <c r="E1247" s="8" t="s">
        <v>27</v>
      </c>
      <c r="F1247" s="6" t="s">
        <v>31</v>
      </c>
      <c r="G1247" s="8">
        <v>2017</v>
      </c>
      <c r="H1247" s="8">
        <v>12</v>
      </c>
      <c r="I1247" s="10">
        <v>43070</v>
      </c>
      <c r="J1247" s="11">
        <v>2939</v>
      </c>
      <c r="K1247" s="51"/>
      <c r="O1247" s="1" t="s">
        <v>7</v>
      </c>
      <c r="P1247" s="1" t="s">
        <v>32</v>
      </c>
      <c r="Q1247" s="1" t="s">
        <v>8</v>
      </c>
      <c r="R1247" s="1" t="s">
        <v>27</v>
      </c>
      <c r="S1247" t="s">
        <v>31</v>
      </c>
      <c r="T1247" s="1">
        <v>2017</v>
      </c>
      <c r="U1247" s="1">
        <v>12</v>
      </c>
      <c r="V1247" s="50">
        <v>43070</v>
      </c>
      <c r="W1247" s="4">
        <v>2703.8799999999997</v>
      </c>
      <c r="X1247" s="48">
        <v>2939</v>
      </c>
    </row>
    <row r="1248" spans="2:24" x14ac:dyDescent="0.35">
      <c r="B1248" s="8" t="s">
        <v>6</v>
      </c>
      <c r="C1248" s="8" t="s">
        <v>29</v>
      </c>
      <c r="D1248" s="8" t="s">
        <v>30</v>
      </c>
      <c r="E1248" s="8" t="s">
        <v>23</v>
      </c>
      <c r="F1248" s="6" t="s">
        <v>24</v>
      </c>
      <c r="G1248" s="8">
        <v>2017</v>
      </c>
      <c r="H1248" s="8">
        <v>12</v>
      </c>
      <c r="I1248" s="10">
        <v>43070</v>
      </c>
      <c r="J1248" s="11">
        <v>1895</v>
      </c>
      <c r="K1248" s="51"/>
      <c r="O1248" s="1" t="s">
        <v>6</v>
      </c>
      <c r="P1248" s="1" t="s">
        <v>29</v>
      </c>
      <c r="Q1248" s="1" t="s">
        <v>30</v>
      </c>
      <c r="R1248" s="1" t="s">
        <v>23</v>
      </c>
      <c r="S1248" t="s">
        <v>24</v>
      </c>
      <c r="T1248" s="1">
        <v>2017</v>
      </c>
      <c r="U1248" s="1">
        <v>12</v>
      </c>
      <c r="V1248" s="50">
        <v>43070</v>
      </c>
      <c r="W1248" s="4">
        <v>1648.65</v>
      </c>
      <c r="X1248" s="48">
        <v>1895</v>
      </c>
    </row>
    <row r="1249" spans="2:24" x14ac:dyDescent="0.35">
      <c r="B1249" s="8" t="s">
        <v>7</v>
      </c>
      <c r="C1249" s="8" t="s">
        <v>48</v>
      </c>
      <c r="D1249" s="8" t="s">
        <v>9</v>
      </c>
      <c r="E1249" s="9" t="s">
        <v>0</v>
      </c>
      <c r="F1249" s="9" t="s">
        <v>42</v>
      </c>
      <c r="G1249" s="8">
        <v>2017</v>
      </c>
      <c r="H1249" s="8">
        <v>12</v>
      </c>
      <c r="I1249" s="10">
        <v>43070</v>
      </c>
      <c r="J1249" s="11">
        <v>5313</v>
      </c>
      <c r="K1249" s="51"/>
      <c r="O1249" s="1" t="s">
        <v>7</v>
      </c>
      <c r="P1249" s="1" t="s">
        <v>48</v>
      </c>
      <c r="Q1249" s="1" t="s">
        <v>9</v>
      </c>
      <c r="R1249" s="2" t="s">
        <v>0</v>
      </c>
      <c r="S1249" s="2" t="s">
        <v>42</v>
      </c>
      <c r="T1249" s="1">
        <v>2017</v>
      </c>
      <c r="U1249" s="1">
        <v>12</v>
      </c>
      <c r="V1249" s="50">
        <v>43070</v>
      </c>
      <c r="W1249" s="4">
        <v>4781.7</v>
      </c>
      <c r="X1249" s="48">
        <v>5313</v>
      </c>
    </row>
    <row r="1250" spans="2:24" x14ac:dyDescent="0.35">
      <c r="B1250" s="8" t="s">
        <v>7</v>
      </c>
      <c r="C1250" s="8" t="s">
        <v>48</v>
      </c>
      <c r="D1250" s="8" t="s">
        <v>9</v>
      </c>
      <c r="E1250" s="8" t="s">
        <v>0</v>
      </c>
      <c r="F1250" s="9" t="s">
        <v>26</v>
      </c>
      <c r="G1250" s="8">
        <v>2017</v>
      </c>
      <c r="H1250" s="8">
        <v>12</v>
      </c>
      <c r="I1250" s="10">
        <v>43070</v>
      </c>
      <c r="J1250" s="11">
        <v>3317</v>
      </c>
      <c r="K1250" s="51"/>
      <c r="O1250" s="1" t="s">
        <v>7</v>
      </c>
      <c r="P1250" s="1" t="s">
        <v>48</v>
      </c>
      <c r="Q1250" s="1" t="s">
        <v>9</v>
      </c>
      <c r="R1250" s="1" t="s">
        <v>0</v>
      </c>
      <c r="S1250" s="2" t="s">
        <v>26</v>
      </c>
      <c r="T1250" s="1">
        <v>2017</v>
      </c>
      <c r="U1250" s="1">
        <v>12</v>
      </c>
      <c r="V1250" s="50">
        <v>43070</v>
      </c>
      <c r="W1250" s="4">
        <v>2985.2999999999997</v>
      </c>
      <c r="X1250" s="48">
        <v>3317</v>
      </c>
    </row>
    <row r="1251" spans="2:24" x14ac:dyDescent="0.35">
      <c r="B1251" s="8" t="s">
        <v>7</v>
      </c>
      <c r="C1251" s="8" t="s">
        <v>49</v>
      </c>
      <c r="D1251" s="8" t="s">
        <v>11</v>
      </c>
      <c r="E1251" s="8" t="s">
        <v>0</v>
      </c>
      <c r="F1251" s="6" t="s">
        <v>45</v>
      </c>
      <c r="G1251" s="8">
        <v>2017</v>
      </c>
      <c r="H1251" s="8">
        <v>12</v>
      </c>
      <c r="I1251" s="10">
        <v>43070</v>
      </c>
      <c r="J1251" s="11">
        <v>3925</v>
      </c>
      <c r="K1251" s="51"/>
      <c r="O1251" s="1" t="s">
        <v>7</v>
      </c>
      <c r="P1251" s="1" t="s">
        <v>49</v>
      </c>
      <c r="Q1251" s="1" t="s">
        <v>11</v>
      </c>
      <c r="R1251" s="1" t="s">
        <v>0</v>
      </c>
      <c r="S1251" t="s">
        <v>45</v>
      </c>
      <c r="T1251" s="1">
        <v>2017</v>
      </c>
      <c r="U1251" s="1">
        <v>12</v>
      </c>
      <c r="V1251" s="50">
        <v>43070</v>
      </c>
      <c r="W1251" s="4">
        <v>3650.25</v>
      </c>
      <c r="X1251" s="48">
        <v>3925</v>
      </c>
    </row>
    <row r="1252" spans="2:24" x14ac:dyDescent="0.35">
      <c r="B1252" s="8" t="s">
        <v>7</v>
      </c>
      <c r="C1252" s="8" t="s">
        <v>49</v>
      </c>
      <c r="D1252" s="8" t="s">
        <v>11</v>
      </c>
      <c r="E1252" s="8" t="s">
        <v>27</v>
      </c>
      <c r="F1252" s="8" t="s">
        <v>28</v>
      </c>
      <c r="G1252" s="8">
        <v>2017</v>
      </c>
      <c r="H1252" s="8">
        <v>12</v>
      </c>
      <c r="I1252" s="10">
        <v>43070</v>
      </c>
      <c r="J1252" s="11">
        <v>4584</v>
      </c>
      <c r="K1252" s="51"/>
      <c r="O1252" s="1" t="s">
        <v>7</v>
      </c>
      <c r="P1252" s="1" t="s">
        <v>49</v>
      </c>
      <c r="Q1252" s="1" t="s">
        <v>11</v>
      </c>
      <c r="R1252" s="1" t="s">
        <v>27</v>
      </c>
      <c r="S1252" s="1" t="s">
        <v>28</v>
      </c>
      <c r="T1252" s="1">
        <v>2017</v>
      </c>
      <c r="U1252" s="1">
        <v>12</v>
      </c>
      <c r="V1252" s="50">
        <v>43070</v>
      </c>
      <c r="W1252" s="4">
        <v>4217.28</v>
      </c>
      <c r="X1252" s="48">
        <v>4584</v>
      </c>
    </row>
    <row r="1253" spans="2:24" x14ac:dyDescent="0.35">
      <c r="B1253" s="8" t="s">
        <v>12</v>
      </c>
      <c r="C1253" s="8" t="s">
        <v>34</v>
      </c>
      <c r="D1253" s="8" t="s">
        <v>35</v>
      </c>
      <c r="E1253" s="8" t="s">
        <v>27</v>
      </c>
      <c r="F1253" s="8" t="s">
        <v>31</v>
      </c>
      <c r="G1253" s="8">
        <v>2017</v>
      </c>
      <c r="H1253" s="8">
        <v>12</v>
      </c>
      <c r="I1253" s="10">
        <v>43070</v>
      </c>
      <c r="J1253" s="11">
        <v>3985</v>
      </c>
      <c r="K1253" s="51"/>
      <c r="O1253" s="1" t="s">
        <v>12</v>
      </c>
      <c r="P1253" s="1" t="s">
        <v>34</v>
      </c>
      <c r="Q1253" s="1" t="s">
        <v>35</v>
      </c>
      <c r="R1253" s="1" t="s">
        <v>27</v>
      </c>
      <c r="S1253" s="1" t="s">
        <v>31</v>
      </c>
      <c r="T1253" s="1">
        <v>2017</v>
      </c>
      <c r="U1253" s="1">
        <v>12</v>
      </c>
      <c r="V1253" s="50">
        <v>43070</v>
      </c>
      <c r="W1253" s="4">
        <v>3427.1000000000004</v>
      </c>
      <c r="X1253" s="48">
        <v>3985</v>
      </c>
    </row>
    <row r="1254" spans="2:24" x14ac:dyDescent="0.35">
      <c r="B1254" s="8" t="s">
        <v>12</v>
      </c>
      <c r="C1254" s="8" t="s">
        <v>34</v>
      </c>
      <c r="D1254" s="8" t="s">
        <v>35</v>
      </c>
      <c r="E1254" s="8" t="s">
        <v>27</v>
      </c>
      <c r="F1254" s="8" t="s">
        <v>33</v>
      </c>
      <c r="G1254" s="8">
        <v>2017</v>
      </c>
      <c r="H1254" s="8">
        <v>12</v>
      </c>
      <c r="I1254" s="10">
        <v>43070</v>
      </c>
      <c r="J1254" s="11">
        <v>3048</v>
      </c>
      <c r="K1254" s="51"/>
      <c r="O1254" s="1" t="s">
        <v>12</v>
      </c>
      <c r="P1254" s="1" t="s">
        <v>34</v>
      </c>
      <c r="Q1254" s="1" t="s">
        <v>35</v>
      </c>
      <c r="R1254" s="1" t="s">
        <v>27</v>
      </c>
      <c r="S1254" s="1" t="s">
        <v>33</v>
      </c>
      <c r="T1254" s="1">
        <v>2017</v>
      </c>
      <c r="U1254" s="1">
        <v>12</v>
      </c>
      <c r="V1254" s="50">
        <v>43070</v>
      </c>
      <c r="W1254" s="4">
        <v>2834.64</v>
      </c>
      <c r="X1254" s="48">
        <v>3048</v>
      </c>
    </row>
    <row r="1255" spans="2:24" x14ac:dyDescent="0.35">
      <c r="B1255" s="8" t="s">
        <v>14</v>
      </c>
      <c r="C1255" s="8" t="s">
        <v>37</v>
      </c>
      <c r="D1255" s="8" t="s">
        <v>38</v>
      </c>
      <c r="E1255" s="8" t="s">
        <v>23</v>
      </c>
      <c r="F1255" s="6" t="s">
        <v>36</v>
      </c>
      <c r="G1255" s="8">
        <v>2017</v>
      </c>
      <c r="H1255" s="8">
        <v>12</v>
      </c>
      <c r="I1255" s="10">
        <v>43070</v>
      </c>
      <c r="J1255" s="11">
        <v>2133</v>
      </c>
      <c r="K1255" s="51"/>
      <c r="O1255" s="1" t="s">
        <v>14</v>
      </c>
      <c r="P1255" s="1" t="s">
        <v>37</v>
      </c>
      <c r="Q1255" s="1" t="s">
        <v>38</v>
      </c>
      <c r="R1255" s="1" t="s">
        <v>23</v>
      </c>
      <c r="S1255" t="s">
        <v>36</v>
      </c>
      <c r="T1255" s="1">
        <v>2017</v>
      </c>
      <c r="U1255" s="1">
        <v>12</v>
      </c>
      <c r="V1255" s="50">
        <v>43070</v>
      </c>
      <c r="W1255" s="4">
        <v>1983.6899999999998</v>
      </c>
      <c r="X1255" s="48">
        <v>2133</v>
      </c>
    </row>
    <row r="1256" spans="2:24" x14ac:dyDescent="0.35">
      <c r="B1256" s="8" t="s">
        <v>12</v>
      </c>
      <c r="C1256" s="8" t="s">
        <v>44</v>
      </c>
      <c r="D1256" s="8" t="s">
        <v>13</v>
      </c>
      <c r="E1256" s="8" t="s">
        <v>23</v>
      </c>
      <c r="F1256" s="6" t="s">
        <v>39</v>
      </c>
      <c r="G1256" s="8">
        <v>2017</v>
      </c>
      <c r="H1256" s="8">
        <v>12</v>
      </c>
      <c r="I1256" s="10">
        <v>43070</v>
      </c>
      <c r="J1256" s="11">
        <v>2021</v>
      </c>
      <c r="K1256" s="51"/>
      <c r="O1256" s="1" t="s">
        <v>12</v>
      </c>
      <c r="P1256" s="1" t="s">
        <v>44</v>
      </c>
      <c r="Q1256" s="1" t="s">
        <v>13</v>
      </c>
      <c r="R1256" s="1" t="s">
        <v>23</v>
      </c>
      <c r="S1256" t="s">
        <v>39</v>
      </c>
      <c r="T1256" s="1">
        <v>2017</v>
      </c>
      <c r="U1256" s="1">
        <v>12</v>
      </c>
      <c r="V1256" s="50">
        <v>43070</v>
      </c>
      <c r="W1256" s="4">
        <v>1798.6899999999998</v>
      </c>
      <c r="X1256" s="48">
        <v>2021</v>
      </c>
    </row>
    <row r="1257" spans="2:24" x14ac:dyDescent="0.35">
      <c r="B1257" s="8" t="s">
        <v>12</v>
      </c>
      <c r="C1257" s="8" t="s">
        <v>44</v>
      </c>
      <c r="D1257" s="8" t="s">
        <v>13</v>
      </c>
      <c r="E1257" s="8" t="s">
        <v>0</v>
      </c>
      <c r="F1257" s="6" t="s">
        <v>42</v>
      </c>
      <c r="G1257" s="8">
        <v>2017</v>
      </c>
      <c r="H1257" s="8">
        <v>12</v>
      </c>
      <c r="I1257" s="10">
        <v>43070</v>
      </c>
      <c r="J1257" s="11">
        <v>6435</v>
      </c>
      <c r="K1257" s="51"/>
      <c r="O1257" s="1" t="s">
        <v>12</v>
      </c>
      <c r="P1257" s="1" t="s">
        <v>44</v>
      </c>
      <c r="Q1257" s="1" t="s">
        <v>13</v>
      </c>
      <c r="R1257" s="1" t="s">
        <v>0</v>
      </c>
      <c r="S1257" t="s">
        <v>42</v>
      </c>
      <c r="T1257" s="1">
        <v>2017</v>
      </c>
      <c r="U1257" s="1">
        <v>12</v>
      </c>
      <c r="V1257" s="50">
        <v>43070</v>
      </c>
      <c r="W1257" s="4">
        <v>5791.4999999999991</v>
      </c>
      <c r="X1257" s="48">
        <v>6435</v>
      </c>
    </row>
    <row r="1258" spans="2:24" x14ac:dyDescent="0.35">
      <c r="B1258" s="8" t="s">
        <v>14</v>
      </c>
      <c r="C1258" s="8" t="s">
        <v>46</v>
      </c>
      <c r="D1258" s="8" t="s">
        <v>47</v>
      </c>
      <c r="E1258" s="9" t="s">
        <v>0</v>
      </c>
      <c r="F1258" s="9" t="s">
        <v>26</v>
      </c>
      <c r="G1258" s="8">
        <v>2017</v>
      </c>
      <c r="H1258" s="8">
        <v>12</v>
      </c>
      <c r="I1258" s="10">
        <v>43070</v>
      </c>
      <c r="J1258" s="11">
        <v>5391</v>
      </c>
      <c r="K1258" s="51"/>
      <c r="O1258" s="1" t="s">
        <v>14</v>
      </c>
      <c r="P1258" s="1" t="s">
        <v>46</v>
      </c>
      <c r="Q1258" s="1" t="s">
        <v>47</v>
      </c>
      <c r="R1258" s="2" t="s">
        <v>0</v>
      </c>
      <c r="S1258" s="2" t="s">
        <v>26</v>
      </c>
      <c r="T1258" s="1">
        <v>2017</v>
      </c>
      <c r="U1258" s="1">
        <v>12</v>
      </c>
      <c r="V1258" s="50">
        <v>43070</v>
      </c>
      <c r="W1258" s="4">
        <v>5013.6299999999992</v>
      </c>
      <c r="X1258" s="48">
        <v>5391</v>
      </c>
    </row>
    <row r="1259" spans="2:24" x14ac:dyDescent="0.35">
      <c r="B1259" s="8" t="s">
        <v>14</v>
      </c>
      <c r="C1259" s="8" t="s">
        <v>46</v>
      </c>
      <c r="D1259" s="8" t="s">
        <v>47</v>
      </c>
      <c r="E1259" s="8" t="s">
        <v>0</v>
      </c>
      <c r="F1259" s="9" t="s">
        <v>45</v>
      </c>
      <c r="G1259" s="8">
        <v>2017</v>
      </c>
      <c r="H1259" s="8">
        <v>12</v>
      </c>
      <c r="I1259" s="10">
        <v>43070</v>
      </c>
      <c r="J1259" s="11">
        <v>4930</v>
      </c>
      <c r="K1259" s="51"/>
      <c r="O1259" s="1" t="s">
        <v>14</v>
      </c>
      <c r="P1259" s="1" t="s">
        <v>46</v>
      </c>
      <c r="Q1259" s="1" t="s">
        <v>47</v>
      </c>
      <c r="R1259" s="1" t="s">
        <v>0</v>
      </c>
      <c r="S1259" s="2" t="s">
        <v>45</v>
      </c>
      <c r="T1259" s="1">
        <v>2017</v>
      </c>
      <c r="U1259" s="1">
        <v>12</v>
      </c>
      <c r="V1259" s="50">
        <v>43070</v>
      </c>
      <c r="W1259" s="4">
        <v>4634.2</v>
      </c>
      <c r="X1259" s="48">
        <v>4930</v>
      </c>
    </row>
    <row r="1260" spans="2:24" x14ac:dyDescent="0.35">
      <c r="B1260" s="8" t="s">
        <v>3</v>
      </c>
      <c r="C1260" s="8" t="s">
        <v>25</v>
      </c>
      <c r="D1260" s="8" t="s">
        <v>4</v>
      </c>
      <c r="E1260" s="8" t="s">
        <v>27</v>
      </c>
      <c r="F1260" s="6" t="s">
        <v>33</v>
      </c>
      <c r="G1260" s="8">
        <v>2017</v>
      </c>
      <c r="H1260" s="8">
        <v>12</v>
      </c>
      <c r="I1260" s="10">
        <v>43070</v>
      </c>
      <c r="J1260" s="11">
        <v>4081</v>
      </c>
      <c r="K1260" s="51"/>
      <c r="O1260" s="1" t="s">
        <v>3</v>
      </c>
      <c r="P1260" s="1" t="s">
        <v>25</v>
      </c>
      <c r="Q1260" s="1" t="s">
        <v>4</v>
      </c>
      <c r="R1260" s="1" t="s">
        <v>27</v>
      </c>
      <c r="S1260" t="s">
        <v>33</v>
      </c>
      <c r="T1260" s="1">
        <v>2017</v>
      </c>
      <c r="U1260" s="1">
        <v>12</v>
      </c>
      <c r="V1260" s="50">
        <v>43070</v>
      </c>
      <c r="W1260" s="4">
        <v>3550.4700000000003</v>
      </c>
      <c r="X1260" s="48">
        <v>4081</v>
      </c>
    </row>
    <row r="1261" spans="2:24" x14ac:dyDescent="0.35">
      <c r="B1261" s="8" t="s">
        <v>3</v>
      </c>
      <c r="C1261" s="8" t="s">
        <v>25</v>
      </c>
      <c r="D1261" s="8" t="s">
        <v>4</v>
      </c>
      <c r="E1261" s="8" t="s">
        <v>23</v>
      </c>
      <c r="F1261" s="8" t="s">
        <v>36</v>
      </c>
      <c r="G1261" s="8">
        <v>2017</v>
      </c>
      <c r="H1261" s="8">
        <v>12</v>
      </c>
      <c r="I1261" s="10">
        <v>43070</v>
      </c>
      <c r="J1261" s="11">
        <v>1600</v>
      </c>
      <c r="K1261" s="51"/>
      <c r="O1261" s="1" t="s">
        <v>3</v>
      </c>
      <c r="P1261" s="1" t="s">
        <v>25</v>
      </c>
      <c r="Q1261" s="1" t="s">
        <v>4</v>
      </c>
      <c r="R1261" s="1" t="s">
        <v>23</v>
      </c>
      <c r="S1261" s="1" t="s">
        <v>36</v>
      </c>
      <c r="T1261" s="1">
        <v>2017</v>
      </c>
      <c r="U1261" s="1">
        <v>12</v>
      </c>
      <c r="V1261" s="50">
        <v>43070</v>
      </c>
      <c r="W1261" s="4">
        <v>1360.0000000000002</v>
      </c>
      <c r="X1261" s="48">
        <v>1600</v>
      </c>
    </row>
    <row r="1262" spans="2:24" x14ac:dyDescent="0.35">
      <c r="B1262" s="8" t="s">
        <v>6</v>
      </c>
      <c r="C1262" s="8" t="s">
        <v>40</v>
      </c>
      <c r="D1262" s="8" t="s">
        <v>41</v>
      </c>
      <c r="E1262" s="8" t="s">
        <v>23</v>
      </c>
      <c r="F1262" s="8" t="s">
        <v>39</v>
      </c>
      <c r="G1262" s="8">
        <v>2017</v>
      </c>
      <c r="H1262" s="8">
        <v>12</v>
      </c>
      <c r="I1262" s="10">
        <v>43070</v>
      </c>
      <c r="J1262" s="11">
        <v>1719</v>
      </c>
      <c r="K1262" s="51"/>
      <c r="O1262" s="1" t="s">
        <v>6</v>
      </c>
      <c r="P1262" s="1" t="s">
        <v>40</v>
      </c>
      <c r="Q1262" s="1" t="s">
        <v>41</v>
      </c>
      <c r="R1262" s="1" t="s">
        <v>23</v>
      </c>
      <c r="S1262" s="1" t="s">
        <v>39</v>
      </c>
      <c r="T1262" s="1">
        <v>2017</v>
      </c>
      <c r="U1262" s="1">
        <v>12</v>
      </c>
      <c r="V1262" s="50">
        <v>43070</v>
      </c>
      <c r="W1262" s="4">
        <v>1478.3400000000001</v>
      </c>
      <c r="X1262" s="48">
        <v>1719</v>
      </c>
    </row>
    <row r="1263" spans="2:24" x14ac:dyDescent="0.35">
      <c r="B1263" s="8" t="s">
        <v>7</v>
      </c>
      <c r="C1263" s="8" t="s">
        <v>48</v>
      </c>
      <c r="D1263" s="8" t="s">
        <v>9</v>
      </c>
      <c r="E1263" s="8" t="s">
        <v>0</v>
      </c>
      <c r="F1263" s="8" t="s">
        <v>45</v>
      </c>
      <c r="G1263" s="8">
        <v>2017</v>
      </c>
      <c r="H1263" s="8">
        <v>12</v>
      </c>
      <c r="I1263" s="10">
        <v>43070</v>
      </c>
      <c r="J1263" s="11">
        <v>4617</v>
      </c>
      <c r="K1263" s="51"/>
      <c r="O1263" s="1" t="s">
        <v>7</v>
      </c>
      <c r="P1263" s="1" t="s">
        <v>48</v>
      </c>
      <c r="Q1263" s="1" t="s">
        <v>9</v>
      </c>
      <c r="R1263" s="1" t="s">
        <v>0</v>
      </c>
      <c r="S1263" s="1" t="s">
        <v>45</v>
      </c>
      <c r="T1263" s="1">
        <v>2017</v>
      </c>
      <c r="U1263" s="1">
        <v>12</v>
      </c>
      <c r="V1263" s="50">
        <v>43070</v>
      </c>
      <c r="W1263" s="4">
        <v>4016.7900000000004</v>
      </c>
      <c r="X1263" s="48">
        <v>4617</v>
      </c>
    </row>
    <row r="1264" spans="2:24" x14ac:dyDescent="0.35">
      <c r="B1264" s="8" t="s">
        <v>7</v>
      </c>
      <c r="C1264" s="8" t="s">
        <v>49</v>
      </c>
      <c r="D1264" s="8" t="s">
        <v>11</v>
      </c>
      <c r="E1264" s="8" t="s">
        <v>27</v>
      </c>
      <c r="F1264" s="6" t="s">
        <v>31</v>
      </c>
      <c r="G1264" s="8">
        <v>2017</v>
      </c>
      <c r="H1264" s="8">
        <v>12</v>
      </c>
      <c r="I1264" s="10">
        <v>43070</v>
      </c>
      <c r="J1264" s="11">
        <v>3919</v>
      </c>
      <c r="K1264" s="51"/>
      <c r="O1264" s="1" t="s">
        <v>7</v>
      </c>
      <c r="P1264" s="1" t="s">
        <v>49</v>
      </c>
      <c r="Q1264" s="1" t="s">
        <v>11</v>
      </c>
      <c r="R1264" s="1" t="s">
        <v>27</v>
      </c>
      <c r="S1264" t="s">
        <v>31</v>
      </c>
      <c r="T1264" s="1">
        <v>2017</v>
      </c>
      <c r="U1264" s="1">
        <v>12</v>
      </c>
      <c r="V1264" s="50">
        <v>43070</v>
      </c>
      <c r="W1264" s="4">
        <v>3683.8599999999997</v>
      </c>
      <c r="X1264" s="48">
        <v>3919</v>
      </c>
    </row>
    <row r="1265" spans="2:24" x14ac:dyDescent="0.35">
      <c r="B1265" s="8" t="s">
        <v>7</v>
      </c>
      <c r="C1265" s="8" t="s">
        <v>43</v>
      </c>
      <c r="D1265" s="8" t="s">
        <v>10</v>
      </c>
      <c r="E1265" s="8" t="s">
        <v>27</v>
      </c>
      <c r="F1265" s="6" t="s">
        <v>33</v>
      </c>
      <c r="G1265" s="8">
        <v>2017</v>
      </c>
      <c r="H1265" s="8">
        <v>12</v>
      </c>
      <c r="I1265" s="10">
        <v>43070</v>
      </c>
      <c r="J1265" s="11">
        <v>3240</v>
      </c>
      <c r="K1265" s="51"/>
      <c r="O1265" s="1" t="s">
        <v>7</v>
      </c>
      <c r="P1265" s="1" t="s">
        <v>43</v>
      </c>
      <c r="Q1265" s="1" t="s">
        <v>10</v>
      </c>
      <c r="R1265" s="1" t="s">
        <v>27</v>
      </c>
      <c r="S1265" t="s">
        <v>33</v>
      </c>
      <c r="T1265" s="1">
        <v>2017</v>
      </c>
      <c r="U1265" s="1">
        <v>12</v>
      </c>
      <c r="V1265" s="50">
        <v>43070</v>
      </c>
      <c r="W1265" s="4">
        <v>2818.8</v>
      </c>
      <c r="X1265" s="48">
        <v>3240</v>
      </c>
    </row>
    <row r="1266" spans="2:24" x14ac:dyDescent="0.35">
      <c r="B1266" s="8" t="s">
        <v>7</v>
      </c>
      <c r="C1266" s="8" t="s">
        <v>32</v>
      </c>
      <c r="D1266" s="8" t="s">
        <v>8</v>
      </c>
      <c r="E1266" s="8" t="s">
        <v>0</v>
      </c>
      <c r="F1266" s="6" t="s">
        <v>45</v>
      </c>
      <c r="G1266" s="8">
        <v>2017</v>
      </c>
      <c r="H1266" s="8">
        <v>12</v>
      </c>
      <c r="I1266" s="10">
        <v>43070</v>
      </c>
      <c r="J1266" s="11">
        <v>3542</v>
      </c>
      <c r="K1266" s="51"/>
      <c r="O1266" s="1" t="s">
        <v>7</v>
      </c>
      <c r="P1266" s="1" t="s">
        <v>32</v>
      </c>
      <c r="Q1266" s="1" t="s">
        <v>8</v>
      </c>
      <c r="R1266" s="1" t="s">
        <v>0</v>
      </c>
      <c r="S1266" t="s">
        <v>45</v>
      </c>
      <c r="T1266" s="1">
        <v>2017</v>
      </c>
      <c r="U1266" s="1">
        <v>12</v>
      </c>
      <c r="V1266" s="50">
        <v>43070</v>
      </c>
      <c r="W1266" s="4">
        <v>3329.48</v>
      </c>
      <c r="X1266" s="48">
        <v>3542</v>
      </c>
    </row>
    <row r="1267" spans="2:24" x14ac:dyDescent="0.35">
      <c r="B1267" s="8" t="s">
        <v>7</v>
      </c>
      <c r="C1267" s="8" t="s">
        <v>48</v>
      </c>
      <c r="D1267" s="8" t="s">
        <v>9</v>
      </c>
      <c r="E1267" s="9" t="s">
        <v>23</v>
      </c>
      <c r="F1267" s="9" t="s">
        <v>39</v>
      </c>
      <c r="G1267" s="8">
        <v>2017</v>
      </c>
      <c r="H1267" s="8">
        <v>12</v>
      </c>
      <c r="I1267" s="10">
        <v>43070</v>
      </c>
      <c r="J1267" s="11">
        <v>2594</v>
      </c>
      <c r="K1267" s="51"/>
      <c r="O1267" s="1" t="s">
        <v>7</v>
      </c>
      <c r="P1267" s="1" t="s">
        <v>48</v>
      </c>
      <c r="Q1267" s="1" t="s">
        <v>9</v>
      </c>
      <c r="R1267" s="2" t="s">
        <v>23</v>
      </c>
      <c r="S1267" s="2" t="s">
        <v>39</v>
      </c>
      <c r="T1267" s="1">
        <v>2017</v>
      </c>
      <c r="U1267" s="1">
        <v>12</v>
      </c>
      <c r="V1267" s="50">
        <v>43070</v>
      </c>
      <c r="W1267" s="4">
        <v>2308.66</v>
      </c>
      <c r="X1267" s="48">
        <v>2594</v>
      </c>
    </row>
    <row r="1268" spans="2:24" x14ac:dyDescent="0.35">
      <c r="B1268" s="8" t="s">
        <v>7</v>
      </c>
      <c r="C1268" s="8" t="s">
        <v>49</v>
      </c>
      <c r="D1268" s="8" t="s">
        <v>11</v>
      </c>
      <c r="E1268" s="8" t="s">
        <v>0</v>
      </c>
      <c r="F1268" s="9" t="s">
        <v>26</v>
      </c>
      <c r="G1268" s="8">
        <v>2017</v>
      </c>
      <c r="H1268" s="8">
        <v>12</v>
      </c>
      <c r="I1268" s="10">
        <v>43070</v>
      </c>
      <c r="J1268" s="11">
        <v>2610</v>
      </c>
      <c r="K1268" s="51"/>
      <c r="O1268" s="1" t="s">
        <v>7</v>
      </c>
      <c r="P1268" s="1" t="s">
        <v>49</v>
      </c>
      <c r="Q1268" s="1" t="s">
        <v>11</v>
      </c>
      <c r="R1268" s="1" t="s">
        <v>0</v>
      </c>
      <c r="S1268" s="2" t="s">
        <v>26</v>
      </c>
      <c r="T1268" s="1">
        <v>2017</v>
      </c>
      <c r="U1268" s="1">
        <v>12</v>
      </c>
      <c r="V1268" s="50">
        <v>43070</v>
      </c>
      <c r="W1268" s="4">
        <v>2453.3999999999996</v>
      </c>
      <c r="X1268" s="48">
        <v>2610</v>
      </c>
    </row>
    <row r="1269" spans="2:24" x14ac:dyDescent="0.35">
      <c r="B1269" s="8" t="s">
        <v>12</v>
      </c>
      <c r="C1269" s="8" t="s">
        <v>34</v>
      </c>
      <c r="D1269" s="8" t="s">
        <v>35</v>
      </c>
      <c r="E1269" s="8" t="s">
        <v>27</v>
      </c>
      <c r="F1269" s="6" t="s">
        <v>28</v>
      </c>
      <c r="G1269" s="8">
        <v>2017</v>
      </c>
      <c r="H1269" s="8">
        <v>12</v>
      </c>
      <c r="I1269" s="10">
        <v>43070</v>
      </c>
      <c r="J1269" s="11">
        <v>3330</v>
      </c>
      <c r="K1269" s="51"/>
      <c r="O1269" s="1" t="s">
        <v>12</v>
      </c>
      <c r="P1269" s="1" t="s">
        <v>34</v>
      </c>
      <c r="Q1269" s="1" t="s">
        <v>35</v>
      </c>
      <c r="R1269" s="1" t="s">
        <v>27</v>
      </c>
      <c r="S1269" t="s">
        <v>28</v>
      </c>
      <c r="T1269" s="1">
        <v>2017</v>
      </c>
      <c r="U1269" s="1">
        <v>12</v>
      </c>
      <c r="V1269" s="50">
        <v>43070</v>
      </c>
      <c r="W1269" s="4">
        <v>3063.6</v>
      </c>
      <c r="X1269" s="48">
        <v>3330</v>
      </c>
    </row>
    <row r="1270" spans="2:24" x14ac:dyDescent="0.35">
      <c r="B1270" s="8" t="s">
        <v>14</v>
      </c>
      <c r="C1270" s="8" t="s">
        <v>37</v>
      </c>
      <c r="D1270" s="8" t="s">
        <v>38</v>
      </c>
      <c r="E1270" s="8" t="s">
        <v>27</v>
      </c>
      <c r="F1270" s="8" t="s">
        <v>33</v>
      </c>
      <c r="G1270" s="8">
        <v>2017</v>
      </c>
      <c r="H1270" s="8">
        <v>12</v>
      </c>
      <c r="I1270" s="10">
        <v>43070</v>
      </c>
      <c r="J1270" s="11">
        <v>3718</v>
      </c>
      <c r="K1270" s="51"/>
      <c r="O1270" s="1" t="s">
        <v>14</v>
      </c>
      <c r="P1270" s="1" t="s">
        <v>37</v>
      </c>
      <c r="Q1270" s="1" t="s">
        <v>38</v>
      </c>
      <c r="R1270" s="1" t="s">
        <v>27</v>
      </c>
      <c r="S1270" s="1" t="s">
        <v>33</v>
      </c>
      <c r="T1270" s="1">
        <v>2017</v>
      </c>
      <c r="U1270" s="1">
        <v>12</v>
      </c>
      <c r="V1270" s="50">
        <v>43070</v>
      </c>
      <c r="W1270" s="4">
        <v>3383.3799999999997</v>
      </c>
      <c r="X1270" s="48">
        <v>3718</v>
      </c>
    </row>
    <row r="1271" spans="2:24" x14ac:dyDescent="0.35">
      <c r="B1271" s="8" t="s">
        <v>12</v>
      </c>
      <c r="C1271" s="8" t="s">
        <v>44</v>
      </c>
      <c r="D1271" s="8" t="s">
        <v>13</v>
      </c>
      <c r="E1271" s="8" t="s">
        <v>23</v>
      </c>
      <c r="F1271" s="8" t="s">
        <v>24</v>
      </c>
      <c r="G1271" s="8">
        <v>2017</v>
      </c>
      <c r="H1271" s="8">
        <v>12</v>
      </c>
      <c r="I1271" s="10">
        <v>43070</v>
      </c>
      <c r="J1271" s="11">
        <v>2529</v>
      </c>
      <c r="K1271" s="51"/>
      <c r="O1271" s="1" t="s">
        <v>12</v>
      </c>
      <c r="P1271" s="1" t="s">
        <v>44</v>
      </c>
      <c r="Q1271" s="1" t="s">
        <v>13</v>
      </c>
      <c r="R1271" s="1" t="s">
        <v>23</v>
      </c>
      <c r="S1271" s="1" t="s">
        <v>24</v>
      </c>
      <c r="T1271" s="1">
        <v>2017</v>
      </c>
      <c r="U1271" s="1">
        <v>12</v>
      </c>
      <c r="V1271" s="50">
        <v>43070</v>
      </c>
      <c r="W1271" s="4">
        <v>2200.2300000000005</v>
      </c>
      <c r="X1271" s="48">
        <v>2529</v>
      </c>
    </row>
    <row r="1272" spans="2:24" x14ac:dyDescent="0.35">
      <c r="B1272" s="8" t="s">
        <v>14</v>
      </c>
      <c r="C1272" s="8" t="s">
        <v>46</v>
      </c>
      <c r="D1272" s="8" t="s">
        <v>47</v>
      </c>
      <c r="E1272" s="8" t="s">
        <v>0</v>
      </c>
      <c r="F1272" s="8" t="s">
        <v>42</v>
      </c>
      <c r="G1272" s="8">
        <v>2017</v>
      </c>
      <c r="H1272" s="8">
        <v>12</v>
      </c>
      <c r="I1272" s="10">
        <v>43070</v>
      </c>
      <c r="J1272" s="11">
        <v>5169</v>
      </c>
      <c r="K1272" s="51"/>
      <c r="O1272" s="1" t="s">
        <v>14</v>
      </c>
      <c r="P1272" s="1" t="s">
        <v>46</v>
      </c>
      <c r="Q1272" s="1" t="s">
        <v>47</v>
      </c>
      <c r="R1272" s="1" t="s">
        <v>0</v>
      </c>
      <c r="S1272" s="1" t="s">
        <v>42</v>
      </c>
      <c r="T1272" s="1">
        <v>2017</v>
      </c>
      <c r="U1272" s="1">
        <v>12</v>
      </c>
      <c r="V1272" s="50">
        <v>43070</v>
      </c>
      <c r="W1272" s="4">
        <v>4445.34</v>
      </c>
      <c r="X1272" s="48">
        <v>5169</v>
      </c>
    </row>
    <row r="1273" spans="2:24" x14ac:dyDescent="0.35">
      <c r="B1273" s="8" t="s">
        <v>7</v>
      </c>
      <c r="C1273" s="8" t="s">
        <v>48</v>
      </c>
      <c r="D1273" s="8" t="s">
        <v>9</v>
      </c>
      <c r="E1273" s="8" t="s">
        <v>27</v>
      </c>
      <c r="F1273" s="6" t="s">
        <v>33</v>
      </c>
      <c r="G1273" s="8">
        <v>2017</v>
      </c>
      <c r="H1273" s="8">
        <v>12</v>
      </c>
      <c r="I1273" s="10">
        <v>43070</v>
      </c>
      <c r="J1273" s="11">
        <v>4035</v>
      </c>
      <c r="K1273" s="51"/>
      <c r="O1273" s="1" t="s">
        <v>7</v>
      </c>
      <c r="P1273" s="1" t="s">
        <v>48</v>
      </c>
      <c r="Q1273" s="1" t="s">
        <v>9</v>
      </c>
      <c r="R1273" s="1" t="s">
        <v>27</v>
      </c>
      <c r="S1273" t="s">
        <v>33</v>
      </c>
      <c r="T1273" s="1">
        <v>2017</v>
      </c>
      <c r="U1273" s="1">
        <v>12</v>
      </c>
      <c r="V1273" s="50">
        <v>43070</v>
      </c>
      <c r="W1273" s="4">
        <v>3591.1499999999996</v>
      </c>
      <c r="X1273" s="48">
        <v>4035</v>
      </c>
    </row>
    <row r="1274" spans="2:24" x14ac:dyDescent="0.35">
      <c r="B1274" s="8" t="s">
        <v>7</v>
      </c>
      <c r="C1274" s="8" t="s">
        <v>49</v>
      </c>
      <c r="D1274" s="8" t="s">
        <v>11</v>
      </c>
      <c r="E1274" s="8" t="s">
        <v>23</v>
      </c>
      <c r="F1274" s="6" t="s">
        <v>24</v>
      </c>
      <c r="G1274" s="8">
        <v>2017</v>
      </c>
      <c r="H1274" s="8">
        <v>12</v>
      </c>
      <c r="I1274" s="10">
        <v>43070</v>
      </c>
      <c r="J1274" s="11">
        <v>3356</v>
      </c>
      <c r="K1274" s="51"/>
      <c r="O1274" s="1" t="s">
        <v>7</v>
      </c>
      <c r="P1274" s="1" t="s">
        <v>49</v>
      </c>
      <c r="Q1274" s="1" t="s">
        <v>11</v>
      </c>
      <c r="R1274" s="1" t="s">
        <v>23</v>
      </c>
      <c r="S1274" t="s">
        <v>24</v>
      </c>
      <c r="T1274" s="1">
        <v>2017</v>
      </c>
      <c r="U1274" s="1">
        <v>12</v>
      </c>
      <c r="V1274" s="50">
        <v>43070</v>
      </c>
      <c r="W1274" s="4">
        <v>2986.8399999999997</v>
      </c>
      <c r="X1274" s="48">
        <v>3356</v>
      </c>
    </row>
    <row r="1275" spans="2:24" x14ac:dyDescent="0.35">
      <c r="B1275" s="8" t="s">
        <v>3</v>
      </c>
      <c r="C1275" s="8" t="s">
        <v>22</v>
      </c>
      <c r="D1275" s="8" t="s">
        <v>5</v>
      </c>
      <c r="E1275" s="8" t="s">
        <v>23</v>
      </c>
      <c r="F1275" s="6" t="s">
        <v>24</v>
      </c>
      <c r="G1275" s="8">
        <v>2016</v>
      </c>
      <c r="H1275" s="8">
        <v>1</v>
      </c>
      <c r="I1275" s="10">
        <v>42370</v>
      </c>
      <c r="J1275" s="11">
        <v>2315</v>
      </c>
      <c r="K1275" s="51"/>
      <c r="O1275" s="1" t="s">
        <v>3</v>
      </c>
      <c r="P1275" s="1" t="s">
        <v>22</v>
      </c>
      <c r="Q1275" s="1" t="s">
        <v>5</v>
      </c>
      <c r="R1275" s="1" t="s">
        <v>23</v>
      </c>
      <c r="S1275" t="s">
        <v>24</v>
      </c>
      <c r="T1275" s="1">
        <v>2016</v>
      </c>
      <c r="U1275" s="1">
        <v>1</v>
      </c>
      <c r="V1275" s="50">
        <v>42370</v>
      </c>
      <c r="W1275" s="4">
        <v>2176.1</v>
      </c>
      <c r="X1275" s="48">
        <v>2315</v>
      </c>
    </row>
    <row r="1276" spans="2:24" x14ac:dyDescent="0.35">
      <c r="B1276" s="8" t="s">
        <v>3</v>
      </c>
      <c r="C1276" s="8" t="s">
        <v>25</v>
      </c>
      <c r="D1276" s="8" t="s">
        <v>4</v>
      </c>
      <c r="E1276" s="9" t="s">
        <v>23</v>
      </c>
      <c r="F1276" s="9" t="s">
        <v>24</v>
      </c>
      <c r="G1276" s="8">
        <v>2016</v>
      </c>
      <c r="H1276" s="8">
        <v>1</v>
      </c>
      <c r="I1276" s="10">
        <v>42370</v>
      </c>
      <c r="J1276" s="11">
        <v>1965</v>
      </c>
      <c r="K1276" s="51"/>
      <c r="O1276" s="1" t="s">
        <v>3</v>
      </c>
      <c r="P1276" s="1" t="s">
        <v>25</v>
      </c>
      <c r="Q1276" s="1" t="s">
        <v>4</v>
      </c>
      <c r="R1276" s="2" t="s">
        <v>23</v>
      </c>
      <c r="S1276" s="2" t="s">
        <v>24</v>
      </c>
      <c r="T1276" s="1">
        <v>2016</v>
      </c>
      <c r="U1276" s="1">
        <v>1</v>
      </c>
      <c r="V1276" s="50">
        <v>42370</v>
      </c>
      <c r="W1276" s="4">
        <v>1709.5500000000002</v>
      </c>
      <c r="X1276" s="48">
        <v>1965</v>
      </c>
    </row>
    <row r="1277" spans="2:24" x14ac:dyDescent="0.35">
      <c r="B1277" s="8" t="s">
        <v>3</v>
      </c>
      <c r="C1277" s="8" t="s">
        <v>25</v>
      </c>
      <c r="D1277" s="8" t="s">
        <v>4</v>
      </c>
      <c r="E1277" s="8" t="s">
        <v>0</v>
      </c>
      <c r="F1277" s="9" t="s">
        <v>26</v>
      </c>
      <c r="G1277" s="8">
        <v>2016</v>
      </c>
      <c r="H1277" s="8">
        <v>1</v>
      </c>
      <c r="I1277" s="10">
        <v>42370</v>
      </c>
      <c r="J1277" s="11">
        <v>2838</v>
      </c>
      <c r="K1277" s="51"/>
      <c r="O1277" s="1" t="s">
        <v>3</v>
      </c>
      <c r="P1277" s="1" t="s">
        <v>25</v>
      </c>
      <c r="Q1277" s="1" t="s">
        <v>4</v>
      </c>
      <c r="R1277" s="1" t="s">
        <v>0</v>
      </c>
      <c r="S1277" s="2" t="s">
        <v>26</v>
      </c>
      <c r="T1277" s="1">
        <v>2016</v>
      </c>
      <c r="U1277" s="1">
        <v>1</v>
      </c>
      <c r="V1277" s="50">
        <v>42370</v>
      </c>
      <c r="W1277" s="4">
        <v>2469.0600000000004</v>
      </c>
      <c r="X1277" s="48">
        <v>2838</v>
      </c>
    </row>
    <row r="1278" spans="2:24" x14ac:dyDescent="0.35">
      <c r="B1278" s="8" t="s">
        <v>3</v>
      </c>
      <c r="C1278" s="8" t="s">
        <v>22</v>
      </c>
      <c r="D1278" s="8" t="s">
        <v>5</v>
      </c>
      <c r="E1278" s="8" t="s">
        <v>0</v>
      </c>
      <c r="F1278" s="6" t="s">
        <v>26</v>
      </c>
      <c r="G1278" s="8">
        <v>2016</v>
      </c>
      <c r="H1278" s="8">
        <v>1</v>
      </c>
      <c r="I1278" s="10">
        <v>42370</v>
      </c>
      <c r="J1278" s="11">
        <v>4751</v>
      </c>
      <c r="K1278" s="51"/>
      <c r="O1278" s="1" t="s">
        <v>3</v>
      </c>
      <c r="P1278" s="1" t="s">
        <v>22</v>
      </c>
      <c r="Q1278" s="1" t="s">
        <v>5</v>
      </c>
      <c r="R1278" s="1" t="s">
        <v>0</v>
      </c>
      <c r="S1278" t="s">
        <v>26</v>
      </c>
      <c r="T1278" s="1">
        <v>2016</v>
      </c>
      <c r="U1278" s="1">
        <v>1</v>
      </c>
      <c r="V1278" s="50">
        <v>42370</v>
      </c>
      <c r="W1278" s="4">
        <v>4323.41</v>
      </c>
      <c r="X1278" s="48">
        <v>4751</v>
      </c>
    </row>
    <row r="1279" spans="2:24" x14ac:dyDescent="0.35">
      <c r="B1279" s="8" t="s">
        <v>3</v>
      </c>
      <c r="C1279" s="8" t="s">
        <v>22</v>
      </c>
      <c r="D1279" s="8" t="s">
        <v>5</v>
      </c>
      <c r="E1279" s="8" t="s">
        <v>27</v>
      </c>
      <c r="F1279" s="8" t="s">
        <v>28</v>
      </c>
      <c r="G1279" s="8">
        <v>2016</v>
      </c>
      <c r="H1279" s="8">
        <v>1</v>
      </c>
      <c r="I1279" s="10">
        <v>42370</v>
      </c>
      <c r="J1279" s="11">
        <v>3728</v>
      </c>
      <c r="K1279" s="51"/>
      <c r="O1279" s="1" t="s">
        <v>3</v>
      </c>
      <c r="P1279" s="1" t="s">
        <v>22</v>
      </c>
      <c r="Q1279" s="1" t="s">
        <v>5</v>
      </c>
      <c r="R1279" s="1" t="s">
        <v>27</v>
      </c>
      <c r="S1279" s="1" t="s">
        <v>28</v>
      </c>
      <c r="T1279" s="1">
        <v>2016</v>
      </c>
      <c r="U1279" s="1">
        <v>1</v>
      </c>
      <c r="V1279" s="50">
        <v>42370</v>
      </c>
      <c r="W1279" s="4">
        <v>3504.3199999999997</v>
      </c>
      <c r="X1279" s="48">
        <v>3728</v>
      </c>
    </row>
    <row r="1280" spans="2:24" x14ac:dyDescent="0.35">
      <c r="B1280" s="8" t="s">
        <v>6</v>
      </c>
      <c r="C1280" s="8" t="s">
        <v>29</v>
      </c>
      <c r="D1280" s="8" t="s">
        <v>30</v>
      </c>
      <c r="E1280" s="8" t="s">
        <v>27</v>
      </c>
      <c r="F1280" s="8" t="s">
        <v>31</v>
      </c>
      <c r="G1280" s="8">
        <v>2016</v>
      </c>
      <c r="H1280" s="8">
        <v>1</v>
      </c>
      <c r="I1280" s="10">
        <v>42370</v>
      </c>
      <c r="J1280" s="11">
        <v>4093</v>
      </c>
      <c r="K1280" s="51"/>
      <c r="O1280" s="1" t="s">
        <v>6</v>
      </c>
      <c r="P1280" s="1" t="s">
        <v>29</v>
      </c>
      <c r="Q1280" s="1" t="s">
        <v>30</v>
      </c>
      <c r="R1280" s="1" t="s">
        <v>27</v>
      </c>
      <c r="S1280" s="1" t="s">
        <v>31</v>
      </c>
      <c r="T1280" s="1">
        <v>2016</v>
      </c>
      <c r="U1280" s="1">
        <v>1</v>
      </c>
      <c r="V1280" s="50">
        <v>42370</v>
      </c>
      <c r="W1280" s="4">
        <v>3560.9100000000003</v>
      </c>
      <c r="X1280" s="48">
        <v>4093</v>
      </c>
    </row>
    <row r="1281" spans="2:24" x14ac:dyDescent="0.35">
      <c r="B1281" s="8" t="s">
        <v>7</v>
      </c>
      <c r="C1281" s="8" t="s">
        <v>32</v>
      </c>
      <c r="D1281" s="8" t="s">
        <v>8</v>
      </c>
      <c r="E1281" s="8" t="s">
        <v>27</v>
      </c>
      <c r="F1281" s="8" t="s">
        <v>33</v>
      </c>
      <c r="G1281" s="8">
        <v>2016</v>
      </c>
      <c r="H1281" s="8">
        <v>1</v>
      </c>
      <c r="I1281" s="10">
        <v>42370</v>
      </c>
      <c r="J1281" s="11">
        <v>3133</v>
      </c>
      <c r="K1281" s="51"/>
      <c r="O1281" s="1" t="s">
        <v>7</v>
      </c>
      <c r="P1281" s="1" t="s">
        <v>32</v>
      </c>
      <c r="Q1281" s="1" t="s">
        <v>8</v>
      </c>
      <c r="R1281" s="1" t="s">
        <v>27</v>
      </c>
      <c r="S1281" s="1" t="s">
        <v>33</v>
      </c>
      <c r="T1281" s="1">
        <v>2016</v>
      </c>
      <c r="U1281" s="1">
        <v>1</v>
      </c>
      <c r="V1281" s="50">
        <v>42370</v>
      </c>
      <c r="W1281" s="4">
        <v>2851.0299999999997</v>
      </c>
      <c r="X1281" s="48">
        <v>3133</v>
      </c>
    </row>
    <row r="1282" spans="2:24" x14ac:dyDescent="0.35">
      <c r="B1282" s="8" t="s">
        <v>12</v>
      </c>
      <c r="C1282" s="8" t="s">
        <v>34</v>
      </c>
      <c r="D1282" s="8" t="s">
        <v>35</v>
      </c>
      <c r="E1282" s="8" t="s">
        <v>23</v>
      </c>
      <c r="F1282" s="6" t="s">
        <v>36</v>
      </c>
      <c r="G1282" s="8">
        <v>2016</v>
      </c>
      <c r="H1282" s="8">
        <v>1</v>
      </c>
      <c r="I1282" s="10">
        <v>42370</v>
      </c>
      <c r="J1282" s="11">
        <v>2566</v>
      </c>
      <c r="K1282" s="51"/>
      <c r="O1282" s="1" t="s">
        <v>12</v>
      </c>
      <c r="P1282" s="1" t="s">
        <v>34</v>
      </c>
      <c r="Q1282" s="1" t="s">
        <v>35</v>
      </c>
      <c r="R1282" s="1" t="s">
        <v>23</v>
      </c>
      <c r="S1282" t="s">
        <v>36</v>
      </c>
      <c r="T1282" s="1">
        <v>2016</v>
      </c>
      <c r="U1282" s="1">
        <v>1</v>
      </c>
      <c r="V1282" s="50">
        <v>42370</v>
      </c>
      <c r="W1282" s="4">
        <v>2232.42</v>
      </c>
      <c r="X1282" s="48">
        <v>2566</v>
      </c>
    </row>
    <row r="1283" spans="2:24" x14ac:dyDescent="0.35">
      <c r="B1283" s="8" t="s">
        <v>14</v>
      </c>
      <c r="C1283" s="8" t="s">
        <v>37</v>
      </c>
      <c r="D1283" s="8" t="s">
        <v>38</v>
      </c>
      <c r="E1283" s="8" t="s">
        <v>23</v>
      </c>
      <c r="F1283" s="6" t="s">
        <v>24</v>
      </c>
      <c r="G1283" s="8">
        <v>2016</v>
      </c>
      <c r="H1283" s="8">
        <v>1</v>
      </c>
      <c r="I1283" s="10">
        <v>42370</v>
      </c>
      <c r="J1283" s="11">
        <v>3341</v>
      </c>
      <c r="K1283" s="51"/>
      <c r="O1283" s="1" t="s">
        <v>14</v>
      </c>
      <c r="P1283" s="1" t="s">
        <v>37</v>
      </c>
      <c r="Q1283" s="1" t="s">
        <v>38</v>
      </c>
      <c r="R1283" s="1" t="s">
        <v>23</v>
      </c>
      <c r="S1283" t="s">
        <v>24</v>
      </c>
      <c r="T1283" s="1">
        <v>2016</v>
      </c>
      <c r="U1283" s="1">
        <v>1</v>
      </c>
      <c r="V1283" s="50">
        <v>42370</v>
      </c>
      <c r="W1283" s="4">
        <v>3073.72</v>
      </c>
      <c r="X1283" s="48">
        <v>3341</v>
      </c>
    </row>
    <row r="1284" spans="2:24" x14ac:dyDescent="0.35">
      <c r="B1284" s="8" t="s">
        <v>3</v>
      </c>
      <c r="C1284" s="8" t="s">
        <v>25</v>
      </c>
      <c r="D1284" s="8" t="s">
        <v>4</v>
      </c>
      <c r="E1284" s="8" t="s">
        <v>23</v>
      </c>
      <c r="F1284" s="6" t="s">
        <v>39</v>
      </c>
      <c r="G1284" s="8">
        <v>2016</v>
      </c>
      <c r="H1284" s="8">
        <v>1</v>
      </c>
      <c r="I1284" s="10">
        <v>42370</v>
      </c>
      <c r="J1284" s="11">
        <v>2569</v>
      </c>
      <c r="K1284" s="51"/>
      <c r="O1284" s="1" t="s">
        <v>3</v>
      </c>
      <c r="P1284" s="1" t="s">
        <v>25</v>
      </c>
      <c r="Q1284" s="1" t="s">
        <v>4</v>
      </c>
      <c r="R1284" s="1" t="s">
        <v>23</v>
      </c>
      <c r="S1284" t="s">
        <v>39</v>
      </c>
      <c r="T1284" s="1">
        <v>2016</v>
      </c>
      <c r="U1284" s="1">
        <v>1</v>
      </c>
      <c r="V1284" s="50">
        <v>42370</v>
      </c>
      <c r="W1284" s="4">
        <v>2209.34</v>
      </c>
      <c r="X1284" s="48">
        <v>2569</v>
      </c>
    </row>
    <row r="1285" spans="2:24" x14ac:dyDescent="0.35">
      <c r="B1285" s="8" t="s">
        <v>6</v>
      </c>
      <c r="C1285" s="8" t="s">
        <v>40</v>
      </c>
      <c r="D1285" s="8" t="s">
        <v>41</v>
      </c>
      <c r="E1285" s="9" t="s">
        <v>0</v>
      </c>
      <c r="F1285" s="9" t="s">
        <v>42</v>
      </c>
      <c r="G1285" s="8">
        <v>2016</v>
      </c>
      <c r="H1285" s="8">
        <v>1</v>
      </c>
      <c r="I1285" s="10">
        <v>42370</v>
      </c>
      <c r="J1285" s="11">
        <v>6269</v>
      </c>
      <c r="K1285" s="51"/>
      <c r="O1285" s="1" t="s">
        <v>6</v>
      </c>
      <c r="P1285" s="1" t="s">
        <v>40</v>
      </c>
      <c r="Q1285" s="1" t="s">
        <v>41</v>
      </c>
      <c r="R1285" s="2" t="s">
        <v>0</v>
      </c>
      <c r="S1285" s="2" t="s">
        <v>42</v>
      </c>
      <c r="T1285" s="1">
        <v>2016</v>
      </c>
      <c r="U1285" s="1">
        <v>1</v>
      </c>
      <c r="V1285" s="50">
        <v>42370</v>
      </c>
      <c r="W1285" s="4">
        <v>5642.0999999999995</v>
      </c>
      <c r="X1285" s="48">
        <v>6269</v>
      </c>
    </row>
    <row r="1286" spans="2:24" x14ac:dyDescent="0.35">
      <c r="B1286" s="8" t="s">
        <v>7</v>
      </c>
      <c r="C1286" s="8" t="s">
        <v>43</v>
      </c>
      <c r="D1286" s="8" t="s">
        <v>10</v>
      </c>
      <c r="E1286" s="8" t="s">
        <v>0</v>
      </c>
      <c r="F1286" s="9" t="s">
        <v>26</v>
      </c>
      <c r="G1286" s="8">
        <v>2016</v>
      </c>
      <c r="H1286" s="8">
        <v>1</v>
      </c>
      <c r="I1286" s="10">
        <v>42370</v>
      </c>
      <c r="J1286" s="11">
        <v>4936</v>
      </c>
      <c r="K1286" s="51"/>
      <c r="O1286" s="1" t="s">
        <v>7</v>
      </c>
      <c r="P1286" s="1" t="s">
        <v>43</v>
      </c>
      <c r="Q1286" s="1" t="s">
        <v>10</v>
      </c>
      <c r="R1286" s="1" t="s">
        <v>0</v>
      </c>
      <c r="S1286" s="2" t="s">
        <v>26</v>
      </c>
      <c r="T1286" s="1">
        <v>2016</v>
      </c>
      <c r="U1286" s="1">
        <v>1</v>
      </c>
      <c r="V1286" s="50">
        <v>42370</v>
      </c>
      <c r="W1286" s="4">
        <v>4590.4799999999996</v>
      </c>
      <c r="X1286" s="48">
        <v>4936</v>
      </c>
    </row>
    <row r="1287" spans="2:24" x14ac:dyDescent="0.35">
      <c r="B1287" s="8" t="s">
        <v>12</v>
      </c>
      <c r="C1287" s="8" t="s">
        <v>44</v>
      </c>
      <c r="D1287" s="8" t="s">
        <v>13</v>
      </c>
      <c r="E1287" s="8" t="s">
        <v>0</v>
      </c>
      <c r="F1287" s="6" t="s">
        <v>45</v>
      </c>
      <c r="G1287" s="8">
        <v>2016</v>
      </c>
      <c r="H1287" s="8">
        <v>1</v>
      </c>
      <c r="I1287" s="10">
        <v>42370</v>
      </c>
      <c r="J1287" s="11">
        <v>2313</v>
      </c>
      <c r="K1287" s="51"/>
      <c r="O1287" s="1" t="s">
        <v>12</v>
      </c>
      <c r="P1287" s="1" t="s">
        <v>44</v>
      </c>
      <c r="Q1287" s="1" t="s">
        <v>13</v>
      </c>
      <c r="R1287" s="1" t="s">
        <v>0</v>
      </c>
      <c r="S1287" t="s">
        <v>45</v>
      </c>
      <c r="T1287" s="1">
        <v>2016</v>
      </c>
      <c r="U1287" s="1">
        <v>1</v>
      </c>
      <c r="V1287" s="50">
        <v>42370</v>
      </c>
      <c r="W1287" s="4">
        <v>1966.0500000000002</v>
      </c>
      <c r="X1287" s="48">
        <v>2313</v>
      </c>
    </row>
    <row r="1288" spans="2:24" x14ac:dyDescent="0.35">
      <c r="B1288" s="8" t="s">
        <v>14</v>
      </c>
      <c r="C1288" s="8" t="s">
        <v>46</v>
      </c>
      <c r="D1288" s="8" t="s">
        <v>47</v>
      </c>
      <c r="E1288" s="8" t="s">
        <v>27</v>
      </c>
      <c r="F1288" s="8" t="s">
        <v>28</v>
      </c>
      <c r="G1288" s="8">
        <v>2016</v>
      </c>
      <c r="H1288" s="8">
        <v>1</v>
      </c>
      <c r="I1288" s="10">
        <v>42370</v>
      </c>
      <c r="J1288" s="11">
        <v>5054</v>
      </c>
      <c r="K1288" s="51"/>
      <c r="O1288" s="1" t="s">
        <v>14</v>
      </c>
      <c r="P1288" s="1" t="s">
        <v>46</v>
      </c>
      <c r="Q1288" s="1" t="s">
        <v>47</v>
      </c>
      <c r="R1288" s="1" t="s">
        <v>27</v>
      </c>
      <c r="S1288" s="1" t="s">
        <v>28</v>
      </c>
      <c r="T1288" s="1">
        <v>2016</v>
      </c>
      <c r="U1288" s="1">
        <v>1</v>
      </c>
      <c r="V1288" s="50">
        <v>42370</v>
      </c>
      <c r="W1288" s="4">
        <v>4599.1399999999994</v>
      </c>
      <c r="X1288" s="48">
        <v>5054</v>
      </c>
    </row>
    <row r="1289" spans="2:24" x14ac:dyDescent="0.35">
      <c r="B1289" s="8" t="s">
        <v>3</v>
      </c>
      <c r="C1289" s="8" t="s">
        <v>22</v>
      </c>
      <c r="D1289" s="8" t="s">
        <v>5</v>
      </c>
      <c r="E1289" s="8" t="s">
        <v>27</v>
      </c>
      <c r="F1289" s="8" t="s">
        <v>31</v>
      </c>
      <c r="G1289" s="8">
        <v>2016</v>
      </c>
      <c r="H1289" s="8">
        <v>1</v>
      </c>
      <c r="I1289" s="10">
        <v>42370</v>
      </c>
      <c r="J1289" s="11">
        <v>4386</v>
      </c>
      <c r="K1289" s="51"/>
      <c r="O1289" s="1" t="s">
        <v>3</v>
      </c>
      <c r="P1289" s="1" t="s">
        <v>22</v>
      </c>
      <c r="Q1289" s="1" t="s">
        <v>5</v>
      </c>
      <c r="R1289" s="1" t="s">
        <v>27</v>
      </c>
      <c r="S1289" s="1" t="s">
        <v>31</v>
      </c>
      <c r="T1289" s="1">
        <v>2016</v>
      </c>
      <c r="U1289" s="1">
        <v>1</v>
      </c>
      <c r="V1289" s="50">
        <v>42370</v>
      </c>
      <c r="W1289" s="4">
        <v>3771.9600000000005</v>
      </c>
      <c r="X1289" s="48">
        <v>4386</v>
      </c>
    </row>
    <row r="1290" spans="2:24" x14ac:dyDescent="0.35">
      <c r="B1290" s="8" t="s">
        <v>6</v>
      </c>
      <c r="C1290" s="8" t="s">
        <v>29</v>
      </c>
      <c r="D1290" s="8" t="s">
        <v>30</v>
      </c>
      <c r="E1290" s="8" t="s">
        <v>27</v>
      </c>
      <c r="F1290" s="8" t="s">
        <v>33</v>
      </c>
      <c r="G1290" s="8">
        <v>2016</v>
      </c>
      <c r="H1290" s="8">
        <v>1</v>
      </c>
      <c r="I1290" s="10">
        <v>42370</v>
      </c>
      <c r="J1290" s="11">
        <v>3762</v>
      </c>
      <c r="K1290" s="51"/>
      <c r="O1290" s="1" t="s">
        <v>6</v>
      </c>
      <c r="P1290" s="1" t="s">
        <v>29</v>
      </c>
      <c r="Q1290" s="1" t="s">
        <v>30</v>
      </c>
      <c r="R1290" s="1" t="s">
        <v>27</v>
      </c>
      <c r="S1290" s="1" t="s">
        <v>33</v>
      </c>
      <c r="T1290" s="1">
        <v>2016</v>
      </c>
      <c r="U1290" s="1">
        <v>1</v>
      </c>
      <c r="V1290" s="50">
        <v>42370</v>
      </c>
      <c r="W1290" s="4">
        <v>3348.1799999999994</v>
      </c>
      <c r="X1290" s="48">
        <v>3762</v>
      </c>
    </row>
    <row r="1291" spans="2:24" x14ac:dyDescent="0.35">
      <c r="B1291" s="8" t="s">
        <v>7</v>
      </c>
      <c r="C1291" s="8" t="s">
        <v>32</v>
      </c>
      <c r="D1291" s="8" t="s">
        <v>8</v>
      </c>
      <c r="E1291" s="8" t="s">
        <v>23</v>
      </c>
      <c r="F1291" s="6" t="s">
        <v>36</v>
      </c>
      <c r="G1291" s="8">
        <v>2016</v>
      </c>
      <c r="H1291" s="8">
        <v>1</v>
      </c>
      <c r="I1291" s="10">
        <v>42370</v>
      </c>
      <c r="J1291" s="11">
        <v>2116</v>
      </c>
      <c r="K1291" s="51"/>
      <c r="O1291" s="1" t="s">
        <v>7</v>
      </c>
      <c r="P1291" s="1" t="s">
        <v>32</v>
      </c>
      <c r="Q1291" s="1" t="s">
        <v>8</v>
      </c>
      <c r="R1291" s="1" t="s">
        <v>23</v>
      </c>
      <c r="S1291" t="s">
        <v>36</v>
      </c>
      <c r="T1291" s="1">
        <v>2016</v>
      </c>
      <c r="U1291" s="1">
        <v>1</v>
      </c>
      <c r="V1291" s="50">
        <v>42370</v>
      </c>
      <c r="W1291" s="4">
        <v>1819.7600000000002</v>
      </c>
      <c r="X1291" s="48">
        <v>2116</v>
      </c>
    </row>
    <row r="1292" spans="2:24" x14ac:dyDescent="0.35">
      <c r="B1292" s="8" t="s">
        <v>12</v>
      </c>
      <c r="C1292" s="8" t="s">
        <v>34</v>
      </c>
      <c r="D1292" s="8" t="s">
        <v>35</v>
      </c>
      <c r="E1292" s="8" t="s">
        <v>23</v>
      </c>
      <c r="F1292" s="6" t="s">
        <v>24</v>
      </c>
      <c r="G1292" s="8">
        <v>2016</v>
      </c>
      <c r="H1292" s="8">
        <v>1</v>
      </c>
      <c r="I1292" s="10">
        <v>42370</v>
      </c>
      <c r="J1292" s="11">
        <v>2959</v>
      </c>
      <c r="K1292" s="51"/>
      <c r="O1292" s="1" t="s">
        <v>12</v>
      </c>
      <c r="P1292" s="1" t="s">
        <v>34</v>
      </c>
      <c r="Q1292" s="1" t="s">
        <v>35</v>
      </c>
      <c r="R1292" s="1" t="s">
        <v>23</v>
      </c>
      <c r="S1292" t="s">
        <v>24</v>
      </c>
      <c r="T1292" s="1">
        <v>2016</v>
      </c>
      <c r="U1292" s="1">
        <v>1</v>
      </c>
      <c r="V1292" s="50">
        <v>42370</v>
      </c>
      <c r="W1292" s="4">
        <v>2574.3300000000004</v>
      </c>
      <c r="X1292" s="48">
        <v>2959</v>
      </c>
    </row>
    <row r="1293" spans="2:24" x14ac:dyDescent="0.35">
      <c r="B1293" s="8" t="s">
        <v>14</v>
      </c>
      <c r="C1293" s="8" t="s">
        <v>37</v>
      </c>
      <c r="D1293" s="8" t="s">
        <v>38</v>
      </c>
      <c r="E1293" s="8" t="s">
        <v>23</v>
      </c>
      <c r="F1293" s="6" t="s">
        <v>39</v>
      </c>
      <c r="G1293" s="8">
        <v>2016</v>
      </c>
      <c r="H1293" s="8">
        <v>1</v>
      </c>
      <c r="I1293" s="10">
        <v>42370</v>
      </c>
      <c r="J1293" s="11">
        <v>2464</v>
      </c>
      <c r="K1293" s="51"/>
      <c r="O1293" s="1" t="s">
        <v>14</v>
      </c>
      <c r="P1293" s="1" t="s">
        <v>37</v>
      </c>
      <c r="Q1293" s="1" t="s">
        <v>38</v>
      </c>
      <c r="R1293" s="1" t="s">
        <v>23</v>
      </c>
      <c r="S1293" t="s">
        <v>39</v>
      </c>
      <c r="T1293" s="1">
        <v>2016</v>
      </c>
      <c r="U1293" s="1">
        <v>1</v>
      </c>
      <c r="V1293" s="50">
        <v>42370</v>
      </c>
      <c r="W1293" s="4">
        <v>2217.6</v>
      </c>
      <c r="X1293" s="48">
        <v>2464</v>
      </c>
    </row>
    <row r="1294" spans="2:24" x14ac:dyDescent="0.35">
      <c r="B1294" s="8" t="s">
        <v>3</v>
      </c>
      <c r="C1294" s="8" t="s">
        <v>25</v>
      </c>
      <c r="D1294" s="8" t="s">
        <v>4</v>
      </c>
      <c r="E1294" s="9" t="s">
        <v>0</v>
      </c>
      <c r="F1294" s="9" t="s">
        <v>42</v>
      </c>
      <c r="G1294" s="8">
        <v>2016</v>
      </c>
      <c r="H1294" s="8">
        <v>1</v>
      </c>
      <c r="I1294" s="10">
        <v>42370</v>
      </c>
      <c r="J1294" s="11">
        <v>5572</v>
      </c>
      <c r="K1294" s="51"/>
      <c r="O1294" s="1" t="s">
        <v>3</v>
      </c>
      <c r="P1294" s="1" t="s">
        <v>25</v>
      </c>
      <c r="Q1294" s="1" t="s">
        <v>4</v>
      </c>
      <c r="R1294" s="2" t="s">
        <v>0</v>
      </c>
      <c r="S1294" s="2" t="s">
        <v>42</v>
      </c>
      <c r="T1294" s="1">
        <v>2016</v>
      </c>
      <c r="U1294" s="1">
        <v>1</v>
      </c>
      <c r="V1294" s="50">
        <v>42370</v>
      </c>
      <c r="W1294" s="4">
        <v>5126.24</v>
      </c>
      <c r="X1294" s="48">
        <v>5572</v>
      </c>
    </row>
    <row r="1295" spans="2:24" x14ac:dyDescent="0.35">
      <c r="B1295" s="8" t="s">
        <v>6</v>
      </c>
      <c r="C1295" s="8" t="s">
        <v>40</v>
      </c>
      <c r="D1295" s="8" t="s">
        <v>41</v>
      </c>
      <c r="E1295" s="8" t="s">
        <v>0</v>
      </c>
      <c r="F1295" s="9" t="s">
        <v>26</v>
      </c>
      <c r="G1295" s="8">
        <v>2016</v>
      </c>
      <c r="H1295" s="8">
        <v>1</v>
      </c>
      <c r="I1295" s="10">
        <v>42370</v>
      </c>
      <c r="J1295" s="11">
        <v>5223</v>
      </c>
      <c r="K1295" s="51"/>
      <c r="O1295" s="1" t="s">
        <v>6</v>
      </c>
      <c r="P1295" s="1" t="s">
        <v>40</v>
      </c>
      <c r="Q1295" s="1" t="s">
        <v>41</v>
      </c>
      <c r="R1295" s="1" t="s">
        <v>0</v>
      </c>
      <c r="S1295" s="2" t="s">
        <v>26</v>
      </c>
      <c r="T1295" s="1">
        <v>2016</v>
      </c>
      <c r="U1295" s="1">
        <v>1</v>
      </c>
      <c r="V1295" s="50">
        <v>42370</v>
      </c>
      <c r="W1295" s="4">
        <v>4700.7</v>
      </c>
      <c r="X1295" s="48">
        <v>5223</v>
      </c>
    </row>
    <row r="1296" spans="2:24" x14ac:dyDescent="0.35">
      <c r="B1296" s="8" t="s">
        <v>7</v>
      </c>
      <c r="C1296" s="8" t="s">
        <v>43</v>
      </c>
      <c r="D1296" s="8" t="s">
        <v>10</v>
      </c>
      <c r="E1296" s="8" t="s">
        <v>0</v>
      </c>
      <c r="F1296" s="6" t="s">
        <v>45</v>
      </c>
      <c r="G1296" s="8">
        <v>2016</v>
      </c>
      <c r="H1296" s="8">
        <v>1</v>
      </c>
      <c r="I1296" s="10">
        <v>42370</v>
      </c>
      <c r="J1296" s="11">
        <v>3552</v>
      </c>
      <c r="K1296" s="51"/>
      <c r="O1296" s="1" t="s">
        <v>7</v>
      </c>
      <c r="P1296" s="1" t="s">
        <v>43</v>
      </c>
      <c r="Q1296" s="1" t="s">
        <v>10</v>
      </c>
      <c r="R1296" s="1" t="s">
        <v>0</v>
      </c>
      <c r="S1296" t="s">
        <v>45</v>
      </c>
      <c r="T1296" s="1">
        <v>2016</v>
      </c>
      <c r="U1296" s="1">
        <v>1</v>
      </c>
      <c r="V1296" s="50">
        <v>42370</v>
      </c>
      <c r="W1296" s="4">
        <v>3019.2000000000003</v>
      </c>
      <c r="X1296" s="48">
        <v>3552</v>
      </c>
    </row>
    <row r="1297" spans="2:24" x14ac:dyDescent="0.35">
      <c r="B1297" s="8" t="s">
        <v>12</v>
      </c>
      <c r="C1297" s="8" t="s">
        <v>44</v>
      </c>
      <c r="D1297" s="8" t="s">
        <v>13</v>
      </c>
      <c r="E1297" s="8" t="s">
        <v>27</v>
      </c>
      <c r="F1297" s="8" t="s">
        <v>28</v>
      </c>
      <c r="G1297" s="8">
        <v>2016</v>
      </c>
      <c r="H1297" s="8">
        <v>1</v>
      </c>
      <c r="I1297" s="10">
        <v>42370</v>
      </c>
      <c r="J1297" s="11">
        <v>3428</v>
      </c>
      <c r="K1297" s="51"/>
      <c r="O1297" s="1" t="s">
        <v>12</v>
      </c>
      <c r="P1297" s="1" t="s">
        <v>44</v>
      </c>
      <c r="Q1297" s="1" t="s">
        <v>13</v>
      </c>
      <c r="R1297" s="1" t="s">
        <v>27</v>
      </c>
      <c r="S1297" s="1" t="s">
        <v>28</v>
      </c>
      <c r="T1297" s="1">
        <v>2016</v>
      </c>
      <c r="U1297" s="1">
        <v>1</v>
      </c>
      <c r="V1297" s="50">
        <v>42370</v>
      </c>
      <c r="W1297" s="4">
        <v>2948.0800000000004</v>
      </c>
      <c r="X1297" s="48">
        <v>3428</v>
      </c>
    </row>
    <row r="1298" spans="2:24" x14ac:dyDescent="0.35">
      <c r="B1298" s="8" t="s">
        <v>14</v>
      </c>
      <c r="C1298" s="8" t="s">
        <v>46</v>
      </c>
      <c r="D1298" s="8" t="s">
        <v>47</v>
      </c>
      <c r="E1298" s="8" t="s">
        <v>27</v>
      </c>
      <c r="F1298" s="8" t="s">
        <v>31</v>
      </c>
      <c r="G1298" s="8">
        <v>2016</v>
      </c>
      <c r="H1298" s="8">
        <v>1</v>
      </c>
      <c r="I1298" s="10">
        <v>42370</v>
      </c>
      <c r="J1298" s="11">
        <v>3420</v>
      </c>
      <c r="K1298" s="51"/>
      <c r="O1298" s="1" t="s">
        <v>14</v>
      </c>
      <c r="P1298" s="1" t="s">
        <v>46</v>
      </c>
      <c r="Q1298" s="1" t="s">
        <v>47</v>
      </c>
      <c r="R1298" s="1" t="s">
        <v>27</v>
      </c>
      <c r="S1298" s="1" t="s">
        <v>31</v>
      </c>
      <c r="T1298" s="1">
        <v>2016</v>
      </c>
      <c r="U1298" s="1">
        <v>1</v>
      </c>
      <c r="V1298" s="50">
        <v>42370</v>
      </c>
      <c r="W1298" s="4">
        <v>3043.7999999999997</v>
      </c>
      <c r="X1298" s="48">
        <v>3420</v>
      </c>
    </row>
    <row r="1299" spans="2:24" x14ac:dyDescent="0.35">
      <c r="B1299" s="8" t="s">
        <v>3</v>
      </c>
      <c r="C1299" s="8" t="s">
        <v>22</v>
      </c>
      <c r="D1299" s="8" t="s">
        <v>5</v>
      </c>
      <c r="E1299" s="8" t="s">
        <v>27</v>
      </c>
      <c r="F1299" s="8" t="s">
        <v>33</v>
      </c>
      <c r="G1299" s="8">
        <v>2016</v>
      </c>
      <c r="H1299" s="8">
        <v>1</v>
      </c>
      <c r="I1299" s="10">
        <v>42370</v>
      </c>
      <c r="J1299" s="11">
        <v>4076</v>
      </c>
      <c r="K1299" s="51"/>
      <c r="O1299" s="1" t="s">
        <v>3</v>
      </c>
      <c r="P1299" s="1" t="s">
        <v>22</v>
      </c>
      <c r="Q1299" s="1" t="s">
        <v>5</v>
      </c>
      <c r="R1299" s="1" t="s">
        <v>27</v>
      </c>
      <c r="S1299" s="1" t="s">
        <v>33</v>
      </c>
      <c r="T1299" s="1">
        <v>2016</v>
      </c>
      <c r="U1299" s="1">
        <v>1</v>
      </c>
      <c r="V1299" s="50">
        <v>42370</v>
      </c>
      <c r="W1299" s="4">
        <v>3709.16</v>
      </c>
      <c r="X1299" s="48">
        <v>4076</v>
      </c>
    </row>
    <row r="1300" spans="2:24" x14ac:dyDescent="0.35">
      <c r="B1300" s="8" t="s">
        <v>6</v>
      </c>
      <c r="C1300" s="8" t="s">
        <v>29</v>
      </c>
      <c r="D1300" s="8" t="s">
        <v>30</v>
      </c>
      <c r="E1300" s="8" t="s">
        <v>23</v>
      </c>
      <c r="F1300" s="6" t="s">
        <v>36</v>
      </c>
      <c r="G1300" s="8">
        <v>2016</v>
      </c>
      <c r="H1300" s="8">
        <v>1</v>
      </c>
      <c r="I1300" s="10">
        <v>42370</v>
      </c>
      <c r="J1300" s="11">
        <v>1940</v>
      </c>
      <c r="K1300" s="51"/>
      <c r="O1300" s="1" t="s">
        <v>6</v>
      </c>
      <c r="P1300" s="1" t="s">
        <v>29</v>
      </c>
      <c r="Q1300" s="1" t="s">
        <v>30</v>
      </c>
      <c r="R1300" s="1" t="s">
        <v>23</v>
      </c>
      <c r="S1300" t="s">
        <v>36</v>
      </c>
      <c r="T1300" s="1">
        <v>2016</v>
      </c>
      <c r="U1300" s="1">
        <v>1</v>
      </c>
      <c r="V1300" s="50">
        <v>42370</v>
      </c>
      <c r="W1300" s="4">
        <v>1765.3999999999999</v>
      </c>
      <c r="X1300" s="48">
        <v>1940</v>
      </c>
    </row>
    <row r="1301" spans="2:24" x14ac:dyDescent="0.35">
      <c r="B1301" s="8" t="s">
        <v>7</v>
      </c>
      <c r="C1301" s="8" t="s">
        <v>32</v>
      </c>
      <c r="D1301" s="8" t="s">
        <v>8</v>
      </c>
      <c r="E1301" s="8" t="s">
        <v>23</v>
      </c>
      <c r="F1301" s="6" t="s">
        <v>24</v>
      </c>
      <c r="G1301" s="8">
        <v>2016</v>
      </c>
      <c r="H1301" s="8">
        <v>1</v>
      </c>
      <c r="I1301" s="10">
        <v>42370</v>
      </c>
      <c r="J1301" s="11">
        <v>2938</v>
      </c>
      <c r="K1301" s="51"/>
      <c r="O1301" s="1" t="s">
        <v>7</v>
      </c>
      <c r="P1301" s="1" t="s">
        <v>32</v>
      </c>
      <c r="Q1301" s="1" t="s">
        <v>8</v>
      </c>
      <c r="R1301" s="1" t="s">
        <v>23</v>
      </c>
      <c r="S1301" t="s">
        <v>24</v>
      </c>
      <c r="T1301" s="1">
        <v>2016</v>
      </c>
      <c r="U1301" s="1">
        <v>1</v>
      </c>
      <c r="V1301" s="50">
        <v>42370</v>
      </c>
      <c r="W1301" s="4">
        <v>2556.0600000000004</v>
      </c>
      <c r="X1301" s="48">
        <v>2938</v>
      </c>
    </row>
    <row r="1302" spans="2:24" x14ac:dyDescent="0.35">
      <c r="B1302" s="8" t="s">
        <v>12</v>
      </c>
      <c r="C1302" s="8" t="s">
        <v>34</v>
      </c>
      <c r="D1302" s="8" t="s">
        <v>35</v>
      </c>
      <c r="E1302" s="8" t="s">
        <v>23</v>
      </c>
      <c r="F1302" s="6" t="s">
        <v>39</v>
      </c>
      <c r="G1302" s="8">
        <v>2016</v>
      </c>
      <c r="H1302" s="8">
        <v>1</v>
      </c>
      <c r="I1302" s="10">
        <v>42370</v>
      </c>
      <c r="J1302" s="11">
        <v>2577</v>
      </c>
      <c r="K1302" s="51"/>
      <c r="O1302" s="1" t="s">
        <v>12</v>
      </c>
      <c r="P1302" s="1" t="s">
        <v>34</v>
      </c>
      <c r="Q1302" s="1" t="s">
        <v>35</v>
      </c>
      <c r="R1302" s="1" t="s">
        <v>23</v>
      </c>
      <c r="S1302" t="s">
        <v>39</v>
      </c>
      <c r="T1302" s="1">
        <v>2016</v>
      </c>
      <c r="U1302" s="1">
        <v>1</v>
      </c>
      <c r="V1302" s="50">
        <v>42370</v>
      </c>
      <c r="W1302" s="4">
        <v>2190.4500000000003</v>
      </c>
      <c r="X1302" s="48">
        <v>2577</v>
      </c>
    </row>
    <row r="1303" spans="2:24" x14ac:dyDescent="0.35">
      <c r="B1303" s="8" t="s">
        <v>14</v>
      </c>
      <c r="C1303" s="8" t="s">
        <v>37</v>
      </c>
      <c r="D1303" s="8" t="s">
        <v>38</v>
      </c>
      <c r="E1303" s="9" t="s">
        <v>0</v>
      </c>
      <c r="F1303" s="9" t="s">
        <v>42</v>
      </c>
      <c r="G1303" s="8">
        <v>2016</v>
      </c>
      <c r="H1303" s="8">
        <v>1</v>
      </c>
      <c r="I1303" s="10">
        <v>42370</v>
      </c>
      <c r="J1303" s="11">
        <v>6394</v>
      </c>
      <c r="K1303" s="51"/>
      <c r="O1303" s="1" t="s">
        <v>14</v>
      </c>
      <c r="P1303" s="1" t="s">
        <v>37</v>
      </c>
      <c r="Q1303" s="1" t="s">
        <v>38</v>
      </c>
      <c r="R1303" s="2" t="s">
        <v>0</v>
      </c>
      <c r="S1303" s="2" t="s">
        <v>42</v>
      </c>
      <c r="T1303" s="1">
        <v>2016</v>
      </c>
      <c r="U1303" s="1">
        <v>1</v>
      </c>
      <c r="V1303" s="50">
        <v>42370</v>
      </c>
      <c r="W1303" s="4">
        <v>6010.36</v>
      </c>
      <c r="X1303" s="48">
        <v>6394</v>
      </c>
    </row>
    <row r="1304" spans="2:24" x14ac:dyDescent="0.35">
      <c r="B1304" s="8" t="s">
        <v>6</v>
      </c>
      <c r="C1304" s="8" t="s">
        <v>29</v>
      </c>
      <c r="D1304" s="8" t="s">
        <v>30</v>
      </c>
      <c r="E1304" s="8" t="s">
        <v>0</v>
      </c>
      <c r="F1304" s="9" t="s">
        <v>45</v>
      </c>
      <c r="G1304" s="8">
        <v>2016</v>
      </c>
      <c r="H1304" s="8">
        <v>1</v>
      </c>
      <c r="I1304" s="10">
        <v>42370</v>
      </c>
      <c r="J1304" s="11">
        <v>4477</v>
      </c>
      <c r="K1304" s="51"/>
      <c r="O1304" s="1" t="s">
        <v>6</v>
      </c>
      <c r="P1304" s="1" t="s">
        <v>29</v>
      </c>
      <c r="Q1304" s="1" t="s">
        <v>30</v>
      </c>
      <c r="R1304" s="1" t="s">
        <v>0</v>
      </c>
      <c r="S1304" s="2" t="s">
        <v>45</v>
      </c>
      <c r="T1304" s="1">
        <v>2016</v>
      </c>
      <c r="U1304" s="1">
        <v>1</v>
      </c>
      <c r="V1304" s="50">
        <v>42370</v>
      </c>
      <c r="W1304" s="4">
        <v>4208.38</v>
      </c>
      <c r="X1304" s="48">
        <v>4477</v>
      </c>
    </row>
    <row r="1305" spans="2:24" x14ac:dyDescent="0.35">
      <c r="B1305" s="8" t="s">
        <v>7</v>
      </c>
      <c r="C1305" s="8" t="s">
        <v>43</v>
      </c>
      <c r="D1305" s="8" t="s">
        <v>10</v>
      </c>
      <c r="E1305" s="8" t="s">
        <v>27</v>
      </c>
      <c r="F1305" s="6" t="s">
        <v>28</v>
      </c>
      <c r="G1305" s="8">
        <v>2016</v>
      </c>
      <c r="H1305" s="8">
        <v>1</v>
      </c>
      <c r="I1305" s="10">
        <v>42370</v>
      </c>
      <c r="J1305" s="11">
        <v>4830</v>
      </c>
      <c r="K1305" s="51"/>
      <c r="O1305" s="1" t="s">
        <v>7</v>
      </c>
      <c r="P1305" s="1" t="s">
        <v>43</v>
      </c>
      <c r="Q1305" s="1" t="s">
        <v>10</v>
      </c>
      <c r="R1305" s="1" t="s">
        <v>27</v>
      </c>
      <c r="S1305" t="s">
        <v>28</v>
      </c>
      <c r="T1305" s="1">
        <v>2016</v>
      </c>
      <c r="U1305" s="1">
        <v>1</v>
      </c>
      <c r="V1305" s="50">
        <v>42370</v>
      </c>
      <c r="W1305" s="4">
        <v>4443.5999999999995</v>
      </c>
      <c r="X1305" s="48">
        <v>4830</v>
      </c>
    </row>
    <row r="1306" spans="2:24" x14ac:dyDescent="0.35">
      <c r="B1306" s="8" t="s">
        <v>12</v>
      </c>
      <c r="C1306" s="8" t="s">
        <v>44</v>
      </c>
      <c r="D1306" s="8" t="s">
        <v>13</v>
      </c>
      <c r="E1306" s="8" t="s">
        <v>27</v>
      </c>
      <c r="F1306" s="8" t="s">
        <v>31</v>
      </c>
      <c r="G1306" s="8">
        <v>2016</v>
      </c>
      <c r="H1306" s="8">
        <v>1</v>
      </c>
      <c r="I1306" s="10">
        <v>42370</v>
      </c>
      <c r="J1306" s="11">
        <v>3179</v>
      </c>
      <c r="K1306" s="51"/>
      <c r="O1306" s="1" t="s">
        <v>12</v>
      </c>
      <c r="P1306" s="1" t="s">
        <v>44</v>
      </c>
      <c r="Q1306" s="1" t="s">
        <v>13</v>
      </c>
      <c r="R1306" s="1" t="s">
        <v>27</v>
      </c>
      <c r="S1306" s="1" t="s">
        <v>31</v>
      </c>
      <c r="T1306" s="1">
        <v>2016</v>
      </c>
      <c r="U1306" s="1">
        <v>1</v>
      </c>
      <c r="V1306" s="50">
        <v>42370</v>
      </c>
      <c r="W1306" s="4">
        <v>2702.15</v>
      </c>
      <c r="X1306" s="48">
        <v>3179</v>
      </c>
    </row>
    <row r="1307" spans="2:24" x14ac:dyDescent="0.35">
      <c r="B1307" s="8" t="s">
        <v>14</v>
      </c>
      <c r="C1307" s="8" t="s">
        <v>46</v>
      </c>
      <c r="D1307" s="8" t="s">
        <v>47</v>
      </c>
      <c r="E1307" s="8" t="s">
        <v>27</v>
      </c>
      <c r="F1307" s="8" t="s">
        <v>33</v>
      </c>
      <c r="G1307" s="8">
        <v>2016</v>
      </c>
      <c r="H1307" s="8">
        <v>1</v>
      </c>
      <c r="I1307" s="10">
        <v>42370</v>
      </c>
      <c r="J1307" s="11">
        <v>3094</v>
      </c>
      <c r="K1307" s="51"/>
      <c r="O1307" s="1" t="s">
        <v>14</v>
      </c>
      <c r="P1307" s="1" t="s">
        <v>46</v>
      </c>
      <c r="Q1307" s="1" t="s">
        <v>47</v>
      </c>
      <c r="R1307" s="1" t="s">
        <v>27</v>
      </c>
      <c r="S1307" s="1" t="s">
        <v>33</v>
      </c>
      <c r="T1307" s="1">
        <v>2016</v>
      </c>
      <c r="U1307" s="1">
        <v>1</v>
      </c>
      <c r="V1307" s="50">
        <v>42370</v>
      </c>
      <c r="W1307" s="4">
        <v>2784.6</v>
      </c>
      <c r="X1307" s="48">
        <v>3094</v>
      </c>
    </row>
    <row r="1308" spans="2:24" x14ac:dyDescent="0.35">
      <c r="B1308" s="8" t="s">
        <v>3</v>
      </c>
      <c r="C1308" s="8" t="s">
        <v>22</v>
      </c>
      <c r="D1308" s="8" t="s">
        <v>5</v>
      </c>
      <c r="E1308" s="8" t="s">
        <v>23</v>
      </c>
      <c r="F1308" s="8" t="s">
        <v>36</v>
      </c>
      <c r="G1308" s="8">
        <v>2016</v>
      </c>
      <c r="H1308" s="8">
        <v>1</v>
      </c>
      <c r="I1308" s="10">
        <v>42370</v>
      </c>
      <c r="J1308" s="11">
        <v>1581</v>
      </c>
      <c r="K1308" s="51"/>
      <c r="O1308" s="1" t="s">
        <v>3</v>
      </c>
      <c r="P1308" s="1" t="s">
        <v>22</v>
      </c>
      <c r="Q1308" s="1" t="s">
        <v>5</v>
      </c>
      <c r="R1308" s="1" t="s">
        <v>23</v>
      </c>
      <c r="S1308" s="1" t="s">
        <v>36</v>
      </c>
      <c r="T1308" s="1">
        <v>2016</v>
      </c>
      <c r="U1308" s="1">
        <v>1</v>
      </c>
      <c r="V1308" s="50">
        <v>42370</v>
      </c>
      <c r="W1308" s="4">
        <v>1486.1399999999999</v>
      </c>
      <c r="X1308" s="48">
        <v>1581</v>
      </c>
    </row>
    <row r="1309" spans="2:24" x14ac:dyDescent="0.35">
      <c r="B1309" s="8" t="s">
        <v>6</v>
      </c>
      <c r="C1309" s="8" t="s">
        <v>40</v>
      </c>
      <c r="D1309" s="8" t="s">
        <v>41</v>
      </c>
      <c r="E1309" s="8" t="s">
        <v>23</v>
      </c>
      <c r="F1309" s="6" t="s">
        <v>24</v>
      </c>
      <c r="G1309" s="8">
        <v>2016</v>
      </c>
      <c r="H1309" s="8">
        <v>1</v>
      </c>
      <c r="I1309" s="10">
        <v>42370</v>
      </c>
      <c r="J1309" s="11">
        <v>2251</v>
      </c>
      <c r="K1309" s="51"/>
      <c r="O1309" s="1" t="s">
        <v>6</v>
      </c>
      <c r="P1309" s="1" t="s">
        <v>40</v>
      </c>
      <c r="Q1309" s="1" t="s">
        <v>41</v>
      </c>
      <c r="R1309" s="1" t="s">
        <v>23</v>
      </c>
      <c r="S1309" t="s">
        <v>24</v>
      </c>
      <c r="T1309" s="1">
        <v>2016</v>
      </c>
      <c r="U1309" s="1">
        <v>1</v>
      </c>
      <c r="V1309" s="50">
        <v>42370</v>
      </c>
      <c r="W1309" s="4">
        <v>1958.3700000000003</v>
      </c>
      <c r="X1309" s="48">
        <v>2251</v>
      </c>
    </row>
    <row r="1310" spans="2:24" x14ac:dyDescent="0.35">
      <c r="B1310" s="8" t="s">
        <v>7</v>
      </c>
      <c r="C1310" s="8" t="s">
        <v>32</v>
      </c>
      <c r="D1310" s="8" t="s">
        <v>8</v>
      </c>
      <c r="E1310" s="8" t="s">
        <v>23</v>
      </c>
      <c r="F1310" s="6" t="s">
        <v>39</v>
      </c>
      <c r="G1310" s="8">
        <v>2016</v>
      </c>
      <c r="H1310" s="8">
        <v>1</v>
      </c>
      <c r="I1310" s="10">
        <v>42370</v>
      </c>
      <c r="J1310" s="11">
        <v>2515</v>
      </c>
      <c r="K1310" s="51"/>
      <c r="O1310" s="1" t="s">
        <v>7</v>
      </c>
      <c r="P1310" s="1" t="s">
        <v>32</v>
      </c>
      <c r="Q1310" s="1" t="s">
        <v>8</v>
      </c>
      <c r="R1310" s="1" t="s">
        <v>23</v>
      </c>
      <c r="S1310" t="s">
        <v>39</v>
      </c>
      <c r="T1310" s="1">
        <v>2016</v>
      </c>
      <c r="U1310" s="1">
        <v>1</v>
      </c>
      <c r="V1310" s="50">
        <v>42370</v>
      </c>
      <c r="W1310" s="4">
        <v>2313.7999999999997</v>
      </c>
      <c r="X1310" s="48">
        <v>2515</v>
      </c>
    </row>
    <row r="1311" spans="2:24" x14ac:dyDescent="0.35">
      <c r="B1311" s="8" t="s">
        <v>12</v>
      </c>
      <c r="C1311" s="8" t="s">
        <v>34</v>
      </c>
      <c r="D1311" s="8" t="s">
        <v>35</v>
      </c>
      <c r="E1311" s="8" t="s">
        <v>0</v>
      </c>
      <c r="F1311" s="6" t="s">
        <v>42</v>
      </c>
      <c r="G1311" s="8">
        <v>2016</v>
      </c>
      <c r="H1311" s="8">
        <v>1</v>
      </c>
      <c r="I1311" s="10">
        <v>42370</v>
      </c>
      <c r="J1311" s="11">
        <v>5139</v>
      </c>
      <c r="K1311" s="51"/>
      <c r="O1311" s="1" t="s">
        <v>12</v>
      </c>
      <c r="P1311" s="1" t="s">
        <v>34</v>
      </c>
      <c r="Q1311" s="1" t="s">
        <v>35</v>
      </c>
      <c r="R1311" s="1" t="s">
        <v>0</v>
      </c>
      <c r="S1311" t="s">
        <v>42</v>
      </c>
      <c r="T1311" s="1">
        <v>2016</v>
      </c>
      <c r="U1311" s="1">
        <v>1</v>
      </c>
      <c r="V1311" s="50">
        <v>42370</v>
      </c>
      <c r="W1311" s="4">
        <v>4625.0999999999995</v>
      </c>
      <c r="X1311" s="48">
        <v>5139</v>
      </c>
    </row>
    <row r="1312" spans="2:24" x14ac:dyDescent="0.35">
      <c r="B1312" s="8" t="s">
        <v>14</v>
      </c>
      <c r="C1312" s="8" t="s">
        <v>37</v>
      </c>
      <c r="D1312" s="8" t="s">
        <v>38</v>
      </c>
      <c r="E1312" s="9" t="s">
        <v>0</v>
      </c>
      <c r="F1312" s="9" t="s">
        <v>26</v>
      </c>
      <c r="G1312" s="8">
        <v>2016</v>
      </c>
      <c r="H1312" s="8">
        <v>1</v>
      </c>
      <c r="I1312" s="10">
        <v>42370</v>
      </c>
      <c r="J1312" s="11">
        <v>4974</v>
      </c>
      <c r="K1312" s="51"/>
      <c r="O1312" s="1" t="s">
        <v>14</v>
      </c>
      <c r="P1312" s="1" t="s">
        <v>37</v>
      </c>
      <c r="Q1312" s="1" t="s">
        <v>38</v>
      </c>
      <c r="R1312" s="2" t="s">
        <v>0</v>
      </c>
      <c r="S1312" s="2" t="s">
        <v>26</v>
      </c>
      <c r="T1312" s="1">
        <v>2016</v>
      </c>
      <c r="U1312" s="1">
        <v>1</v>
      </c>
      <c r="V1312" s="50">
        <v>42370</v>
      </c>
      <c r="W1312" s="4">
        <v>4625.82</v>
      </c>
      <c r="X1312" s="48">
        <v>4974</v>
      </c>
    </row>
    <row r="1313" spans="2:24" x14ac:dyDescent="0.35">
      <c r="B1313" s="8" t="s">
        <v>3</v>
      </c>
      <c r="C1313" s="8" t="s">
        <v>25</v>
      </c>
      <c r="D1313" s="8" t="s">
        <v>4</v>
      </c>
      <c r="E1313" s="8" t="s">
        <v>0</v>
      </c>
      <c r="F1313" s="9" t="s">
        <v>45</v>
      </c>
      <c r="G1313" s="8">
        <v>2016</v>
      </c>
      <c r="H1313" s="8">
        <v>1</v>
      </c>
      <c r="I1313" s="10">
        <v>42370</v>
      </c>
      <c r="J1313" s="11">
        <v>3439</v>
      </c>
      <c r="K1313" s="51"/>
      <c r="O1313" s="1" t="s">
        <v>3</v>
      </c>
      <c r="P1313" s="1" t="s">
        <v>25</v>
      </c>
      <c r="Q1313" s="1" t="s">
        <v>4</v>
      </c>
      <c r="R1313" s="1" t="s">
        <v>0</v>
      </c>
      <c r="S1313" s="2" t="s">
        <v>45</v>
      </c>
      <c r="T1313" s="1">
        <v>2016</v>
      </c>
      <c r="U1313" s="1">
        <v>1</v>
      </c>
      <c r="V1313" s="50">
        <v>42370</v>
      </c>
      <c r="W1313" s="4">
        <v>3198.27</v>
      </c>
      <c r="X1313" s="48">
        <v>3439</v>
      </c>
    </row>
    <row r="1314" spans="2:24" x14ac:dyDescent="0.35">
      <c r="B1314" s="8" t="s">
        <v>6</v>
      </c>
      <c r="C1314" s="8" t="s">
        <v>29</v>
      </c>
      <c r="D1314" s="8" t="s">
        <v>30</v>
      </c>
      <c r="E1314" s="8" t="s">
        <v>27</v>
      </c>
      <c r="F1314" s="6" t="s">
        <v>28</v>
      </c>
      <c r="G1314" s="8">
        <v>2016</v>
      </c>
      <c r="H1314" s="8">
        <v>1</v>
      </c>
      <c r="I1314" s="10">
        <v>42370</v>
      </c>
      <c r="J1314" s="11">
        <v>3327</v>
      </c>
      <c r="K1314" s="51"/>
      <c r="O1314" s="1" t="s">
        <v>6</v>
      </c>
      <c r="P1314" s="1" t="s">
        <v>29</v>
      </c>
      <c r="Q1314" s="1" t="s">
        <v>30</v>
      </c>
      <c r="R1314" s="1" t="s">
        <v>27</v>
      </c>
      <c r="S1314" t="s">
        <v>28</v>
      </c>
      <c r="T1314" s="1">
        <v>2016</v>
      </c>
      <c r="U1314" s="1">
        <v>1</v>
      </c>
      <c r="V1314" s="50">
        <v>42370</v>
      </c>
      <c r="W1314" s="4">
        <v>3027.5699999999997</v>
      </c>
      <c r="X1314" s="48">
        <v>3327</v>
      </c>
    </row>
    <row r="1315" spans="2:24" x14ac:dyDescent="0.35">
      <c r="B1315" s="8" t="s">
        <v>7</v>
      </c>
      <c r="C1315" s="8" t="s">
        <v>43</v>
      </c>
      <c r="D1315" s="8" t="s">
        <v>10</v>
      </c>
      <c r="E1315" s="8" t="s">
        <v>27</v>
      </c>
      <c r="F1315" s="8" t="s">
        <v>31</v>
      </c>
      <c r="G1315" s="8">
        <v>2016</v>
      </c>
      <c r="H1315" s="8">
        <v>1</v>
      </c>
      <c r="I1315" s="10">
        <v>42370</v>
      </c>
      <c r="J1315" s="11">
        <v>5292</v>
      </c>
      <c r="K1315" s="51"/>
      <c r="O1315" s="1" t="s">
        <v>7</v>
      </c>
      <c r="P1315" s="1" t="s">
        <v>43</v>
      </c>
      <c r="Q1315" s="1" t="s">
        <v>10</v>
      </c>
      <c r="R1315" s="1" t="s">
        <v>27</v>
      </c>
      <c r="S1315" s="1" t="s">
        <v>31</v>
      </c>
      <c r="T1315" s="1">
        <v>2016</v>
      </c>
      <c r="U1315" s="1">
        <v>1</v>
      </c>
      <c r="V1315" s="50">
        <v>42370</v>
      </c>
      <c r="W1315" s="4">
        <v>4551.1200000000008</v>
      </c>
      <c r="X1315" s="48">
        <v>5292</v>
      </c>
    </row>
    <row r="1316" spans="2:24" x14ac:dyDescent="0.35">
      <c r="B1316" s="8" t="s">
        <v>12</v>
      </c>
      <c r="C1316" s="8" t="s">
        <v>44</v>
      </c>
      <c r="D1316" s="8" t="s">
        <v>13</v>
      </c>
      <c r="E1316" s="8" t="s">
        <v>27</v>
      </c>
      <c r="F1316" s="8" t="s">
        <v>33</v>
      </c>
      <c r="G1316" s="8">
        <v>2016</v>
      </c>
      <c r="H1316" s="8">
        <v>1</v>
      </c>
      <c r="I1316" s="10">
        <v>42370</v>
      </c>
      <c r="J1316" s="11">
        <v>2927</v>
      </c>
      <c r="K1316" s="51"/>
      <c r="O1316" s="1" t="s">
        <v>12</v>
      </c>
      <c r="P1316" s="1" t="s">
        <v>44</v>
      </c>
      <c r="Q1316" s="1" t="s">
        <v>13</v>
      </c>
      <c r="R1316" s="1" t="s">
        <v>27</v>
      </c>
      <c r="S1316" s="1" t="s">
        <v>33</v>
      </c>
      <c r="T1316" s="1">
        <v>2016</v>
      </c>
      <c r="U1316" s="1">
        <v>1</v>
      </c>
      <c r="V1316" s="50">
        <v>42370</v>
      </c>
      <c r="W1316" s="4">
        <v>2692.8399999999997</v>
      </c>
      <c r="X1316" s="48">
        <v>2927</v>
      </c>
    </row>
    <row r="1317" spans="2:24" x14ac:dyDescent="0.35">
      <c r="B1317" s="8" t="s">
        <v>14</v>
      </c>
      <c r="C1317" s="8" t="s">
        <v>46</v>
      </c>
      <c r="D1317" s="8" t="s">
        <v>47</v>
      </c>
      <c r="E1317" s="8" t="s">
        <v>23</v>
      </c>
      <c r="F1317" s="8" t="s">
        <v>36</v>
      </c>
      <c r="G1317" s="8">
        <v>2016</v>
      </c>
      <c r="H1317" s="8">
        <v>1</v>
      </c>
      <c r="I1317" s="10">
        <v>42370</v>
      </c>
      <c r="J1317" s="11">
        <v>2952</v>
      </c>
      <c r="K1317" s="51"/>
      <c r="O1317" s="1" t="s">
        <v>14</v>
      </c>
      <c r="P1317" s="1" t="s">
        <v>46</v>
      </c>
      <c r="Q1317" s="1" t="s">
        <v>47</v>
      </c>
      <c r="R1317" s="1" t="s">
        <v>23</v>
      </c>
      <c r="S1317" s="1" t="s">
        <v>36</v>
      </c>
      <c r="T1317" s="1">
        <v>2016</v>
      </c>
      <c r="U1317" s="1">
        <v>1</v>
      </c>
      <c r="V1317" s="50">
        <v>42370</v>
      </c>
      <c r="W1317" s="4">
        <v>2568.2400000000002</v>
      </c>
      <c r="X1317" s="48">
        <v>2952</v>
      </c>
    </row>
    <row r="1318" spans="2:24" x14ac:dyDescent="0.35">
      <c r="B1318" s="8" t="s">
        <v>6</v>
      </c>
      <c r="C1318" s="8" t="s">
        <v>29</v>
      </c>
      <c r="D1318" s="8" t="s">
        <v>30</v>
      </c>
      <c r="E1318" s="8" t="s">
        <v>23</v>
      </c>
      <c r="F1318" s="6" t="s">
        <v>39</v>
      </c>
      <c r="G1318" s="8">
        <v>2016</v>
      </c>
      <c r="H1318" s="8">
        <v>1</v>
      </c>
      <c r="I1318" s="10">
        <v>42370</v>
      </c>
      <c r="J1318" s="11">
        <v>2070</v>
      </c>
      <c r="K1318" s="51"/>
      <c r="O1318" s="1" t="s">
        <v>6</v>
      </c>
      <c r="P1318" s="1" t="s">
        <v>29</v>
      </c>
      <c r="Q1318" s="1" t="s">
        <v>30</v>
      </c>
      <c r="R1318" s="1" t="s">
        <v>23</v>
      </c>
      <c r="S1318" t="s">
        <v>39</v>
      </c>
      <c r="T1318" s="1">
        <v>2016</v>
      </c>
      <c r="U1318" s="1">
        <v>1</v>
      </c>
      <c r="V1318" s="50">
        <v>42370</v>
      </c>
      <c r="W1318" s="4">
        <v>1883.6999999999998</v>
      </c>
      <c r="X1318" s="48">
        <v>2070</v>
      </c>
    </row>
    <row r="1319" spans="2:24" x14ac:dyDescent="0.35">
      <c r="B1319" s="8" t="s">
        <v>7</v>
      </c>
      <c r="C1319" s="8" t="s">
        <v>32</v>
      </c>
      <c r="D1319" s="8" t="s">
        <v>8</v>
      </c>
      <c r="E1319" s="8" t="s">
        <v>0</v>
      </c>
      <c r="F1319" s="6" t="s">
        <v>42</v>
      </c>
      <c r="G1319" s="8">
        <v>2016</v>
      </c>
      <c r="H1319" s="8">
        <v>1</v>
      </c>
      <c r="I1319" s="10">
        <v>42370</v>
      </c>
      <c r="J1319" s="11">
        <v>4357</v>
      </c>
      <c r="K1319" s="51"/>
      <c r="O1319" s="1" t="s">
        <v>7</v>
      </c>
      <c r="P1319" s="1" t="s">
        <v>32</v>
      </c>
      <c r="Q1319" s="1" t="s">
        <v>8</v>
      </c>
      <c r="R1319" s="1" t="s">
        <v>0</v>
      </c>
      <c r="S1319" t="s">
        <v>42</v>
      </c>
      <c r="T1319" s="1">
        <v>2016</v>
      </c>
      <c r="U1319" s="1">
        <v>1</v>
      </c>
      <c r="V1319" s="50">
        <v>42370</v>
      </c>
      <c r="W1319" s="4">
        <v>3790.5900000000006</v>
      </c>
      <c r="X1319" s="48">
        <v>4357</v>
      </c>
    </row>
    <row r="1320" spans="2:24" x14ac:dyDescent="0.35">
      <c r="B1320" s="8" t="s">
        <v>12</v>
      </c>
      <c r="C1320" s="8" t="s">
        <v>44</v>
      </c>
      <c r="D1320" s="8" t="s">
        <v>13</v>
      </c>
      <c r="E1320" s="8" t="s">
        <v>0</v>
      </c>
      <c r="F1320" s="6" t="s">
        <v>26</v>
      </c>
      <c r="G1320" s="8">
        <v>2016</v>
      </c>
      <c r="H1320" s="8">
        <v>1</v>
      </c>
      <c r="I1320" s="10">
        <v>42370</v>
      </c>
      <c r="J1320" s="11">
        <v>3426</v>
      </c>
      <c r="K1320" s="51"/>
      <c r="O1320" s="1" t="s">
        <v>12</v>
      </c>
      <c r="P1320" s="1" t="s">
        <v>44</v>
      </c>
      <c r="Q1320" s="1" t="s">
        <v>13</v>
      </c>
      <c r="R1320" s="1" t="s">
        <v>0</v>
      </c>
      <c r="S1320" t="s">
        <v>26</v>
      </c>
      <c r="T1320" s="1">
        <v>2016</v>
      </c>
      <c r="U1320" s="1">
        <v>1</v>
      </c>
      <c r="V1320" s="50">
        <v>42370</v>
      </c>
      <c r="W1320" s="4">
        <v>3117.66</v>
      </c>
      <c r="X1320" s="48">
        <v>3426</v>
      </c>
    </row>
    <row r="1321" spans="2:24" x14ac:dyDescent="0.35">
      <c r="B1321" s="8" t="s">
        <v>14</v>
      </c>
      <c r="C1321" s="8" t="s">
        <v>37</v>
      </c>
      <c r="D1321" s="8" t="s">
        <v>38</v>
      </c>
      <c r="E1321" s="9" t="s">
        <v>0</v>
      </c>
      <c r="F1321" s="9" t="s">
        <v>45</v>
      </c>
      <c r="G1321" s="8">
        <v>2016</v>
      </c>
      <c r="H1321" s="8">
        <v>1</v>
      </c>
      <c r="I1321" s="10">
        <v>42370</v>
      </c>
      <c r="J1321" s="11">
        <v>4606</v>
      </c>
      <c r="K1321" s="51"/>
      <c r="O1321" s="1" t="s">
        <v>14</v>
      </c>
      <c r="P1321" s="1" t="s">
        <v>37</v>
      </c>
      <c r="Q1321" s="1" t="s">
        <v>38</v>
      </c>
      <c r="R1321" s="2" t="s">
        <v>0</v>
      </c>
      <c r="S1321" s="2" t="s">
        <v>45</v>
      </c>
      <c r="T1321" s="1">
        <v>2016</v>
      </c>
      <c r="U1321" s="1">
        <v>1</v>
      </c>
      <c r="V1321" s="50">
        <v>42370</v>
      </c>
      <c r="W1321" s="4">
        <v>4099.3399999999992</v>
      </c>
      <c r="X1321" s="48">
        <v>4606</v>
      </c>
    </row>
    <row r="1322" spans="2:24" x14ac:dyDescent="0.35">
      <c r="B1322" s="8" t="s">
        <v>3</v>
      </c>
      <c r="C1322" s="8" t="s">
        <v>25</v>
      </c>
      <c r="D1322" s="8" t="s">
        <v>4</v>
      </c>
      <c r="E1322" s="8" t="s">
        <v>27</v>
      </c>
      <c r="F1322" s="9" t="s">
        <v>28</v>
      </c>
      <c r="G1322" s="8">
        <v>2016</v>
      </c>
      <c r="H1322" s="8">
        <v>1</v>
      </c>
      <c r="I1322" s="10">
        <v>42370</v>
      </c>
      <c r="J1322" s="11">
        <v>4429</v>
      </c>
      <c r="K1322" s="51"/>
      <c r="O1322" s="1" t="s">
        <v>3</v>
      </c>
      <c r="P1322" s="1" t="s">
        <v>25</v>
      </c>
      <c r="Q1322" s="1" t="s">
        <v>4</v>
      </c>
      <c r="R1322" s="1" t="s">
        <v>27</v>
      </c>
      <c r="S1322" s="2" t="s">
        <v>28</v>
      </c>
      <c r="T1322" s="1">
        <v>2016</v>
      </c>
      <c r="U1322" s="1">
        <v>1</v>
      </c>
      <c r="V1322" s="50">
        <v>42370</v>
      </c>
      <c r="W1322" s="4">
        <v>3941.8099999999995</v>
      </c>
      <c r="X1322" s="48">
        <v>4429</v>
      </c>
    </row>
    <row r="1323" spans="2:24" x14ac:dyDescent="0.35">
      <c r="B1323" s="8" t="s">
        <v>3</v>
      </c>
      <c r="C1323" s="8" t="s">
        <v>25</v>
      </c>
      <c r="D1323" s="8" t="s">
        <v>4</v>
      </c>
      <c r="E1323" s="8" t="s">
        <v>27</v>
      </c>
      <c r="F1323" s="6" t="s">
        <v>31</v>
      </c>
      <c r="G1323" s="8">
        <v>2016</v>
      </c>
      <c r="H1323" s="8">
        <v>1</v>
      </c>
      <c r="I1323" s="10">
        <v>42370</v>
      </c>
      <c r="J1323" s="11">
        <v>4739</v>
      </c>
      <c r="K1323" s="51"/>
      <c r="O1323" s="1" t="s">
        <v>3</v>
      </c>
      <c r="P1323" s="1" t="s">
        <v>25</v>
      </c>
      <c r="Q1323" s="1" t="s">
        <v>4</v>
      </c>
      <c r="R1323" s="1" t="s">
        <v>27</v>
      </c>
      <c r="S1323" t="s">
        <v>31</v>
      </c>
      <c r="T1323" s="1">
        <v>2016</v>
      </c>
      <c r="U1323" s="1">
        <v>1</v>
      </c>
      <c r="V1323" s="50">
        <v>42370</v>
      </c>
      <c r="W1323" s="4">
        <v>4407.2699999999995</v>
      </c>
      <c r="X1323" s="48">
        <v>4739</v>
      </c>
    </row>
    <row r="1324" spans="2:24" x14ac:dyDescent="0.35">
      <c r="B1324" s="8" t="s">
        <v>6</v>
      </c>
      <c r="C1324" s="8" t="s">
        <v>40</v>
      </c>
      <c r="D1324" s="8" t="s">
        <v>41</v>
      </c>
      <c r="E1324" s="8" t="s">
        <v>27</v>
      </c>
      <c r="F1324" s="8" t="s">
        <v>33</v>
      </c>
      <c r="G1324" s="8">
        <v>2016</v>
      </c>
      <c r="H1324" s="8">
        <v>1</v>
      </c>
      <c r="I1324" s="10">
        <v>42370</v>
      </c>
      <c r="J1324" s="11">
        <v>3046</v>
      </c>
      <c r="K1324" s="51"/>
      <c r="O1324" s="1" t="s">
        <v>6</v>
      </c>
      <c r="P1324" s="1" t="s">
        <v>40</v>
      </c>
      <c r="Q1324" s="1" t="s">
        <v>41</v>
      </c>
      <c r="R1324" s="1" t="s">
        <v>27</v>
      </c>
      <c r="S1324" s="1" t="s">
        <v>33</v>
      </c>
      <c r="T1324" s="1">
        <v>2016</v>
      </c>
      <c r="U1324" s="1">
        <v>1</v>
      </c>
      <c r="V1324" s="50">
        <v>42370</v>
      </c>
      <c r="W1324" s="4">
        <v>2619.5600000000004</v>
      </c>
      <c r="X1324" s="48">
        <v>3046</v>
      </c>
    </row>
    <row r="1325" spans="2:24" x14ac:dyDescent="0.35">
      <c r="B1325" s="8" t="s">
        <v>6</v>
      </c>
      <c r="C1325" s="8" t="s">
        <v>40</v>
      </c>
      <c r="D1325" s="8" t="s">
        <v>41</v>
      </c>
      <c r="E1325" s="8" t="s">
        <v>23</v>
      </c>
      <c r="F1325" s="8" t="s">
        <v>36</v>
      </c>
      <c r="G1325" s="8">
        <v>2016</v>
      </c>
      <c r="H1325" s="8">
        <v>1</v>
      </c>
      <c r="I1325" s="10">
        <v>42370</v>
      </c>
      <c r="J1325" s="11">
        <v>2801</v>
      </c>
      <c r="K1325" s="51"/>
      <c r="O1325" s="1" t="s">
        <v>6</v>
      </c>
      <c r="P1325" s="1" t="s">
        <v>40</v>
      </c>
      <c r="Q1325" s="1" t="s">
        <v>41</v>
      </c>
      <c r="R1325" s="1" t="s">
        <v>23</v>
      </c>
      <c r="S1325" s="1" t="s">
        <v>36</v>
      </c>
      <c r="T1325" s="1">
        <v>2016</v>
      </c>
      <c r="U1325" s="1">
        <v>1</v>
      </c>
      <c r="V1325" s="50">
        <v>42370</v>
      </c>
      <c r="W1325" s="4">
        <v>2492.89</v>
      </c>
      <c r="X1325" s="48">
        <v>2801</v>
      </c>
    </row>
    <row r="1326" spans="2:24" x14ac:dyDescent="0.35">
      <c r="B1326" s="8" t="s">
        <v>7</v>
      </c>
      <c r="C1326" s="8" t="s">
        <v>43</v>
      </c>
      <c r="D1326" s="8" t="s">
        <v>10</v>
      </c>
      <c r="E1326" s="8" t="s">
        <v>23</v>
      </c>
      <c r="F1326" s="8" t="s">
        <v>24</v>
      </c>
      <c r="G1326" s="8">
        <v>2016</v>
      </c>
      <c r="H1326" s="8">
        <v>1</v>
      </c>
      <c r="I1326" s="10">
        <v>42370</v>
      </c>
      <c r="J1326" s="11">
        <v>1606</v>
      </c>
      <c r="K1326" s="51"/>
      <c r="O1326" s="1" t="s">
        <v>7</v>
      </c>
      <c r="P1326" s="1" t="s">
        <v>43</v>
      </c>
      <c r="Q1326" s="1" t="s">
        <v>10</v>
      </c>
      <c r="R1326" s="1" t="s">
        <v>23</v>
      </c>
      <c r="S1326" s="1" t="s">
        <v>24</v>
      </c>
      <c r="T1326" s="1">
        <v>2016</v>
      </c>
      <c r="U1326" s="1">
        <v>1</v>
      </c>
      <c r="V1326" s="50">
        <v>42370</v>
      </c>
      <c r="W1326" s="4">
        <v>1477.52</v>
      </c>
      <c r="X1326" s="48">
        <v>1606</v>
      </c>
    </row>
    <row r="1327" spans="2:24" x14ac:dyDescent="0.35">
      <c r="B1327" s="8" t="s">
        <v>7</v>
      </c>
      <c r="C1327" s="8" t="s">
        <v>43</v>
      </c>
      <c r="D1327" s="8" t="s">
        <v>10</v>
      </c>
      <c r="E1327" s="8" t="s">
        <v>23</v>
      </c>
      <c r="F1327" s="6" t="s">
        <v>39</v>
      </c>
      <c r="G1327" s="8">
        <v>2016</v>
      </c>
      <c r="H1327" s="8">
        <v>1</v>
      </c>
      <c r="I1327" s="10">
        <v>42370</v>
      </c>
      <c r="J1327" s="11">
        <v>2371</v>
      </c>
      <c r="K1327" s="51"/>
      <c r="O1327" s="1" t="s">
        <v>7</v>
      </c>
      <c r="P1327" s="1" t="s">
        <v>43</v>
      </c>
      <c r="Q1327" s="1" t="s">
        <v>10</v>
      </c>
      <c r="R1327" s="1" t="s">
        <v>23</v>
      </c>
      <c r="S1327" t="s">
        <v>39</v>
      </c>
      <c r="T1327" s="1">
        <v>2016</v>
      </c>
      <c r="U1327" s="1">
        <v>1</v>
      </c>
      <c r="V1327" s="50">
        <v>42370</v>
      </c>
      <c r="W1327" s="4">
        <v>2110.1899999999996</v>
      </c>
      <c r="X1327" s="48">
        <v>2371</v>
      </c>
    </row>
    <row r="1328" spans="2:24" x14ac:dyDescent="0.35">
      <c r="B1328" s="8" t="s">
        <v>7</v>
      </c>
      <c r="C1328" s="8" t="s">
        <v>32</v>
      </c>
      <c r="D1328" s="8" t="s">
        <v>8</v>
      </c>
      <c r="E1328" s="8" t="s">
        <v>0</v>
      </c>
      <c r="F1328" s="6" t="s">
        <v>26</v>
      </c>
      <c r="G1328" s="8">
        <v>2016</v>
      </c>
      <c r="H1328" s="8">
        <v>1</v>
      </c>
      <c r="I1328" s="10">
        <v>42370</v>
      </c>
      <c r="J1328" s="11">
        <v>4548</v>
      </c>
      <c r="K1328" s="51"/>
      <c r="O1328" s="1" t="s">
        <v>7</v>
      </c>
      <c r="P1328" s="1" t="s">
        <v>32</v>
      </c>
      <c r="Q1328" s="1" t="s">
        <v>8</v>
      </c>
      <c r="R1328" s="1" t="s">
        <v>0</v>
      </c>
      <c r="S1328" t="s">
        <v>26</v>
      </c>
      <c r="T1328" s="1">
        <v>2016</v>
      </c>
      <c r="U1328" s="1">
        <v>1</v>
      </c>
      <c r="V1328" s="50">
        <v>42370</v>
      </c>
      <c r="W1328" s="4">
        <v>4275.12</v>
      </c>
      <c r="X1328" s="48">
        <v>4548</v>
      </c>
    </row>
    <row r="1329" spans="2:24" x14ac:dyDescent="0.35">
      <c r="B1329" s="8" t="s">
        <v>3</v>
      </c>
      <c r="C1329" s="8" t="s">
        <v>22</v>
      </c>
      <c r="D1329" s="8" t="s">
        <v>5</v>
      </c>
      <c r="E1329" s="8" t="s">
        <v>0</v>
      </c>
      <c r="F1329" s="6" t="s">
        <v>45</v>
      </c>
      <c r="G1329" s="8">
        <v>2016</v>
      </c>
      <c r="H1329" s="8">
        <v>1</v>
      </c>
      <c r="I1329" s="10">
        <v>42370</v>
      </c>
      <c r="J1329" s="11">
        <v>2999</v>
      </c>
      <c r="K1329" s="51"/>
      <c r="O1329" s="1" t="s">
        <v>3</v>
      </c>
      <c r="P1329" s="1" t="s">
        <v>22</v>
      </c>
      <c r="Q1329" s="1" t="s">
        <v>5</v>
      </c>
      <c r="R1329" s="1" t="s">
        <v>0</v>
      </c>
      <c r="S1329" t="s">
        <v>45</v>
      </c>
      <c r="T1329" s="1">
        <v>2016</v>
      </c>
      <c r="U1329" s="1">
        <v>1</v>
      </c>
      <c r="V1329" s="50">
        <v>42370</v>
      </c>
      <c r="W1329" s="4">
        <v>2819.06</v>
      </c>
      <c r="X1329" s="48">
        <v>2999</v>
      </c>
    </row>
    <row r="1330" spans="2:24" x14ac:dyDescent="0.35">
      <c r="B1330" s="8" t="s">
        <v>7</v>
      </c>
      <c r="C1330" s="8" t="s">
        <v>48</v>
      </c>
      <c r="D1330" s="8" t="s">
        <v>9</v>
      </c>
      <c r="E1330" s="9" t="s">
        <v>23</v>
      </c>
      <c r="F1330" s="9" t="s">
        <v>36</v>
      </c>
      <c r="G1330" s="8">
        <v>2016</v>
      </c>
      <c r="H1330" s="8">
        <v>1</v>
      </c>
      <c r="I1330" s="10">
        <v>42370</v>
      </c>
      <c r="J1330" s="11">
        <v>1904</v>
      </c>
      <c r="K1330" s="51"/>
      <c r="O1330" s="1" t="s">
        <v>7</v>
      </c>
      <c r="P1330" s="1" t="s">
        <v>48</v>
      </c>
      <c r="Q1330" s="1" t="s">
        <v>9</v>
      </c>
      <c r="R1330" s="2" t="s">
        <v>23</v>
      </c>
      <c r="S1330" s="2" t="s">
        <v>36</v>
      </c>
      <c r="T1330" s="1">
        <v>2016</v>
      </c>
      <c r="U1330" s="1">
        <v>1</v>
      </c>
      <c r="V1330" s="50">
        <v>42370</v>
      </c>
      <c r="W1330" s="4">
        <v>1694.5599999999997</v>
      </c>
      <c r="X1330" s="48">
        <v>1904</v>
      </c>
    </row>
    <row r="1331" spans="2:24" x14ac:dyDescent="0.35">
      <c r="B1331" s="8" t="s">
        <v>7</v>
      </c>
      <c r="C1331" s="8" t="s">
        <v>48</v>
      </c>
      <c r="D1331" s="8" t="s">
        <v>9</v>
      </c>
      <c r="E1331" s="8" t="s">
        <v>23</v>
      </c>
      <c r="F1331" s="9" t="s">
        <v>24</v>
      </c>
      <c r="G1331" s="8">
        <v>2016</v>
      </c>
      <c r="H1331" s="8">
        <v>1</v>
      </c>
      <c r="I1331" s="10">
        <v>42370</v>
      </c>
      <c r="J1331" s="11">
        <v>3314</v>
      </c>
      <c r="K1331" s="51"/>
      <c r="O1331" s="1" t="s">
        <v>7</v>
      </c>
      <c r="P1331" s="1" t="s">
        <v>48</v>
      </c>
      <c r="Q1331" s="1" t="s">
        <v>9</v>
      </c>
      <c r="R1331" s="1" t="s">
        <v>23</v>
      </c>
      <c r="S1331" s="2" t="s">
        <v>24</v>
      </c>
      <c r="T1331" s="1">
        <v>2016</v>
      </c>
      <c r="U1331" s="1">
        <v>1</v>
      </c>
      <c r="V1331" s="50">
        <v>42370</v>
      </c>
      <c r="W1331" s="4">
        <v>2916.3199999999997</v>
      </c>
      <c r="X1331" s="48">
        <v>3314</v>
      </c>
    </row>
    <row r="1332" spans="2:24" x14ac:dyDescent="0.35">
      <c r="B1332" s="8" t="s">
        <v>7</v>
      </c>
      <c r="C1332" s="8" t="s">
        <v>49</v>
      </c>
      <c r="D1332" s="8" t="s">
        <v>11</v>
      </c>
      <c r="E1332" s="8" t="s">
        <v>23</v>
      </c>
      <c r="F1332" s="6" t="s">
        <v>39</v>
      </c>
      <c r="G1332" s="8">
        <v>2016</v>
      </c>
      <c r="H1332" s="8">
        <v>1</v>
      </c>
      <c r="I1332" s="10">
        <v>42370</v>
      </c>
      <c r="J1332" s="11">
        <v>2506</v>
      </c>
      <c r="K1332" s="51"/>
      <c r="O1332" s="1" t="s">
        <v>7</v>
      </c>
      <c r="P1332" s="1" t="s">
        <v>49</v>
      </c>
      <c r="Q1332" s="1" t="s">
        <v>11</v>
      </c>
      <c r="R1332" s="1" t="s">
        <v>23</v>
      </c>
      <c r="S1332" t="s">
        <v>39</v>
      </c>
      <c r="T1332" s="1">
        <v>2016</v>
      </c>
      <c r="U1332" s="1">
        <v>1</v>
      </c>
      <c r="V1332" s="50">
        <v>42370</v>
      </c>
      <c r="W1332" s="4">
        <v>2255.3999999999996</v>
      </c>
      <c r="X1332" s="48">
        <v>2506</v>
      </c>
    </row>
    <row r="1333" spans="2:24" x14ac:dyDescent="0.35">
      <c r="B1333" s="8" t="s">
        <v>7</v>
      </c>
      <c r="C1333" s="8" t="s">
        <v>49</v>
      </c>
      <c r="D1333" s="8" t="s">
        <v>11</v>
      </c>
      <c r="E1333" s="8" t="s">
        <v>0</v>
      </c>
      <c r="F1333" s="8" t="s">
        <v>42</v>
      </c>
      <c r="G1333" s="8">
        <v>2016</v>
      </c>
      <c r="H1333" s="8">
        <v>1</v>
      </c>
      <c r="I1333" s="10">
        <v>42370</v>
      </c>
      <c r="J1333" s="11">
        <v>4266</v>
      </c>
      <c r="K1333" s="51"/>
      <c r="O1333" s="1" t="s">
        <v>7</v>
      </c>
      <c r="P1333" s="1" t="s">
        <v>49</v>
      </c>
      <c r="Q1333" s="1" t="s">
        <v>11</v>
      </c>
      <c r="R1333" s="1" t="s">
        <v>0</v>
      </c>
      <c r="S1333" s="1" t="s">
        <v>42</v>
      </c>
      <c r="T1333" s="1">
        <v>2016</v>
      </c>
      <c r="U1333" s="1">
        <v>1</v>
      </c>
      <c r="V1333" s="50">
        <v>42370</v>
      </c>
      <c r="W1333" s="4">
        <v>3924.72</v>
      </c>
      <c r="X1333" s="48">
        <v>4266</v>
      </c>
    </row>
    <row r="1334" spans="2:24" x14ac:dyDescent="0.35">
      <c r="B1334" s="8" t="s">
        <v>12</v>
      </c>
      <c r="C1334" s="8" t="s">
        <v>34</v>
      </c>
      <c r="D1334" s="8" t="s">
        <v>35</v>
      </c>
      <c r="E1334" s="8" t="s">
        <v>0</v>
      </c>
      <c r="F1334" s="8" t="s">
        <v>26</v>
      </c>
      <c r="G1334" s="8">
        <v>2016</v>
      </c>
      <c r="H1334" s="8">
        <v>1</v>
      </c>
      <c r="I1334" s="10">
        <v>42370</v>
      </c>
      <c r="J1334" s="11">
        <v>3582</v>
      </c>
      <c r="K1334" s="51"/>
      <c r="O1334" s="1" t="s">
        <v>12</v>
      </c>
      <c r="P1334" s="1" t="s">
        <v>34</v>
      </c>
      <c r="Q1334" s="1" t="s">
        <v>35</v>
      </c>
      <c r="R1334" s="1" t="s">
        <v>0</v>
      </c>
      <c r="S1334" s="1" t="s">
        <v>26</v>
      </c>
      <c r="T1334" s="1">
        <v>2016</v>
      </c>
      <c r="U1334" s="1">
        <v>1</v>
      </c>
      <c r="V1334" s="50">
        <v>42370</v>
      </c>
      <c r="W1334" s="4">
        <v>3367.08</v>
      </c>
      <c r="X1334" s="48">
        <v>3582</v>
      </c>
    </row>
    <row r="1335" spans="2:24" x14ac:dyDescent="0.35">
      <c r="B1335" s="8" t="s">
        <v>12</v>
      </c>
      <c r="C1335" s="8" t="s">
        <v>34</v>
      </c>
      <c r="D1335" s="8" t="s">
        <v>35</v>
      </c>
      <c r="E1335" s="8" t="s">
        <v>0</v>
      </c>
      <c r="F1335" s="8" t="s">
        <v>45</v>
      </c>
      <c r="G1335" s="8">
        <v>2016</v>
      </c>
      <c r="H1335" s="8">
        <v>1</v>
      </c>
      <c r="I1335" s="10">
        <v>42370</v>
      </c>
      <c r="J1335" s="11">
        <v>4966</v>
      </c>
      <c r="K1335" s="51"/>
      <c r="O1335" s="1" t="s">
        <v>12</v>
      </c>
      <c r="P1335" s="1" t="s">
        <v>34</v>
      </c>
      <c r="Q1335" s="1" t="s">
        <v>35</v>
      </c>
      <c r="R1335" s="1" t="s">
        <v>0</v>
      </c>
      <c r="S1335" s="1" t="s">
        <v>45</v>
      </c>
      <c r="T1335" s="1">
        <v>2016</v>
      </c>
      <c r="U1335" s="1">
        <v>1</v>
      </c>
      <c r="V1335" s="50">
        <v>42370</v>
      </c>
      <c r="W1335" s="4">
        <v>4320.42</v>
      </c>
      <c r="X1335" s="48">
        <v>4966</v>
      </c>
    </row>
    <row r="1336" spans="2:24" x14ac:dyDescent="0.35">
      <c r="B1336" s="8" t="s">
        <v>14</v>
      </c>
      <c r="C1336" s="8" t="s">
        <v>37</v>
      </c>
      <c r="D1336" s="8" t="s">
        <v>38</v>
      </c>
      <c r="E1336" s="8" t="s">
        <v>27</v>
      </c>
      <c r="F1336" s="6" t="s">
        <v>28</v>
      </c>
      <c r="G1336" s="8">
        <v>2016</v>
      </c>
      <c r="H1336" s="8">
        <v>1</v>
      </c>
      <c r="I1336" s="10">
        <v>42370</v>
      </c>
      <c r="J1336" s="11">
        <v>4178</v>
      </c>
      <c r="K1336" s="51"/>
      <c r="O1336" s="1" t="s">
        <v>14</v>
      </c>
      <c r="P1336" s="1" t="s">
        <v>37</v>
      </c>
      <c r="Q1336" s="1" t="s">
        <v>38</v>
      </c>
      <c r="R1336" s="1" t="s">
        <v>27</v>
      </c>
      <c r="S1336" t="s">
        <v>28</v>
      </c>
      <c r="T1336" s="1">
        <v>2016</v>
      </c>
      <c r="U1336" s="1">
        <v>1</v>
      </c>
      <c r="V1336" s="50">
        <v>42370</v>
      </c>
      <c r="W1336" s="4">
        <v>3676.6399999999994</v>
      </c>
      <c r="X1336" s="48">
        <v>4178</v>
      </c>
    </row>
    <row r="1337" spans="2:24" x14ac:dyDescent="0.35">
      <c r="B1337" s="8" t="s">
        <v>14</v>
      </c>
      <c r="C1337" s="8" t="s">
        <v>37</v>
      </c>
      <c r="D1337" s="8" t="s">
        <v>38</v>
      </c>
      <c r="E1337" s="8" t="s">
        <v>27</v>
      </c>
      <c r="F1337" s="6" t="s">
        <v>31</v>
      </c>
      <c r="G1337" s="8">
        <v>2016</v>
      </c>
      <c r="H1337" s="8">
        <v>1</v>
      </c>
      <c r="I1337" s="10">
        <v>42370</v>
      </c>
      <c r="J1337" s="11">
        <v>3471</v>
      </c>
      <c r="K1337" s="51"/>
      <c r="O1337" s="1" t="s">
        <v>14</v>
      </c>
      <c r="P1337" s="1" t="s">
        <v>37</v>
      </c>
      <c r="Q1337" s="1" t="s">
        <v>38</v>
      </c>
      <c r="R1337" s="1" t="s">
        <v>27</v>
      </c>
      <c r="S1337" t="s">
        <v>31</v>
      </c>
      <c r="T1337" s="1">
        <v>2016</v>
      </c>
      <c r="U1337" s="1">
        <v>1</v>
      </c>
      <c r="V1337" s="50">
        <v>42370</v>
      </c>
      <c r="W1337" s="4">
        <v>3123.8999999999996</v>
      </c>
      <c r="X1337" s="48">
        <v>3471</v>
      </c>
    </row>
    <row r="1338" spans="2:24" x14ac:dyDescent="0.35">
      <c r="B1338" s="8" t="s">
        <v>12</v>
      </c>
      <c r="C1338" s="8" t="s">
        <v>44</v>
      </c>
      <c r="D1338" s="8" t="s">
        <v>13</v>
      </c>
      <c r="E1338" s="8" t="s">
        <v>23</v>
      </c>
      <c r="F1338" s="6" t="s">
        <v>36</v>
      </c>
      <c r="G1338" s="8">
        <v>2016</v>
      </c>
      <c r="H1338" s="8">
        <v>1</v>
      </c>
      <c r="I1338" s="10">
        <v>42370</v>
      </c>
      <c r="J1338" s="11">
        <v>2158</v>
      </c>
      <c r="K1338" s="51"/>
      <c r="O1338" s="1" t="s">
        <v>12</v>
      </c>
      <c r="P1338" s="1" t="s">
        <v>44</v>
      </c>
      <c r="Q1338" s="1" t="s">
        <v>13</v>
      </c>
      <c r="R1338" s="1" t="s">
        <v>23</v>
      </c>
      <c r="S1338" t="s">
        <v>36</v>
      </c>
      <c r="T1338" s="1">
        <v>2016</v>
      </c>
      <c r="U1338" s="1">
        <v>1</v>
      </c>
      <c r="V1338" s="50">
        <v>42370</v>
      </c>
      <c r="W1338" s="4">
        <v>2006.9399999999998</v>
      </c>
      <c r="X1338" s="48">
        <v>2158</v>
      </c>
    </row>
    <row r="1339" spans="2:24" x14ac:dyDescent="0.35">
      <c r="B1339" s="8" t="s">
        <v>14</v>
      </c>
      <c r="C1339" s="8" t="s">
        <v>46</v>
      </c>
      <c r="D1339" s="8" t="s">
        <v>47</v>
      </c>
      <c r="E1339" s="9" t="s">
        <v>23</v>
      </c>
      <c r="F1339" s="9" t="s">
        <v>24</v>
      </c>
      <c r="G1339" s="8">
        <v>2016</v>
      </c>
      <c r="H1339" s="8">
        <v>1</v>
      </c>
      <c r="I1339" s="10">
        <v>42370</v>
      </c>
      <c r="J1339" s="11">
        <v>3034</v>
      </c>
      <c r="K1339" s="51"/>
      <c r="O1339" s="1" t="s">
        <v>14</v>
      </c>
      <c r="P1339" s="1" t="s">
        <v>46</v>
      </c>
      <c r="Q1339" s="1" t="s">
        <v>47</v>
      </c>
      <c r="R1339" s="2" t="s">
        <v>23</v>
      </c>
      <c r="S1339" s="2" t="s">
        <v>24</v>
      </c>
      <c r="T1339" s="1">
        <v>2016</v>
      </c>
      <c r="U1339" s="1">
        <v>1</v>
      </c>
      <c r="V1339" s="50">
        <v>42370</v>
      </c>
      <c r="W1339" s="4">
        <v>2791.2799999999997</v>
      </c>
      <c r="X1339" s="48">
        <v>3034</v>
      </c>
    </row>
    <row r="1340" spans="2:24" x14ac:dyDescent="0.35">
      <c r="B1340" s="8" t="s">
        <v>14</v>
      </c>
      <c r="C1340" s="8" t="s">
        <v>46</v>
      </c>
      <c r="D1340" s="8" t="s">
        <v>47</v>
      </c>
      <c r="E1340" s="8" t="s">
        <v>23</v>
      </c>
      <c r="F1340" s="9" t="s">
        <v>39</v>
      </c>
      <c r="G1340" s="8">
        <v>2016</v>
      </c>
      <c r="H1340" s="8">
        <v>1</v>
      </c>
      <c r="I1340" s="10">
        <v>42370</v>
      </c>
      <c r="J1340" s="11">
        <v>2609</v>
      </c>
      <c r="K1340" s="51"/>
      <c r="O1340" s="1" t="s">
        <v>14</v>
      </c>
      <c r="P1340" s="1" t="s">
        <v>46</v>
      </c>
      <c r="Q1340" s="1" t="s">
        <v>47</v>
      </c>
      <c r="R1340" s="1" t="s">
        <v>23</v>
      </c>
      <c r="S1340" s="2" t="s">
        <v>39</v>
      </c>
      <c r="T1340" s="1">
        <v>2016</v>
      </c>
      <c r="U1340" s="1">
        <v>1</v>
      </c>
      <c r="V1340" s="50">
        <v>42370</v>
      </c>
      <c r="W1340" s="4">
        <v>2243.7400000000002</v>
      </c>
      <c r="X1340" s="48">
        <v>2609</v>
      </c>
    </row>
    <row r="1341" spans="2:24" x14ac:dyDescent="0.35">
      <c r="B1341" s="8" t="s">
        <v>7</v>
      </c>
      <c r="C1341" s="8" t="s">
        <v>43</v>
      </c>
      <c r="D1341" s="8" t="s">
        <v>10</v>
      </c>
      <c r="E1341" s="8" t="s">
        <v>0</v>
      </c>
      <c r="F1341" s="6" t="s">
        <v>42</v>
      </c>
      <c r="G1341" s="8">
        <v>2016</v>
      </c>
      <c r="H1341" s="8">
        <v>1</v>
      </c>
      <c r="I1341" s="10">
        <v>42370</v>
      </c>
      <c r="J1341" s="11">
        <v>6435</v>
      </c>
      <c r="K1341" s="51"/>
      <c r="O1341" s="1" t="s">
        <v>7</v>
      </c>
      <c r="P1341" s="1" t="s">
        <v>43</v>
      </c>
      <c r="Q1341" s="1" t="s">
        <v>10</v>
      </c>
      <c r="R1341" s="1" t="s">
        <v>0</v>
      </c>
      <c r="S1341" t="s">
        <v>42</v>
      </c>
      <c r="T1341" s="1">
        <v>2016</v>
      </c>
      <c r="U1341" s="1">
        <v>1</v>
      </c>
      <c r="V1341" s="50">
        <v>42370</v>
      </c>
      <c r="W1341" s="4">
        <v>5791.4999999999991</v>
      </c>
      <c r="X1341" s="48">
        <v>6435</v>
      </c>
    </row>
    <row r="1342" spans="2:24" x14ac:dyDescent="0.35">
      <c r="B1342" s="8" t="s">
        <v>6</v>
      </c>
      <c r="C1342" s="8" t="s">
        <v>40</v>
      </c>
      <c r="D1342" s="8" t="s">
        <v>41</v>
      </c>
      <c r="E1342" s="8" t="s">
        <v>27</v>
      </c>
      <c r="F1342" s="8" t="s">
        <v>31</v>
      </c>
      <c r="G1342" s="8">
        <v>2016</v>
      </c>
      <c r="H1342" s="8">
        <v>1</v>
      </c>
      <c r="I1342" s="10">
        <v>42370</v>
      </c>
      <c r="J1342" s="11">
        <v>5470</v>
      </c>
      <c r="K1342" s="51"/>
      <c r="O1342" s="1" t="s">
        <v>6</v>
      </c>
      <c r="P1342" s="1" t="s">
        <v>40</v>
      </c>
      <c r="Q1342" s="1" t="s">
        <v>41</v>
      </c>
      <c r="R1342" s="1" t="s">
        <v>27</v>
      </c>
      <c r="S1342" s="1" t="s">
        <v>31</v>
      </c>
      <c r="T1342" s="1">
        <v>2016</v>
      </c>
      <c r="U1342" s="1">
        <v>1</v>
      </c>
      <c r="V1342" s="50">
        <v>42370</v>
      </c>
      <c r="W1342" s="4">
        <v>5032.3999999999996</v>
      </c>
      <c r="X1342" s="48">
        <v>5470</v>
      </c>
    </row>
    <row r="1343" spans="2:24" x14ac:dyDescent="0.35">
      <c r="B1343" s="8" t="s">
        <v>3</v>
      </c>
      <c r="C1343" s="8" t="s">
        <v>22</v>
      </c>
      <c r="D1343" s="8" t="s">
        <v>5</v>
      </c>
      <c r="E1343" s="8" t="s">
        <v>23</v>
      </c>
      <c r="F1343" s="8" t="s">
        <v>39</v>
      </c>
      <c r="G1343" s="8">
        <v>2016</v>
      </c>
      <c r="H1343" s="8">
        <v>1</v>
      </c>
      <c r="I1343" s="10">
        <v>42370</v>
      </c>
      <c r="J1343" s="11">
        <v>2699</v>
      </c>
      <c r="K1343" s="51"/>
      <c r="O1343" s="1" t="s">
        <v>3</v>
      </c>
      <c r="P1343" s="1" t="s">
        <v>22</v>
      </c>
      <c r="Q1343" s="1" t="s">
        <v>5</v>
      </c>
      <c r="R1343" s="1" t="s">
        <v>23</v>
      </c>
      <c r="S1343" s="1" t="s">
        <v>39</v>
      </c>
      <c r="T1343" s="1">
        <v>2016</v>
      </c>
      <c r="U1343" s="1">
        <v>1</v>
      </c>
      <c r="V1343" s="50">
        <v>42370</v>
      </c>
      <c r="W1343" s="4">
        <v>2348.13</v>
      </c>
      <c r="X1343" s="48">
        <v>2699</v>
      </c>
    </row>
    <row r="1344" spans="2:24" x14ac:dyDescent="0.35">
      <c r="B1344" s="8" t="s">
        <v>3</v>
      </c>
      <c r="C1344" s="8" t="s">
        <v>22</v>
      </c>
      <c r="D1344" s="8" t="s">
        <v>5</v>
      </c>
      <c r="E1344" s="8" t="s">
        <v>0</v>
      </c>
      <c r="F1344" s="8" t="s">
        <v>42</v>
      </c>
      <c r="G1344" s="8">
        <v>2016</v>
      </c>
      <c r="H1344" s="8">
        <v>1</v>
      </c>
      <c r="I1344" s="10">
        <v>42370</v>
      </c>
      <c r="J1344" s="11">
        <v>4118</v>
      </c>
      <c r="K1344" s="51"/>
      <c r="O1344" s="1" t="s">
        <v>3</v>
      </c>
      <c r="P1344" s="1" t="s">
        <v>22</v>
      </c>
      <c r="Q1344" s="1" t="s">
        <v>5</v>
      </c>
      <c r="R1344" s="1" t="s">
        <v>0</v>
      </c>
      <c r="S1344" s="1" t="s">
        <v>42</v>
      </c>
      <c r="T1344" s="1">
        <v>2016</v>
      </c>
      <c r="U1344" s="1">
        <v>1</v>
      </c>
      <c r="V1344" s="50">
        <v>42370</v>
      </c>
      <c r="W1344" s="4">
        <v>3788.5599999999995</v>
      </c>
      <c r="X1344" s="48">
        <v>4118</v>
      </c>
    </row>
    <row r="1345" spans="2:24" x14ac:dyDescent="0.35">
      <c r="B1345" s="8" t="s">
        <v>6</v>
      </c>
      <c r="C1345" s="8" t="s">
        <v>29</v>
      </c>
      <c r="D1345" s="8" t="s">
        <v>30</v>
      </c>
      <c r="E1345" s="8" t="s">
        <v>0</v>
      </c>
      <c r="F1345" s="6" t="s">
        <v>26</v>
      </c>
      <c r="G1345" s="8">
        <v>2016</v>
      </c>
      <c r="H1345" s="8">
        <v>1</v>
      </c>
      <c r="I1345" s="10">
        <v>42370</v>
      </c>
      <c r="J1345" s="11">
        <v>4772</v>
      </c>
      <c r="K1345" s="51"/>
      <c r="O1345" s="1" t="s">
        <v>6</v>
      </c>
      <c r="P1345" s="1" t="s">
        <v>29</v>
      </c>
      <c r="Q1345" s="1" t="s">
        <v>30</v>
      </c>
      <c r="R1345" s="1" t="s">
        <v>0</v>
      </c>
      <c r="S1345" t="s">
        <v>26</v>
      </c>
      <c r="T1345" s="1">
        <v>2016</v>
      </c>
      <c r="U1345" s="1">
        <v>1</v>
      </c>
      <c r="V1345" s="50">
        <v>42370</v>
      </c>
      <c r="W1345" s="4">
        <v>4294.7999999999993</v>
      </c>
      <c r="X1345" s="48">
        <v>4772</v>
      </c>
    </row>
    <row r="1346" spans="2:24" x14ac:dyDescent="0.35">
      <c r="B1346" s="8" t="s">
        <v>7</v>
      </c>
      <c r="C1346" s="8" t="s">
        <v>48</v>
      </c>
      <c r="D1346" s="8" t="s">
        <v>9</v>
      </c>
      <c r="E1346" s="8" t="s">
        <v>27</v>
      </c>
      <c r="F1346" s="6" t="s">
        <v>28</v>
      </c>
      <c r="G1346" s="8">
        <v>2016</v>
      </c>
      <c r="H1346" s="8">
        <v>1</v>
      </c>
      <c r="I1346" s="10">
        <v>42370</v>
      </c>
      <c r="J1346" s="11">
        <v>3389</v>
      </c>
      <c r="K1346" s="51"/>
      <c r="O1346" s="1" t="s">
        <v>7</v>
      </c>
      <c r="P1346" s="1" t="s">
        <v>48</v>
      </c>
      <c r="Q1346" s="1" t="s">
        <v>9</v>
      </c>
      <c r="R1346" s="1" t="s">
        <v>27</v>
      </c>
      <c r="S1346" t="s">
        <v>28</v>
      </c>
      <c r="T1346" s="1">
        <v>2016</v>
      </c>
      <c r="U1346" s="1">
        <v>1</v>
      </c>
      <c r="V1346" s="50">
        <v>42370</v>
      </c>
      <c r="W1346" s="4">
        <v>3050.0999999999995</v>
      </c>
      <c r="X1346" s="48">
        <v>3389</v>
      </c>
    </row>
    <row r="1347" spans="2:24" x14ac:dyDescent="0.35">
      <c r="B1347" s="8" t="s">
        <v>7</v>
      </c>
      <c r="C1347" s="8" t="s">
        <v>48</v>
      </c>
      <c r="D1347" s="8" t="s">
        <v>9</v>
      </c>
      <c r="E1347" s="8" t="s">
        <v>27</v>
      </c>
      <c r="F1347" s="6" t="s">
        <v>31</v>
      </c>
      <c r="G1347" s="8">
        <v>2016</v>
      </c>
      <c r="H1347" s="8">
        <v>1</v>
      </c>
      <c r="I1347" s="10">
        <v>42370</v>
      </c>
      <c r="J1347" s="11">
        <v>5230</v>
      </c>
      <c r="K1347" s="51"/>
      <c r="O1347" s="1" t="s">
        <v>7</v>
      </c>
      <c r="P1347" s="1" t="s">
        <v>48</v>
      </c>
      <c r="Q1347" s="1" t="s">
        <v>9</v>
      </c>
      <c r="R1347" s="1" t="s">
        <v>27</v>
      </c>
      <c r="S1347" t="s">
        <v>31</v>
      </c>
      <c r="T1347" s="1">
        <v>2016</v>
      </c>
      <c r="U1347" s="1">
        <v>1</v>
      </c>
      <c r="V1347" s="50">
        <v>42370</v>
      </c>
      <c r="W1347" s="4">
        <v>4550.1000000000004</v>
      </c>
      <c r="X1347" s="48">
        <v>5230</v>
      </c>
    </row>
    <row r="1348" spans="2:24" x14ac:dyDescent="0.35">
      <c r="B1348" s="8" t="s">
        <v>7</v>
      </c>
      <c r="C1348" s="8" t="s">
        <v>49</v>
      </c>
      <c r="D1348" s="8" t="s">
        <v>11</v>
      </c>
      <c r="E1348" s="9" t="s">
        <v>27</v>
      </c>
      <c r="F1348" s="9" t="s">
        <v>33</v>
      </c>
      <c r="G1348" s="8">
        <v>2016</v>
      </c>
      <c r="H1348" s="8">
        <v>1</v>
      </c>
      <c r="I1348" s="10">
        <v>42370</v>
      </c>
      <c r="J1348" s="11">
        <v>3617</v>
      </c>
      <c r="K1348" s="51"/>
      <c r="O1348" s="1" t="s">
        <v>7</v>
      </c>
      <c r="P1348" s="1" t="s">
        <v>49</v>
      </c>
      <c r="Q1348" s="1" t="s">
        <v>11</v>
      </c>
      <c r="R1348" s="2" t="s">
        <v>27</v>
      </c>
      <c r="S1348" s="2" t="s">
        <v>33</v>
      </c>
      <c r="T1348" s="1">
        <v>2016</v>
      </c>
      <c r="U1348" s="1">
        <v>1</v>
      </c>
      <c r="V1348" s="50">
        <v>42370</v>
      </c>
      <c r="W1348" s="4">
        <v>3363.81</v>
      </c>
      <c r="X1348" s="48">
        <v>3617</v>
      </c>
    </row>
    <row r="1349" spans="2:24" x14ac:dyDescent="0.35">
      <c r="B1349" s="8" t="s">
        <v>7</v>
      </c>
      <c r="C1349" s="8" t="s">
        <v>49</v>
      </c>
      <c r="D1349" s="8" t="s">
        <v>11</v>
      </c>
      <c r="E1349" s="8" t="s">
        <v>23</v>
      </c>
      <c r="F1349" s="9" t="s">
        <v>36</v>
      </c>
      <c r="G1349" s="8">
        <v>2016</v>
      </c>
      <c r="H1349" s="8">
        <v>1</v>
      </c>
      <c r="I1349" s="10">
        <v>42370</v>
      </c>
      <c r="J1349" s="11">
        <v>2847</v>
      </c>
      <c r="K1349" s="51"/>
      <c r="O1349" s="1" t="s">
        <v>7</v>
      </c>
      <c r="P1349" s="1" t="s">
        <v>49</v>
      </c>
      <c r="Q1349" s="1" t="s">
        <v>11</v>
      </c>
      <c r="R1349" s="1" t="s">
        <v>23</v>
      </c>
      <c r="S1349" s="2" t="s">
        <v>36</v>
      </c>
      <c r="T1349" s="1">
        <v>2016</v>
      </c>
      <c r="U1349" s="1">
        <v>1</v>
      </c>
      <c r="V1349" s="50">
        <v>42370</v>
      </c>
      <c r="W1349" s="4">
        <v>2562.2999999999997</v>
      </c>
      <c r="X1349" s="48">
        <v>2847</v>
      </c>
    </row>
    <row r="1350" spans="2:24" x14ac:dyDescent="0.35">
      <c r="B1350" s="8" t="s">
        <v>7</v>
      </c>
      <c r="C1350" s="8" t="s">
        <v>43</v>
      </c>
      <c r="D1350" s="8" t="s">
        <v>10</v>
      </c>
      <c r="E1350" s="8" t="s">
        <v>23</v>
      </c>
      <c r="F1350" s="6" t="s">
        <v>36</v>
      </c>
      <c r="G1350" s="8">
        <v>2016</v>
      </c>
      <c r="H1350" s="8">
        <v>1</v>
      </c>
      <c r="I1350" s="10">
        <v>42370</v>
      </c>
      <c r="J1350" s="11">
        <v>1549</v>
      </c>
      <c r="K1350" s="51"/>
      <c r="O1350" s="1" t="s">
        <v>7</v>
      </c>
      <c r="P1350" s="1" t="s">
        <v>43</v>
      </c>
      <c r="Q1350" s="1" t="s">
        <v>10</v>
      </c>
      <c r="R1350" s="1" t="s">
        <v>23</v>
      </c>
      <c r="S1350" t="s">
        <v>36</v>
      </c>
      <c r="T1350" s="1">
        <v>2016</v>
      </c>
      <c r="U1350" s="1">
        <v>1</v>
      </c>
      <c r="V1350" s="50">
        <v>42370</v>
      </c>
      <c r="W1350" s="4">
        <v>1347.63</v>
      </c>
      <c r="X1350" s="48">
        <v>1549</v>
      </c>
    </row>
    <row r="1351" spans="2:24" x14ac:dyDescent="0.35">
      <c r="B1351" s="8" t="s">
        <v>6</v>
      </c>
      <c r="C1351" s="8" t="s">
        <v>40</v>
      </c>
      <c r="D1351" s="8" t="s">
        <v>41</v>
      </c>
      <c r="E1351" s="8" t="s">
        <v>0</v>
      </c>
      <c r="F1351" s="8" t="s">
        <v>45</v>
      </c>
      <c r="G1351" s="8">
        <v>2016</v>
      </c>
      <c r="H1351" s="8">
        <v>1</v>
      </c>
      <c r="I1351" s="10">
        <v>42370</v>
      </c>
      <c r="J1351" s="11">
        <v>2775</v>
      </c>
      <c r="K1351" s="51"/>
      <c r="O1351" s="1" t="s">
        <v>6</v>
      </c>
      <c r="P1351" s="1" t="s">
        <v>40</v>
      </c>
      <c r="Q1351" s="1" t="s">
        <v>41</v>
      </c>
      <c r="R1351" s="1" t="s">
        <v>0</v>
      </c>
      <c r="S1351" s="1" t="s">
        <v>45</v>
      </c>
      <c r="T1351" s="1">
        <v>2016</v>
      </c>
      <c r="U1351" s="1">
        <v>1</v>
      </c>
      <c r="V1351" s="50">
        <v>42370</v>
      </c>
      <c r="W1351" s="4">
        <v>2441.9999999999995</v>
      </c>
      <c r="X1351" s="48">
        <v>2775</v>
      </c>
    </row>
    <row r="1352" spans="2:24" x14ac:dyDescent="0.35">
      <c r="B1352" s="8" t="s">
        <v>7</v>
      </c>
      <c r="C1352" s="8" t="s">
        <v>32</v>
      </c>
      <c r="D1352" s="8" t="s">
        <v>8</v>
      </c>
      <c r="E1352" s="8" t="s">
        <v>27</v>
      </c>
      <c r="F1352" s="8" t="s">
        <v>28</v>
      </c>
      <c r="G1352" s="8">
        <v>2016</v>
      </c>
      <c r="H1352" s="8">
        <v>1</v>
      </c>
      <c r="I1352" s="10">
        <v>42370</v>
      </c>
      <c r="J1352" s="11">
        <v>4203</v>
      </c>
      <c r="K1352" s="51"/>
      <c r="O1352" s="1" t="s">
        <v>7</v>
      </c>
      <c r="P1352" s="1" t="s">
        <v>32</v>
      </c>
      <c r="Q1352" s="1" t="s">
        <v>8</v>
      </c>
      <c r="R1352" s="1" t="s">
        <v>27</v>
      </c>
      <c r="S1352" s="1" t="s">
        <v>28</v>
      </c>
      <c r="T1352" s="1">
        <v>2016</v>
      </c>
      <c r="U1352" s="1">
        <v>1</v>
      </c>
      <c r="V1352" s="50">
        <v>42370</v>
      </c>
      <c r="W1352" s="4">
        <v>3614.5800000000004</v>
      </c>
      <c r="X1352" s="48">
        <v>4203</v>
      </c>
    </row>
    <row r="1353" spans="2:24" x14ac:dyDescent="0.35">
      <c r="B1353" s="8" t="s">
        <v>7</v>
      </c>
      <c r="C1353" s="8" t="s">
        <v>32</v>
      </c>
      <c r="D1353" s="8" t="s">
        <v>8</v>
      </c>
      <c r="E1353" s="8" t="s">
        <v>27</v>
      </c>
      <c r="F1353" s="8" t="s">
        <v>31</v>
      </c>
      <c r="G1353" s="8">
        <v>2016</v>
      </c>
      <c r="H1353" s="8">
        <v>1</v>
      </c>
      <c r="I1353" s="10">
        <v>42370</v>
      </c>
      <c r="J1353" s="11">
        <v>4521</v>
      </c>
      <c r="K1353" s="51"/>
      <c r="O1353" s="1" t="s">
        <v>7</v>
      </c>
      <c r="P1353" s="1" t="s">
        <v>32</v>
      </c>
      <c r="Q1353" s="1" t="s">
        <v>8</v>
      </c>
      <c r="R1353" s="1" t="s">
        <v>27</v>
      </c>
      <c r="S1353" s="1" t="s">
        <v>31</v>
      </c>
      <c r="T1353" s="1">
        <v>2016</v>
      </c>
      <c r="U1353" s="1">
        <v>1</v>
      </c>
      <c r="V1353" s="50">
        <v>42370</v>
      </c>
      <c r="W1353" s="4">
        <v>4068.8999999999996</v>
      </c>
      <c r="X1353" s="48">
        <v>4521</v>
      </c>
    </row>
    <row r="1354" spans="2:24" x14ac:dyDescent="0.35">
      <c r="B1354" s="8" t="s">
        <v>6</v>
      </c>
      <c r="C1354" s="8" t="s">
        <v>29</v>
      </c>
      <c r="D1354" s="8" t="s">
        <v>30</v>
      </c>
      <c r="E1354" s="8" t="s">
        <v>23</v>
      </c>
      <c r="F1354" s="6" t="s">
        <v>24</v>
      </c>
      <c r="G1354" s="8">
        <v>2016</v>
      </c>
      <c r="H1354" s="8">
        <v>1</v>
      </c>
      <c r="I1354" s="10">
        <v>42370</v>
      </c>
      <c r="J1354" s="11">
        <v>3337</v>
      </c>
      <c r="K1354" s="51"/>
      <c r="O1354" s="1" t="s">
        <v>6</v>
      </c>
      <c r="P1354" s="1" t="s">
        <v>29</v>
      </c>
      <c r="Q1354" s="1" t="s">
        <v>30</v>
      </c>
      <c r="R1354" s="1" t="s">
        <v>23</v>
      </c>
      <c r="S1354" t="s">
        <v>24</v>
      </c>
      <c r="T1354" s="1">
        <v>2016</v>
      </c>
      <c r="U1354" s="1">
        <v>1</v>
      </c>
      <c r="V1354" s="50">
        <v>42370</v>
      </c>
      <c r="W1354" s="4">
        <v>2903.1900000000005</v>
      </c>
      <c r="X1354" s="48">
        <v>3337</v>
      </c>
    </row>
    <row r="1355" spans="2:24" x14ac:dyDescent="0.35">
      <c r="B1355" s="8" t="s">
        <v>7</v>
      </c>
      <c r="C1355" s="8" t="s">
        <v>48</v>
      </c>
      <c r="D1355" s="8" t="s">
        <v>9</v>
      </c>
      <c r="E1355" s="8" t="s">
        <v>0</v>
      </c>
      <c r="F1355" s="6" t="s">
        <v>42</v>
      </c>
      <c r="G1355" s="8">
        <v>2016</v>
      </c>
      <c r="H1355" s="8">
        <v>1</v>
      </c>
      <c r="I1355" s="10">
        <v>42370</v>
      </c>
      <c r="J1355" s="11">
        <v>4788</v>
      </c>
      <c r="K1355" s="51"/>
      <c r="O1355" s="1" t="s">
        <v>7</v>
      </c>
      <c r="P1355" s="1" t="s">
        <v>48</v>
      </c>
      <c r="Q1355" s="1" t="s">
        <v>9</v>
      </c>
      <c r="R1355" s="1" t="s">
        <v>0</v>
      </c>
      <c r="S1355" t="s">
        <v>42</v>
      </c>
      <c r="T1355" s="1">
        <v>2016</v>
      </c>
      <c r="U1355" s="1">
        <v>1</v>
      </c>
      <c r="V1355" s="50">
        <v>42370</v>
      </c>
      <c r="W1355" s="4">
        <v>4309.2</v>
      </c>
      <c r="X1355" s="48">
        <v>4788</v>
      </c>
    </row>
    <row r="1356" spans="2:24" x14ac:dyDescent="0.35">
      <c r="B1356" s="8" t="s">
        <v>7</v>
      </c>
      <c r="C1356" s="8" t="s">
        <v>48</v>
      </c>
      <c r="D1356" s="8" t="s">
        <v>9</v>
      </c>
      <c r="E1356" s="8" t="s">
        <v>0</v>
      </c>
      <c r="F1356" s="6" t="s">
        <v>26</v>
      </c>
      <c r="G1356" s="8">
        <v>2016</v>
      </c>
      <c r="H1356" s="8">
        <v>1</v>
      </c>
      <c r="I1356" s="10">
        <v>42370</v>
      </c>
      <c r="J1356" s="11">
        <v>4254</v>
      </c>
      <c r="K1356" s="51"/>
      <c r="O1356" s="1" t="s">
        <v>7</v>
      </c>
      <c r="P1356" s="1" t="s">
        <v>48</v>
      </c>
      <c r="Q1356" s="1" t="s">
        <v>9</v>
      </c>
      <c r="R1356" s="1" t="s">
        <v>0</v>
      </c>
      <c r="S1356" t="s">
        <v>26</v>
      </c>
      <c r="T1356" s="1">
        <v>2016</v>
      </c>
      <c r="U1356" s="1">
        <v>1</v>
      </c>
      <c r="V1356" s="50">
        <v>42370</v>
      </c>
      <c r="W1356" s="4">
        <v>3828.5999999999995</v>
      </c>
      <c r="X1356" s="48">
        <v>4254</v>
      </c>
    </row>
    <row r="1357" spans="2:24" x14ac:dyDescent="0.35">
      <c r="B1357" s="8" t="s">
        <v>7</v>
      </c>
      <c r="C1357" s="8" t="s">
        <v>49</v>
      </c>
      <c r="D1357" s="8" t="s">
        <v>11</v>
      </c>
      <c r="E1357" s="9" t="s">
        <v>0</v>
      </c>
      <c r="F1357" s="9" t="s">
        <v>45</v>
      </c>
      <c r="G1357" s="8">
        <v>2016</v>
      </c>
      <c r="H1357" s="8">
        <v>1</v>
      </c>
      <c r="I1357" s="10">
        <v>42370</v>
      </c>
      <c r="J1357" s="11">
        <v>3296</v>
      </c>
      <c r="K1357" s="51"/>
      <c r="O1357" s="1" t="s">
        <v>7</v>
      </c>
      <c r="P1357" s="1" t="s">
        <v>49</v>
      </c>
      <c r="Q1357" s="1" t="s">
        <v>11</v>
      </c>
      <c r="R1357" s="2" t="s">
        <v>0</v>
      </c>
      <c r="S1357" s="2" t="s">
        <v>45</v>
      </c>
      <c r="T1357" s="1">
        <v>2016</v>
      </c>
      <c r="U1357" s="1">
        <v>1</v>
      </c>
      <c r="V1357" s="50">
        <v>42370</v>
      </c>
      <c r="W1357" s="4">
        <v>2834.5600000000004</v>
      </c>
      <c r="X1357" s="48">
        <v>3296</v>
      </c>
    </row>
    <row r="1358" spans="2:24" x14ac:dyDescent="0.35">
      <c r="B1358" s="8" t="s">
        <v>7</v>
      </c>
      <c r="C1358" s="8" t="s">
        <v>49</v>
      </c>
      <c r="D1358" s="8" t="s">
        <v>11</v>
      </c>
      <c r="E1358" s="8" t="s">
        <v>27</v>
      </c>
      <c r="F1358" s="9" t="s">
        <v>28</v>
      </c>
      <c r="G1358" s="8">
        <v>2016</v>
      </c>
      <c r="H1358" s="8">
        <v>1</v>
      </c>
      <c r="I1358" s="10">
        <v>42370</v>
      </c>
      <c r="J1358" s="11">
        <v>3912</v>
      </c>
      <c r="K1358" s="51"/>
      <c r="O1358" s="1" t="s">
        <v>7</v>
      </c>
      <c r="P1358" s="1" t="s">
        <v>49</v>
      </c>
      <c r="Q1358" s="1" t="s">
        <v>11</v>
      </c>
      <c r="R1358" s="1" t="s">
        <v>27</v>
      </c>
      <c r="S1358" s="2" t="s">
        <v>28</v>
      </c>
      <c r="T1358" s="1">
        <v>2016</v>
      </c>
      <c r="U1358" s="1">
        <v>1</v>
      </c>
      <c r="V1358" s="50">
        <v>42370</v>
      </c>
      <c r="W1358" s="4">
        <v>3481.6799999999994</v>
      </c>
      <c r="X1358" s="48">
        <v>3912</v>
      </c>
    </row>
    <row r="1359" spans="2:24" x14ac:dyDescent="0.35">
      <c r="B1359" s="8" t="s">
        <v>12</v>
      </c>
      <c r="C1359" s="8" t="s">
        <v>34</v>
      </c>
      <c r="D1359" s="8" t="s">
        <v>35</v>
      </c>
      <c r="E1359" s="8" t="s">
        <v>27</v>
      </c>
      <c r="F1359" s="6" t="s">
        <v>31</v>
      </c>
      <c r="G1359" s="8">
        <v>2016</v>
      </c>
      <c r="H1359" s="8">
        <v>1</v>
      </c>
      <c r="I1359" s="10">
        <v>42370</v>
      </c>
      <c r="J1359" s="11">
        <v>5042</v>
      </c>
      <c r="K1359" s="51"/>
      <c r="O1359" s="1" t="s">
        <v>12</v>
      </c>
      <c r="P1359" s="1" t="s">
        <v>34</v>
      </c>
      <c r="Q1359" s="1" t="s">
        <v>35</v>
      </c>
      <c r="R1359" s="1" t="s">
        <v>27</v>
      </c>
      <c r="S1359" t="s">
        <v>31</v>
      </c>
      <c r="T1359" s="1">
        <v>2016</v>
      </c>
      <c r="U1359" s="1">
        <v>1</v>
      </c>
      <c r="V1359" s="50">
        <v>42370</v>
      </c>
      <c r="W1359" s="4">
        <v>4436.9599999999991</v>
      </c>
      <c r="X1359" s="48">
        <v>5042</v>
      </c>
    </row>
    <row r="1360" spans="2:24" x14ac:dyDescent="0.35">
      <c r="B1360" s="8" t="s">
        <v>12</v>
      </c>
      <c r="C1360" s="8" t="s">
        <v>34</v>
      </c>
      <c r="D1360" s="8" t="s">
        <v>35</v>
      </c>
      <c r="E1360" s="8" t="s">
        <v>27</v>
      </c>
      <c r="F1360" s="8" t="s">
        <v>33</v>
      </c>
      <c r="G1360" s="8">
        <v>2016</v>
      </c>
      <c r="H1360" s="8">
        <v>1</v>
      </c>
      <c r="I1360" s="10">
        <v>42370</v>
      </c>
      <c r="J1360" s="11">
        <v>3980</v>
      </c>
      <c r="K1360" s="51"/>
      <c r="O1360" s="1" t="s">
        <v>12</v>
      </c>
      <c r="P1360" s="1" t="s">
        <v>34</v>
      </c>
      <c r="Q1360" s="1" t="s">
        <v>35</v>
      </c>
      <c r="R1360" s="1" t="s">
        <v>27</v>
      </c>
      <c r="S1360" s="1" t="s">
        <v>33</v>
      </c>
      <c r="T1360" s="1">
        <v>2016</v>
      </c>
      <c r="U1360" s="1">
        <v>1</v>
      </c>
      <c r="V1360" s="50">
        <v>42370</v>
      </c>
      <c r="W1360" s="4">
        <v>3621.7999999999997</v>
      </c>
      <c r="X1360" s="48">
        <v>3980</v>
      </c>
    </row>
    <row r="1361" spans="2:24" x14ac:dyDescent="0.35">
      <c r="B1361" s="8" t="s">
        <v>14</v>
      </c>
      <c r="C1361" s="8" t="s">
        <v>37</v>
      </c>
      <c r="D1361" s="8" t="s">
        <v>38</v>
      </c>
      <c r="E1361" s="8" t="s">
        <v>23</v>
      </c>
      <c r="F1361" s="8" t="s">
        <v>36</v>
      </c>
      <c r="G1361" s="8">
        <v>2016</v>
      </c>
      <c r="H1361" s="8">
        <v>1</v>
      </c>
      <c r="I1361" s="10">
        <v>42370</v>
      </c>
      <c r="J1361" s="11">
        <v>2868</v>
      </c>
      <c r="K1361" s="51"/>
      <c r="O1361" s="1" t="s">
        <v>14</v>
      </c>
      <c r="P1361" s="1" t="s">
        <v>37</v>
      </c>
      <c r="Q1361" s="1" t="s">
        <v>38</v>
      </c>
      <c r="R1361" s="1" t="s">
        <v>23</v>
      </c>
      <c r="S1361" s="1" t="s">
        <v>36</v>
      </c>
      <c r="T1361" s="1">
        <v>2016</v>
      </c>
      <c r="U1361" s="1">
        <v>1</v>
      </c>
      <c r="V1361" s="50">
        <v>42370</v>
      </c>
      <c r="W1361" s="4">
        <v>2552.5199999999995</v>
      </c>
      <c r="X1361" s="48">
        <v>2868</v>
      </c>
    </row>
    <row r="1362" spans="2:24" x14ac:dyDescent="0.35">
      <c r="B1362" s="8" t="s">
        <v>12</v>
      </c>
      <c r="C1362" s="8" t="s">
        <v>44</v>
      </c>
      <c r="D1362" s="8" t="s">
        <v>13</v>
      </c>
      <c r="E1362" s="8" t="s">
        <v>23</v>
      </c>
      <c r="F1362" s="8" t="s">
        <v>39</v>
      </c>
      <c r="G1362" s="8">
        <v>2016</v>
      </c>
      <c r="H1362" s="8">
        <v>1</v>
      </c>
      <c r="I1362" s="10">
        <v>42370</v>
      </c>
      <c r="J1362" s="11">
        <v>1550</v>
      </c>
      <c r="K1362" s="51"/>
      <c r="O1362" s="1" t="s">
        <v>12</v>
      </c>
      <c r="P1362" s="1" t="s">
        <v>44</v>
      </c>
      <c r="Q1362" s="1" t="s">
        <v>13</v>
      </c>
      <c r="R1362" s="1" t="s">
        <v>23</v>
      </c>
      <c r="S1362" s="1" t="s">
        <v>39</v>
      </c>
      <c r="T1362" s="1">
        <v>2016</v>
      </c>
      <c r="U1362" s="1">
        <v>1</v>
      </c>
      <c r="V1362" s="50">
        <v>42370</v>
      </c>
      <c r="W1362" s="4">
        <v>1410.5</v>
      </c>
      <c r="X1362" s="48">
        <v>1550</v>
      </c>
    </row>
    <row r="1363" spans="2:24" x14ac:dyDescent="0.35">
      <c r="B1363" s="8" t="s">
        <v>12</v>
      </c>
      <c r="C1363" s="8" t="s">
        <v>44</v>
      </c>
      <c r="D1363" s="8" t="s">
        <v>13</v>
      </c>
      <c r="E1363" s="8" t="s">
        <v>0</v>
      </c>
      <c r="F1363" s="6" t="s">
        <v>42</v>
      </c>
      <c r="G1363" s="8">
        <v>2016</v>
      </c>
      <c r="H1363" s="8">
        <v>1</v>
      </c>
      <c r="I1363" s="10">
        <v>42370</v>
      </c>
      <c r="J1363" s="11">
        <v>6835</v>
      </c>
      <c r="K1363" s="51"/>
      <c r="O1363" s="1" t="s">
        <v>12</v>
      </c>
      <c r="P1363" s="1" t="s">
        <v>44</v>
      </c>
      <c r="Q1363" s="1" t="s">
        <v>13</v>
      </c>
      <c r="R1363" s="1" t="s">
        <v>0</v>
      </c>
      <c r="S1363" t="s">
        <v>42</v>
      </c>
      <c r="T1363" s="1">
        <v>2016</v>
      </c>
      <c r="U1363" s="1">
        <v>1</v>
      </c>
      <c r="V1363" s="50">
        <v>42370</v>
      </c>
      <c r="W1363" s="4">
        <v>6356.5499999999993</v>
      </c>
      <c r="X1363" s="48">
        <v>6835</v>
      </c>
    </row>
    <row r="1364" spans="2:24" x14ac:dyDescent="0.35">
      <c r="B1364" s="8" t="s">
        <v>14</v>
      </c>
      <c r="C1364" s="8" t="s">
        <v>46</v>
      </c>
      <c r="D1364" s="8" t="s">
        <v>47</v>
      </c>
      <c r="E1364" s="8" t="s">
        <v>0</v>
      </c>
      <c r="F1364" s="6" t="s">
        <v>26</v>
      </c>
      <c r="G1364" s="8">
        <v>2016</v>
      </c>
      <c r="H1364" s="8">
        <v>1</v>
      </c>
      <c r="I1364" s="10">
        <v>42370</v>
      </c>
      <c r="J1364" s="11">
        <v>2810</v>
      </c>
      <c r="K1364" s="51"/>
      <c r="O1364" s="1" t="s">
        <v>14</v>
      </c>
      <c r="P1364" s="1" t="s">
        <v>46</v>
      </c>
      <c r="Q1364" s="1" t="s">
        <v>47</v>
      </c>
      <c r="R1364" s="1" t="s">
        <v>0</v>
      </c>
      <c r="S1364" t="s">
        <v>26</v>
      </c>
      <c r="T1364" s="1">
        <v>2016</v>
      </c>
      <c r="U1364" s="1">
        <v>1</v>
      </c>
      <c r="V1364" s="50">
        <v>42370</v>
      </c>
      <c r="W1364" s="4">
        <v>2585.1999999999998</v>
      </c>
      <c r="X1364" s="48">
        <v>2810</v>
      </c>
    </row>
    <row r="1365" spans="2:24" x14ac:dyDescent="0.35">
      <c r="B1365" s="8" t="s">
        <v>14</v>
      </c>
      <c r="C1365" s="8" t="s">
        <v>46</v>
      </c>
      <c r="D1365" s="8" t="s">
        <v>47</v>
      </c>
      <c r="E1365" s="8" t="s">
        <v>0</v>
      </c>
      <c r="F1365" s="6" t="s">
        <v>45</v>
      </c>
      <c r="G1365" s="8">
        <v>2016</v>
      </c>
      <c r="H1365" s="8">
        <v>1</v>
      </c>
      <c r="I1365" s="10">
        <v>42370</v>
      </c>
      <c r="J1365" s="11">
        <v>2676</v>
      </c>
      <c r="K1365" s="51"/>
      <c r="O1365" s="1" t="s">
        <v>14</v>
      </c>
      <c r="P1365" s="1" t="s">
        <v>46</v>
      </c>
      <c r="Q1365" s="1" t="s">
        <v>47</v>
      </c>
      <c r="R1365" s="1" t="s">
        <v>0</v>
      </c>
      <c r="S1365" t="s">
        <v>45</v>
      </c>
      <c r="T1365" s="1">
        <v>2016</v>
      </c>
      <c r="U1365" s="1">
        <v>1</v>
      </c>
      <c r="V1365" s="50">
        <v>42370</v>
      </c>
      <c r="W1365" s="4">
        <v>2354.8799999999997</v>
      </c>
      <c r="X1365" s="48">
        <v>2676</v>
      </c>
    </row>
    <row r="1366" spans="2:24" x14ac:dyDescent="0.35">
      <c r="B1366" s="8" t="s">
        <v>3</v>
      </c>
      <c r="C1366" s="8" t="s">
        <v>25</v>
      </c>
      <c r="D1366" s="8" t="s">
        <v>4</v>
      </c>
      <c r="E1366" s="9" t="s">
        <v>27</v>
      </c>
      <c r="F1366" s="9" t="s">
        <v>33</v>
      </c>
      <c r="G1366" s="8">
        <v>2016</v>
      </c>
      <c r="H1366" s="8">
        <v>1</v>
      </c>
      <c r="I1366" s="10">
        <v>42370</v>
      </c>
      <c r="J1366" s="11">
        <v>2975</v>
      </c>
      <c r="K1366" s="51"/>
      <c r="O1366" s="1" t="s">
        <v>3</v>
      </c>
      <c r="P1366" s="1" t="s">
        <v>25</v>
      </c>
      <c r="Q1366" s="1" t="s">
        <v>4</v>
      </c>
      <c r="R1366" s="2" t="s">
        <v>27</v>
      </c>
      <c r="S1366" s="2" t="s">
        <v>33</v>
      </c>
      <c r="T1366" s="1">
        <v>2016</v>
      </c>
      <c r="U1366" s="1">
        <v>1</v>
      </c>
      <c r="V1366" s="50">
        <v>42370</v>
      </c>
      <c r="W1366" s="4">
        <v>2647.7499999999995</v>
      </c>
      <c r="X1366" s="48">
        <v>2975</v>
      </c>
    </row>
    <row r="1367" spans="2:24" x14ac:dyDescent="0.35">
      <c r="B1367" s="8" t="s">
        <v>3</v>
      </c>
      <c r="C1367" s="8" t="s">
        <v>25</v>
      </c>
      <c r="D1367" s="8" t="s">
        <v>4</v>
      </c>
      <c r="E1367" s="8" t="s">
        <v>23</v>
      </c>
      <c r="F1367" s="9" t="s">
        <v>36</v>
      </c>
      <c r="G1367" s="8">
        <v>2016</v>
      </c>
      <c r="H1367" s="8">
        <v>1</v>
      </c>
      <c r="I1367" s="10">
        <v>42370</v>
      </c>
      <c r="J1367" s="11">
        <v>2398</v>
      </c>
      <c r="K1367" s="51"/>
      <c r="O1367" s="1" t="s">
        <v>3</v>
      </c>
      <c r="P1367" s="1" t="s">
        <v>25</v>
      </c>
      <c r="Q1367" s="1" t="s">
        <v>4</v>
      </c>
      <c r="R1367" s="1" t="s">
        <v>23</v>
      </c>
      <c r="S1367" s="2" t="s">
        <v>36</v>
      </c>
      <c r="T1367" s="1">
        <v>2016</v>
      </c>
      <c r="U1367" s="1">
        <v>1</v>
      </c>
      <c r="V1367" s="50">
        <v>42370</v>
      </c>
      <c r="W1367" s="4">
        <v>2062.2800000000002</v>
      </c>
      <c r="X1367" s="48">
        <v>2398</v>
      </c>
    </row>
    <row r="1368" spans="2:24" x14ac:dyDescent="0.35">
      <c r="B1368" s="8" t="s">
        <v>6</v>
      </c>
      <c r="C1368" s="8" t="s">
        <v>40</v>
      </c>
      <c r="D1368" s="8" t="s">
        <v>41</v>
      </c>
      <c r="E1368" s="8" t="s">
        <v>23</v>
      </c>
      <c r="F1368" s="6" t="s">
        <v>39</v>
      </c>
      <c r="G1368" s="8">
        <v>2016</v>
      </c>
      <c r="H1368" s="8">
        <v>1</v>
      </c>
      <c r="I1368" s="10">
        <v>42370</v>
      </c>
      <c r="J1368" s="11">
        <v>1565</v>
      </c>
      <c r="K1368" s="51"/>
      <c r="O1368" s="1" t="s">
        <v>6</v>
      </c>
      <c r="P1368" s="1" t="s">
        <v>40</v>
      </c>
      <c r="Q1368" s="1" t="s">
        <v>41</v>
      </c>
      <c r="R1368" s="1" t="s">
        <v>23</v>
      </c>
      <c r="S1368" t="s">
        <v>39</v>
      </c>
      <c r="T1368" s="1">
        <v>2016</v>
      </c>
      <c r="U1368" s="1">
        <v>1</v>
      </c>
      <c r="V1368" s="50">
        <v>42370</v>
      </c>
      <c r="W1368" s="4">
        <v>1392.85</v>
      </c>
      <c r="X1368" s="48">
        <v>1565</v>
      </c>
    </row>
    <row r="1369" spans="2:24" x14ac:dyDescent="0.35">
      <c r="B1369" s="8" t="s">
        <v>7</v>
      </c>
      <c r="C1369" s="8" t="s">
        <v>48</v>
      </c>
      <c r="D1369" s="8" t="s">
        <v>9</v>
      </c>
      <c r="E1369" s="8" t="s">
        <v>0</v>
      </c>
      <c r="F1369" s="8" t="s">
        <v>45</v>
      </c>
      <c r="G1369" s="8">
        <v>2016</v>
      </c>
      <c r="H1369" s="8">
        <v>1</v>
      </c>
      <c r="I1369" s="10">
        <v>42370</v>
      </c>
      <c r="J1369" s="11">
        <v>2464</v>
      </c>
      <c r="K1369" s="51"/>
      <c r="O1369" s="1" t="s">
        <v>7</v>
      </c>
      <c r="P1369" s="1" t="s">
        <v>48</v>
      </c>
      <c r="Q1369" s="1" t="s">
        <v>9</v>
      </c>
      <c r="R1369" s="1" t="s">
        <v>0</v>
      </c>
      <c r="S1369" s="1" t="s">
        <v>45</v>
      </c>
      <c r="T1369" s="1">
        <v>2016</v>
      </c>
      <c r="U1369" s="1">
        <v>1</v>
      </c>
      <c r="V1369" s="50">
        <v>42370</v>
      </c>
      <c r="W1369" s="4">
        <v>2168.3199999999997</v>
      </c>
      <c r="X1369" s="48">
        <v>2464</v>
      </c>
    </row>
    <row r="1370" spans="2:24" x14ac:dyDescent="0.35">
      <c r="B1370" s="8" t="s">
        <v>7</v>
      </c>
      <c r="C1370" s="8" t="s">
        <v>49</v>
      </c>
      <c r="D1370" s="8" t="s">
        <v>11</v>
      </c>
      <c r="E1370" s="8" t="s">
        <v>27</v>
      </c>
      <c r="F1370" s="8" t="s">
        <v>31</v>
      </c>
      <c r="G1370" s="8">
        <v>2016</v>
      </c>
      <c r="H1370" s="8">
        <v>1</v>
      </c>
      <c r="I1370" s="10">
        <v>42370</v>
      </c>
      <c r="J1370" s="11">
        <v>3611</v>
      </c>
      <c r="K1370" s="51"/>
      <c r="O1370" s="1" t="s">
        <v>7</v>
      </c>
      <c r="P1370" s="1" t="s">
        <v>49</v>
      </c>
      <c r="Q1370" s="1" t="s">
        <v>11</v>
      </c>
      <c r="R1370" s="1" t="s">
        <v>27</v>
      </c>
      <c r="S1370" s="1" t="s">
        <v>31</v>
      </c>
      <c r="T1370" s="1">
        <v>2016</v>
      </c>
      <c r="U1370" s="1">
        <v>1</v>
      </c>
      <c r="V1370" s="50">
        <v>42370</v>
      </c>
      <c r="W1370" s="4">
        <v>3322.12</v>
      </c>
      <c r="X1370" s="48">
        <v>3611</v>
      </c>
    </row>
    <row r="1371" spans="2:24" x14ac:dyDescent="0.35">
      <c r="B1371" s="8" t="s">
        <v>7</v>
      </c>
      <c r="C1371" s="8" t="s">
        <v>43</v>
      </c>
      <c r="D1371" s="8" t="s">
        <v>10</v>
      </c>
      <c r="E1371" s="8" t="s">
        <v>27</v>
      </c>
      <c r="F1371" s="8" t="s">
        <v>33</v>
      </c>
      <c r="G1371" s="8">
        <v>2016</v>
      </c>
      <c r="H1371" s="8">
        <v>1</v>
      </c>
      <c r="I1371" s="10">
        <v>42370</v>
      </c>
      <c r="J1371" s="11">
        <v>3484</v>
      </c>
      <c r="K1371" s="51"/>
      <c r="O1371" s="1" t="s">
        <v>7</v>
      </c>
      <c r="P1371" s="1" t="s">
        <v>43</v>
      </c>
      <c r="Q1371" s="1" t="s">
        <v>10</v>
      </c>
      <c r="R1371" s="1" t="s">
        <v>27</v>
      </c>
      <c r="S1371" s="1" t="s">
        <v>33</v>
      </c>
      <c r="T1371" s="1">
        <v>2016</v>
      </c>
      <c r="U1371" s="1">
        <v>1</v>
      </c>
      <c r="V1371" s="50">
        <v>42370</v>
      </c>
      <c r="W1371" s="4">
        <v>2961.4000000000005</v>
      </c>
      <c r="X1371" s="48">
        <v>3484</v>
      </c>
    </row>
    <row r="1372" spans="2:24" x14ac:dyDescent="0.35">
      <c r="B1372" s="8" t="s">
        <v>7</v>
      </c>
      <c r="C1372" s="8" t="s">
        <v>32</v>
      </c>
      <c r="D1372" s="8" t="s">
        <v>8</v>
      </c>
      <c r="E1372" s="8" t="s">
        <v>0</v>
      </c>
      <c r="F1372" s="6" t="s">
        <v>45</v>
      </c>
      <c r="G1372" s="8">
        <v>2016</v>
      </c>
      <c r="H1372" s="8">
        <v>1</v>
      </c>
      <c r="I1372" s="10">
        <v>42370</v>
      </c>
      <c r="J1372" s="11">
        <v>4288</v>
      </c>
      <c r="K1372" s="51"/>
      <c r="O1372" s="1" t="s">
        <v>7</v>
      </c>
      <c r="P1372" s="1" t="s">
        <v>32</v>
      </c>
      <c r="Q1372" s="1" t="s">
        <v>8</v>
      </c>
      <c r="R1372" s="1" t="s">
        <v>0</v>
      </c>
      <c r="S1372" t="s">
        <v>45</v>
      </c>
      <c r="T1372" s="1">
        <v>2016</v>
      </c>
      <c r="U1372" s="1">
        <v>1</v>
      </c>
      <c r="V1372" s="50">
        <v>42370</v>
      </c>
      <c r="W1372" s="4">
        <v>3730.5600000000004</v>
      </c>
      <c r="X1372" s="48">
        <v>4288</v>
      </c>
    </row>
    <row r="1373" spans="2:24" x14ac:dyDescent="0.35">
      <c r="B1373" s="8" t="s">
        <v>7</v>
      </c>
      <c r="C1373" s="8" t="s">
        <v>48</v>
      </c>
      <c r="D1373" s="8" t="s">
        <v>9</v>
      </c>
      <c r="E1373" s="8" t="s">
        <v>23</v>
      </c>
      <c r="F1373" s="6" t="s">
        <v>39</v>
      </c>
      <c r="G1373" s="8">
        <v>2016</v>
      </c>
      <c r="H1373" s="8">
        <v>1</v>
      </c>
      <c r="I1373" s="10">
        <v>42370</v>
      </c>
      <c r="J1373" s="11">
        <v>2391</v>
      </c>
      <c r="K1373" s="51"/>
      <c r="O1373" s="1" t="s">
        <v>7</v>
      </c>
      <c r="P1373" s="1" t="s">
        <v>48</v>
      </c>
      <c r="Q1373" s="1" t="s">
        <v>9</v>
      </c>
      <c r="R1373" s="1" t="s">
        <v>23</v>
      </c>
      <c r="S1373" t="s">
        <v>39</v>
      </c>
      <c r="T1373" s="1">
        <v>2016</v>
      </c>
      <c r="U1373" s="1">
        <v>1</v>
      </c>
      <c r="V1373" s="50">
        <v>42370</v>
      </c>
      <c r="W1373" s="4">
        <v>2104.08</v>
      </c>
      <c r="X1373" s="48">
        <v>2391</v>
      </c>
    </row>
    <row r="1374" spans="2:24" x14ac:dyDescent="0.35">
      <c r="B1374" s="8" t="s">
        <v>7</v>
      </c>
      <c r="C1374" s="8" t="s">
        <v>49</v>
      </c>
      <c r="D1374" s="8" t="s">
        <v>11</v>
      </c>
      <c r="E1374" s="8" t="s">
        <v>0</v>
      </c>
      <c r="F1374" s="6" t="s">
        <v>26</v>
      </c>
      <c r="G1374" s="8">
        <v>2016</v>
      </c>
      <c r="H1374" s="8">
        <v>1</v>
      </c>
      <c r="I1374" s="10">
        <v>42370</v>
      </c>
      <c r="J1374" s="11">
        <v>5261</v>
      </c>
      <c r="K1374" s="51"/>
      <c r="O1374" s="1" t="s">
        <v>7</v>
      </c>
      <c r="P1374" s="1" t="s">
        <v>49</v>
      </c>
      <c r="Q1374" s="1" t="s">
        <v>11</v>
      </c>
      <c r="R1374" s="1" t="s">
        <v>0</v>
      </c>
      <c r="S1374" t="s">
        <v>26</v>
      </c>
      <c r="T1374" s="1">
        <v>2016</v>
      </c>
      <c r="U1374" s="1">
        <v>1</v>
      </c>
      <c r="V1374" s="50">
        <v>42370</v>
      </c>
      <c r="W1374" s="4">
        <v>4629.6799999999994</v>
      </c>
      <c r="X1374" s="48">
        <v>5261</v>
      </c>
    </row>
    <row r="1375" spans="2:24" x14ac:dyDescent="0.35">
      <c r="B1375" s="8" t="s">
        <v>12</v>
      </c>
      <c r="C1375" s="8" t="s">
        <v>34</v>
      </c>
      <c r="D1375" s="8" t="s">
        <v>35</v>
      </c>
      <c r="E1375" s="9" t="s">
        <v>27</v>
      </c>
      <c r="F1375" s="9" t="s">
        <v>28</v>
      </c>
      <c r="G1375" s="8">
        <v>2016</v>
      </c>
      <c r="H1375" s="8">
        <v>1</v>
      </c>
      <c r="I1375" s="10">
        <v>42370</v>
      </c>
      <c r="J1375" s="11">
        <v>4850</v>
      </c>
      <c r="K1375" s="51"/>
      <c r="O1375" s="1" t="s">
        <v>12</v>
      </c>
      <c r="P1375" s="1" t="s">
        <v>34</v>
      </c>
      <c r="Q1375" s="1" t="s">
        <v>35</v>
      </c>
      <c r="R1375" s="2" t="s">
        <v>27</v>
      </c>
      <c r="S1375" s="2" t="s">
        <v>28</v>
      </c>
      <c r="T1375" s="1">
        <v>2016</v>
      </c>
      <c r="U1375" s="1">
        <v>1</v>
      </c>
      <c r="V1375" s="50">
        <v>42370</v>
      </c>
      <c r="W1375" s="4">
        <v>4316.5</v>
      </c>
      <c r="X1375" s="48">
        <v>4850</v>
      </c>
    </row>
    <row r="1376" spans="2:24" x14ac:dyDescent="0.35">
      <c r="B1376" s="8" t="s">
        <v>14</v>
      </c>
      <c r="C1376" s="8" t="s">
        <v>37</v>
      </c>
      <c r="D1376" s="8" t="s">
        <v>38</v>
      </c>
      <c r="E1376" s="8" t="s">
        <v>27</v>
      </c>
      <c r="F1376" s="9" t="s">
        <v>33</v>
      </c>
      <c r="G1376" s="8">
        <v>2016</v>
      </c>
      <c r="H1376" s="8">
        <v>1</v>
      </c>
      <c r="I1376" s="10">
        <v>42370</v>
      </c>
      <c r="J1376" s="11">
        <v>3198</v>
      </c>
      <c r="K1376" s="51"/>
      <c r="O1376" s="1" t="s">
        <v>14</v>
      </c>
      <c r="P1376" s="1" t="s">
        <v>37</v>
      </c>
      <c r="Q1376" s="1" t="s">
        <v>38</v>
      </c>
      <c r="R1376" s="1" t="s">
        <v>27</v>
      </c>
      <c r="S1376" s="2" t="s">
        <v>33</v>
      </c>
      <c r="T1376" s="1">
        <v>2016</v>
      </c>
      <c r="U1376" s="1">
        <v>1</v>
      </c>
      <c r="V1376" s="50">
        <v>42370</v>
      </c>
      <c r="W1376" s="4">
        <v>2782.26</v>
      </c>
      <c r="X1376" s="48">
        <v>3198</v>
      </c>
    </row>
    <row r="1377" spans="2:24" x14ac:dyDescent="0.35">
      <c r="B1377" s="8" t="s">
        <v>12</v>
      </c>
      <c r="C1377" s="8" t="s">
        <v>44</v>
      </c>
      <c r="D1377" s="8" t="s">
        <v>13</v>
      </c>
      <c r="E1377" s="8" t="s">
        <v>23</v>
      </c>
      <c r="F1377" s="6" t="s">
        <v>24</v>
      </c>
      <c r="G1377" s="8">
        <v>2016</v>
      </c>
      <c r="H1377" s="8">
        <v>1</v>
      </c>
      <c r="I1377" s="10">
        <v>42370</v>
      </c>
      <c r="J1377" s="11">
        <v>2688</v>
      </c>
      <c r="K1377" s="51"/>
      <c r="O1377" s="1" t="s">
        <v>12</v>
      </c>
      <c r="P1377" s="1" t="s">
        <v>44</v>
      </c>
      <c r="Q1377" s="1" t="s">
        <v>13</v>
      </c>
      <c r="R1377" s="1" t="s">
        <v>23</v>
      </c>
      <c r="S1377" t="s">
        <v>24</v>
      </c>
      <c r="T1377" s="1">
        <v>2016</v>
      </c>
      <c r="U1377" s="1">
        <v>1</v>
      </c>
      <c r="V1377" s="50">
        <v>42370</v>
      </c>
      <c r="W1377" s="4">
        <v>2499.8399999999997</v>
      </c>
      <c r="X1377" s="48">
        <v>2688</v>
      </c>
    </row>
    <row r="1378" spans="2:24" x14ac:dyDescent="0.35">
      <c r="B1378" s="8" t="s">
        <v>14</v>
      </c>
      <c r="C1378" s="8" t="s">
        <v>46</v>
      </c>
      <c r="D1378" s="8" t="s">
        <v>47</v>
      </c>
      <c r="E1378" s="8" t="s">
        <v>0</v>
      </c>
      <c r="F1378" s="8" t="s">
        <v>42</v>
      </c>
      <c r="G1378" s="8">
        <v>2016</v>
      </c>
      <c r="H1378" s="8">
        <v>1</v>
      </c>
      <c r="I1378" s="10">
        <v>42370</v>
      </c>
      <c r="J1378" s="11">
        <v>5772</v>
      </c>
      <c r="K1378" s="51"/>
      <c r="O1378" s="1" t="s">
        <v>14</v>
      </c>
      <c r="P1378" s="1" t="s">
        <v>46</v>
      </c>
      <c r="Q1378" s="1" t="s">
        <v>47</v>
      </c>
      <c r="R1378" s="1" t="s">
        <v>0</v>
      </c>
      <c r="S1378" s="1" t="s">
        <v>42</v>
      </c>
      <c r="T1378" s="1">
        <v>2016</v>
      </c>
      <c r="U1378" s="1">
        <v>1</v>
      </c>
      <c r="V1378" s="50">
        <v>42370</v>
      </c>
      <c r="W1378" s="4">
        <v>5310.24</v>
      </c>
      <c r="X1378" s="48">
        <v>5772</v>
      </c>
    </row>
    <row r="1379" spans="2:24" x14ac:dyDescent="0.35">
      <c r="B1379" s="8" t="s">
        <v>7</v>
      </c>
      <c r="C1379" s="8" t="s">
        <v>48</v>
      </c>
      <c r="D1379" s="8" t="s">
        <v>9</v>
      </c>
      <c r="E1379" s="8" t="s">
        <v>27</v>
      </c>
      <c r="F1379" s="8" t="s">
        <v>33</v>
      </c>
      <c r="G1379" s="8">
        <v>2016</v>
      </c>
      <c r="H1379" s="8">
        <v>1</v>
      </c>
      <c r="I1379" s="10">
        <v>42370</v>
      </c>
      <c r="J1379" s="11">
        <v>3455</v>
      </c>
      <c r="K1379" s="51"/>
      <c r="O1379" s="1" t="s">
        <v>7</v>
      </c>
      <c r="P1379" s="1" t="s">
        <v>48</v>
      </c>
      <c r="Q1379" s="1" t="s">
        <v>9</v>
      </c>
      <c r="R1379" s="1" t="s">
        <v>27</v>
      </c>
      <c r="S1379" s="1" t="s">
        <v>33</v>
      </c>
      <c r="T1379" s="1">
        <v>2016</v>
      </c>
      <c r="U1379" s="1">
        <v>1</v>
      </c>
      <c r="V1379" s="50">
        <v>42370</v>
      </c>
      <c r="W1379" s="4">
        <v>3178.6</v>
      </c>
      <c r="X1379" s="48">
        <v>3455</v>
      </c>
    </row>
    <row r="1380" spans="2:24" x14ac:dyDescent="0.35">
      <c r="B1380" s="8" t="s">
        <v>7</v>
      </c>
      <c r="C1380" s="8" t="s">
        <v>49</v>
      </c>
      <c r="D1380" s="8" t="s">
        <v>11</v>
      </c>
      <c r="E1380" s="8" t="s">
        <v>23</v>
      </c>
      <c r="F1380" s="8" t="s">
        <v>24</v>
      </c>
      <c r="G1380" s="8">
        <v>2016</v>
      </c>
      <c r="H1380" s="8">
        <v>1</v>
      </c>
      <c r="I1380" s="10">
        <v>42370</v>
      </c>
      <c r="J1380" s="11">
        <v>1778</v>
      </c>
      <c r="K1380" s="51"/>
      <c r="O1380" s="1" t="s">
        <v>7</v>
      </c>
      <c r="P1380" s="1" t="s">
        <v>49</v>
      </c>
      <c r="Q1380" s="1" t="s">
        <v>11</v>
      </c>
      <c r="R1380" s="1" t="s">
        <v>23</v>
      </c>
      <c r="S1380" s="1" t="s">
        <v>24</v>
      </c>
      <c r="T1380" s="1">
        <v>2016</v>
      </c>
      <c r="U1380" s="1">
        <v>1</v>
      </c>
      <c r="V1380" s="50">
        <v>42370</v>
      </c>
      <c r="W1380" s="4">
        <v>1671.32</v>
      </c>
      <c r="X1380" s="48">
        <v>1778</v>
      </c>
    </row>
    <row r="1381" spans="2:24" x14ac:dyDescent="0.35">
      <c r="B1381" s="8" t="s">
        <v>3</v>
      </c>
      <c r="C1381" s="8" t="s">
        <v>22</v>
      </c>
      <c r="D1381" s="8" t="s">
        <v>5</v>
      </c>
      <c r="E1381" s="8" t="s">
        <v>23</v>
      </c>
      <c r="F1381" s="6" t="s">
        <v>24</v>
      </c>
      <c r="G1381" s="8">
        <v>2016</v>
      </c>
      <c r="H1381" s="8">
        <v>2</v>
      </c>
      <c r="I1381" s="10">
        <v>42401</v>
      </c>
      <c r="J1381" s="11">
        <v>2307</v>
      </c>
      <c r="K1381" s="51"/>
      <c r="O1381" s="1" t="s">
        <v>3</v>
      </c>
      <c r="P1381" s="1" t="s">
        <v>22</v>
      </c>
      <c r="Q1381" s="1" t="s">
        <v>5</v>
      </c>
      <c r="R1381" s="1" t="s">
        <v>23</v>
      </c>
      <c r="S1381" t="s">
        <v>24</v>
      </c>
      <c r="T1381" s="1">
        <v>2016</v>
      </c>
      <c r="U1381" s="1">
        <v>2</v>
      </c>
      <c r="V1381" s="50">
        <v>42401</v>
      </c>
      <c r="W1381" s="4">
        <v>2030.1599999999999</v>
      </c>
      <c r="X1381" s="48">
        <v>2307</v>
      </c>
    </row>
    <row r="1382" spans="2:24" x14ac:dyDescent="0.35">
      <c r="B1382" s="8" t="s">
        <v>3</v>
      </c>
      <c r="C1382" s="8" t="s">
        <v>25</v>
      </c>
      <c r="D1382" s="8" t="s">
        <v>4</v>
      </c>
      <c r="E1382" s="8" t="s">
        <v>23</v>
      </c>
      <c r="F1382" s="6" t="s">
        <v>24</v>
      </c>
      <c r="G1382" s="8">
        <v>2016</v>
      </c>
      <c r="H1382" s="8">
        <v>2</v>
      </c>
      <c r="I1382" s="10">
        <v>42401</v>
      </c>
      <c r="J1382" s="11">
        <v>2435</v>
      </c>
      <c r="K1382" s="51"/>
      <c r="O1382" s="1" t="s">
        <v>3</v>
      </c>
      <c r="P1382" s="1" t="s">
        <v>25</v>
      </c>
      <c r="Q1382" s="1" t="s">
        <v>4</v>
      </c>
      <c r="R1382" s="1" t="s">
        <v>23</v>
      </c>
      <c r="S1382" t="s">
        <v>24</v>
      </c>
      <c r="T1382" s="1">
        <v>2016</v>
      </c>
      <c r="U1382" s="1">
        <v>2</v>
      </c>
      <c r="V1382" s="50">
        <v>42401</v>
      </c>
      <c r="W1382" s="4">
        <v>2240.1999999999998</v>
      </c>
      <c r="X1382" s="48">
        <v>2435</v>
      </c>
    </row>
    <row r="1383" spans="2:24" x14ac:dyDescent="0.35">
      <c r="B1383" s="8" t="s">
        <v>3</v>
      </c>
      <c r="C1383" s="8" t="s">
        <v>25</v>
      </c>
      <c r="D1383" s="8" t="s">
        <v>4</v>
      </c>
      <c r="E1383" s="8" t="s">
        <v>0</v>
      </c>
      <c r="F1383" s="6" t="s">
        <v>26</v>
      </c>
      <c r="G1383" s="8">
        <v>2016</v>
      </c>
      <c r="H1383" s="8">
        <v>2</v>
      </c>
      <c r="I1383" s="10">
        <v>42401</v>
      </c>
      <c r="J1383" s="11">
        <v>2799</v>
      </c>
      <c r="K1383" s="51"/>
      <c r="O1383" s="1" t="s">
        <v>3</v>
      </c>
      <c r="P1383" s="1" t="s">
        <v>25</v>
      </c>
      <c r="Q1383" s="1" t="s">
        <v>4</v>
      </c>
      <c r="R1383" s="1" t="s">
        <v>0</v>
      </c>
      <c r="S1383" t="s">
        <v>26</v>
      </c>
      <c r="T1383" s="1">
        <v>2016</v>
      </c>
      <c r="U1383" s="1">
        <v>2</v>
      </c>
      <c r="V1383" s="50">
        <v>42401</v>
      </c>
      <c r="W1383" s="4">
        <v>2463.12</v>
      </c>
      <c r="X1383" s="48">
        <v>2799</v>
      </c>
    </row>
    <row r="1384" spans="2:24" x14ac:dyDescent="0.35">
      <c r="B1384" s="8" t="s">
        <v>3</v>
      </c>
      <c r="C1384" s="8" t="s">
        <v>22</v>
      </c>
      <c r="D1384" s="8" t="s">
        <v>5</v>
      </c>
      <c r="E1384" s="9" t="s">
        <v>0</v>
      </c>
      <c r="F1384" s="9" t="s">
        <v>26</v>
      </c>
      <c r="G1384" s="8">
        <v>2016</v>
      </c>
      <c r="H1384" s="8">
        <v>2</v>
      </c>
      <c r="I1384" s="10">
        <v>42401</v>
      </c>
      <c r="J1384" s="11">
        <v>2666</v>
      </c>
      <c r="K1384" s="51"/>
      <c r="O1384" s="1" t="s">
        <v>3</v>
      </c>
      <c r="P1384" s="1" t="s">
        <v>22</v>
      </c>
      <c r="Q1384" s="1" t="s">
        <v>5</v>
      </c>
      <c r="R1384" s="2" t="s">
        <v>0</v>
      </c>
      <c r="S1384" s="2" t="s">
        <v>26</v>
      </c>
      <c r="T1384" s="1">
        <v>2016</v>
      </c>
      <c r="U1384" s="1">
        <v>2</v>
      </c>
      <c r="V1384" s="50">
        <v>42401</v>
      </c>
      <c r="W1384" s="4">
        <v>2399.3999999999996</v>
      </c>
      <c r="X1384" s="48">
        <v>2666</v>
      </c>
    </row>
    <row r="1385" spans="2:24" x14ac:dyDescent="0.35">
      <c r="B1385" s="8" t="s">
        <v>3</v>
      </c>
      <c r="C1385" s="8" t="s">
        <v>22</v>
      </c>
      <c r="D1385" s="8" t="s">
        <v>5</v>
      </c>
      <c r="E1385" s="8" t="s">
        <v>27</v>
      </c>
      <c r="F1385" s="9" t="s">
        <v>28</v>
      </c>
      <c r="G1385" s="8">
        <v>2016</v>
      </c>
      <c r="H1385" s="8">
        <v>2</v>
      </c>
      <c r="I1385" s="10">
        <v>42401</v>
      </c>
      <c r="J1385" s="11">
        <v>3805</v>
      </c>
      <c r="K1385" s="51"/>
      <c r="O1385" s="1" t="s">
        <v>3</v>
      </c>
      <c r="P1385" s="1" t="s">
        <v>22</v>
      </c>
      <c r="Q1385" s="1" t="s">
        <v>5</v>
      </c>
      <c r="R1385" s="1" t="s">
        <v>27</v>
      </c>
      <c r="S1385" s="2" t="s">
        <v>28</v>
      </c>
      <c r="T1385" s="1">
        <v>2016</v>
      </c>
      <c r="U1385" s="1">
        <v>2</v>
      </c>
      <c r="V1385" s="50">
        <v>42401</v>
      </c>
      <c r="W1385" s="4">
        <v>3348.3999999999996</v>
      </c>
      <c r="X1385" s="48">
        <v>3805</v>
      </c>
    </row>
    <row r="1386" spans="2:24" x14ac:dyDescent="0.35">
      <c r="B1386" s="8" t="s">
        <v>6</v>
      </c>
      <c r="C1386" s="8" t="s">
        <v>29</v>
      </c>
      <c r="D1386" s="8" t="s">
        <v>30</v>
      </c>
      <c r="E1386" s="8" t="s">
        <v>27</v>
      </c>
      <c r="F1386" s="6" t="s">
        <v>31</v>
      </c>
      <c r="G1386" s="8">
        <v>2016</v>
      </c>
      <c r="H1386" s="8">
        <v>2</v>
      </c>
      <c r="I1386" s="10">
        <v>42401</v>
      </c>
      <c r="J1386" s="11">
        <v>4196</v>
      </c>
      <c r="K1386" s="51"/>
      <c r="O1386" s="1" t="s">
        <v>6</v>
      </c>
      <c r="P1386" s="1" t="s">
        <v>29</v>
      </c>
      <c r="Q1386" s="1" t="s">
        <v>30</v>
      </c>
      <c r="R1386" s="1" t="s">
        <v>27</v>
      </c>
      <c r="S1386" t="s">
        <v>31</v>
      </c>
      <c r="T1386" s="1">
        <v>2016</v>
      </c>
      <c r="U1386" s="1">
        <v>2</v>
      </c>
      <c r="V1386" s="50">
        <v>42401</v>
      </c>
      <c r="W1386" s="4">
        <v>3692.4799999999996</v>
      </c>
      <c r="X1386" s="48">
        <v>4196</v>
      </c>
    </row>
    <row r="1387" spans="2:24" x14ac:dyDescent="0.35">
      <c r="B1387" s="8" t="s">
        <v>7</v>
      </c>
      <c r="C1387" s="8" t="s">
        <v>32</v>
      </c>
      <c r="D1387" s="8" t="s">
        <v>8</v>
      </c>
      <c r="E1387" s="8" t="s">
        <v>27</v>
      </c>
      <c r="F1387" s="8" t="s">
        <v>33</v>
      </c>
      <c r="G1387" s="8">
        <v>2016</v>
      </c>
      <c r="H1387" s="8">
        <v>2</v>
      </c>
      <c r="I1387" s="10">
        <v>42401</v>
      </c>
      <c r="J1387" s="11">
        <v>3762</v>
      </c>
      <c r="K1387" s="51"/>
      <c r="O1387" s="1" t="s">
        <v>7</v>
      </c>
      <c r="P1387" s="1" t="s">
        <v>32</v>
      </c>
      <c r="Q1387" s="1" t="s">
        <v>8</v>
      </c>
      <c r="R1387" s="1" t="s">
        <v>27</v>
      </c>
      <c r="S1387" s="1" t="s">
        <v>33</v>
      </c>
      <c r="T1387" s="1">
        <v>2016</v>
      </c>
      <c r="U1387" s="1">
        <v>2</v>
      </c>
      <c r="V1387" s="50">
        <v>42401</v>
      </c>
      <c r="W1387" s="4">
        <v>3461.04</v>
      </c>
      <c r="X1387" s="48">
        <v>3762</v>
      </c>
    </row>
    <row r="1388" spans="2:24" x14ac:dyDescent="0.35">
      <c r="B1388" s="8" t="s">
        <v>12</v>
      </c>
      <c r="C1388" s="8" t="s">
        <v>34</v>
      </c>
      <c r="D1388" s="8" t="s">
        <v>35</v>
      </c>
      <c r="E1388" s="8" t="s">
        <v>23</v>
      </c>
      <c r="F1388" s="8" t="s">
        <v>36</v>
      </c>
      <c r="G1388" s="8">
        <v>2016</v>
      </c>
      <c r="H1388" s="8">
        <v>2</v>
      </c>
      <c r="I1388" s="10">
        <v>42401</v>
      </c>
      <c r="J1388" s="11">
        <v>1795</v>
      </c>
      <c r="K1388" s="51"/>
      <c r="O1388" s="1" t="s">
        <v>12</v>
      </c>
      <c r="P1388" s="1" t="s">
        <v>34</v>
      </c>
      <c r="Q1388" s="1" t="s">
        <v>35</v>
      </c>
      <c r="R1388" s="1" t="s">
        <v>23</v>
      </c>
      <c r="S1388" s="1" t="s">
        <v>36</v>
      </c>
      <c r="T1388" s="1">
        <v>2016</v>
      </c>
      <c r="U1388" s="1">
        <v>2</v>
      </c>
      <c r="V1388" s="50">
        <v>42401</v>
      </c>
      <c r="W1388" s="4">
        <v>1651.3999999999999</v>
      </c>
      <c r="X1388" s="48">
        <v>1795</v>
      </c>
    </row>
    <row r="1389" spans="2:24" x14ac:dyDescent="0.35">
      <c r="B1389" s="8" t="s">
        <v>14</v>
      </c>
      <c r="C1389" s="8" t="s">
        <v>37</v>
      </c>
      <c r="D1389" s="8" t="s">
        <v>38</v>
      </c>
      <c r="E1389" s="8" t="s">
        <v>23</v>
      </c>
      <c r="F1389" s="8" t="s">
        <v>24</v>
      </c>
      <c r="G1389" s="8">
        <v>2016</v>
      </c>
      <c r="H1389" s="8">
        <v>2</v>
      </c>
      <c r="I1389" s="10">
        <v>42401</v>
      </c>
      <c r="J1389" s="11">
        <v>1705</v>
      </c>
      <c r="K1389" s="51"/>
      <c r="O1389" s="1" t="s">
        <v>14</v>
      </c>
      <c r="P1389" s="1" t="s">
        <v>37</v>
      </c>
      <c r="Q1389" s="1" t="s">
        <v>38</v>
      </c>
      <c r="R1389" s="1" t="s">
        <v>23</v>
      </c>
      <c r="S1389" s="1" t="s">
        <v>24</v>
      </c>
      <c r="T1389" s="1">
        <v>2016</v>
      </c>
      <c r="U1389" s="1">
        <v>2</v>
      </c>
      <c r="V1389" s="50">
        <v>42401</v>
      </c>
      <c r="W1389" s="4">
        <v>1517.4499999999998</v>
      </c>
      <c r="X1389" s="48">
        <v>1705</v>
      </c>
    </row>
    <row r="1390" spans="2:24" x14ac:dyDescent="0.35">
      <c r="B1390" s="8" t="s">
        <v>3</v>
      </c>
      <c r="C1390" s="8" t="s">
        <v>25</v>
      </c>
      <c r="D1390" s="8" t="s">
        <v>4</v>
      </c>
      <c r="E1390" s="8" t="s">
        <v>23</v>
      </c>
      <c r="F1390" s="6" t="s">
        <v>39</v>
      </c>
      <c r="G1390" s="8">
        <v>2016</v>
      </c>
      <c r="H1390" s="8">
        <v>2</v>
      </c>
      <c r="I1390" s="10">
        <v>42401</v>
      </c>
      <c r="J1390" s="11">
        <v>1745</v>
      </c>
      <c r="K1390" s="51"/>
      <c r="O1390" s="1" t="s">
        <v>3</v>
      </c>
      <c r="P1390" s="1" t="s">
        <v>25</v>
      </c>
      <c r="Q1390" s="1" t="s">
        <v>4</v>
      </c>
      <c r="R1390" s="1" t="s">
        <v>23</v>
      </c>
      <c r="S1390" t="s">
        <v>39</v>
      </c>
      <c r="T1390" s="1">
        <v>2016</v>
      </c>
      <c r="U1390" s="1">
        <v>2</v>
      </c>
      <c r="V1390" s="50">
        <v>42401</v>
      </c>
      <c r="W1390" s="4">
        <v>1587.9499999999998</v>
      </c>
      <c r="X1390" s="48">
        <v>1745</v>
      </c>
    </row>
    <row r="1391" spans="2:24" x14ac:dyDescent="0.35">
      <c r="B1391" s="8" t="s">
        <v>6</v>
      </c>
      <c r="C1391" s="8" t="s">
        <v>40</v>
      </c>
      <c r="D1391" s="8" t="s">
        <v>41</v>
      </c>
      <c r="E1391" s="8" t="s">
        <v>0</v>
      </c>
      <c r="F1391" s="6" t="s">
        <v>42</v>
      </c>
      <c r="G1391" s="8">
        <v>2016</v>
      </c>
      <c r="H1391" s="8">
        <v>2</v>
      </c>
      <c r="I1391" s="10">
        <v>42401</v>
      </c>
      <c r="J1391" s="11">
        <v>5463</v>
      </c>
      <c r="K1391" s="51"/>
      <c r="O1391" s="1" t="s">
        <v>6</v>
      </c>
      <c r="P1391" s="1" t="s">
        <v>40</v>
      </c>
      <c r="Q1391" s="1" t="s">
        <v>41</v>
      </c>
      <c r="R1391" s="1" t="s">
        <v>0</v>
      </c>
      <c r="S1391" t="s">
        <v>42</v>
      </c>
      <c r="T1391" s="1">
        <v>2016</v>
      </c>
      <c r="U1391" s="1">
        <v>2</v>
      </c>
      <c r="V1391" s="50">
        <v>42401</v>
      </c>
      <c r="W1391" s="4">
        <v>5135.2199999999993</v>
      </c>
      <c r="X1391" s="48">
        <v>5463</v>
      </c>
    </row>
    <row r="1392" spans="2:24" x14ac:dyDescent="0.35">
      <c r="B1392" s="8" t="s">
        <v>7</v>
      </c>
      <c r="C1392" s="8" t="s">
        <v>43</v>
      </c>
      <c r="D1392" s="8" t="s">
        <v>10</v>
      </c>
      <c r="E1392" s="8" t="s">
        <v>0</v>
      </c>
      <c r="F1392" s="6" t="s">
        <v>26</v>
      </c>
      <c r="G1392" s="8">
        <v>2016</v>
      </c>
      <c r="H1392" s="8">
        <v>2</v>
      </c>
      <c r="I1392" s="10">
        <v>42401</v>
      </c>
      <c r="J1392" s="11">
        <v>4763</v>
      </c>
      <c r="K1392" s="51"/>
      <c r="O1392" s="1" t="s">
        <v>7</v>
      </c>
      <c r="P1392" s="1" t="s">
        <v>43</v>
      </c>
      <c r="Q1392" s="1" t="s">
        <v>10</v>
      </c>
      <c r="R1392" s="1" t="s">
        <v>0</v>
      </c>
      <c r="S1392" t="s">
        <v>26</v>
      </c>
      <c r="T1392" s="1">
        <v>2016</v>
      </c>
      <c r="U1392" s="1">
        <v>2</v>
      </c>
      <c r="V1392" s="50">
        <v>42401</v>
      </c>
      <c r="W1392" s="4">
        <v>4143.8100000000004</v>
      </c>
      <c r="X1392" s="48">
        <v>4763</v>
      </c>
    </row>
    <row r="1393" spans="2:24" x14ac:dyDescent="0.35">
      <c r="B1393" s="8" t="s">
        <v>12</v>
      </c>
      <c r="C1393" s="8" t="s">
        <v>44</v>
      </c>
      <c r="D1393" s="8" t="s">
        <v>13</v>
      </c>
      <c r="E1393" s="9" t="s">
        <v>0</v>
      </c>
      <c r="F1393" s="9" t="s">
        <v>45</v>
      </c>
      <c r="G1393" s="8">
        <v>2016</v>
      </c>
      <c r="H1393" s="8">
        <v>2</v>
      </c>
      <c r="I1393" s="10">
        <v>42401</v>
      </c>
      <c r="J1393" s="11">
        <v>2140</v>
      </c>
      <c r="K1393" s="51"/>
      <c r="O1393" s="1" t="s">
        <v>12</v>
      </c>
      <c r="P1393" s="1" t="s">
        <v>44</v>
      </c>
      <c r="Q1393" s="1" t="s">
        <v>13</v>
      </c>
      <c r="R1393" s="2" t="s">
        <v>0</v>
      </c>
      <c r="S1393" s="2" t="s">
        <v>45</v>
      </c>
      <c r="T1393" s="1">
        <v>2016</v>
      </c>
      <c r="U1393" s="1">
        <v>2</v>
      </c>
      <c r="V1393" s="50">
        <v>42401</v>
      </c>
      <c r="W1393" s="4">
        <v>1990.1999999999998</v>
      </c>
      <c r="X1393" s="48">
        <v>2140</v>
      </c>
    </row>
    <row r="1394" spans="2:24" x14ac:dyDescent="0.35">
      <c r="B1394" s="8" t="s">
        <v>14</v>
      </c>
      <c r="C1394" s="8" t="s">
        <v>46</v>
      </c>
      <c r="D1394" s="8" t="s">
        <v>47</v>
      </c>
      <c r="E1394" s="8" t="s">
        <v>27</v>
      </c>
      <c r="F1394" s="9" t="s">
        <v>28</v>
      </c>
      <c r="G1394" s="8">
        <v>2016</v>
      </c>
      <c r="H1394" s="8">
        <v>2</v>
      </c>
      <c r="I1394" s="10">
        <v>42401</v>
      </c>
      <c r="J1394" s="11">
        <v>3970</v>
      </c>
      <c r="K1394" s="51"/>
      <c r="O1394" s="1" t="s">
        <v>14</v>
      </c>
      <c r="P1394" s="1" t="s">
        <v>46</v>
      </c>
      <c r="Q1394" s="1" t="s">
        <v>47</v>
      </c>
      <c r="R1394" s="1" t="s">
        <v>27</v>
      </c>
      <c r="S1394" s="2" t="s">
        <v>28</v>
      </c>
      <c r="T1394" s="1">
        <v>2016</v>
      </c>
      <c r="U1394" s="1">
        <v>2</v>
      </c>
      <c r="V1394" s="50">
        <v>42401</v>
      </c>
      <c r="W1394" s="4">
        <v>3612.7</v>
      </c>
      <c r="X1394" s="48">
        <v>3970</v>
      </c>
    </row>
    <row r="1395" spans="2:24" x14ac:dyDescent="0.35">
      <c r="B1395" s="8" t="s">
        <v>3</v>
      </c>
      <c r="C1395" s="8" t="s">
        <v>22</v>
      </c>
      <c r="D1395" s="8" t="s">
        <v>5</v>
      </c>
      <c r="E1395" s="8" t="s">
        <v>27</v>
      </c>
      <c r="F1395" s="6" t="s">
        <v>31</v>
      </c>
      <c r="G1395" s="8">
        <v>2016</v>
      </c>
      <c r="H1395" s="8">
        <v>2</v>
      </c>
      <c r="I1395" s="10">
        <v>42401</v>
      </c>
      <c r="J1395" s="11">
        <v>3193</v>
      </c>
      <c r="K1395" s="51"/>
      <c r="O1395" s="1" t="s">
        <v>3</v>
      </c>
      <c r="P1395" s="1" t="s">
        <v>22</v>
      </c>
      <c r="Q1395" s="1" t="s">
        <v>5</v>
      </c>
      <c r="R1395" s="1" t="s">
        <v>27</v>
      </c>
      <c r="S1395" t="s">
        <v>31</v>
      </c>
      <c r="T1395" s="1">
        <v>2016</v>
      </c>
      <c r="U1395" s="1">
        <v>2</v>
      </c>
      <c r="V1395" s="50">
        <v>42401</v>
      </c>
      <c r="W1395" s="4">
        <v>2873.7</v>
      </c>
      <c r="X1395" s="48">
        <v>3193</v>
      </c>
    </row>
    <row r="1396" spans="2:24" x14ac:dyDescent="0.35">
      <c r="B1396" s="8" t="s">
        <v>6</v>
      </c>
      <c r="C1396" s="8" t="s">
        <v>29</v>
      </c>
      <c r="D1396" s="8" t="s">
        <v>30</v>
      </c>
      <c r="E1396" s="8" t="s">
        <v>27</v>
      </c>
      <c r="F1396" s="8" t="s">
        <v>33</v>
      </c>
      <c r="G1396" s="8">
        <v>2016</v>
      </c>
      <c r="H1396" s="8">
        <v>2</v>
      </c>
      <c r="I1396" s="10">
        <v>42401</v>
      </c>
      <c r="J1396" s="11">
        <v>3194</v>
      </c>
      <c r="K1396" s="51"/>
      <c r="O1396" s="1" t="s">
        <v>6</v>
      </c>
      <c r="P1396" s="1" t="s">
        <v>29</v>
      </c>
      <c r="Q1396" s="1" t="s">
        <v>30</v>
      </c>
      <c r="R1396" s="1" t="s">
        <v>27</v>
      </c>
      <c r="S1396" s="1" t="s">
        <v>33</v>
      </c>
      <c r="T1396" s="1">
        <v>2016</v>
      </c>
      <c r="U1396" s="1">
        <v>2</v>
      </c>
      <c r="V1396" s="50">
        <v>42401</v>
      </c>
      <c r="W1396" s="4">
        <v>2714.9</v>
      </c>
      <c r="X1396" s="48">
        <v>3194</v>
      </c>
    </row>
    <row r="1397" spans="2:24" x14ac:dyDescent="0.35">
      <c r="B1397" s="8" t="s">
        <v>7</v>
      </c>
      <c r="C1397" s="8" t="s">
        <v>32</v>
      </c>
      <c r="D1397" s="8" t="s">
        <v>8</v>
      </c>
      <c r="E1397" s="8" t="s">
        <v>23</v>
      </c>
      <c r="F1397" s="8" t="s">
        <v>36</v>
      </c>
      <c r="G1397" s="8">
        <v>2016</v>
      </c>
      <c r="H1397" s="8">
        <v>2</v>
      </c>
      <c r="I1397" s="10">
        <v>42401</v>
      </c>
      <c r="J1397" s="11">
        <v>2808</v>
      </c>
      <c r="K1397" s="51"/>
      <c r="O1397" s="1" t="s">
        <v>7</v>
      </c>
      <c r="P1397" s="1" t="s">
        <v>32</v>
      </c>
      <c r="Q1397" s="1" t="s">
        <v>8</v>
      </c>
      <c r="R1397" s="1" t="s">
        <v>23</v>
      </c>
      <c r="S1397" s="1" t="s">
        <v>36</v>
      </c>
      <c r="T1397" s="1">
        <v>2016</v>
      </c>
      <c r="U1397" s="1">
        <v>2</v>
      </c>
      <c r="V1397" s="50">
        <v>42401</v>
      </c>
      <c r="W1397" s="4">
        <v>2499.12</v>
      </c>
      <c r="X1397" s="48">
        <v>2808</v>
      </c>
    </row>
    <row r="1398" spans="2:24" x14ac:dyDescent="0.35">
      <c r="B1398" s="8" t="s">
        <v>12</v>
      </c>
      <c r="C1398" s="8" t="s">
        <v>34</v>
      </c>
      <c r="D1398" s="8" t="s">
        <v>35</v>
      </c>
      <c r="E1398" s="8" t="s">
        <v>23</v>
      </c>
      <c r="F1398" s="8" t="s">
        <v>24</v>
      </c>
      <c r="G1398" s="8">
        <v>2016</v>
      </c>
      <c r="H1398" s="8">
        <v>2</v>
      </c>
      <c r="I1398" s="10">
        <v>42401</v>
      </c>
      <c r="J1398" s="11">
        <v>2934</v>
      </c>
      <c r="K1398" s="51"/>
      <c r="O1398" s="1" t="s">
        <v>12</v>
      </c>
      <c r="P1398" s="1" t="s">
        <v>34</v>
      </c>
      <c r="Q1398" s="1" t="s">
        <v>35</v>
      </c>
      <c r="R1398" s="1" t="s">
        <v>23</v>
      </c>
      <c r="S1398" s="1" t="s">
        <v>24</v>
      </c>
      <c r="T1398" s="1">
        <v>2016</v>
      </c>
      <c r="U1398" s="1">
        <v>2</v>
      </c>
      <c r="V1398" s="50">
        <v>42401</v>
      </c>
      <c r="W1398" s="4">
        <v>2640.6</v>
      </c>
      <c r="X1398" s="48">
        <v>2934</v>
      </c>
    </row>
    <row r="1399" spans="2:24" x14ac:dyDescent="0.35">
      <c r="B1399" s="8" t="s">
        <v>14</v>
      </c>
      <c r="C1399" s="8" t="s">
        <v>37</v>
      </c>
      <c r="D1399" s="8" t="s">
        <v>38</v>
      </c>
      <c r="E1399" s="8" t="s">
        <v>23</v>
      </c>
      <c r="F1399" s="6" t="s">
        <v>39</v>
      </c>
      <c r="G1399" s="8">
        <v>2016</v>
      </c>
      <c r="H1399" s="8">
        <v>2</v>
      </c>
      <c r="I1399" s="10">
        <v>42401</v>
      </c>
      <c r="J1399" s="11">
        <v>1408</v>
      </c>
      <c r="K1399" s="51"/>
      <c r="O1399" s="1" t="s">
        <v>14</v>
      </c>
      <c r="P1399" s="1" t="s">
        <v>37</v>
      </c>
      <c r="Q1399" s="1" t="s">
        <v>38</v>
      </c>
      <c r="R1399" s="1" t="s">
        <v>23</v>
      </c>
      <c r="S1399" t="s">
        <v>39</v>
      </c>
      <c r="T1399" s="1">
        <v>2016</v>
      </c>
      <c r="U1399" s="1">
        <v>2</v>
      </c>
      <c r="V1399" s="50">
        <v>42401</v>
      </c>
      <c r="W1399" s="4">
        <v>1281.28</v>
      </c>
      <c r="X1399" s="48">
        <v>1408</v>
      </c>
    </row>
    <row r="1400" spans="2:24" x14ac:dyDescent="0.35">
      <c r="B1400" s="8" t="s">
        <v>3</v>
      </c>
      <c r="C1400" s="8" t="s">
        <v>25</v>
      </c>
      <c r="D1400" s="8" t="s">
        <v>4</v>
      </c>
      <c r="E1400" s="8" t="s">
        <v>0</v>
      </c>
      <c r="F1400" s="6" t="s">
        <v>42</v>
      </c>
      <c r="G1400" s="8">
        <v>2016</v>
      </c>
      <c r="H1400" s="8">
        <v>2</v>
      </c>
      <c r="I1400" s="10">
        <v>42401</v>
      </c>
      <c r="J1400" s="11">
        <v>4206</v>
      </c>
      <c r="K1400" s="51"/>
      <c r="O1400" s="1" t="s">
        <v>3</v>
      </c>
      <c r="P1400" s="1" t="s">
        <v>25</v>
      </c>
      <c r="Q1400" s="1" t="s">
        <v>4</v>
      </c>
      <c r="R1400" s="1" t="s">
        <v>0</v>
      </c>
      <c r="S1400" t="s">
        <v>42</v>
      </c>
      <c r="T1400" s="1">
        <v>2016</v>
      </c>
      <c r="U1400" s="1">
        <v>2</v>
      </c>
      <c r="V1400" s="50">
        <v>42401</v>
      </c>
      <c r="W1400" s="4">
        <v>3827.4599999999996</v>
      </c>
      <c r="X1400" s="48">
        <v>4206</v>
      </c>
    </row>
    <row r="1401" spans="2:24" x14ac:dyDescent="0.35">
      <c r="B1401" s="8" t="s">
        <v>6</v>
      </c>
      <c r="C1401" s="8" t="s">
        <v>40</v>
      </c>
      <c r="D1401" s="8" t="s">
        <v>41</v>
      </c>
      <c r="E1401" s="8" t="s">
        <v>0</v>
      </c>
      <c r="F1401" s="6" t="s">
        <v>26</v>
      </c>
      <c r="G1401" s="8">
        <v>2016</v>
      </c>
      <c r="H1401" s="8">
        <v>2</v>
      </c>
      <c r="I1401" s="10">
        <v>42401</v>
      </c>
      <c r="J1401" s="11">
        <v>3584</v>
      </c>
      <c r="K1401" s="51"/>
      <c r="O1401" s="1" t="s">
        <v>6</v>
      </c>
      <c r="P1401" s="1" t="s">
        <v>40</v>
      </c>
      <c r="Q1401" s="1" t="s">
        <v>41</v>
      </c>
      <c r="R1401" s="1" t="s">
        <v>0</v>
      </c>
      <c r="S1401" t="s">
        <v>26</v>
      </c>
      <c r="T1401" s="1">
        <v>2016</v>
      </c>
      <c r="U1401" s="1">
        <v>2</v>
      </c>
      <c r="V1401" s="50">
        <v>42401</v>
      </c>
      <c r="W1401" s="4">
        <v>3082.2400000000002</v>
      </c>
      <c r="X1401" s="48">
        <v>3584</v>
      </c>
    </row>
    <row r="1402" spans="2:24" x14ac:dyDescent="0.35">
      <c r="B1402" s="8" t="s">
        <v>7</v>
      </c>
      <c r="C1402" s="8" t="s">
        <v>43</v>
      </c>
      <c r="D1402" s="8" t="s">
        <v>10</v>
      </c>
      <c r="E1402" s="9" t="s">
        <v>0</v>
      </c>
      <c r="F1402" s="9" t="s">
        <v>45</v>
      </c>
      <c r="G1402" s="8">
        <v>2016</v>
      </c>
      <c r="H1402" s="8">
        <v>2</v>
      </c>
      <c r="I1402" s="10">
        <v>42401</v>
      </c>
      <c r="J1402" s="11">
        <v>3896</v>
      </c>
      <c r="K1402" s="51"/>
      <c r="O1402" s="1" t="s">
        <v>7</v>
      </c>
      <c r="P1402" s="1" t="s">
        <v>43</v>
      </c>
      <c r="Q1402" s="1" t="s">
        <v>10</v>
      </c>
      <c r="R1402" s="2" t="s">
        <v>0</v>
      </c>
      <c r="S1402" s="2" t="s">
        <v>45</v>
      </c>
      <c r="T1402" s="1">
        <v>2016</v>
      </c>
      <c r="U1402" s="1">
        <v>2</v>
      </c>
      <c r="V1402" s="50">
        <v>42401</v>
      </c>
      <c r="W1402" s="4">
        <v>3584.3199999999997</v>
      </c>
      <c r="X1402" s="48">
        <v>3896</v>
      </c>
    </row>
    <row r="1403" spans="2:24" x14ac:dyDescent="0.35">
      <c r="B1403" s="8" t="s">
        <v>12</v>
      </c>
      <c r="C1403" s="8" t="s">
        <v>44</v>
      </c>
      <c r="D1403" s="8" t="s">
        <v>13</v>
      </c>
      <c r="E1403" s="8" t="s">
        <v>27</v>
      </c>
      <c r="F1403" s="9" t="s">
        <v>28</v>
      </c>
      <c r="G1403" s="8">
        <v>2016</v>
      </c>
      <c r="H1403" s="8">
        <v>2</v>
      </c>
      <c r="I1403" s="10">
        <v>42401</v>
      </c>
      <c r="J1403" s="11">
        <v>3767</v>
      </c>
      <c r="K1403" s="51"/>
      <c r="O1403" s="1" t="s">
        <v>12</v>
      </c>
      <c r="P1403" s="1" t="s">
        <v>44</v>
      </c>
      <c r="Q1403" s="1" t="s">
        <v>13</v>
      </c>
      <c r="R1403" s="1" t="s">
        <v>27</v>
      </c>
      <c r="S1403" s="2" t="s">
        <v>28</v>
      </c>
      <c r="T1403" s="1">
        <v>2016</v>
      </c>
      <c r="U1403" s="1">
        <v>2</v>
      </c>
      <c r="V1403" s="50">
        <v>42401</v>
      </c>
      <c r="W1403" s="4">
        <v>3201.9500000000003</v>
      </c>
      <c r="X1403" s="48">
        <v>3767</v>
      </c>
    </row>
    <row r="1404" spans="2:24" x14ac:dyDescent="0.35">
      <c r="B1404" s="8" t="s">
        <v>14</v>
      </c>
      <c r="C1404" s="8" t="s">
        <v>46</v>
      </c>
      <c r="D1404" s="8" t="s">
        <v>47</v>
      </c>
      <c r="E1404" s="8" t="s">
        <v>27</v>
      </c>
      <c r="F1404" s="6" t="s">
        <v>31</v>
      </c>
      <c r="G1404" s="8">
        <v>2016</v>
      </c>
      <c r="H1404" s="8">
        <v>2</v>
      </c>
      <c r="I1404" s="10">
        <v>42401</v>
      </c>
      <c r="J1404" s="11">
        <v>4561</v>
      </c>
      <c r="K1404" s="51"/>
      <c r="O1404" s="1" t="s">
        <v>14</v>
      </c>
      <c r="P1404" s="1" t="s">
        <v>46</v>
      </c>
      <c r="Q1404" s="1" t="s">
        <v>47</v>
      </c>
      <c r="R1404" s="1" t="s">
        <v>27</v>
      </c>
      <c r="S1404" t="s">
        <v>31</v>
      </c>
      <c r="T1404" s="1">
        <v>2016</v>
      </c>
      <c r="U1404" s="1">
        <v>2</v>
      </c>
      <c r="V1404" s="50">
        <v>42401</v>
      </c>
      <c r="W1404" s="4">
        <v>3968.0700000000006</v>
      </c>
      <c r="X1404" s="48">
        <v>4561</v>
      </c>
    </row>
    <row r="1405" spans="2:24" x14ac:dyDescent="0.35">
      <c r="B1405" s="8" t="s">
        <v>3</v>
      </c>
      <c r="C1405" s="8" t="s">
        <v>22</v>
      </c>
      <c r="D1405" s="8" t="s">
        <v>5</v>
      </c>
      <c r="E1405" s="8" t="s">
        <v>27</v>
      </c>
      <c r="F1405" s="8" t="s">
        <v>33</v>
      </c>
      <c r="G1405" s="8">
        <v>2016</v>
      </c>
      <c r="H1405" s="8">
        <v>2</v>
      </c>
      <c r="I1405" s="10">
        <v>42401</v>
      </c>
      <c r="J1405" s="11">
        <v>2840</v>
      </c>
      <c r="K1405" s="51"/>
      <c r="O1405" s="1" t="s">
        <v>3</v>
      </c>
      <c r="P1405" s="1" t="s">
        <v>22</v>
      </c>
      <c r="Q1405" s="1" t="s">
        <v>5</v>
      </c>
      <c r="R1405" s="1" t="s">
        <v>27</v>
      </c>
      <c r="S1405" s="1" t="s">
        <v>33</v>
      </c>
      <c r="T1405" s="1">
        <v>2016</v>
      </c>
      <c r="U1405" s="1">
        <v>2</v>
      </c>
      <c r="V1405" s="50">
        <v>42401</v>
      </c>
      <c r="W1405" s="4">
        <v>2556</v>
      </c>
      <c r="X1405" s="48">
        <v>2840</v>
      </c>
    </row>
    <row r="1406" spans="2:24" x14ac:dyDescent="0.35">
      <c r="B1406" s="8" t="s">
        <v>6</v>
      </c>
      <c r="C1406" s="8" t="s">
        <v>29</v>
      </c>
      <c r="D1406" s="8" t="s">
        <v>30</v>
      </c>
      <c r="E1406" s="8" t="s">
        <v>23</v>
      </c>
      <c r="F1406" s="8" t="s">
        <v>36</v>
      </c>
      <c r="G1406" s="8">
        <v>2016</v>
      </c>
      <c r="H1406" s="8">
        <v>2</v>
      </c>
      <c r="I1406" s="10">
        <v>42401</v>
      </c>
      <c r="J1406" s="11">
        <v>1837</v>
      </c>
      <c r="K1406" s="51"/>
      <c r="O1406" s="1" t="s">
        <v>6</v>
      </c>
      <c r="P1406" s="1" t="s">
        <v>29</v>
      </c>
      <c r="Q1406" s="1" t="s">
        <v>30</v>
      </c>
      <c r="R1406" s="1" t="s">
        <v>23</v>
      </c>
      <c r="S1406" s="1" t="s">
        <v>36</v>
      </c>
      <c r="T1406" s="1">
        <v>2016</v>
      </c>
      <c r="U1406" s="1">
        <v>2</v>
      </c>
      <c r="V1406" s="50">
        <v>42401</v>
      </c>
      <c r="W1406" s="4">
        <v>1634.9299999999998</v>
      </c>
      <c r="X1406" s="48">
        <v>1837</v>
      </c>
    </row>
    <row r="1407" spans="2:24" x14ac:dyDescent="0.35">
      <c r="B1407" s="8" t="s">
        <v>7</v>
      </c>
      <c r="C1407" s="8" t="s">
        <v>32</v>
      </c>
      <c r="D1407" s="8" t="s">
        <v>8</v>
      </c>
      <c r="E1407" s="8" t="s">
        <v>23</v>
      </c>
      <c r="F1407" s="8" t="s">
        <v>24</v>
      </c>
      <c r="G1407" s="8">
        <v>2016</v>
      </c>
      <c r="H1407" s="8">
        <v>2</v>
      </c>
      <c r="I1407" s="10">
        <v>42401</v>
      </c>
      <c r="J1407" s="11">
        <v>2061</v>
      </c>
      <c r="K1407" s="51"/>
      <c r="O1407" s="1" t="s">
        <v>7</v>
      </c>
      <c r="P1407" s="1" t="s">
        <v>32</v>
      </c>
      <c r="Q1407" s="1" t="s">
        <v>8</v>
      </c>
      <c r="R1407" s="1" t="s">
        <v>23</v>
      </c>
      <c r="S1407" s="1" t="s">
        <v>24</v>
      </c>
      <c r="T1407" s="1">
        <v>2016</v>
      </c>
      <c r="U1407" s="1">
        <v>2</v>
      </c>
      <c r="V1407" s="50">
        <v>42401</v>
      </c>
      <c r="W1407" s="4">
        <v>1875.5099999999998</v>
      </c>
      <c r="X1407" s="48">
        <v>2061</v>
      </c>
    </row>
    <row r="1408" spans="2:24" x14ac:dyDescent="0.35">
      <c r="B1408" s="8" t="s">
        <v>12</v>
      </c>
      <c r="C1408" s="8" t="s">
        <v>34</v>
      </c>
      <c r="D1408" s="8" t="s">
        <v>35</v>
      </c>
      <c r="E1408" s="8" t="s">
        <v>23</v>
      </c>
      <c r="F1408" s="6" t="s">
        <v>39</v>
      </c>
      <c r="G1408" s="8">
        <v>2016</v>
      </c>
      <c r="H1408" s="8">
        <v>2</v>
      </c>
      <c r="I1408" s="10">
        <v>42401</v>
      </c>
      <c r="J1408" s="11">
        <v>2586</v>
      </c>
      <c r="K1408" s="51"/>
      <c r="O1408" s="1" t="s">
        <v>12</v>
      </c>
      <c r="P1408" s="1" t="s">
        <v>34</v>
      </c>
      <c r="Q1408" s="1" t="s">
        <v>35</v>
      </c>
      <c r="R1408" s="1" t="s">
        <v>23</v>
      </c>
      <c r="S1408" t="s">
        <v>39</v>
      </c>
      <c r="T1408" s="1">
        <v>2016</v>
      </c>
      <c r="U1408" s="1">
        <v>2</v>
      </c>
      <c r="V1408" s="50">
        <v>42401</v>
      </c>
      <c r="W1408" s="4">
        <v>2275.6799999999998</v>
      </c>
      <c r="X1408" s="48">
        <v>2586</v>
      </c>
    </row>
    <row r="1409" spans="2:24" x14ac:dyDescent="0.35">
      <c r="B1409" s="8" t="s">
        <v>14</v>
      </c>
      <c r="C1409" s="8" t="s">
        <v>37</v>
      </c>
      <c r="D1409" s="8" t="s">
        <v>38</v>
      </c>
      <c r="E1409" s="8" t="s">
        <v>0</v>
      </c>
      <c r="F1409" s="6" t="s">
        <v>42</v>
      </c>
      <c r="G1409" s="8">
        <v>2016</v>
      </c>
      <c r="H1409" s="8">
        <v>2</v>
      </c>
      <c r="I1409" s="10">
        <v>42401</v>
      </c>
      <c r="J1409" s="11">
        <v>4823</v>
      </c>
      <c r="K1409" s="51"/>
      <c r="O1409" s="1" t="s">
        <v>14</v>
      </c>
      <c r="P1409" s="1" t="s">
        <v>37</v>
      </c>
      <c r="Q1409" s="1" t="s">
        <v>38</v>
      </c>
      <c r="R1409" s="1" t="s">
        <v>0</v>
      </c>
      <c r="S1409" t="s">
        <v>42</v>
      </c>
      <c r="T1409" s="1">
        <v>2016</v>
      </c>
      <c r="U1409" s="1">
        <v>2</v>
      </c>
      <c r="V1409" s="50">
        <v>42401</v>
      </c>
      <c r="W1409" s="4">
        <v>4485.3899999999994</v>
      </c>
      <c r="X1409" s="48">
        <v>4823</v>
      </c>
    </row>
    <row r="1410" spans="2:24" x14ac:dyDescent="0.35">
      <c r="B1410" s="8" t="s">
        <v>6</v>
      </c>
      <c r="C1410" s="8" t="s">
        <v>29</v>
      </c>
      <c r="D1410" s="8" t="s">
        <v>30</v>
      </c>
      <c r="E1410" s="8" t="s">
        <v>0</v>
      </c>
      <c r="F1410" s="6" t="s">
        <v>45</v>
      </c>
      <c r="G1410" s="8">
        <v>2016</v>
      </c>
      <c r="H1410" s="8">
        <v>2</v>
      </c>
      <c r="I1410" s="10">
        <v>42401</v>
      </c>
      <c r="J1410" s="11">
        <v>4105</v>
      </c>
      <c r="K1410" s="51"/>
      <c r="O1410" s="1" t="s">
        <v>6</v>
      </c>
      <c r="P1410" s="1" t="s">
        <v>29</v>
      </c>
      <c r="Q1410" s="1" t="s">
        <v>30</v>
      </c>
      <c r="R1410" s="1" t="s">
        <v>0</v>
      </c>
      <c r="S1410" t="s">
        <v>45</v>
      </c>
      <c r="T1410" s="1">
        <v>2016</v>
      </c>
      <c r="U1410" s="1">
        <v>2</v>
      </c>
      <c r="V1410" s="50">
        <v>42401</v>
      </c>
      <c r="W1410" s="4">
        <v>3530.3</v>
      </c>
      <c r="X1410" s="48">
        <v>4105</v>
      </c>
    </row>
    <row r="1411" spans="2:24" x14ac:dyDescent="0.35">
      <c r="B1411" s="8" t="s">
        <v>7</v>
      </c>
      <c r="C1411" s="8" t="s">
        <v>43</v>
      </c>
      <c r="D1411" s="8" t="s">
        <v>10</v>
      </c>
      <c r="E1411" s="9" t="s">
        <v>27</v>
      </c>
      <c r="F1411" s="9" t="s">
        <v>28</v>
      </c>
      <c r="G1411" s="8">
        <v>2016</v>
      </c>
      <c r="H1411" s="8">
        <v>2</v>
      </c>
      <c r="I1411" s="10">
        <v>42401</v>
      </c>
      <c r="J1411" s="11">
        <v>3860</v>
      </c>
      <c r="K1411" s="51"/>
      <c r="O1411" s="1" t="s">
        <v>7</v>
      </c>
      <c r="P1411" s="1" t="s">
        <v>43</v>
      </c>
      <c r="Q1411" s="1" t="s">
        <v>10</v>
      </c>
      <c r="R1411" s="2" t="s">
        <v>27</v>
      </c>
      <c r="S1411" s="2" t="s">
        <v>28</v>
      </c>
      <c r="T1411" s="1">
        <v>2016</v>
      </c>
      <c r="U1411" s="1">
        <v>2</v>
      </c>
      <c r="V1411" s="50">
        <v>42401</v>
      </c>
      <c r="W1411" s="4">
        <v>3473.9999999999995</v>
      </c>
      <c r="X1411" s="48">
        <v>3860</v>
      </c>
    </row>
    <row r="1412" spans="2:24" x14ac:dyDescent="0.35">
      <c r="B1412" s="8" t="s">
        <v>12</v>
      </c>
      <c r="C1412" s="8" t="s">
        <v>44</v>
      </c>
      <c r="D1412" s="8" t="s">
        <v>13</v>
      </c>
      <c r="E1412" s="8" t="s">
        <v>27</v>
      </c>
      <c r="F1412" s="9" t="s">
        <v>31</v>
      </c>
      <c r="G1412" s="8">
        <v>2016</v>
      </c>
      <c r="H1412" s="8">
        <v>2</v>
      </c>
      <c r="I1412" s="10">
        <v>42401</v>
      </c>
      <c r="J1412" s="11">
        <v>4293</v>
      </c>
      <c r="K1412" s="51"/>
      <c r="O1412" s="1" t="s">
        <v>12</v>
      </c>
      <c r="P1412" s="1" t="s">
        <v>44</v>
      </c>
      <c r="Q1412" s="1" t="s">
        <v>13</v>
      </c>
      <c r="R1412" s="1" t="s">
        <v>27</v>
      </c>
      <c r="S1412" s="2" t="s">
        <v>31</v>
      </c>
      <c r="T1412" s="1">
        <v>2016</v>
      </c>
      <c r="U1412" s="1">
        <v>2</v>
      </c>
      <c r="V1412" s="50">
        <v>42401</v>
      </c>
      <c r="W1412" s="4">
        <v>4035.4199999999996</v>
      </c>
      <c r="X1412" s="48">
        <v>4293</v>
      </c>
    </row>
    <row r="1413" spans="2:24" x14ac:dyDescent="0.35">
      <c r="B1413" s="8" t="s">
        <v>14</v>
      </c>
      <c r="C1413" s="8" t="s">
        <v>46</v>
      </c>
      <c r="D1413" s="8" t="s">
        <v>47</v>
      </c>
      <c r="E1413" s="8" t="s">
        <v>27</v>
      </c>
      <c r="F1413" s="6" t="s">
        <v>33</v>
      </c>
      <c r="G1413" s="8">
        <v>2016</v>
      </c>
      <c r="H1413" s="8">
        <v>2</v>
      </c>
      <c r="I1413" s="10">
        <v>42401</v>
      </c>
      <c r="J1413" s="11">
        <v>3220</v>
      </c>
      <c r="K1413" s="51"/>
      <c r="O1413" s="1" t="s">
        <v>14</v>
      </c>
      <c r="P1413" s="1" t="s">
        <v>46</v>
      </c>
      <c r="Q1413" s="1" t="s">
        <v>47</v>
      </c>
      <c r="R1413" s="1" t="s">
        <v>27</v>
      </c>
      <c r="S1413" t="s">
        <v>33</v>
      </c>
      <c r="T1413" s="1">
        <v>2016</v>
      </c>
      <c r="U1413" s="1">
        <v>2</v>
      </c>
      <c r="V1413" s="50">
        <v>42401</v>
      </c>
      <c r="W1413" s="4">
        <v>2962.3999999999996</v>
      </c>
      <c r="X1413" s="48">
        <v>3220</v>
      </c>
    </row>
    <row r="1414" spans="2:24" x14ac:dyDescent="0.35">
      <c r="B1414" s="8" t="s">
        <v>3</v>
      </c>
      <c r="C1414" s="8" t="s">
        <v>22</v>
      </c>
      <c r="D1414" s="8" t="s">
        <v>5</v>
      </c>
      <c r="E1414" s="8" t="s">
        <v>23</v>
      </c>
      <c r="F1414" s="8" t="s">
        <v>36</v>
      </c>
      <c r="G1414" s="8">
        <v>2016</v>
      </c>
      <c r="H1414" s="8">
        <v>2</v>
      </c>
      <c r="I1414" s="10">
        <v>42401</v>
      </c>
      <c r="J1414" s="11">
        <v>1634</v>
      </c>
      <c r="K1414" s="51"/>
      <c r="O1414" s="1" t="s">
        <v>3</v>
      </c>
      <c r="P1414" s="1" t="s">
        <v>22</v>
      </c>
      <c r="Q1414" s="1" t="s">
        <v>5</v>
      </c>
      <c r="R1414" s="1" t="s">
        <v>23</v>
      </c>
      <c r="S1414" s="1" t="s">
        <v>36</v>
      </c>
      <c r="T1414" s="1">
        <v>2016</v>
      </c>
      <c r="U1414" s="1">
        <v>2</v>
      </c>
      <c r="V1414" s="50">
        <v>42401</v>
      </c>
      <c r="W1414" s="4">
        <v>1454.2599999999998</v>
      </c>
      <c r="X1414" s="48">
        <v>1634</v>
      </c>
    </row>
    <row r="1415" spans="2:24" x14ac:dyDescent="0.35">
      <c r="B1415" s="8" t="s">
        <v>6</v>
      </c>
      <c r="C1415" s="8" t="s">
        <v>40</v>
      </c>
      <c r="D1415" s="8" t="s">
        <v>41</v>
      </c>
      <c r="E1415" s="8" t="s">
        <v>23</v>
      </c>
      <c r="F1415" s="8" t="s">
        <v>24</v>
      </c>
      <c r="G1415" s="8">
        <v>2016</v>
      </c>
      <c r="H1415" s="8">
        <v>2</v>
      </c>
      <c r="I1415" s="10">
        <v>42401</v>
      </c>
      <c r="J1415" s="11">
        <v>1540</v>
      </c>
      <c r="K1415" s="51"/>
      <c r="O1415" s="1" t="s">
        <v>6</v>
      </c>
      <c r="P1415" s="1" t="s">
        <v>40</v>
      </c>
      <c r="Q1415" s="1" t="s">
        <v>41</v>
      </c>
      <c r="R1415" s="1" t="s">
        <v>23</v>
      </c>
      <c r="S1415" s="1" t="s">
        <v>24</v>
      </c>
      <c r="T1415" s="1">
        <v>2016</v>
      </c>
      <c r="U1415" s="1">
        <v>2</v>
      </c>
      <c r="V1415" s="50">
        <v>42401</v>
      </c>
      <c r="W1415" s="4">
        <v>1432.1999999999998</v>
      </c>
      <c r="X1415" s="48">
        <v>1540</v>
      </c>
    </row>
    <row r="1416" spans="2:24" x14ac:dyDescent="0.35">
      <c r="B1416" s="8" t="s">
        <v>7</v>
      </c>
      <c r="C1416" s="8" t="s">
        <v>32</v>
      </c>
      <c r="D1416" s="8" t="s">
        <v>8</v>
      </c>
      <c r="E1416" s="8" t="s">
        <v>23</v>
      </c>
      <c r="F1416" s="8" t="s">
        <v>39</v>
      </c>
      <c r="G1416" s="8">
        <v>2016</v>
      </c>
      <c r="H1416" s="8">
        <v>2</v>
      </c>
      <c r="I1416" s="10">
        <v>42401</v>
      </c>
      <c r="J1416" s="11">
        <v>1880</v>
      </c>
      <c r="K1416" s="51"/>
      <c r="O1416" s="1" t="s">
        <v>7</v>
      </c>
      <c r="P1416" s="1" t="s">
        <v>32</v>
      </c>
      <c r="Q1416" s="1" t="s">
        <v>8</v>
      </c>
      <c r="R1416" s="1" t="s">
        <v>23</v>
      </c>
      <c r="S1416" s="1" t="s">
        <v>39</v>
      </c>
      <c r="T1416" s="1">
        <v>2016</v>
      </c>
      <c r="U1416" s="1">
        <v>2</v>
      </c>
      <c r="V1416" s="50">
        <v>42401</v>
      </c>
      <c r="W1416" s="4">
        <v>1729.6</v>
      </c>
      <c r="X1416" s="48">
        <v>1880</v>
      </c>
    </row>
    <row r="1417" spans="2:24" x14ac:dyDescent="0.35">
      <c r="B1417" s="8" t="s">
        <v>12</v>
      </c>
      <c r="C1417" s="8" t="s">
        <v>34</v>
      </c>
      <c r="D1417" s="8" t="s">
        <v>35</v>
      </c>
      <c r="E1417" s="8" t="s">
        <v>0</v>
      </c>
      <c r="F1417" s="6" t="s">
        <v>42</v>
      </c>
      <c r="G1417" s="8">
        <v>2016</v>
      </c>
      <c r="H1417" s="8">
        <v>2</v>
      </c>
      <c r="I1417" s="10">
        <v>42401</v>
      </c>
      <c r="J1417" s="11">
        <v>5796</v>
      </c>
      <c r="K1417" s="51"/>
      <c r="O1417" s="1" t="s">
        <v>12</v>
      </c>
      <c r="P1417" s="1" t="s">
        <v>34</v>
      </c>
      <c r="Q1417" s="1" t="s">
        <v>35</v>
      </c>
      <c r="R1417" s="1" t="s">
        <v>0</v>
      </c>
      <c r="S1417" t="s">
        <v>42</v>
      </c>
      <c r="T1417" s="1">
        <v>2016</v>
      </c>
      <c r="U1417" s="1">
        <v>2</v>
      </c>
      <c r="V1417" s="50">
        <v>42401</v>
      </c>
      <c r="W1417" s="4">
        <v>5042.5200000000004</v>
      </c>
      <c r="X1417" s="48">
        <v>5796</v>
      </c>
    </row>
    <row r="1418" spans="2:24" x14ac:dyDescent="0.35">
      <c r="B1418" s="8" t="s">
        <v>14</v>
      </c>
      <c r="C1418" s="8" t="s">
        <v>37</v>
      </c>
      <c r="D1418" s="8" t="s">
        <v>38</v>
      </c>
      <c r="E1418" s="8" t="s">
        <v>0</v>
      </c>
      <c r="F1418" s="6" t="s">
        <v>26</v>
      </c>
      <c r="G1418" s="8">
        <v>2016</v>
      </c>
      <c r="H1418" s="8">
        <v>2</v>
      </c>
      <c r="I1418" s="10">
        <v>42401</v>
      </c>
      <c r="J1418" s="11">
        <v>2757</v>
      </c>
      <c r="K1418" s="51"/>
      <c r="O1418" s="1" t="s">
        <v>14</v>
      </c>
      <c r="P1418" s="1" t="s">
        <v>37</v>
      </c>
      <c r="Q1418" s="1" t="s">
        <v>38</v>
      </c>
      <c r="R1418" s="1" t="s">
        <v>0</v>
      </c>
      <c r="S1418" t="s">
        <v>26</v>
      </c>
      <c r="T1418" s="1">
        <v>2016</v>
      </c>
      <c r="U1418" s="1">
        <v>2</v>
      </c>
      <c r="V1418" s="50">
        <v>42401</v>
      </c>
      <c r="W1418" s="4">
        <v>2508.87</v>
      </c>
      <c r="X1418" s="48">
        <v>2757</v>
      </c>
    </row>
    <row r="1419" spans="2:24" x14ac:dyDescent="0.35">
      <c r="B1419" s="8" t="s">
        <v>3</v>
      </c>
      <c r="C1419" s="8" t="s">
        <v>25</v>
      </c>
      <c r="D1419" s="8" t="s">
        <v>4</v>
      </c>
      <c r="E1419" s="8" t="s">
        <v>0</v>
      </c>
      <c r="F1419" s="6" t="s">
        <v>45</v>
      </c>
      <c r="G1419" s="8">
        <v>2016</v>
      </c>
      <c r="H1419" s="8">
        <v>2</v>
      </c>
      <c r="I1419" s="10">
        <v>42401</v>
      </c>
      <c r="J1419" s="11">
        <v>3597</v>
      </c>
      <c r="K1419" s="51"/>
      <c r="O1419" s="1" t="s">
        <v>3</v>
      </c>
      <c r="P1419" s="1" t="s">
        <v>25</v>
      </c>
      <c r="Q1419" s="1" t="s">
        <v>4</v>
      </c>
      <c r="R1419" s="1" t="s">
        <v>0</v>
      </c>
      <c r="S1419" t="s">
        <v>45</v>
      </c>
      <c r="T1419" s="1">
        <v>2016</v>
      </c>
      <c r="U1419" s="1">
        <v>2</v>
      </c>
      <c r="V1419" s="50">
        <v>42401</v>
      </c>
      <c r="W1419" s="4">
        <v>3273.2699999999995</v>
      </c>
      <c r="X1419" s="48">
        <v>3597</v>
      </c>
    </row>
    <row r="1420" spans="2:24" x14ac:dyDescent="0.35">
      <c r="B1420" s="8" t="s">
        <v>6</v>
      </c>
      <c r="C1420" s="8" t="s">
        <v>29</v>
      </c>
      <c r="D1420" s="8" t="s">
        <v>30</v>
      </c>
      <c r="E1420" s="9" t="s">
        <v>27</v>
      </c>
      <c r="F1420" s="9" t="s">
        <v>28</v>
      </c>
      <c r="G1420" s="8">
        <v>2016</v>
      </c>
      <c r="H1420" s="8">
        <v>2</v>
      </c>
      <c r="I1420" s="10">
        <v>42401</v>
      </c>
      <c r="J1420" s="11">
        <v>3613</v>
      </c>
      <c r="K1420" s="51"/>
      <c r="O1420" s="1" t="s">
        <v>6</v>
      </c>
      <c r="P1420" s="1" t="s">
        <v>29</v>
      </c>
      <c r="Q1420" s="1" t="s">
        <v>30</v>
      </c>
      <c r="R1420" s="2" t="s">
        <v>27</v>
      </c>
      <c r="S1420" s="2" t="s">
        <v>28</v>
      </c>
      <c r="T1420" s="1">
        <v>2016</v>
      </c>
      <c r="U1420" s="1">
        <v>2</v>
      </c>
      <c r="V1420" s="50">
        <v>42401</v>
      </c>
      <c r="W1420" s="4">
        <v>3360.0899999999997</v>
      </c>
      <c r="X1420" s="48">
        <v>3613</v>
      </c>
    </row>
    <row r="1421" spans="2:24" x14ac:dyDescent="0.35">
      <c r="B1421" s="8" t="s">
        <v>7</v>
      </c>
      <c r="C1421" s="8" t="s">
        <v>43</v>
      </c>
      <c r="D1421" s="8" t="s">
        <v>10</v>
      </c>
      <c r="E1421" s="8" t="s">
        <v>27</v>
      </c>
      <c r="F1421" s="9" t="s">
        <v>31</v>
      </c>
      <c r="G1421" s="8">
        <v>2016</v>
      </c>
      <c r="H1421" s="8">
        <v>2</v>
      </c>
      <c r="I1421" s="10">
        <v>42401</v>
      </c>
      <c r="J1421" s="11">
        <v>5517</v>
      </c>
      <c r="K1421" s="51"/>
      <c r="O1421" s="1" t="s">
        <v>7</v>
      </c>
      <c r="P1421" s="1" t="s">
        <v>43</v>
      </c>
      <c r="Q1421" s="1" t="s">
        <v>10</v>
      </c>
      <c r="R1421" s="1" t="s">
        <v>27</v>
      </c>
      <c r="S1421" s="2" t="s">
        <v>31</v>
      </c>
      <c r="T1421" s="1">
        <v>2016</v>
      </c>
      <c r="U1421" s="1">
        <v>2</v>
      </c>
      <c r="V1421" s="50">
        <v>42401</v>
      </c>
      <c r="W1421" s="4">
        <v>5130.8099999999995</v>
      </c>
      <c r="X1421" s="48">
        <v>5517</v>
      </c>
    </row>
    <row r="1422" spans="2:24" x14ac:dyDescent="0.35">
      <c r="B1422" s="8" t="s">
        <v>12</v>
      </c>
      <c r="C1422" s="8" t="s">
        <v>44</v>
      </c>
      <c r="D1422" s="8" t="s">
        <v>13</v>
      </c>
      <c r="E1422" s="8" t="s">
        <v>27</v>
      </c>
      <c r="F1422" s="6" t="s">
        <v>33</v>
      </c>
      <c r="G1422" s="8">
        <v>2016</v>
      </c>
      <c r="H1422" s="8">
        <v>2</v>
      </c>
      <c r="I1422" s="10">
        <v>42401</v>
      </c>
      <c r="J1422" s="11">
        <v>3037</v>
      </c>
      <c r="K1422" s="51"/>
      <c r="O1422" s="1" t="s">
        <v>12</v>
      </c>
      <c r="P1422" s="1" t="s">
        <v>44</v>
      </c>
      <c r="Q1422" s="1" t="s">
        <v>13</v>
      </c>
      <c r="R1422" s="1" t="s">
        <v>27</v>
      </c>
      <c r="S1422" t="s">
        <v>33</v>
      </c>
      <c r="T1422" s="1">
        <v>2016</v>
      </c>
      <c r="U1422" s="1">
        <v>2</v>
      </c>
      <c r="V1422" s="50">
        <v>42401</v>
      </c>
      <c r="W1422" s="4">
        <v>2672.5599999999995</v>
      </c>
      <c r="X1422" s="48">
        <v>3037</v>
      </c>
    </row>
    <row r="1423" spans="2:24" x14ac:dyDescent="0.35">
      <c r="B1423" s="8" t="s">
        <v>14</v>
      </c>
      <c r="C1423" s="8" t="s">
        <v>46</v>
      </c>
      <c r="D1423" s="8" t="s">
        <v>47</v>
      </c>
      <c r="E1423" s="8" t="s">
        <v>23</v>
      </c>
      <c r="F1423" s="8" t="s">
        <v>36</v>
      </c>
      <c r="G1423" s="8">
        <v>2016</v>
      </c>
      <c r="H1423" s="8">
        <v>2</v>
      </c>
      <c r="I1423" s="10">
        <v>42401</v>
      </c>
      <c r="J1423" s="11">
        <v>1965</v>
      </c>
      <c r="K1423" s="51"/>
      <c r="O1423" s="1" t="s">
        <v>14</v>
      </c>
      <c r="P1423" s="1" t="s">
        <v>46</v>
      </c>
      <c r="Q1423" s="1" t="s">
        <v>47</v>
      </c>
      <c r="R1423" s="1" t="s">
        <v>23</v>
      </c>
      <c r="S1423" s="1" t="s">
        <v>36</v>
      </c>
      <c r="T1423" s="1">
        <v>2016</v>
      </c>
      <c r="U1423" s="1">
        <v>2</v>
      </c>
      <c r="V1423" s="50">
        <v>42401</v>
      </c>
      <c r="W1423" s="4">
        <v>1768.4999999999998</v>
      </c>
      <c r="X1423" s="48">
        <v>1965</v>
      </c>
    </row>
    <row r="1424" spans="2:24" x14ac:dyDescent="0.35">
      <c r="B1424" s="8" t="s">
        <v>6</v>
      </c>
      <c r="C1424" s="8" t="s">
        <v>29</v>
      </c>
      <c r="D1424" s="8" t="s">
        <v>30</v>
      </c>
      <c r="E1424" s="8" t="s">
        <v>23</v>
      </c>
      <c r="F1424" s="8" t="s">
        <v>39</v>
      </c>
      <c r="G1424" s="8">
        <v>2016</v>
      </c>
      <c r="H1424" s="8">
        <v>2</v>
      </c>
      <c r="I1424" s="10">
        <v>42401</v>
      </c>
      <c r="J1424" s="11">
        <v>1861</v>
      </c>
      <c r="K1424" s="51"/>
      <c r="O1424" s="1" t="s">
        <v>6</v>
      </c>
      <c r="P1424" s="1" t="s">
        <v>29</v>
      </c>
      <c r="Q1424" s="1" t="s">
        <v>30</v>
      </c>
      <c r="R1424" s="1" t="s">
        <v>23</v>
      </c>
      <c r="S1424" s="1" t="s">
        <v>39</v>
      </c>
      <c r="T1424" s="1">
        <v>2016</v>
      </c>
      <c r="U1424" s="1">
        <v>2</v>
      </c>
      <c r="V1424" s="50">
        <v>42401</v>
      </c>
      <c r="W1424" s="4">
        <v>1600.4600000000003</v>
      </c>
      <c r="X1424" s="48">
        <v>1861</v>
      </c>
    </row>
    <row r="1425" spans="2:24" x14ac:dyDescent="0.35">
      <c r="B1425" s="8" t="s">
        <v>7</v>
      </c>
      <c r="C1425" s="8" t="s">
        <v>32</v>
      </c>
      <c r="D1425" s="8" t="s">
        <v>8</v>
      </c>
      <c r="E1425" s="8" t="s">
        <v>0</v>
      </c>
      <c r="F1425" s="8" t="s">
        <v>42</v>
      </c>
      <c r="G1425" s="8">
        <v>2016</v>
      </c>
      <c r="H1425" s="8">
        <v>2</v>
      </c>
      <c r="I1425" s="10">
        <v>42401</v>
      </c>
      <c r="J1425" s="11">
        <v>5776</v>
      </c>
      <c r="K1425" s="51"/>
      <c r="O1425" s="1" t="s">
        <v>7</v>
      </c>
      <c r="P1425" s="1" t="s">
        <v>32</v>
      </c>
      <c r="Q1425" s="1" t="s">
        <v>8</v>
      </c>
      <c r="R1425" s="1" t="s">
        <v>0</v>
      </c>
      <c r="S1425" s="1" t="s">
        <v>42</v>
      </c>
      <c r="T1425" s="1">
        <v>2016</v>
      </c>
      <c r="U1425" s="1">
        <v>2</v>
      </c>
      <c r="V1425" s="50">
        <v>42401</v>
      </c>
      <c r="W1425" s="4">
        <v>5256.16</v>
      </c>
      <c r="X1425" s="48">
        <v>5776</v>
      </c>
    </row>
    <row r="1426" spans="2:24" x14ac:dyDescent="0.35">
      <c r="B1426" s="8" t="s">
        <v>12</v>
      </c>
      <c r="C1426" s="8" t="s">
        <v>44</v>
      </c>
      <c r="D1426" s="8" t="s">
        <v>13</v>
      </c>
      <c r="E1426" s="8" t="s">
        <v>0</v>
      </c>
      <c r="F1426" s="6" t="s">
        <v>26</v>
      </c>
      <c r="G1426" s="8">
        <v>2016</v>
      </c>
      <c r="H1426" s="8">
        <v>2</v>
      </c>
      <c r="I1426" s="10">
        <v>42401</v>
      </c>
      <c r="J1426" s="11">
        <v>3915</v>
      </c>
      <c r="K1426" s="51"/>
      <c r="O1426" s="1" t="s">
        <v>12</v>
      </c>
      <c r="P1426" s="1" t="s">
        <v>44</v>
      </c>
      <c r="Q1426" s="1" t="s">
        <v>13</v>
      </c>
      <c r="R1426" s="1" t="s">
        <v>0</v>
      </c>
      <c r="S1426" t="s">
        <v>26</v>
      </c>
      <c r="T1426" s="1">
        <v>2016</v>
      </c>
      <c r="U1426" s="1">
        <v>2</v>
      </c>
      <c r="V1426" s="50">
        <v>42401</v>
      </c>
      <c r="W1426" s="4">
        <v>3640.95</v>
      </c>
      <c r="X1426" s="48">
        <v>3915</v>
      </c>
    </row>
    <row r="1427" spans="2:24" x14ac:dyDescent="0.35">
      <c r="B1427" s="8" t="s">
        <v>14</v>
      </c>
      <c r="C1427" s="8" t="s">
        <v>37</v>
      </c>
      <c r="D1427" s="8" t="s">
        <v>38</v>
      </c>
      <c r="E1427" s="8" t="s">
        <v>0</v>
      </c>
      <c r="F1427" s="6" t="s">
        <v>45</v>
      </c>
      <c r="G1427" s="8">
        <v>2016</v>
      </c>
      <c r="H1427" s="8">
        <v>2</v>
      </c>
      <c r="I1427" s="10">
        <v>42401</v>
      </c>
      <c r="J1427" s="11">
        <v>4245</v>
      </c>
      <c r="K1427" s="51"/>
      <c r="O1427" s="1" t="s">
        <v>14</v>
      </c>
      <c r="P1427" s="1" t="s">
        <v>37</v>
      </c>
      <c r="Q1427" s="1" t="s">
        <v>38</v>
      </c>
      <c r="R1427" s="1" t="s">
        <v>0</v>
      </c>
      <c r="S1427" t="s">
        <v>45</v>
      </c>
      <c r="T1427" s="1">
        <v>2016</v>
      </c>
      <c r="U1427" s="1">
        <v>2</v>
      </c>
      <c r="V1427" s="50">
        <v>42401</v>
      </c>
      <c r="W1427" s="4">
        <v>3778.0499999999997</v>
      </c>
      <c r="X1427" s="48">
        <v>4245</v>
      </c>
    </row>
    <row r="1428" spans="2:24" x14ac:dyDescent="0.35">
      <c r="B1428" s="8" t="s">
        <v>3</v>
      </c>
      <c r="C1428" s="8" t="s">
        <v>25</v>
      </c>
      <c r="D1428" s="8" t="s">
        <v>4</v>
      </c>
      <c r="E1428" s="8" t="s">
        <v>27</v>
      </c>
      <c r="F1428" s="6" t="s">
        <v>28</v>
      </c>
      <c r="G1428" s="8">
        <v>2016</v>
      </c>
      <c r="H1428" s="8">
        <v>2</v>
      </c>
      <c r="I1428" s="10">
        <v>42401</v>
      </c>
      <c r="J1428" s="11">
        <v>3964</v>
      </c>
      <c r="K1428" s="51"/>
      <c r="O1428" s="1" t="s">
        <v>3</v>
      </c>
      <c r="P1428" s="1" t="s">
        <v>25</v>
      </c>
      <c r="Q1428" s="1" t="s">
        <v>4</v>
      </c>
      <c r="R1428" s="1" t="s">
        <v>27</v>
      </c>
      <c r="S1428" t="s">
        <v>28</v>
      </c>
      <c r="T1428" s="1">
        <v>2016</v>
      </c>
      <c r="U1428" s="1">
        <v>2</v>
      </c>
      <c r="V1428" s="50">
        <v>42401</v>
      </c>
      <c r="W1428" s="4">
        <v>3448.6800000000003</v>
      </c>
      <c r="X1428" s="48">
        <v>3964</v>
      </c>
    </row>
    <row r="1429" spans="2:24" x14ac:dyDescent="0.35">
      <c r="B1429" s="8" t="s">
        <v>3</v>
      </c>
      <c r="C1429" s="8" t="s">
        <v>25</v>
      </c>
      <c r="D1429" s="8" t="s">
        <v>4</v>
      </c>
      <c r="E1429" s="9" t="s">
        <v>27</v>
      </c>
      <c r="F1429" s="9" t="s">
        <v>31</v>
      </c>
      <c r="G1429" s="8">
        <v>2016</v>
      </c>
      <c r="H1429" s="8">
        <v>2</v>
      </c>
      <c r="I1429" s="10">
        <v>42401</v>
      </c>
      <c r="J1429" s="11">
        <v>2810</v>
      </c>
      <c r="K1429" s="51"/>
      <c r="O1429" s="1" t="s">
        <v>3</v>
      </c>
      <c r="P1429" s="1" t="s">
        <v>25</v>
      </c>
      <c r="Q1429" s="1" t="s">
        <v>4</v>
      </c>
      <c r="R1429" s="2" t="s">
        <v>27</v>
      </c>
      <c r="S1429" s="2" t="s">
        <v>31</v>
      </c>
      <c r="T1429" s="1">
        <v>2016</v>
      </c>
      <c r="U1429" s="1">
        <v>2</v>
      </c>
      <c r="V1429" s="50">
        <v>42401</v>
      </c>
      <c r="W1429" s="4">
        <v>2500.8999999999996</v>
      </c>
      <c r="X1429" s="48">
        <v>2810</v>
      </c>
    </row>
    <row r="1430" spans="2:24" x14ac:dyDescent="0.35">
      <c r="B1430" s="8" t="s">
        <v>6</v>
      </c>
      <c r="C1430" s="8" t="s">
        <v>40</v>
      </c>
      <c r="D1430" s="8" t="s">
        <v>41</v>
      </c>
      <c r="E1430" s="8" t="s">
        <v>27</v>
      </c>
      <c r="F1430" s="9" t="s">
        <v>33</v>
      </c>
      <c r="G1430" s="8">
        <v>2016</v>
      </c>
      <c r="H1430" s="8">
        <v>2</v>
      </c>
      <c r="I1430" s="10">
        <v>42401</v>
      </c>
      <c r="J1430" s="11">
        <v>3823</v>
      </c>
      <c r="K1430" s="51"/>
      <c r="O1430" s="1" t="s">
        <v>6</v>
      </c>
      <c r="P1430" s="1" t="s">
        <v>40</v>
      </c>
      <c r="Q1430" s="1" t="s">
        <v>41</v>
      </c>
      <c r="R1430" s="1" t="s">
        <v>27</v>
      </c>
      <c r="S1430" s="2" t="s">
        <v>33</v>
      </c>
      <c r="T1430" s="1">
        <v>2016</v>
      </c>
      <c r="U1430" s="1">
        <v>2</v>
      </c>
      <c r="V1430" s="50">
        <v>42401</v>
      </c>
      <c r="W1430" s="4">
        <v>3440.7</v>
      </c>
      <c r="X1430" s="48">
        <v>3823</v>
      </c>
    </row>
    <row r="1431" spans="2:24" x14ac:dyDescent="0.35">
      <c r="B1431" s="8" t="s">
        <v>6</v>
      </c>
      <c r="C1431" s="8" t="s">
        <v>40</v>
      </c>
      <c r="D1431" s="8" t="s">
        <v>41</v>
      </c>
      <c r="E1431" s="8" t="s">
        <v>23</v>
      </c>
      <c r="F1431" s="6" t="s">
        <v>36</v>
      </c>
      <c r="G1431" s="8">
        <v>2016</v>
      </c>
      <c r="H1431" s="8">
        <v>2</v>
      </c>
      <c r="I1431" s="10">
        <v>42401</v>
      </c>
      <c r="J1431" s="11">
        <v>2787</v>
      </c>
      <c r="K1431" s="51"/>
      <c r="O1431" s="1" t="s">
        <v>6</v>
      </c>
      <c r="P1431" s="1" t="s">
        <v>40</v>
      </c>
      <c r="Q1431" s="1" t="s">
        <v>41</v>
      </c>
      <c r="R1431" s="1" t="s">
        <v>23</v>
      </c>
      <c r="S1431" t="s">
        <v>36</v>
      </c>
      <c r="T1431" s="1">
        <v>2016</v>
      </c>
      <c r="U1431" s="1">
        <v>2</v>
      </c>
      <c r="V1431" s="50">
        <v>42401</v>
      </c>
      <c r="W1431" s="4">
        <v>2480.4299999999998</v>
      </c>
      <c r="X1431" s="48">
        <v>2787</v>
      </c>
    </row>
    <row r="1432" spans="2:24" x14ac:dyDescent="0.35">
      <c r="B1432" s="8" t="s">
        <v>7</v>
      </c>
      <c r="C1432" s="8" t="s">
        <v>43</v>
      </c>
      <c r="D1432" s="8" t="s">
        <v>10</v>
      </c>
      <c r="E1432" s="8" t="s">
        <v>23</v>
      </c>
      <c r="F1432" s="8" t="s">
        <v>24</v>
      </c>
      <c r="G1432" s="8">
        <v>2016</v>
      </c>
      <c r="H1432" s="8">
        <v>2</v>
      </c>
      <c r="I1432" s="10">
        <v>42401</v>
      </c>
      <c r="J1432" s="11">
        <v>2924</v>
      </c>
      <c r="K1432" s="51"/>
      <c r="O1432" s="1" t="s">
        <v>7</v>
      </c>
      <c r="P1432" s="1" t="s">
        <v>43</v>
      </c>
      <c r="Q1432" s="1" t="s">
        <v>10</v>
      </c>
      <c r="R1432" s="1" t="s">
        <v>23</v>
      </c>
      <c r="S1432" s="1" t="s">
        <v>24</v>
      </c>
      <c r="T1432" s="1">
        <v>2016</v>
      </c>
      <c r="U1432" s="1">
        <v>2</v>
      </c>
      <c r="V1432" s="50">
        <v>42401</v>
      </c>
      <c r="W1432" s="4">
        <v>2748.56</v>
      </c>
      <c r="X1432" s="48">
        <v>2924</v>
      </c>
    </row>
    <row r="1433" spans="2:24" x14ac:dyDescent="0.35">
      <c r="B1433" s="8" t="s">
        <v>7</v>
      </c>
      <c r="C1433" s="8" t="s">
        <v>43</v>
      </c>
      <c r="D1433" s="8" t="s">
        <v>10</v>
      </c>
      <c r="E1433" s="8" t="s">
        <v>23</v>
      </c>
      <c r="F1433" s="8" t="s">
        <v>39</v>
      </c>
      <c r="G1433" s="8">
        <v>2016</v>
      </c>
      <c r="H1433" s="8">
        <v>2</v>
      </c>
      <c r="I1433" s="10">
        <v>42401</v>
      </c>
      <c r="J1433" s="11">
        <v>1847</v>
      </c>
      <c r="K1433" s="51"/>
      <c r="O1433" s="1" t="s">
        <v>7</v>
      </c>
      <c r="P1433" s="1" t="s">
        <v>43</v>
      </c>
      <c r="Q1433" s="1" t="s">
        <v>10</v>
      </c>
      <c r="R1433" s="1" t="s">
        <v>23</v>
      </c>
      <c r="S1433" s="1" t="s">
        <v>39</v>
      </c>
      <c r="T1433" s="1">
        <v>2016</v>
      </c>
      <c r="U1433" s="1">
        <v>2</v>
      </c>
      <c r="V1433" s="50">
        <v>42401</v>
      </c>
      <c r="W1433" s="4">
        <v>1606.89</v>
      </c>
      <c r="X1433" s="48">
        <v>1847</v>
      </c>
    </row>
    <row r="1434" spans="2:24" x14ac:dyDescent="0.35">
      <c r="B1434" s="8" t="s">
        <v>7</v>
      </c>
      <c r="C1434" s="8" t="s">
        <v>32</v>
      </c>
      <c r="D1434" s="8" t="s">
        <v>8</v>
      </c>
      <c r="E1434" s="8" t="s">
        <v>0</v>
      </c>
      <c r="F1434" s="8" t="s">
        <v>26</v>
      </c>
      <c r="G1434" s="8">
        <v>2016</v>
      </c>
      <c r="H1434" s="8">
        <v>2</v>
      </c>
      <c r="I1434" s="10">
        <v>42401</v>
      </c>
      <c r="J1434" s="11">
        <v>5232</v>
      </c>
      <c r="K1434" s="51"/>
      <c r="O1434" s="1" t="s">
        <v>7</v>
      </c>
      <c r="P1434" s="1" t="s">
        <v>32</v>
      </c>
      <c r="Q1434" s="1" t="s">
        <v>8</v>
      </c>
      <c r="R1434" s="1" t="s">
        <v>0</v>
      </c>
      <c r="S1434" s="1" t="s">
        <v>26</v>
      </c>
      <c r="T1434" s="1">
        <v>2016</v>
      </c>
      <c r="U1434" s="1">
        <v>2</v>
      </c>
      <c r="V1434" s="50">
        <v>42401</v>
      </c>
      <c r="W1434" s="4">
        <v>4761.12</v>
      </c>
      <c r="X1434" s="48">
        <v>5232</v>
      </c>
    </row>
    <row r="1435" spans="2:24" x14ac:dyDescent="0.35">
      <c r="B1435" s="8" t="s">
        <v>3</v>
      </c>
      <c r="C1435" s="8" t="s">
        <v>22</v>
      </c>
      <c r="D1435" s="8" t="s">
        <v>5</v>
      </c>
      <c r="E1435" s="8" t="s">
        <v>0</v>
      </c>
      <c r="F1435" s="6" t="s">
        <v>45</v>
      </c>
      <c r="G1435" s="8">
        <v>2016</v>
      </c>
      <c r="H1435" s="8">
        <v>2</v>
      </c>
      <c r="I1435" s="10">
        <v>42401</v>
      </c>
      <c r="J1435" s="11">
        <v>3422</v>
      </c>
      <c r="K1435" s="51"/>
      <c r="O1435" s="1" t="s">
        <v>3</v>
      </c>
      <c r="P1435" s="1" t="s">
        <v>22</v>
      </c>
      <c r="Q1435" s="1" t="s">
        <v>5</v>
      </c>
      <c r="R1435" s="1" t="s">
        <v>0</v>
      </c>
      <c r="S1435" t="s">
        <v>45</v>
      </c>
      <c r="T1435" s="1">
        <v>2016</v>
      </c>
      <c r="U1435" s="1">
        <v>2</v>
      </c>
      <c r="V1435" s="50">
        <v>42401</v>
      </c>
      <c r="W1435" s="4">
        <v>3114.0199999999995</v>
      </c>
      <c r="X1435" s="48">
        <v>3422</v>
      </c>
    </row>
    <row r="1436" spans="2:24" x14ac:dyDescent="0.35">
      <c r="B1436" s="8" t="s">
        <v>7</v>
      </c>
      <c r="C1436" s="8" t="s">
        <v>48</v>
      </c>
      <c r="D1436" s="8" t="s">
        <v>9</v>
      </c>
      <c r="E1436" s="8" t="s">
        <v>23</v>
      </c>
      <c r="F1436" s="6" t="s">
        <v>36</v>
      </c>
      <c r="G1436" s="8">
        <v>2016</v>
      </c>
      <c r="H1436" s="8">
        <v>2</v>
      </c>
      <c r="I1436" s="10">
        <v>42401</v>
      </c>
      <c r="J1436" s="11">
        <v>1863</v>
      </c>
      <c r="K1436" s="51"/>
      <c r="O1436" s="1" t="s">
        <v>7</v>
      </c>
      <c r="P1436" s="1" t="s">
        <v>48</v>
      </c>
      <c r="Q1436" s="1" t="s">
        <v>9</v>
      </c>
      <c r="R1436" s="1" t="s">
        <v>23</v>
      </c>
      <c r="S1436" t="s">
        <v>36</v>
      </c>
      <c r="T1436" s="1">
        <v>2016</v>
      </c>
      <c r="U1436" s="1">
        <v>2</v>
      </c>
      <c r="V1436" s="50">
        <v>42401</v>
      </c>
      <c r="W1436" s="4">
        <v>1620.8100000000002</v>
      </c>
      <c r="X1436" s="48">
        <v>1863</v>
      </c>
    </row>
    <row r="1437" spans="2:24" x14ac:dyDescent="0.35">
      <c r="B1437" s="8" t="s">
        <v>7</v>
      </c>
      <c r="C1437" s="8" t="s">
        <v>48</v>
      </c>
      <c r="D1437" s="8" t="s">
        <v>9</v>
      </c>
      <c r="E1437" s="8" t="s">
        <v>23</v>
      </c>
      <c r="F1437" s="6" t="s">
        <v>24</v>
      </c>
      <c r="G1437" s="8">
        <v>2016</v>
      </c>
      <c r="H1437" s="8">
        <v>2</v>
      </c>
      <c r="I1437" s="10">
        <v>42401</v>
      </c>
      <c r="J1437" s="11">
        <v>2319</v>
      </c>
      <c r="K1437" s="51"/>
      <c r="O1437" s="1" t="s">
        <v>7</v>
      </c>
      <c r="P1437" s="1" t="s">
        <v>48</v>
      </c>
      <c r="Q1437" s="1" t="s">
        <v>9</v>
      </c>
      <c r="R1437" s="1" t="s">
        <v>23</v>
      </c>
      <c r="S1437" t="s">
        <v>24</v>
      </c>
      <c r="T1437" s="1">
        <v>2016</v>
      </c>
      <c r="U1437" s="1">
        <v>2</v>
      </c>
      <c r="V1437" s="50">
        <v>42401</v>
      </c>
      <c r="W1437" s="4">
        <v>1971.15</v>
      </c>
      <c r="X1437" s="48">
        <v>2319</v>
      </c>
    </row>
    <row r="1438" spans="2:24" x14ac:dyDescent="0.35">
      <c r="B1438" s="8" t="s">
        <v>7</v>
      </c>
      <c r="C1438" s="8" t="s">
        <v>49</v>
      </c>
      <c r="D1438" s="8" t="s">
        <v>11</v>
      </c>
      <c r="E1438" s="9" t="s">
        <v>23</v>
      </c>
      <c r="F1438" s="9" t="s">
        <v>39</v>
      </c>
      <c r="G1438" s="8">
        <v>2016</v>
      </c>
      <c r="H1438" s="8">
        <v>2</v>
      </c>
      <c r="I1438" s="10">
        <v>42401</v>
      </c>
      <c r="J1438" s="11">
        <v>2811</v>
      </c>
      <c r="K1438" s="51"/>
      <c r="O1438" s="1" t="s">
        <v>7</v>
      </c>
      <c r="P1438" s="1" t="s">
        <v>49</v>
      </c>
      <c r="Q1438" s="1" t="s">
        <v>11</v>
      </c>
      <c r="R1438" s="2" t="s">
        <v>23</v>
      </c>
      <c r="S1438" s="2" t="s">
        <v>39</v>
      </c>
      <c r="T1438" s="1">
        <v>2016</v>
      </c>
      <c r="U1438" s="1">
        <v>2</v>
      </c>
      <c r="V1438" s="50">
        <v>42401</v>
      </c>
      <c r="W1438" s="4">
        <v>2614.23</v>
      </c>
      <c r="X1438" s="48">
        <v>2811</v>
      </c>
    </row>
    <row r="1439" spans="2:24" x14ac:dyDescent="0.35">
      <c r="B1439" s="8" t="s">
        <v>7</v>
      </c>
      <c r="C1439" s="8" t="s">
        <v>49</v>
      </c>
      <c r="D1439" s="8" t="s">
        <v>11</v>
      </c>
      <c r="E1439" s="8" t="s">
        <v>0</v>
      </c>
      <c r="F1439" s="9" t="s">
        <v>42</v>
      </c>
      <c r="G1439" s="8">
        <v>2016</v>
      </c>
      <c r="H1439" s="8">
        <v>2</v>
      </c>
      <c r="I1439" s="10">
        <v>42401</v>
      </c>
      <c r="J1439" s="11">
        <v>4696</v>
      </c>
      <c r="K1439" s="51"/>
      <c r="O1439" s="1" t="s">
        <v>7</v>
      </c>
      <c r="P1439" s="1" t="s">
        <v>49</v>
      </c>
      <c r="Q1439" s="1" t="s">
        <v>11</v>
      </c>
      <c r="R1439" s="1" t="s">
        <v>0</v>
      </c>
      <c r="S1439" s="2" t="s">
        <v>42</v>
      </c>
      <c r="T1439" s="1">
        <v>2016</v>
      </c>
      <c r="U1439" s="1">
        <v>2</v>
      </c>
      <c r="V1439" s="50">
        <v>42401</v>
      </c>
      <c r="W1439" s="4">
        <v>4226.3999999999996</v>
      </c>
      <c r="X1439" s="48">
        <v>4696</v>
      </c>
    </row>
    <row r="1440" spans="2:24" x14ac:dyDescent="0.35">
      <c r="B1440" s="8" t="s">
        <v>12</v>
      </c>
      <c r="C1440" s="8" t="s">
        <v>34</v>
      </c>
      <c r="D1440" s="8" t="s">
        <v>35</v>
      </c>
      <c r="E1440" s="8" t="s">
        <v>0</v>
      </c>
      <c r="F1440" s="6" t="s">
        <v>26</v>
      </c>
      <c r="G1440" s="8">
        <v>2016</v>
      </c>
      <c r="H1440" s="8">
        <v>2</v>
      </c>
      <c r="I1440" s="10">
        <v>42401</v>
      </c>
      <c r="J1440" s="11">
        <v>2711</v>
      </c>
      <c r="K1440" s="51"/>
      <c r="O1440" s="1" t="s">
        <v>12</v>
      </c>
      <c r="P1440" s="1" t="s">
        <v>34</v>
      </c>
      <c r="Q1440" s="1" t="s">
        <v>35</v>
      </c>
      <c r="R1440" s="1" t="s">
        <v>0</v>
      </c>
      <c r="S1440" t="s">
        <v>26</v>
      </c>
      <c r="T1440" s="1">
        <v>2016</v>
      </c>
      <c r="U1440" s="1">
        <v>2</v>
      </c>
      <c r="V1440" s="50">
        <v>42401</v>
      </c>
      <c r="W1440" s="4">
        <v>2304.3500000000004</v>
      </c>
      <c r="X1440" s="48">
        <v>2711</v>
      </c>
    </row>
    <row r="1441" spans="2:24" x14ac:dyDescent="0.35">
      <c r="B1441" s="8" t="s">
        <v>12</v>
      </c>
      <c r="C1441" s="8" t="s">
        <v>34</v>
      </c>
      <c r="D1441" s="8" t="s">
        <v>35</v>
      </c>
      <c r="E1441" s="8" t="s">
        <v>0</v>
      </c>
      <c r="F1441" s="8" t="s">
        <v>45</v>
      </c>
      <c r="G1441" s="8">
        <v>2016</v>
      </c>
      <c r="H1441" s="8">
        <v>2</v>
      </c>
      <c r="I1441" s="10">
        <v>42401</v>
      </c>
      <c r="J1441" s="11">
        <v>2797</v>
      </c>
      <c r="K1441" s="51"/>
      <c r="O1441" s="1" t="s">
        <v>12</v>
      </c>
      <c r="P1441" s="1" t="s">
        <v>34</v>
      </c>
      <c r="Q1441" s="1" t="s">
        <v>35</v>
      </c>
      <c r="R1441" s="1" t="s">
        <v>0</v>
      </c>
      <c r="S1441" s="1" t="s">
        <v>45</v>
      </c>
      <c r="T1441" s="1">
        <v>2016</v>
      </c>
      <c r="U1441" s="1">
        <v>2</v>
      </c>
      <c r="V1441" s="50">
        <v>42401</v>
      </c>
      <c r="W1441" s="4">
        <v>2545.27</v>
      </c>
      <c r="X1441" s="48">
        <v>2797</v>
      </c>
    </row>
    <row r="1442" spans="2:24" x14ac:dyDescent="0.35">
      <c r="B1442" s="8" t="s">
        <v>14</v>
      </c>
      <c r="C1442" s="8" t="s">
        <v>37</v>
      </c>
      <c r="D1442" s="8" t="s">
        <v>38</v>
      </c>
      <c r="E1442" s="8" t="s">
        <v>27</v>
      </c>
      <c r="F1442" s="8" t="s">
        <v>28</v>
      </c>
      <c r="G1442" s="8">
        <v>2016</v>
      </c>
      <c r="H1442" s="8">
        <v>2</v>
      </c>
      <c r="I1442" s="10">
        <v>42401</v>
      </c>
      <c r="J1442" s="11">
        <v>4602</v>
      </c>
      <c r="K1442" s="51"/>
      <c r="O1442" s="1" t="s">
        <v>14</v>
      </c>
      <c r="P1442" s="1" t="s">
        <v>37</v>
      </c>
      <c r="Q1442" s="1" t="s">
        <v>38</v>
      </c>
      <c r="R1442" s="1" t="s">
        <v>27</v>
      </c>
      <c r="S1442" s="1" t="s">
        <v>28</v>
      </c>
      <c r="T1442" s="1">
        <v>2016</v>
      </c>
      <c r="U1442" s="1">
        <v>2</v>
      </c>
      <c r="V1442" s="50">
        <v>42401</v>
      </c>
      <c r="W1442" s="4">
        <v>3957.7200000000003</v>
      </c>
      <c r="X1442" s="48">
        <v>4602</v>
      </c>
    </row>
    <row r="1443" spans="2:24" x14ac:dyDescent="0.35">
      <c r="B1443" s="8" t="s">
        <v>14</v>
      </c>
      <c r="C1443" s="8" t="s">
        <v>37</v>
      </c>
      <c r="D1443" s="8" t="s">
        <v>38</v>
      </c>
      <c r="E1443" s="8" t="s">
        <v>27</v>
      </c>
      <c r="F1443" s="8" t="s">
        <v>31</v>
      </c>
      <c r="G1443" s="8">
        <v>2016</v>
      </c>
      <c r="H1443" s="8">
        <v>2</v>
      </c>
      <c r="I1443" s="10">
        <v>42401</v>
      </c>
      <c r="J1443" s="11">
        <v>3430</v>
      </c>
      <c r="K1443" s="51"/>
      <c r="O1443" s="1" t="s">
        <v>14</v>
      </c>
      <c r="P1443" s="1" t="s">
        <v>37</v>
      </c>
      <c r="Q1443" s="1" t="s">
        <v>38</v>
      </c>
      <c r="R1443" s="1" t="s">
        <v>27</v>
      </c>
      <c r="S1443" s="1" t="s">
        <v>31</v>
      </c>
      <c r="T1443" s="1">
        <v>2016</v>
      </c>
      <c r="U1443" s="1">
        <v>2</v>
      </c>
      <c r="V1443" s="50">
        <v>42401</v>
      </c>
      <c r="W1443" s="4">
        <v>3121.2999999999997</v>
      </c>
      <c r="X1443" s="48">
        <v>3430</v>
      </c>
    </row>
    <row r="1444" spans="2:24" x14ac:dyDescent="0.35">
      <c r="B1444" s="8" t="s">
        <v>12</v>
      </c>
      <c r="C1444" s="8" t="s">
        <v>44</v>
      </c>
      <c r="D1444" s="8" t="s">
        <v>13</v>
      </c>
      <c r="E1444" s="8" t="s">
        <v>23</v>
      </c>
      <c r="F1444" s="6" t="s">
        <v>36</v>
      </c>
      <c r="G1444" s="8">
        <v>2016</v>
      </c>
      <c r="H1444" s="8">
        <v>2</v>
      </c>
      <c r="I1444" s="10">
        <v>42401</v>
      </c>
      <c r="J1444" s="11">
        <v>2023</v>
      </c>
      <c r="K1444" s="51"/>
      <c r="O1444" s="1" t="s">
        <v>12</v>
      </c>
      <c r="P1444" s="1" t="s">
        <v>44</v>
      </c>
      <c r="Q1444" s="1" t="s">
        <v>13</v>
      </c>
      <c r="R1444" s="1" t="s">
        <v>23</v>
      </c>
      <c r="S1444" t="s">
        <v>36</v>
      </c>
      <c r="T1444" s="1">
        <v>2016</v>
      </c>
      <c r="U1444" s="1">
        <v>2</v>
      </c>
      <c r="V1444" s="50">
        <v>42401</v>
      </c>
      <c r="W1444" s="4">
        <v>1901.62</v>
      </c>
      <c r="X1444" s="48">
        <v>2023</v>
      </c>
    </row>
    <row r="1445" spans="2:24" x14ac:dyDescent="0.35">
      <c r="B1445" s="8" t="s">
        <v>14</v>
      </c>
      <c r="C1445" s="8" t="s">
        <v>46</v>
      </c>
      <c r="D1445" s="8" t="s">
        <v>47</v>
      </c>
      <c r="E1445" s="8" t="s">
        <v>23</v>
      </c>
      <c r="F1445" s="6" t="s">
        <v>24</v>
      </c>
      <c r="G1445" s="8">
        <v>2016</v>
      </c>
      <c r="H1445" s="8">
        <v>2</v>
      </c>
      <c r="I1445" s="10">
        <v>42401</v>
      </c>
      <c r="J1445" s="11">
        <v>1540</v>
      </c>
      <c r="K1445" s="51"/>
      <c r="O1445" s="1" t="s">
        <v>14</v>
      </c>
      <c r="P1445" s="1" t="s">
        <v>46</v>
      </c>
      <c r="Q1445" s="1" t="s">
        <v>47</v>
      </c>
      <c r="R1445" s="1" t="s">
        <v>23</v>
      </c>
      <c r="S1445" t="s">
        <v>24</v>
      </c>
      <c r="T1445" s="1">
        <v>2016</v>
      </c>
      <c r="U1445" s="1">
        <v>2</v>
      </c>
      <c r="V1445" s="50">
        <v>42401</v>
      </c>
      <c r="W1445" s="4">
        <v>1324.4</v>
      </c>
      <c r="X1445" s="48">
        <v>1540</v>
      </c>
    </row>
    <row r="1446" spans="2:24" x14ac:dyDescent="0.35">
      <c r="B1446" s="8" t="s">
        <v>14</v>
      </c>
      <c r="C1446" s="8" t="s">
        <v>46</v>
      </c>
      <c r="D1446" s="8" t="s">
        <v>47</v>
      </c>
      <c r="E1446" s="8" t="s">
        <v>23</v>
      </c>
      <c r="F1446" s="6" t="s">
        <v>39</v>
      </c>
      <c r="G1446" s="8">
        <v>2016</v>
      </c>
      <c r="H1446" s="8">
        <v>2</v>
      </c>
      <c r="I1446" s="10">
        <v>42401</v>
      </c>
      <c r="J1446" s="11">
        <v>1661</v>
      </c>
      <c r="K1446" s="51"/>
      <c r="O1446" s="1" t="s">
        <v>14</v>
      </c>
      <c r="P1446" s="1" t="s">
        <v>46</v>
      </c>
      <c r="Q1446" s="1" t="s">
        <v>47</v>
      </c>
      <c r="R1446" s="1" t="s">
        <v>23</v>
      </c>
      <c r="S1446" t="s">
        <v>39</v>
      </c>
      <c r="T1446" s="1">
        <v>2016</v>
      </c>
      <c r="U1446" s="1">
        <v>2</v>
      </c>
      <c r="V1446" s="50">
        <v>42401</v>
      </c>
      <c r="W1446" s="4">
        <v>1445.0700000000002</v>
      </c>
      <c r="X1446" s="48">
        <v>1661</v>
      </c>
    </row>
    <row r="1447" spans="2:24" x14ac:dyDescent="0.35">
      <c r="B1447" s="8" t="s">
        <v>7</v>
      </c>
      <c r="C1447" s="8" t="s">
        <v>43</v>
      </c>
      <c r="D1447" s="8" t="s">
        <v>10</v>
      </c>
      <c r="E1447" s="9" t="s">
        <v>0</v>
      </c>
      <c r="F1447" s="9" t="s">
        <v>42</v>
      </c>
      <c r="G1447" s="8">
        <v>2016</v>
      </c>
      <c r="H1447" s="8">
        <v>2</v>
      </c>
      <c r="I1447" s="10">
        <v>42401</v>
      </c>
      <c r="J1447" s="11">
        <v>5627</v>
      </c>
      <c r="K1447" s="51"/>
      <c r="O1447" s="1" t="s">
        <v>7</v>
      </c>
      <c r="P1447" s="1" t="s">
        <v>43</v>
      </c>
      <c r="Q1447" s="1" t="s">
        <v>10</v>
      </c>
      <c r="R1447" s="2" t="s">
        <v>0</v>
      </c>
      <c r="S1447" s="2" t="s">
        <v>42</v>
      </c>
      <c r="T1447" s="1">
        <v>2016</v>
      </c>
      <c r="U1447" s="1">
        <v>2</v>
      </c>
      <c r="V1447" s="50">
        <v>42401</v>
      </c>
      <c r="W1447" s="4">
        <v>5120.57</v>
      </c>
      <c r="X1447" s="48">
        <v>5627</v>
      </c>
    </row>
    <row r="1448" spans="2:24" x14ac:dyDescent="0.35">
      <c r="B1448" s="8" t="s">
        <v>6</v>
      </c>
      <c r="C1448" s="8" t="s">
        <v>40</v>
      </c>
      <c r="D1448" s="8" t="s">
        <v>41</v>
      </c>
      <c r="E1448" s="8" t="s">
        <v>27</v>
      </c>
      <c r="F1448" s="9" t="s">
        <v>31</v>
      </c>
      <c r="G1448" s="8">
        <v>2016</v>
      </c>
      <c r="H1448" s="8">
        <v>2</v>
      </c>
      <c r="I1448" s="10">
        <v>42401</v>
      </c>
      <c r="J1448" s="11">
        <v>3423</v>
      </c>
      <c r="K1448" s="51"/>
      <c r="O1448" s="1" t="s">
        <v>6</v>
      </c>
      <c r="P1448" s="1" t="s">
        <v>40</v>
      </c>
      <c r="Q1448" s="1" t="s">
        <v>41</v>
      </c>
      <c r="R1448" s="1" t="s">
        <v>27</v>
      </c>
      <c r="S1448" s="2" t="s">
        <v>31</v>
      </c>
      <c r="T1448" s="1">
        <v>2016</v>
      </c>
      <c r="U1448" s="1">
        <v>2</v>
      </c>
      <c r="V1448" s="50">
        <v>42401</v>
      </c>
      <c r="W1448" s="4">
        <v>3149.16</v>
      </c>
      <c r="X1448" s="48">
        <v>3423</v>
      </c>
    </row>
    <row r="1449" spans="2:24" x14ac:dyDescent="0.35">
      <c r="B1449" s="8" t="s">
        <v>3</v>
      </c>
      <c r="C1449" s="8" t="s">
        <v>22</v>
      </c>
      <c r="D1449" s="8" t="s">
        <v>5</v>
      </c>
      <c r="E1449" s="8" t="s">
        <v>23</v>
      </c>
      <c r="F1449" s="6" t="s">
        <v>39</v>
      </c>
      <c r="G1449" s="8">
        <v>2016</v>
      </c>
      <c r="H1449" s="8">
        <v>2</v>
      </c>
      <c r="I1449" s="10">
        <v>42401</v>
      </c>
      <c r="J1449" s="11">
        <v>2254</v>
      </c>
      <c r="K1449" s="51"/>
      <c r="O1449" s="1" t="s">
        <v>3</v>
      </c>
      <c r="P1449" s="1" t="s">
        <v>22</v>
      </c>
      <c r="Q1449" s="1" t="s">
        <v>5</v>
      </c>
      <c r="R1449" s="1" t="s">
        <v>23</v>
      </c>
      <c r="S1449" t="s">
        <v>39</v>
      </c>
      <c r="T1449" s="1">
        <v>2016</v>
      </c>
      <c r="U1449" s="1">
        <v>2</v>
      </c>
      <c r="V1449" s="50">
        <v>42401</v>
      </c>
      <c r="W1449" s="4">
        <v>2028.6</v>
      </c>
      <c r="X1449" s="48">
        <v>2254</v>
      </c>
    </row>
    <row r="1450" spans="2:24" x14ac:dyDescent="0.35">
      <c r="B1450" s="8" t="s">
        <v>3</v>
      </c>
      <c r="C1450" s="8" t="s">
        <v>22</v>
      </c>
      <c r="D1450" s="8" t="s">
        <v>5</v>
      </c>
      <c r="E1450" s="8" t="s">
        <v>0</v>
      </c>
      <c r="F1450" s="8" t="s">
        <v>42</v>
      </c>
      <c r="G1450" s="8">
        <v>2016</v>
      </c>
      <c r="H1450" s="8">
        <v>2</v>
      </c>
      <c r="I1450" s="10">
        <v>42401</v>
      </c>
      <c r="J1450" s="11">
        <v>5212</v>
      </c>
      <c r="K1450" s="51"/>
      <c r="O1450" s="1" t="s">
        <v>3</v>
      </c>
      <c r="P1450" s="1" t="s">
        <v>22</v>
      </c>
      <c r="Q1450" s="1" t="s">
        <v>5</v>
      </c>
      <c r="R1450" s="1" t="s">
        <v>0</v>
      </c>
      <c r="S1450" s="1" t="s">
        <v>42</v>
      </c>
      <c r="T1450" s="1">
        <v>2016</v>
      </c>
      <c r="U1450" s="1">
        <v>2</v>
      </c>
      <c r="V1450" s="50">
        <v>42401</v>
      </c>
      <c r="W1450" s="4">
        <v>4430.2000000000007</v>
      </c>
      <c r="X1450" s="48">
        <v>5212</v>
      </c>
    </row>
    <row r="1451" spans="2:24" x14ac:dyDescent="0.35">
      <c r="B1451" s="8" t="s">
        <v>6</v>
      </c>
      <c r="C1451" s="8" t="s">
        <v>29</v>
      </c>
      <c r="D1451" s="8" t="s">
        <v>30</v>
      </c>
      <c r="E1451" s="8" t="s">
        <v>0</v>
      </c>
      <c r="F1451" s="8" t="s">
        <v>26</v>
      </c>
      <c r="G1451" s="8">
        <v>2016</v>
      </c>
      <c r="H1451" s="8">
        <v>2</v>
      </c>
      <c r="I1451" s="10">
        <v>42401</v>
      </c>
      <c r="J1451" s="11">
        <v>4253</v>
      </c>
      <c r="K1451" s="51"/>
      <c r="O1451" s="1" t="s">
        <v>6</v>
      </c>
      <c r="P1451" s="1" t="s">
        <v>29</v>
      </c>
      <c r="Q1451" s="1" t="s">
        <v>30</v>
      </c>
      <c r="R1451" s="1" t="s">
        <v>0</v>
      </c>
      <c r="S1451" s="1" t="s">
        <v>26</v>
      </c>
      <c r="T1451" s="1">
        <v>2016</v>
      </c>
      <c r="U1451" s="1">
        <v>2</v>
      </c>
      <c r="V1451" s="50">
        <v>42401</v>
      </c>
      <c r="W1451" s="4">
        <v>3700.1100000000006</v>
      </c>
      <c r="X1451" s="48">
        <v>4253</v>
      </c>
    </row>
    <row r="1452" spans="2:24" x14ac:dyDescent="0.35">
      <c r="B1452" s="8" t="s">
        <v>7</v>
      </c>
      <c r="C1452" s="8" t="s">
        <v>48</v>
      </c>
      <c r="D1452" s="8" t="s">
        <v>9</v>
      </c>
      <c r="E1452" s="8" t="s">
        <v>27</v>
      </c>
      <c r="F1452" s="8" t="s">
        <v>28</v>
      </c>
      <c r="G1452" s="8">
        <v>2016</v>
      </c>
      <c r="H1452" s="8">
        <v>2</v>
      </c>
      <c r="I1452" s="10">
        <v>42401</v>
      </c>
      <c r="J1452" s="11">
        <v>4970</v>
      </c>
      <c r="K1452" s="51"/>
      <c r="O1452" s="1" t="s">
        <v>7</v>
      </c>
      <c r="P1452" s="1" t="s">
        <v>48</v>
      </c>
      <c r="Q1452" s="1" t="s">
        <v>9</v>
      </c>
      <c r="R1452" s="1" t="s">
        <v>27</v>
      </c>
      <c r="S1452" s="1" t="s">
        <v>28</v>
      </c>
      <c r="T1452" s="1">
        <v>2016</v>
      </c>
      <c r="U1452" s="1">
        <v>2</v>
      </c>
      <c r="V1452" s="50">
        <v>42401</v>
      </c>
      <c r="W1452" s="4">
        <v>4274.2000000000007</v>
      </c>
      <c r="X1452" s="48">
        <v>4970</v>
      </c>
    </row>
    <row r="1453" spans="2:24" x14ac:dyDescent="0.35">
      <c r="B1453" s="8" t="s">
        <v>7</v>
      </c>
      <c r="C1453" s="8" t="s">
        <v>48</v>
      </c>
      <c r="D1453" s="8" t="s">
        <v>9</v>
      </c>
      <c r="E1453" s="8" t="s">
        <v>27</v>
      </c>
      <c r="F1453" s="6" t="s">
        <v>31</v>
      </c>
      <c r="G1453" s="8">
        <v>2016</v>
      </c>
      <c r="H1453" s="8">
        <v>2</v>
      </c>
      <c r="I1453" s="10">
        <v>42401</v>
      </c>
      <c r="J1453" s="11">
        <v>4663</v>
      </c>
      <c r="K1453" s="51"/>
      <c r="O1453" s="1" t="s">
        <v>7</v>
      </c>
      <c r="P1453" s="1" t="s">
        <v>48</v>
      </c>
      <c r="Q1453" s="1" t="s">
        <v>9</v>
      </c>
      <c r="R1453" s="1" t="s">
        <v>27</v>
      </c>
      <c r="S1453" t="s">
        <v>31</v>
      </c>
      <c r="T1453" s="1">
        <v>2016</v>
      </c>
      <c r="U1453" s="1">
        <v>2</v>
      </c>
      <c r="V1453" s="50">
        <v>42401</v>
      </c>
      <c r="W1453" s="4">
        <v>4103.4399999999996</v>
      </c>
      <c r="X1453" s="48">
        <v>4663</v>
      </c>
    </row>
    <row r="1454" spans="2:24" x14ac:dyDescent="0.35">
      <c r="B1454" s="8" t="s">
        <v>7</v>
      </c>
      <c r="C1454" s="8" t="s">
        <v>49</v>
      </c>
      <c r="D1454" s="8" t="s">
        <v>11</v>
      </c>
      <c r="E1454" s="8" t="s">
        <v>27</v>
      </c>
      <c r="F1454" s="6" t="s">
        <v>33</v>
      </c>
      <c r="G1454" s="8">
        <v>2016</v>
      </c>
      <c r="H1454" s="8">
        <v>2</v>
      </c>
      <c r="I1454" s="10">
        <v>42401</v>
      </c>
      <c r="J1454" s="11">
        <v>3165</v>
      </c>
      <c r="K1454" s="51"/>
      <c r="O1454" s="1" t="s">
        <v>7</v>
      </c>
      <c r="P1454" s="1" t="s">
        <v>49</v>
      </c>
      <c r="Q1454" s="1" t="s">
        <v>11</v>
      </c>
      <c r="R1454" s="1" t="s">
        <v>27</v>
      </c>
      <c r="S1454" t="s">
        <v>33</v>
      </c>
      <c r="T1454" s="1">
        <v>2016</v>
      </c>
      <c r="U1454" s="1">
        <v>2</v>
      </c>
      <c r="V1454" s="50">
        <v>42401</v>
      </c>
      <c r="W1454" s="4">
        <v>2943.45</v>
      </c>
      <c r="X1454" s="48">
        <v>3165</v>
      </c>
    </row>
    <row r="1455" spans="2:24" x14ac:dyDescent="0.35">
      <c r="B1455" s="8" t="s">
        <v>7</v>
      </c>
      <c r="C1455" s="8" t="s">
        <v>49</v>
      </c>
      <c r="D1455" s="8" t="s">
        <v>11</v>
      </c>
      <c r="E1455" s="8" t="s">
        <v>23</v>
      </c>
      <c r="F1455" s="6" t="s">
        <v>36</v>
      </c>
      <c r="G1455" s="8">
        <v>2016</v>
      </c>
      <c r="H1455" s="8">
        <v>2</v>
      </c>
      <c r="I1455" s="10">
        <v>42401</v>
      </c>
      <c r="J1455" s="11">
        <v>2985</v>
      </c>
      <c r="K1455" s="51"/>
      <c r="O1455" s="1" t="s">
        <v>7</v>
      </c>
      <c r="P1455" s="1" t="s">
        <v>49</v>
      </c>
      <c r="Q1455" s="1" t="s">
        <v>11</v>
      </c>
      <c r="R1455" s="1" t="s">
        <v>23</v>
      </c>
      <c r="S1455" t="s">
        <v>36</v>
      </c>
      <c r="T1455" s="1">
        <v>2016</v>
      </c>
      <c r="U1455" s="1">
        <v>2</v>
      </c>
      <c r="V1455" s="50">
        <v>42401</v>
      </c>
      <c r="W1455" s="4">
        <v>2716.35</v>
      </c>
      <c r="X1455" s="48">
        <v>2985</v>
      </c>
    </row>
    <row r="1456" spans="2:24" x14ac:dyDescent="0.35">
      <c r="B1456" s="8" t="s">
        <v>7</v>
      </c>
      <c r="C1456" s="8" t="s">
        <v>43</v>
      </c>
      <c r="D1456" s="8" t="s">
        <v>10</v>
      </c>
      <c r="E1456" s="9" t="s">
        <v>23</v>
      </c>
      <c r="F1456" s="9" t="s">
        <v>36</v>
      </c>
      <c r="G1456" s="8">
        <v>2016</v>
      </c>
      <c r="H1456" s="8">
        <v>2</v>
      </c>
      <c r="I1456" s="10">
        <v>42401</v>
      </c>
      <c r="J1456" s="11">
        <v>2495</v>
      </c>
      <c r="K1456" s="51"/>
      <c r="O1456" s="1" t="s">
        <v>7</v>
      </c>
      <c r="P1456" s="1" t="s">
        <v>43</v>
      </c>
      <c r="Q1456" s="1" t="s">
        <v>10</v>
      </c>
      <c r="R1456" s="2" t="s">
        <v>23</v>
      </c>
      <c r="S1456" s="2" t="s">
        <v>36</v>
      </c>
      <c r="T1456" s="1">
        <v>2016</v>
      </c>
      <c r="U1456" s="1">
        <v>2</v>
      </c>
      <c r="V1456" s="50">
        <v>42401</v>
      </c>
      <c r="W1456" s="4">
        <v>2270.4499999999998</v>
      </c>
      <c r="X1456" s="48">
        <v>2495</v>
      </c>
    </row>
    <row r="1457" spans="2:24" x14ac:dyDescent="0.35">
      <c r="B1457" s="8" t="s">
        <v>6</v>
      </c>
      <c r="C1457" s="8" t="s">
        <v>40</v>
      </c>
      <c r="D1457" s="8" t="s">
        <v>41</v>
      </c>
      <c r="E1457" s="8" t="s">
        <v>0</v>
      </c>
      <c r="F1457" s="9" t="s">
        <v>45</v>
      </c>
      <c r="G1457" s="8">
        <v>2016</v>
      </c>
      <c r="H1457" s="8">
        <v>2</v>
      </c>
      <c r="I1457" s="10">
        <v>42401</v>
      </c>
      <c r="J1457" s="11">
        <v>3165</v>
      </c>
      <c r="K1457" s="51"/>
      <c r="O1457" s="1" t="s">
        <v>6</v>
      </c>
      <c r="P1457" s="1" t="s">
        <v>40</v>
      </c>
      <c r="Q1457" s="1" t="s">
        <v>41</v>
      </c>
      <c r="R1457" s="1" t="s">
        <v>0</v>
      </c>
      <c r="S1457" s="2" t="s">
        <v>45</v>
      </c>
      <c r="T1457" s="1">
        <v>2016</v>
      </c>
      <c r="U1457" s="1">
        <v>2</v>
      </c>
      <c r="V1457" s="50">
        <v>42401</v>
      </c>
      <c r="W1457" s="4">
        <v>2816.8499999999995</v>
      </c>
      <c r="X1457" s="48">
        <v>3165</v>
      </c>
    </row>
    <row r="1458" spans="2:24" x14ac:dyDescent="0.35">
      <c r="B1458" s="8" t="s">
        <v>7</v>
      </c>
      <c r="C1458" s="8" t="s">
        <v>32</v>
      </c>
      <c r="D1458" s="8" t="s">
        <v>8</v>
      </c>
      <c r="E1458" s="8" t="s">
        <v>27</v>
      </c>
      <c r="F1458" s="6" t="s">
        <v>28</v>
      </c>
      <c r="G1458" s="8">
        <v>2016</v>
      </c>
      <c r="H1458" s="8">
        <v>2</v>
      </c>
      <c r="I1458" s="10">
        <v>42401</v>
      </c>
      <c r="J1458" s="11">
        <v>4217</v>
      </c>
      <c r="K1458" s="51"/>
      <c r="O1458" s="1" t="s">
        <v>7</v>
      </c>
      <c r="P1458" s="1" t="s">
        <v>32</v>
      </c>
      <c r="Q1458" s="1" t="s">
        <v>8</v>
      </c>
      <c r="R1458" s="1" t="s">
        <v>27</v>
      </c>
      <c r="S1458" t="s">
        <v>28</v>
      </c>
      <c r="T1458" s="1">
        <v>2016</v>
      </c>
      <c r="U1458" s="1">
        <v>2</v>
      </c>
      <c r="V1458" s="50">
        <v>42401</v>
      </c>
      <c r="W1458" s="4">
        <v>3921.8099999999995</v>
      </c>
      <c r="X1458" s="48">
        <v>4217</v>
      </c>
    </row>
    <row r="1459" spans="2:24" x14ac:dyDescent="0.35">
      <c r="B1459" s="8" t="s">
        <v>7</v>
      </c>
      <c r="C1459" s="8" t="s">
        <v>32</v>
      </c>
      <c r="D1459" s="8" t="s">
        <v>8</v>
      </c>
      <c r="E1459" s="8" t="s">
        <v>27</v>
      </c>
      <c r="F1459" s="8" t="s">
        <v>31</v>
      </c>
      <c r="G1459" s="8">
        <v>2016</v>
      </c>
      <c r="H1459" s="8">
        <v>2</v>
      </c>
      <c r="I1459" s="10">
        <v>42401</v>
      </c>
      <c r="J1459" s="11">
        <v>3880</v>
      </c>
      <c r="K1459" s="51"/>
      <c r="O1459" s="1" t="s">
        <v>7</v>
      </c>
      <c r="P1459" s="1" t="s">
        <v>32</v>
      </c>
      <c r="Q1459" s="1" t="s">
        <v>8</v>
      </c>
      <c r="R1459" s="1" t="s">
        <v>27</v>
      </c>
      <c r="S1459" s="1" t="s">
        <v>31</v>
      </c>
      <c r="T1459" s="1">
        <v>2016</v>
      </c>
      <c r="U1459" s="1">
        <v>2</v>
      </c>
      <c r="V1459" s="50">
        <v>42401</v>
      </c>
      <c r="W1459" s="4">
        <v>3608.3999999999996</v>
      </c>
      <c r="X1459" s="48">
        <v>3880</v>
      </c>
    </row>
    <row r="1460" spans="2:24" x14ac:dyDescent="0.35">
      <c r="B1460" s="8" t="s">
        <v>6</v>
      </c>
      <c r="C1460" s="8" t="s">
        <v>29</v>
      </c>
      <c r="D1460" s="8" t="s">
        <v>30</v>
      </c>
      <c r="E1460" s="8" t="s">
        <v>23</v>
      </c>
      <c r="F1460" s="8" t="s">
        <v>24</v>
      </c>
      <c r="G1460" s="8">
        <v>2016</v>
      </c>
      <c r="H1460" s="8">
        <v>2</v>
      </c>
      <c r="I1460" s="10">
        <v>42401</v>
      </c>
      <c r="J1460" s="11">
        <v>1545</v>
      </c>
      <c r="K1460" s="51"/>
      <c r="O1460" s="1" t="s">
        <v>6</v>
      </c>
      <c r="P1460" s="1" t="s">
        <v>29</v>
      </c>
      <c r="Q1460" s="1" t="s">
        <v>30</v>
      </c>
      <c r="R1460" s="1" t="s">
        <v>23</v>
      </c>
      <c r="S1460" s="1" t="s">
        <v>24</v>
      </c>
      <c r="T1460" s="1">
        <v>2016</v>
      </c>
      <c r="U1460" s="1">
        <v>2</v>
      </c>
      <c r="V1460" s="50">
        <v>42401</v>
      </c>
      <c r="W1460" s="4">
        <v>1405.9499999999998</v>
      </c>
      <c r="X1460" s="48">
        <v>1545</v>
      </c>
    </row>
    <row r="1461" spans="2:24" x14ac:dyDescent="0.35">
      <c r="B1461" s="8" t="s">
        <v>7</v>
      </c>
      <c r="C1461" s="8" t="s">
        <v>48</v>
      </c>
      <c r="D1461" s="8" t="s">
        <v>9</v>
      </c>
      <c r="E1461" s="8" t="s">
        <v>0</v>
      </c>
      <c r="F1461" s="8" t="s">
        <v>42</v>
      </c>
      <c r="G1461" s="8">
        <v>2016</v>
      </c>
      <c r="H1461" s="8">
        <v>2</v>
      </c>
      <c r="I1461" s="10">
        <v>42401</v>
      </c>
      <c r="J1461" s="11">
        <v>5230</v>
      </c>
      <c r="K1461" s="51"/>
      <c r="O1461" s="1" t="s">
        <v>7</v>
      </c>
      <c r="P1461" s="1" t="s">
        <v>48</v>
      </c>
      <c r="Q1461" s="1" t="s">
        <v>9</v>
      </c>
      <c r="R1461" s="1" t="s">
        <v>0</v>
      </c>
      <c r="S1461" s="1" t="s">
        <v>42</v>
      </c>
      <c r="T1461" s="1">
        <v>2016</v>
      </c>
      <c r="U1461" s="1">
        <v>2</v>
      </c>
      <c r="V1461" s="50">
        <v>42401</v>
      </c>
      <c r="W1461" s="4">
        <v>4497.8</v>
      </c>
      <c r="X1461" s="48">
        <v>5230</v>
      </c>
    </row>
    <row r="1462" spans="2:24" x14ac:dyDescent="0.35">
      <c r="B1462" s="8" t="s">
        <v>7</v>
      </c>
      <c r="C1462" s="8" t="s">
        <v>48</v>
      </c>
      <c r="D1462" s="8" t="s">
        <v>9</v>
      </c>
      <c r="E1462" s="8" t="s">
        <v>0</v>
      </c>
      <c r="F1462" s="6" t="s">
        <v>26</v>
      </c>
      <c r="G1462" s="8">
        <v>2016</v>
      </c>
      <c r="H1462" s="8">
        <v>2</v>
      </c>
      <c r="I1462" s="10">
        <v>42401</v>
      </c>
      <c r="J1462" s="11">
        <v>5495</v>
      </c>
      <c r="K1462" s="51"/>
      <c r="O1462" s="1" t="s">
        <v>7</v>
      </c>
      <c r="P1462" s="1" t="s">
        <v>48</v>
      </c>
      <c r="Q1462" s="1" t="s">
        <v>9</v>
      </c>
      <c r="R1462" s="1" t="s">
        <v>0</v>
      </c>
      <c r="S1462" t="s">
        <v>26</v>
      </c>
      <c r="T1462" s="1">
        <v>2016</v>
      </c>
      <c r="U1462" s="1">
        <v>2</v>
      </c>
      <c r="V1462" s="50">
        <v>42401</v>
      </c>
      <c r="W1462" s="4">
        <v>5000.45</v>
      </c>
      <c r="X1462" s="48">
        <v>5495</v>
      </c>
    </row>
    <row r="1463" spans="2:24" x14ac:dyDescent="0.35">
      <c r="B1463" s="8" t="s">
        <v>7</v>
      </c>
      <c r="C1463" s="8" t="s">
        <v>49</v>
      </c>
      <c r="D1463" s="8" t="s">
        <v>11</v>
      </c>
      <c r="E1463" s="8" t="s">
        <v>0</v>
      </c>
      <c r="F1463" s="6" t="s">
        <v>45</v>
      </c>
      <c r="G1463" s="8">
        <v>2016</v>
      </c>
      <c r="H1463" s="8">
        <v>2</v>
      </c>
      <c r="I1463" s="10">
        <v>42401</v>
      </c>
      <c r="J1463" s="11">
        <v>3009</v>
      </c>
      <c r="K1463" s="51"/>
      <c r="O1463" s="1" t="s">
        <v>7</v>
      </c>
      <c r="P1463" s="1" t="s">
        <v>49</v>
      </c>
      <c r="Q1463" s="1" t="s">
        <v>11</v>
      </c>
      <c r="R1463" s="1" t="s">
        <v>0</v>
      </c>
      <c r="S1463" t="s">
        <v>45</v>
      </c>
      <c r="T1463" s="1">
        <v>2016</v>
      </c>
      <c r="U1463" s="1">
        <v>2</v>
      </c>
      <c r="V1463" s="50">
        <v>42401</v>
      </c>
      <c r="W1463" s="4">
        <v>2617.8300000000004</v>
      </c>
      <c r="X1463" s="48">
        <v>3009</v>
      </c>
    </row>
    <row r="1464" spans="2:24" x14ac:dyDescent="0.35">
      <c r="B1464" s="8" t="s">
        <v>7</v>
      </c>
      <c r="C1464" s="8" t="s">
        <v>49</v>
      </c>
      <c r="D1464" s="8" t="s">
        <v>11</v>
      </c>
      <c r="E1464" s="8" t="s">
        <v>27</v>
      </c>
      <c r="F1464" s="6" t="s">
        <v>28</v>
      </c>
      <c r="G1464" s="8">
        <v>2016</v>
      </c>
      <c r="H1464" s="8">
        <v>2</v>
      </c>
      <c r="I1464" s="10">
        <v>42401</v>
      </c>
      <c r="J1464" s="11">
        <v>4875</v>
      </c>
      <c r="K1464" s="51"/>
      <c r="O1464" s="1" t="s">
        <v>7</v>
      </c>
      <c r="P1464" s="1" t="s">
        <v>49</v>
      </c>
      <c r="Q1464" s="1" t="s">
        <v>11</v>
      </c>
      <c r="R1464" s="1" t="s">
        <v>27</v>
      </c>
      <c r="S1464" t="s">
        <v>28</v>
      </c>
      <c r="T1464" s="1">
        <v>2016</v>
      </c>
      <c r="U1464" s="1">
        <v>2</v>
      </c>
      <c r="V1464" s="50">
        <v>42401</v>
      </c>
      <c r="W1464" s="4">
        <v>4143.75</v>
      </c>
      <c r="X1464" s="48">
        <v>4875</v>
      </c>
    </row>
    <row r="1465" spans="2:24" x14ac:dyDescent="0.35">
      <c r="B1465" s="8" t="s">
        <v>12</v>
      </c>
      <c r="C1465" s="8" t="s">
        <v>34</v>
      </c>
      <c r="D1465" s="8" t="s">
        <v>35</v>
      </c>
      <c r="E1465" s="9" t="s">
        <v>27</v>
      </c>
      <c r="F1465" s="9" t="s">
        <v>31</v>
      </c>
      <c r="G1465" s="8">
        <v>2016</v>
      </c>
      <c r="H1465" s="8">
        <v>2</v>
      </c>
      <c r="I1465" s="10">
        <v>42401</v>
      </c>
      <c r="J1465" s="11">
        <v>3464</v>
      </c>
      <c r="K1465" s="51"/>
      <c r="O1465" s="1" t="s">
        <v>12</v>
      </c>
      <c r="P1465" s="1" t="s">
        <v>34</v>
      </c>
      <c r="Q1465" s="1" t="s">
        <v>35</v>
      </c>
      <c r="R1465" s="2" t="s">
        <v>27</v>
      </c>
      <c r="S1465" s="2" t="s">
        <v>31</v>
      </c>
      <c r="T1465" s="1">
        <v>2016</v>
      </c>
      <c r="U1465" s="1">
        <v>2</v>
      </c>
      <c r="V1465" s="50">
        <v>42401</v>
      </c>
      <c r="W1465" s="4">
        <v>3221.52</v>
      </c>
      <c r="X1465" s="48">
        <v>3464</v>
      </c>
    </row>
    <row r="1466" spans="2:24" x14ac:dyDescent="0.35">
      <c r="B1466" s="8" t="s">
        <v>12</v>
      </c>
      <c r="C1466" s="8" t="s">
        <v>34</v>
      </c>
      <c r="D1466" s="8" t="s">
        <v>35</v>
      </c>
      <c r="E1466" s="8" t="s">
        <v>27</v>
      </c>
      <c r="F1466" s="9" t="s">
        <v>33</v>
      </c>
      <c r="G1466" s="8">
        <v>2016</v>
      </c>
      <c r="H1466" s="8">
        <v>2</v>
      </c>
      <c r="I1466" s="10">
        <v>42401</v>
      </c>
      <c r="J1466" s="11">
        <v>3268</v>
      </c>
      <c r="K1466" s="51"/>
      <c r="O1466" s="1" t="s">
        <v>12</v>
      </c>
      <c r="P1466" s="1" t="s">
        <v>34</v>
      </c>
      <c r="Q1466" s="1" t="s">
        <v>35</v>
      </c>
      <c r="R1466" s="1" t="s">
        <v>27</v>
      </c>
      <c r="S1466" s="2" t="s">
        <v>33</v>
      </c>
      <c r="T1466" s="1">
        <v>2016</v>
      </c>
      <c r="U1466" s="1">
        <v>2</v>
      </c>
      <c r="V1466" s="50">
        <v>42401</v>
      </c>
      <c r="W1466" s="4">
        <v>2908.5199999999995</v>
      </c>
      <c r="X1466" s="48">
        <v>3268</v>
      </c>
    </row>
    <row r="1467" spans="2:24" x14ac:dyDescent="0.35">
      <c r="B1467" s="8" t="s">
        <v>14</v>
      </c>
      <c r="C1467" s="8" t="s">
        <v>37</v>
      </c>
      <c r="D1467" s="8" t="s">
        <v>38</v>
      </c>
      <c r="E1467" s="8" t="s">
        <v>23</v>
      </c>
      <c r="F1467" s="6" t="s">
        <v>36</v>
      </c>
      <c r="G1467" s="8">
        <v>2016</v>
      </c>
      <c r="H1467" s="8">
        <v>2</v>
      </c>
      <c r="I1467" s="10">
        <v>42401</v>
      </c>
      <c r="J1467" s="11">
        <v>2028</v>
      </c>
      <c r="K1467" s="51"/>
      <c r="O1467" s="1" t="s">
        <v>14</v>
      </c>
      <c r="P1467" s="1" t="s">
        <v>37</v>
      </c>
      <c r="Q1467" s="1" t="s">
        <v>38</v>
      </c>
      <c r="R1467" s="1" t="s">
        <v>23</v>
      </c>
      <c r="S1467" t="s">
        <v>36</v>
      </c>
      <c r="T1467" s="1">
        <v>2016</v>
      </c>
      <c r="U1467" s="1">
        <v>2</v>
      </c>
      <c r="V1467" s="50">
        <v>42401</v>
      </c>
      <c r="W1467" s="4">
        <v>1825.1999999999998</v>
      </c>
      <c r="X1467" s="48">
        <v>2028</v>
      </c>
    </row>
    <row r="1468" spans="2:24" x14ac:dyDescent="0.35">
      <c r="B1468" s="8" t="s">
        <v>12</v>
      </c>
      <c r="C1468" s="8" t="s">
        <v>44</v>
      </c>
      <c r="D1468" s="8" t="s">
        <v>13</v>
      </c>
      <c r="E1468" s="8" t="s">
        <v>23</v>
      </c>
      <c r="F1468" s="8" t="s">
        <v>39</v>
      </c>
      <c r="G1468" s="8">
        <v>2016</v>
      </c>
      <c r="H1468" s="8">
        <v>2</v>
      </c>
      <c r="I1468" s="10">
        <v>42401</v>
      </c>
      <c r="J1468" s="11">
        <v>2385</v>
      </c>
      <c r="K1468" s="51"/>
      <c r="O1468" s="1" t="s">
        <v>12</v>
      </c>
      <c r="P1468" s="1" t="s">
        <v>44</v>
      </c>
      <c r="Q1468" s="1" t="s">
        <v>13</v>
      </c>
      <c r="R1468" s="1" t="s">
        <v>23</v>
      </c>
      <c r="S1468" s="1" t="s">
        <v>39</v>
      </c>
      <c r="T1468" s="1">
        <v>2016</v>
      </c>
      <c r="U1468" s="1">
        <v>2</v>
      </c>
      <c r="V1468" s="50">
        <v>42401</v>
      </c>
      <c r="W1468" s="4">
        <v>2098.7999999999997</v>
      </c>
      <c r="X1468" s="48">
        <v>2385</v>
      </c>
    </row>
    <row r="1469" spans="2:24" x14ac:dyDescent="0.35">
      <c r="B1469" s="8" t="s">
        <v>12</v>
      </c>
      <c r="C1469" s="8" t="s">
        <v>44</v>
      </c>
      <c r="D1469" s="8" t="s">
        <v>13</v>
      </c>
      <c r="E1469" s="8" t="s">
        <v>0</v>
      </c>
      <c r="F1469" s="8" t="s">
        <v>42</v>
      </c>
      <c r="G1469" s="8">
        <v>2016</v>
      </c>
      <c r="H1469" s="8">
        <v>2</v>
      </c>
      <c r="I1469" s="10">
        <v>42401</v>
      </c>
      <c r="J1469" s="11">
        <v>5777</v>
      </c>
      <c r="K1469" s="51"/>
      <c r="O1469" s="1" t="s">
        <v>12</v>
      </c>
      <c r="P1469" s="1" t="s">
        <v>44</v>
      </c>
      <c r="Q1469" s="1" t="s">
        <v>13</v>
      </c>
      <c r="R1469" s="1" t="s">
        <v>0</v>
      </c>
      <c r="S1469" s="1" t="s">
        <v>42</v>
      </c>
      <c r="T1469" s="1">
        <v>2016</v>
      </c>
      <c r="U1469" s="1">
        <v>2</v>
      </c>
      <c r="V1469" s="50">
        <v>42401</v>
      </c>
      <c r="W1469" s="4">
        <v>5025.9900000000007</v>
      </c>
      <c r="X1469" s="48">
        <v>5777</v>
      </c>
    </row>
    <row r="1470" spans="2:24" x14ac:dyDescent="0.35">
      <c r="B1470" s="8" t="s">
        <v>14</v>
      </c>
      <c r="C1470" s="8" t="s">
        <v>46</v>
      </c>
      <c r="D1470" s="8" t="s">
        <v>47</v>
      </c>
      <c r="E1470" s="8" t="s">
        <v>0</v>
      </c>
      <c r="F1470" s="8" t="s">
        <v>26</v>
      </c>
      <c r="G1470" s="8">
        <v>2016</v>
      </c>
      <c r="H1470" s="8">
        <v>2</v>
      </c>
      <c r="I1470" s="10">
        <v>42401</v>
      </c>
      <c r="J1470" s="11">
        <v>5230</v>
      </c>
      <c r="K1470" s="51"/>
      <c r="O1470" s="1" t="s">
        <v>14</v>
      </c>
      <c r="P1470" s="1" t="s">
        <v>46</v>
      </c>
      <c r="Q1470" s="1" t="s">
        <v>47</v>
      </c>
      <c r="R1470" s="1" t="s">
        <v>0</v>
      </c>
      <c r="S1470" s="1" t="s">
        <v>26</v>
      </c>
      <c r="T1470" s="1">
        <v>2016</v>
      </c>
      <c r="U1470" s="1">
        <v>2</v>
      </c>
      <c r="V1470" s="50">
        <v>42401</v>
      </c>
      <c r="W1470" s="4">
        <v>4602.3999999999996</v>
      </c>
      <c r="X1470" s="48">
        <v>5230</v>
      </c>
    </row>
    <row r="1471" spans="2:24" x14ac:dyDescent="0.35">
      <c r="B1471" s="8" t="s">
        <v>14</v>
      </c>
      <c r="C1471" s="8" t="s">
        <v>46</v>
      </c>
      <c r="D1471" s="8" t="s">
        <v>47</v>
      </c>
      <c r="E1471" s="8" t="s">
        <v>0</v>
      </c>
      <c r="F1471" s="6" t="s">
        <v>45</v>
      </c>
      <c r="G1471" s="8">
        <v>2016</v>
      </c>
      <c r="H1471" s="8">
        <v>2</v>
      </c>
      <c r="I1471" s="10">
        <v>42401</v>
      </c>
      <c r="J1471" s="11">
        <v>3637</v>
      </c>
      <c r="K1471" s="51"/>
      <c r="O1471" s="1" t="s">
        <v>14</v>
      </c>
      <c r="P1471" s="1" t="s">
        <v>46</v>
      </c>
      <c r="Q1471" s="1" t="s">
        <v>47</v>
      </c>
      <c r="R1471" s="1" t="s">
        <v>0</v>
      </c>
      <c r="S1471" t="s">
        <v>45</v>
      </c>
      <c r="T1471" s="1">
        <v>2016</v>
      </c>
      <c r="U1471" s="1">
        <v>2</v>
      </c>
      <c r="V1471" s="50">
        <v>42401</v>
      </c>
      <c r="W1471" s="4">
        <v>3346.04</v>
      </c>
      <c r="X1471" s="48">
        <v>3637</v>
      </c>
    </row>
    <row r="1472" spans="2:24" x14ac:dyDescent="0.35">
      <c r="B1472" s="8" t="s">
        <v>3</v>
      </c>
      <c r="C1472" s="8" t="s">
        <v>25</v>
      </c>
      <c r="D1472" s="8" t="s">
        <v>4</v>
      </c>
      <c r="E1472" s="8" t="s">
        <v>27</v>
      </c>
      <c r="F1472" s="6" t="s">
        <v>33</v>
      </c>
      <c r="G1472" s="8">
        <v>2016</v>
      </c>
      <c r="H1472" s="8">
        <v>2</v>
      </c>
      <c r="I1472" s="10">
        <v>42401</v>
      </c>
      <c r="J1472" s="11">
        <v>3543</v>
      </c>
      <c r="K1472" s="51"/>
      <c r="O1472" s="1" t="s">
        <v>3</v>
      </c>
      <c r="P1472" s="1" t="s">
        <v>25</v>
      </c>
      <c r="Q1472" s="1" t="s">
        <v>4</v>
      </c>
      <c r="R1472" s="1" t="s">
        <v>27</v>
      </c>
      <c r="S1472" t="s">
        <v>33</v>
      </c>
      <c r="T1472" s="1">
        <v>2016</v>
      </c>
      <c r="U1472" s="1">
        <v>2</v>
      </c>
      <c r="V1472" s="50">
        <v>42401</v>
      </c>
      <c r="W1472" s="4">
        <v>3117.8399999999997</v>
      </c>
      <c r="X1472" s="48">
        <v>3543</v>
      </c>
    </row>
    <row r="1473" spans="2:24" x14ac:dyDescent="0.35">
      <c r="B1473" s="8" t="s">
        <v>3</v>
      </c>
      <c r="C1473" s="8" t="s">
        <v>25</v>
      </c>
      <c r="D1473" s="8" t="s">
        <v>4</v>
      </c>
      <c r="E1473" s="8" t="s">
        <v>23</v>
      </c>
      <c r="F1473" s="6" t="s">
        <v>36</v>
      </c>
      <c r="G1473" s="8">
        <v>2016</v>
      </c>
      <c r="H1473" s="8">
        <v>2</v>
      </c>
      <c r="I1473" s="10">
        <v>42401</v>
      </c>
      <c r="J1473" s="11">
        <v>2937</v>
      </c>
      <c r="K1473" s="51"/>
      <c r="O1473" s="1" t="s">
        <v>3</v>
      </c>
      <c r="P1473" s="1" t="s">
        <v>25</v>
      </c>
      <c r="Q1473" s="1" t="s">
        <v>4</v>
      </c>
      <c r="R1473" s="1" t="s">
        <v>23</v>
      </c>
      <c r="S1473" t="s">
        <v>36</v>
      </c>
      <c r="T1473" s="1">
        <v>2016</v>
      </c>
      <c r="U1473" s="1">
        <v>2</v>
      </c>
      <c r="V1473" s="50">
        <v>42401</v>
      </c>
      <c r="W1473" s="4">
        <v>2731.41</v>
      </c>
      <c r="X1473" s="48">
        <v>2937</v>
      </c>
    </row>
    <row r="1474" spans="2:24" x14ac:dyDescent="0.35">
      <c r="B1474" s="8" t="s">
        <v>6</v>
      </c>
      <c r="C1474" s="8" t="s">
        <v>40</v>
      </c>
      <c r="D1474" s="8" t="s">
        <v>41</v>
      </c>
      <c r="E1474" s="9" t="s">
        <v>23</v>
      </c>
      <c r="F1474" s="9" t="s">
        <v>39</v>
      </c>
      <c r="G1474" s="8">
        <v>2016</v>
      </c>
      <c r="H1474" s="8">
        <v>2</v>
      </c>
      <c r="I1474" s="10">
        <v>42401</v>
      </c>
      <c r="J1474" s="11">
        <v>1428</v>
      </c>
      <c r="K1474" s="51"/>
      <c r="O1474" s="1" t="s">
        <v>6</v>
      </c>
      <c r="P1474" s="1" t="s">
        <v>40</v>
      </c>
      <c r="Q1474" s="1" t="s">
        <v>41</v>
      </c>
      <c r="R1474" s="2" t="s">
        <v>23</v>
      </c>
      <c r="S1474" s="2" t="s">
        <v>39</v>
      </c>
      <c r="T1474" s="1">
        <v>2016</v>
      </c>
      <c r="U1474" s="1">
        <v>2</v>
      </c>
      <c r="V1474" s="50">
        <v>42401</v>
      </c>
      <c r="W1474" s="4">
        <v>1228.0800000000002</v>
      </c>
      <c r="X1474" s="48">
        <v>1428</v>
      </c>
    </row>
    <row r="1475" spans="2:24" x14ac:dyDescent="0.35">
      <c r="B1475" s="8" t="s">
        <v>7</v>
      </c>
      <c r="C1475" s="8" t="s">
        <v>48</v>
      </c>
      <c r="D1475" s="8" t="s">
        <v>9</v>
      </c>
      <c r="E1475" s="8" t="s">
        <v>0</v>
      </c>
      <c r="F1475" s="9" t="s">
        <v>45</v>
      </c>
      <c r="G1475" s="8">
        <v>2016</v>
      </c>
      <c r="H1475" s="8">
        <v>2</v>
      </c>
      <c r="I1475" s="10">
        <v>42401</v>
      </c>
      <c r="J1475" s="11">
        <v>3218</v>
      </c>
      <c r="K1475" s="51"/>
      <c r="O1475" s="1" t="s">
        <v>7</v>
      </c>
      <c r="P1475" s="1" t="s">
        <v>48</v>
      </c>
      <c r="Q1475" s="1" t="s">
        <v>9</v>
      </c>
      <c r="R1475" s="1" t="s">
        <v>0</v>
      </c>
      <c r="S1475" s="2" t="s">
        <v>45</v>
      </c>
      <c r="T1475" s="1">
        <v>2016</v>
      </c>
      <c r="U1475" s="1">
        <v>2</v>
      </c>
      <c r="V1475" s="50">
        <v>42401</v>
      </c>
      <c r="W1475" s="4">
        <v>2992.74</v>
      </c>
      <c r="X1475" s="48">
        <v>3218</v>
      </c>
    </row>
    <row r="1476" spans="2:24" x14ac:dyDescent="0.35">
      <c r="B1476" s="8" t="s">
        <v>7</v>
      </c>
      <c r="C1476" s="8" t="s">
        <v>49</v>
      </c>
      <c r="D1476" s="8" t="s">
        <v>11</v>
      </c>
      <c r="E1476" s="8" t="s">
        <v>27</v>
      </c>
      <c r="F1476" s="6" t="s">
        <v>31</v>
      </c>
      <c r="G1476" s="8">
        <v>2016</v>
      </c>
      <c r="H1476" s="8">
        <v>2</v>
      </c>
      <c r="I1476" s="10">
        <v>42401</v>
      </c>
      <c r="J1476" s="11">
        <v>5156</v>
      </c>
      <c r="K1476" s="51"/>
      <c r="O1476" s="1" t="s">
        <v>7</v>
      </c>
      <c r="P1476" s="1" t="s">
        <v>49</v>
      </c>
      <c r="Q1476" s="1" t="s">
        <v>11</v>
      </c>
      <c r="R1476" s="1" t="s">
        <v>27</v>
      </c>
      <c r="S1476" t="s">
        <v>31</v>
      </c>
      <c r="T1476" s="1">
        <v>2016</v>
      </c>
      <c r="U1476" s="1">
        <v>2</v>
      </c>
      <c r="V1476" s="50">
        <v>42401</v>
      </c>
      <c r="W1476" s="4">
        <v>4846.6399999999994</v>
      </c>
      <c r="X1476" s="48">
        <v>5156</v>
      </c>
    </row>
    <row r="1477" spans="2:24" x14ac:dyDescent="0.35">
      <c r="B1477" s="8" t="s">
        <v>7</v>
      </c>
      <c r="C1477" s="8" t="s">
        <v>43</v>
      </c>
      <c r="D1477" s="8" t="s">
        <v>10</v>
      </c>
      <c r="E1477" s="8" t="s">
        <v>27</v>
      </c>
      <c r="F1477" s="8" t="s">
        <v>33</v>
      </c>
      <c r="G1477" s="8">
        <v>2016</v>
      </c>
      <c r="H1477" s="8">
        <v>2</v>
      </c>
      <c r="I1477" s="10">
        <v>42401</v>
      </c>
      <c r="J1477" s="11">
        <v>3367</v>
      </c>
      <c r="K1477" s="51"/>
      <c r="O1477" s="1" t="s">
        <v>7</v>
      </c>
      <c r="P1477" s="1" t="s">
        <v>43</v>
      </c>
      <c r="Q1477" s="1" t="s">
        <v>10</v>
      </c>
      <c r="R1477" s="1" t="s">
        <v>27</v>
      </c>
      <c r="S1477" s="1" t="s">
        <v>33</v>
      </c>
      <c r="T1477" s="1">
        <v>2016</v>
      </c>
      <c r="U1477" s="1">
        <v>2</v>
      </c>
      <c r="V1477" s="50">
        <v>42401</v>
      </c>
      <c r="W1477" s="4">
        <v>2962.9599999999996</v>
      </c>
      <c r="X1477" s="48">
        <v>3367</v>
      </c>
    </row>
    <row r="1478" spans="2:24" x14ac:dyDescent="0.35">
      <c r="B1478" s="8" t="s">
        <v>7</v>
      </c>
      <c r="C1478" s="8" t="s">
        <v>32</v>
      </c>
      <c r="D1478" s="8" t="s">
        <v>8</v>
      </c>
      <c r="E1478" s="8" t="s">
        <v>0</v>
      </c>
      <c r="F1478" s="8" t="s">
        <v>45</v>
      </c>
      <c r="G1478" s="8">
        <v>2016</v>
      </c>
      <c r="H1478" s="8">
        <v>2</v>
      </c>
      <c r="I1478" s="10">
        <v>42401</v>
      </c>
      <c r="J1478" s="11">
        <v>4568</v>
      </c>
      <c r="K1478" s="51"/>
      <c r="O1478" s="1" t="s">
        <v>7</v>
      </c>
      <c r="P1478" s="1" t="s">
        <v>32</v>
      </c>
      <c r="Q1478" s="1" t="s">
        <v>8</v>
      </c>
      <c r="R1478" s="1" t="s">
        <v>0</v>
      </c>
      <c r="S1478" s="1" t="s">
        <v>45</v>
      </c>
      <c r="T1478" s="1">
        <v>2016</v>
      </c>
      <c r="U1478" s="1">
        <v>2</v>
      </c>
      <c r="V1478" s="50">
        <v>42401</v>
      </c>
      <c r="W1478" s="4">
        <v>3882.8</v>
      </c>
      <c r="X1478" s="48">
        <v>4568</v>
      </c>
    </row>
    <row r="1479" spans="2:24" x14ac:dyDescent="0.35">
      <c r="B1479" s="8" t="s">
        <v>7</v>
      </c>
      <c r="C1479" s="8" t="s">
        <v>48</v>
      </c>
      <c r="D1479" s="8" t="s">
        <v>9</v>
      </c>
      <c r="E1479" s="8" t="s">
        <v>23</v>
      </c>
      <c r="F1479" s="8" t="s">
        <v>39</v>
      </c>
      <c r="G1479" s="8">
        <v>2016</v>
      </c>
      <c r="H1479" s="8">
        <v>2</v>
      </c>
      <c r="I1479" s="10">
        <v>42401</v>
      </c>
      <c r="J1479" s="11">
        <v>1701</v>
      </c>
      <c r="K1479" s="51"/>
      <c r="O1479" s="1" t="s">
        <v>7</v>
      </c>
      <c r="P1479" s="1" t="s">
        <v>48</v>
      </c>
      <c r="Q1479" s="1" t="s">
        <v>9</v>
      </c>
      <c r="R1479" s="1" t="s">
        <v>23</v>
      </c>
      <c r="S1479" s="1" t="s">
        <v>39</v>
      </c>
      <c r="T1479" s="1">
        <v>2016</v>
      </c>
      <c r="U1479" s="1">
        <v>2</v>
      </c>
      <c r="V1479" s="50">
        <v>42401</v>
      </c>
      <c r="W1479" s="4">
        <v>1513.8899999999999</v>
      </c>
      <c r="X1479" s="48">
        <v>1701</v>
      </c>
    </row>
    <row r="1480" spans="2:24" x14ac:dyDescent="0.35">
      <c r="B1480" s="8" t="s">
        <v>7</v>
      </c>
      <c r="C1480" s="8" t="s">
        <v>49</v>
      </c>
      <c r="D1480" s="8" t="s">
        <v>11</v>
      </c>
      <c r="E1480" s="8" t="s">
        <v>0</v>
      </c>
      <c r="F1480" s="6" t="s">
        <v>26</v>
      </c>
      <c r="G1480" s="8">
        <v>2016</v>
      </c>
      <c r="H1480" s="8">
        <v>2</v>
      </c>
      <c r="I1480" s="10">
        <v>42401</v>
      </c>
      <c r="J1480" s="11">
        <v>3740</v>
      </c>
      <c r="K1480" s="51"/>
      <c r="O1480" s="1" t="s">
        <v>7</v>
      </c>
      <c r="P1480" s="1" t="s">
        <v>49</v>
      </c>
      <c r="Q1480" s="1" t="s">
        <v>11</v>
      </c>
      <c r="R1480" s="1" t="s">
        <v>0</v>
      </c>
      <c r="S1480" t="s">
        <v>26</v>
      </c>
      <c r="T1480" s="1">
        <v>2016</v>
      </c>
      <c r="U1480" s="1">
        <v>2</v>
      </c>
      <c r="V1480" s="50">
        <v>42401</v>
      </c>
      <c r="W1480" s="4">
        <v>3216.4000000000005</v>
      </c>
      <c r="X1480" s="48">
        <v>3740</v>
      </c>
    </row>
    <row r="1481" spans="2:24" x14ac:dyDescent="0.35">
      <c r="B1481" s="8" t="s">
        <v>12</v>
      </c>
      <c r="C1481" s="8" t="s">
        <v>34</v>
      </c>
      <c r="D1481" s="8" t="s">
        <v>35</v>
      </c>
      <c r="E1481" s="8" t="s">
        <v>27</v>
      </c>
      <c r="F1481" s="6" t="s">
        <v>28</v>
      </c>
      <c r="G1481" s="8">
        <v>2016</v>
      </c>
      <c r="H1481" s="8">
        <v>2</v>
      </c>
      <c r="I1481" s="10">
        <v>42401</v>
      </c>
      <c r="J1481" s="11">
        <v>3576</v>
      </c>
      <c r="K1481" s="51"/>
      <c r="O1481" s="1" t="s">
        <v>12</v>
      </c>
      <c r="P1481" s="1" t="s">
        <v>34</v>
      </c>
      <c r="Q1481" s="1" t="s">
        <v>35</v>
      </c>
      <c r="R1481" s="1" t="s">
        <v>27</v>
      </c>
      <c r="S1481" t="s">
        <v>28</v>
      </c>
      <c r="T1481" s="1">
        <v>2016</v>
      </c>
      <c r="U1481" s="1">
        <v>2</v>
      </c>
      <c r="V1481" s="50">
        <v>42401</v>
      </c>
      <c r="W1481" s="4">
        <v>3075.3600000000006</v>
      </c>
      <c r="X1481" s="48">
        <v>3576</v>
      </c>
    </row>
    <row r="1482" spans="2:24" x14ac:dyDescent="0.35">
      <c r="B1482" s="8" t="s">
        <v>14</v>
      </c>
      <c r="C1482" s="8" t="s">
        <v>37</v>
      </c>
      <c r="D1482" s="8" t="s">
        <v>38</v>
      </c>
      <c r="E1482" s="8" t="s">
        <v>27</v>
      </c>
      <c r="F1482" s="6" t="s">
        <v>33</v>
      </c>
      <c r="G1482" s="8">
        <v>2016</v>
      </c>
      <c r="H1482" s="8">
        <v>2</v>
      </c>
      <c r="I1482" s="10">
        <v>42401</v>
      </c>
      <c r="J1482" s="11">
        <v>3817</v>
      </c>
      <c r="K1482" s="51"/>
      <c r="O1482" s="1" t="s">
        <v>14</v>
      </c>
      <c r="P1482" s="1" t="s">
        <v>37</v>
      </c>
      <c r="Q1482" s="1" t="s">
        <v>38</v>
      </c>
      <c r="R1482" s="1" t="s">
        <v>27</v>
      </c>
      <c r="S1482" t="s">
        <v>33</v>
      </c>
      <c r="T1482" s="1">
        <v>2016</v>
      </c>
      <c r="U1482" s="1">
        <v>2</v>
      </c>
      <c r="V1482" s="50">
        <v>42401</v>
      </c>
      <c r="W1482" s="4">
        <v>3282.6200000000003</v>
      </c>
      <c r="X1482" s="48">
        <v>3817</v>
      </c>
    </row>
    <row r="1483" spans="2:24" x14ac:dyDescent="0.35">
      <c r="B1483" s="8" t="s">
        <v>12</v>
      </c>
      <c r="C1483" s="8" t="s">
        <v>44</v>
      </c>
      <c r="D1483" s="8" t="s">
        <v>13</v>
      </c>
      <c r="E1483" s="9" t="s">
        <v>23</v>
      </c>
      <c r="F1483" s="9" t="s">
        <v>24</v>
      </c>
      <c r="G1483" s="8">
        <v>2016</v>
      </c>
      <c r="H1483" s="8">
        <v>2</v>
      </c>
      <c r="I1483" s="10">
        <v>42401</v>
      </c>
      <c r="J1483" s="11">
        <v>1996</v>
      </c>
      <c r="K1483" s="51"/>
      <c r="O1483" s="1" t="s">
        <v>12</v>
      </c>
      <c r="P1483" s="1" t="s">
        <v>44</v>
      </c>
      <c r="Q1483" s="1" t="s">
        <v>13</v>
      </c>
      <c r="R1483" s="2" t="s">
        <v>23</v>
      </c>
      <c r="S1483" s="2" t="s">
        <v>24</v>
      </c>
      <c r="T1483" s="1">
        <v>2016</v>
      </c>
      <c r="U1483" s="1">
        <v>2</v>
      </c>
      <c r="V1483" s="50">
        <v>42401</v>
      </c>
      <c r="W1483" s="4">
        <v>1696.6000000000001</v>
      </c>
      <c r="X1483" s="48">
        <v>1996</v>
      </c>
    </row>
    <row r="1484" spans="2:24" x14ac:dyDescent="0.35">
      <c r="B1484" s="8" t="s">
        <v>14</v>
      </c>
      <c r="C1484" s="8" t="s">
        <v>46</v>
      </c>
      <c r="D1484" s="8" t="s">
        <v>47</v>
      </c>
      <c r="E1484" s="8" t="s">
        <v>0</v>
      </c>
      <c r="F1484" s="9" t="s">
        <v>42</v>
      </c>
      <c r="G1484" s="8">
        <v>2016</v>
      </c>
      <c r="H1484" s="8">
        <v>2</v>
      </c>
      <c r="I1484" s="10">
        <v>42401</v>
      </c>
      <c r="J1484" s="11">
        <v>4301</v>
      </c>
      <c r="K1484" s="51"/>
      <c r="O1484" s="1" t="s">
        <v>14</v>
      </c>
      <c r="P1484" s="1" t="s">
        <v>46</v>
      </c>
      <c r="Q1484" s="1" t="s">
        <v>47</v>
      </c>
      <c r="R1484" s="1" t="s">
        <v>0</v>
      </c>
      <c r="S1484" s="2" t="s">
        <v>42</v>
      </c>
      <c r="T1484" s="1">
        <v>2016</v>
      </c>
      <c r="U1484" s="1">
        <v>2</v>
      </c>
      <c r="V1484" s="50">
        <v>42401</v>
      </c>
      <c r="W1484" s="4">
        <v>3870.8999999999996</v>
      </c>
      <c r="X1484" s="48">
        <v>4301</v>
      </c>
    </row>
    <row r="1485" spans="2:24" x14ac:dyDescent="0.35">
      <c r="B1485" s="8" t="s">
        <v>7</v>
      </c>
      <c r="C1485" s="8" t="s">
        <v>48</v>
      </c>
      <c r="D1485" s="8" t="s">
        <v>9</v>
      </c>
      <c r="E1485" s="8" t="s">
        <v>27</v>
      </c>
      <c r="F1485" s="6" t="s">
        <v>33</v>
      </c>
      <c r="G1485" s="8">
        <v>2016</v>
      </c>
      <c r="H1485" s="8">
        <v>2</v>
      </c>
      <c r="I1485" s="10">
        <v>42401</v>
      </c>
      <c r="J1485" s="11">
        <v>4022</v>
      </c>
      <c r="K1485" s="51"/>
      <c r="O1485" s="1" t="s">
        <v>7</v>
      </c>
      <c r="P1485" s="1" t="s">
        <v>48</v>
      </c>
      <c r="Q1485" s="1" t="s">
        <v>9</v>
      </c>
      <c r="R1485" s="1" t="s">
        <v>27</v>
      </c>
      <c r="S1485" t="s">
        <v>33</v>
      </c>
      <c r="T1485" s="1">
        <v>2016</v>
      </c>
      <c r="U1485" s="1">
        <v>2</v>
      </c>
      <c r="V1485" s="50">
        <v>42401</v>
      </c>
      <c r="W1485" s="4">
        <v>3740.4599999999996</v>
      </c>
      <c r="X1485" s="48">
        <v>4022</v>
      </c>
    </row>
    <row r="1486" spans="2:24" x14ac:dyDescent="0.35">
      <c r="B1486" s="8" t="s">
        <v>7</v>
      </c>
      <c r="C1486" s="8" t="s">
        <v>49</v>
      </c>
      <c r="D1486" s="8" t="s">
        <v>11</v>
      </c>
      <c r="E1486" s="8" t="s">
        <v>23</v>
      </c>
      <c r="F1486" s="8" t="s">
        <v>24</v>
      </c>
      <c r="G1486" s="8">
        <v>2016</v>
      </c>
      <c r="H1486" s="8">
        <v>2</v>
      </c>
      <c r="I1486" s="10">
        <v>42401</v>
      </c>
      <c r="J1486" s="11">
        <v>2416</v>
      </c>
      <c r="K1486" s="51"/>
      <c r="O1486" s="1" t="s">
        <v>7</v>
      </c>
      <c r="P1486" s="1" t="s">
        <v>49</v>
      </c>
      <c r="Q1486" s="1" t="s">
        <v>11</v>
      </c>
      <c r="R1486" s="1" t="s">
        <v>23</v>
      </c>
      <c r="S1486" s="1" t="s">
        <v>24</v>
      </c>
      <c r="T1486" s="1">
        <v>2016</v>
      </c>
      <c r="U1486" s="1">
        <v>2</v>
      </c>
      <c r="V1486" s="50">
        <v>42401</v>
      </c>
      <c r="W1486" s="4">
        <v>2150.2399999999998</v>
      </c>
      <c r="X1486" s="48">
        <v>2416</v>
      </c>
    </row>
    <row r="1487" spans="2:24" x14ac:dyDescent="0.35">
      <c r="B1487" s="8" t="s">
        <v>3</v>
      </c>
      <c r="C1487" s="8" t="s">
        <v>22</v>
      </c>
      <c r="D1487" s="8" t="s">
        <v>5</v>
      </c>
      <c r="E1487" s="8" t="s">
        <v>23</v>
      </c>
      <c r="F1487" s="8" t="s">
        <v>24</v>
      </c>
      <c r="G1487" s="8">
        <v>2016</v>
      </c>
      <c r="H1487" s="8">
        <v>3</v>
      </c>
      <c r="I1487" s="10">
        <v>42430</v>
      </c>
      <c r="J1487" s="11">
        <v>2127</v>
      </c>
      <c r="K1487" s="51"/>
      <c r="O1487" s="1" t="s">
        <v>3</v>
      </c>
      <c r="P1487" s="1" t="s">
        <v>22</v>
      </c>
      <c r="Q1487" s="1" t="s">
        <v>5</v>
      </c>
      <c r="R1487" s="1" t="s">
        <v>23</v>
      </c>
      <c r="S1487" s="1" t="s">
        <v>24</v>
      </c>
      <c r="T1487" s="1">
        <v>2016</v>
      </c>
      <c r="U1487" s="1">
        <v>3</v>
      </c>
      <c r="V1487" s="50">
        <v>42430</v>
      </c>
      <c r="W1487" s="4">
        <v>1914.2999999999997</v>
      </c>
      <c r="X1487" s="48">
        <v>2127</v>
      </c>
    </row>
    <row r="1488" spans="2:24" x14ac:dyDescent="0.35">
      <c r="B1488" s="8" t="s">
        <v>3</v>
      </c>
      <c r="C1488" s="8" t="s">
        <v>25</v>
      </c>
      <c r="D1488" s="8" t="s">
        <v>4</v>
      </c>
      <c r="E1488" s="8" t="s">
        <v>23</v>
      </c>
      <c r="F1488" s="8" t="s">
        <v>24</v>
      </c>
      <c r="G1488" s="8">
        <v>2016</v>
      </c>
      <c r="H1488" s="8">
        <v>3</v>
      </c>
      <c r="I1488" s="10">
        <v>42430</v>
      </c>
      <c r="J1488" s="11">
        <v>3138</v>
      </c>
      <c r="K1488" s="51"/>
      <c r="O1488" s="1" t="s">
        <v>3</v>
      </c>
      <c r="P1488" s="1" t="s">
        <v>25</v>
      </c>
      <c r="Q1488" s="1" t="s">
        <v>4</v>
      </c>
      <c r="R1488" s="1" t="s">
        <v>23</v>
      </c>
      <c r="S1488" s="1" t="s">
        <v>24</v>
      </c>
      <c r="T1488" s="1">
        <v>2016</v>
      </c>
      <c r="U1488" s="1">
        <v>3</v>
      </c>
      <c r="V1488" s="50">
        <v>42430</v>
      </c>
      <c r="W1488" s="4">
        <v>2792.8199999999997</v>
      </c>
      <c r="X1488" s="48">
        <v>3138</v>
      </c>
    </row>
    <row r="1489" spans="2:24" x14ac:dyDescent="0.35">
      <c r="B1489" s="8" t="s">
        <v>3</v>
      </c>
      <c r="C1489" s="8" t="s">
        <v>25</v>
      </c>
      <c r="D1489" s="8" t="s">
        <v>4</v>
      </c>
      <c r="E1489" s="8" t="s">
        <v>0</v>
      </c>
      <c r="F1489" s="6" t="s">
        <v>26</v>
      </c>
      <c r="G1489" s="8">
        <v>2016</v>
      </c>
      <c r="H1489" s="8">
        <v>3</v>
      </c>
      <c r="I1489" s="10">
        <v>42430</v>
      </c>
      <c r="J1489" s="11">
        <v>3858</v>
      </c>
      <c r="K1489" s="51"/>
      <c r="O1489" s="1" t="s">
        <v>3</v>
      </c>
      <c r="P1489" s="1" t="s">
        <v>25</v>
      </c>
      <c r="Q1489" s="1" t="s">
        <v>4</v>
      </c>
      <c r="R1489" s="1" t="s">
        <v>0</v>
      </c>
      <c r="S1489" t="s">
        <v>26</v>
      </c>
      <c r="T1489" s="1">
        <v>2016</v>
      </c>
      <c r="U1489" s="1">
        <v>3</v>
      </c>
      <c r="V1489" s="50">
        <v>42430</v>
      </c>
      <c r="W1489" s="4">
        <v>3395.0399999999995</v>
      </c>
      <c r="X1489" s="48">
        <v>3858</v>
      </c>
    </row>
    <row r="1490" spans="2:24" x14ac:dyDescent="0.35">
      <c r="B1490" s="8" t="s">
        <v>3</v>
      </c>
      <c r="C1490" s="8" t="s">
        <v>22</v>
      </c>
      <c r="D1490" s="8" t="s">
        <v>5</v>
      </c>
      <c r="E1490" s="8" t="s">
        <v>0</v>
      </c>
      <c r="F1490" s="6" t="s">
        <v>26</v>
      </c>
      <c r="G1490" s="8">
        <v>2016</v>
      </c>
      <c r="H1490" s="8">
        <v>3</v>
      </c>
      <c r="I1490" s="10">
        <v>42430</v>
      </c>
      <c r="J1490" s="11">
        <v>3193</v>
      </c>
      <c r="K1490" s="51"/>
      <c r="O1490" s="1" t="s">
        <v>3</v>
      </c>
      <c r="P1490" s="1" t="s">
        <v>22</v>
      </c>
      <c r="Q1490" s="1" t="s">
        <v>5</v>
      </c>
      <c r="R1490" s="1" t="s">
        <v>0</v>
      </c>
      <c r="S1490" t="s">
        <v>26</v>
      </c>
      <c r="T1490" s="1">
        <v>2016</v>
      </c>
      <c r="U1490" s="1">
        <v>3</v>
      </c>
      <c r="V1490" s="50">
        <v>42430</v>
      </c>
      <c r="W1490" s="4">
        <v>2969.49</v>
      </c>
      <c r="X1490" s="48">
        <v>3193</v>
      </c>
    </row>
    <row r="1491" spans="2:24" x14ac:dyDescent="0.35">
      <c r="B1491" s="8" t="s">
        <v>3</v>
      </c>
      <c r="C1491" s="8" t="s">
        <v>22</v>
      </c>
      <c r="D1491" s="8" t="s">
        <v>5</v>
      </c>
      <c r="E1491" s="8" t="s">
        <v>27</v>
      </c>
      <c r="F1491" s="6" t="s">
        <v>28</v>
      </c>
      <c r="G1491" s="8">
        <v>2016</v>
      </c>
      <c r="H1491" s="8">
        <v>3</v>
      </c>
      <c r="I1491" s="10">
        <v>42430</v>
      </c>
      <c r="J1491" s="11">
        <v>4025</v>
      </c>
      <c r="K1491" s="51"/>
      <c r="O1491" s="1" t="s">
        <v>3</v>
      </c>
      <c r="P1491" s="1" t="s">
        <v>22</v>
      </c>
      <c r="Q1491" s="1" t="s">
        <v>5</v>
      </c>
      <c r="R1491" s="1" t="s">
        <v>27</v>
      </c>
      <c r="S1491" t="s">
        <v>28</v>
      </c>
      <c r="T1491" s="1">
        <v>2016</v>
      </c>
      <c r="U1491" s="1">
        <v>3</v>
      </c>
      <c r="V1491" s="50">
        <v>42430</v>
      </c>
      <c r="W1491" s="4">
        <v>3541.9999999999995</v>
      </c>
      <c r="X1491" s="48">
        <v>4025</v>
      </c>
    </row>
    <row r="1492" spans="2:24" x14ac:dyDescent="0.35">
      <c r="B1492" s="8" t="s">
        <v>6</v>
      </c>
      <c r="C1492" s="8" t="s">
        <v>29</v>
      </c>
      <c r="D1492" s="8" t="s">
        <v>30</v>
      </c>
      <c r="E1492" s="9" t="s">
        <v>27</v>
      </c>
      <c r="F1492" s="9" t="s">
        <v>31</v>
      </c>
      <c r="G1492" s="8">
        <v>2016</v>
      </c>
      <c r="H1492" s="8">
        <v>3</v>
      </c>
      <c r="I1492" s="10">
        <v>42430</v>
      </c>
      <c r="J1492" s="11">
        <v>5484</v>
      </c>
      <c r="K1492" s="51"/>
      <c r="O1492" s="1" t="s">
        <v>6</v>
      </c>
      <c r="P1492" s="1" t="s">
        <v>29</v>
      </c>
      <c r="Q1492" s="1" t="s">
        <v>30</v>
      </c>
      <c r="R1492" s="2" t="s">
        <v>27</v>
      </c>
      <c r="S1492" s="2" t="s">
        <v>31</v>
      </c>
      <c r="T1492" s="1">
        <v>2016</v>
      </c>
      <c r="U1492" s="1">
        <v>3</v>
      </c>
      <c r="V1492" s="50">
        <v>42430</v>
      </c>
      <c r="W1492" s="4">
        <v>4661.4000000000005</v>
      </c>
      <c r="X1492" s="48">
        <v>5484</v>
      </c>
    </row>
    <row r="1493" spans="2:24" x14ac:dyDescent="0.35">
      <c r="B1493" s="8" t="s">
        <v>7</v>
      </c>
      <c r="C1493" s="8" t="s">
        <v>32</v>
      </c>
      <c r="D1493" s="8" t="s">
        <v>8</v>
      </c>
      <c r="E1493" s="8" t="s">
        <v>27</v>
      </c>
      <c r="F1493" s="9" t="s">
        <v>33</v>
      </c>
      <c r="G1493" s="8">
        <v>2016</v>
      </c>
      <c r="H1493" s="8">
        <v>3</v>
      </c>
      <c r="I1493" s="10">
        <v>42430</v>
      </c>
      <c r="J1493" s="11">
        <v>4029</v>
      </c>
      <c r="K1493" s="51"/>
      <c r="O1493" s="1" t="s">
        <v>7</v>
      </c>
      <c r="P1493" s="1" t="s">
        <v>32</v>
      </c>
      <c r="Q1493" s="1" t="s">
        <v>8</v>
      </c>
      <c r="R1493" s="1" t="s">
        <v>27</v>
      </c>
      <c r="S1493" s="2" t="s">
        <v>33</v>
      </c>
      <c r="T1493" s="1">
        <v>2016</v>
      </c>
      <c r="U1493" s="1">
        <v>3</v>
      </c>
      <c r="V1493" s="50">
        <v>42430</v>
      </c>
      <c r="W1493" s="4">
        <v>3464.9400000000005</v>
      </c>
      <c r="X1493" s="48">
        <v>4029</v>
      </c>
    </row>
    <row r="1494" spans="2:24" x14ac:dyDescent="0.35">
      <c r="B1494" s="8" t="s">
        <v>12</v>
      </c>
      <c r="C1494" s="8" t="s">
        <v>34</v>
      </c>
      <c r="D1494" s="8" t="s">
        <v>35</v>
      </c>
      <c r="E1494" s="8" t="s">
        <v>23</v>
      </c>
      <c r="F1494" s="6" t="s">
        <v>36</v>
      </c>
      <c r="G1494" s="8">
        <v>2016</v>
      </c>
      <c r="H1494" s="8">
        <v>3</v>
      </c>
      <c r="I1494" s="10">
        <v>42430</v>
      </c>
      <c r="J1494" s="11">
        <v>2075</v>
      </c>
      <c r="K1494" s="51"/>
      <c r="O1494" s="1" t="s">
        <v>12</v>
      </c>
      <c r="P1494" s="1" t="s">
        <v>34</v>
      </c>
      <c r="Q1494" s="1" t="s">
        <v>35</v>
      </c>
      <c r="R1494" s="1" t="s">
        <v>23</v>
      </c>
      <c r="S1494" t="s">
        <v>36</v>
      </c>
      <c r="T1494" s="1">
        <v>2016</v>
      </c>
      <c r="U1494" s="1">
        <v>3</v>
      </c>
      <c r="V1494" s="50">
        <v>42430</v>
      </c>
      <c r="W1494" s="4">
        <v>1846.7499999999998</v>
      </c>
      <c r="X1494" s="48">
        <v>2075</v>
      </c>
    </row>
    <row r="1495" spans="2:24" x14ac:dyDescent="0.35">
      <c r="B1495" s="8" t="s">
        <v>14</v>
      </c>
      <c r="C1495" s="8" t="s">
        <v>37</v>
      </c>
      <c r="D1495" s="8" t="s">
        <v>38</v>
      </c>
      <c r="E1495" s="8" t="s">
        <v>23</v>
      </c>
      <c r="F1495" s="8" t="s">
        <v>24</v>
      </c>
      <c r="G1495" s="8">
        <v>2016</v>
      </c>
      <c r="H1495" s="8">
        <v>3</v>
      </c>
      <c r="I1495" s="10">
        <v>42430</v>
      </c>
      <c r="J1495" s="11">
        <v>3066</v>
      </c>
      <c r="K1495" s="51"/>
      <c r="O1495" s="1" t="s">
        <v>14</v>
      </c>
      <c r="P1495" s="1" t="s">
        <v>37</v>
      </c>
      <c r="Q1495" s="1" t="s">
        <v>38</v>
      </c>
      <c r="R1495" s="1" t="s">
        <v>23</v>
      </c>
      <c r="S1495" s="1" t="s">
        <v>24</v>
      </c>
      <c r="T1495" s="1">
        <v>2016</v>
      </c>
      <c r="U1495" s="1">
        <v>3</v>
      </c>
      <c r="V1495" s="50">
        <v>42430</v>
      </c>
      <c r="W1495" s="4">
        <v>2790.06</v>
      </c>
      <c r="X1495" s="48">
        <v>3066</v>
      </c>
    </row>
    <row r="1496" spans="2:24" x14ac:dyDescent="0.35">
      <c r="B1496" s="8" t="s">
        <v>3</v>
      </c>
      <c r="C1496" s="8" t="s">
        <v>25</v>
      </c>
      <c r="D1496" s="8" t="s">
        <v>4</v>
      </c>
      <c r="E1496" s="8" t="s">
        <v>23</v>
      </c>
      <c r="F1496" s="8" t="s">
        <v>39</v>
      </c>
      <c r="G1496" s="8">
        <v>2016</v>
      </c>
      <c r="H1496" s="8">
        <v>3</v>
      </c>
      <c r="I1496" s="10">
        <v>42430</v>
      </c>
      <c r="J1496" s="11">
        <v>2588</v>
      </c>
      <c r="K1496" s="51"/>
      <c r="O1496" s="1" t="s">
        <v>3</v>
      </c>
      <c r="P1496" s="1" t="s">
        <v>25</v>
      </c>
      <c r="Q1496" s="1" t="s">
        <v>4</v>
      </c>
      <c r="R1496" s="1" t="s">
        <v>23</v>
      </c>
      <c r="S1496" s="1" t="s">
        <v>39</v>
      </c>
      <c r="T1496" s="1">
        <v>2016</v>
      </c>
      <c r="U1496" s="1">
        <v>3</v>
      </c>
      <c r="V1496" s="50">
        <v>42430</v>
      </c>
      <c r="W1496" s="4">
        <v>2277.4399999999996</v>
      </c>
      <c r="X1496" s="48">
        <v>2588</v>
      </c>
    </row>
    <row r="1497" spans="2:24" x14ac:dyDescent="0.35">
      <c r="B1497" s="8" t="s">
        <v>6</v>
      </c>
      <c r="C1497" s="8" t="s">
        <v>40</v>
      </c>
      <c r="D1497" s="8" t="s">
        <v>41</v>
      </c>
      <c r="E1497" s="8" t="s">
        <v>0</v>
      </c>
      <c r="F1497" s="8" t="s">
        <v>42</v>
      </c>
      <c r="G1497" s="8">
        <v>2016</v>
      </c>
      <c r="H1497" s="8">
        <v>3</v>
      </c>
      <c r="I1497" s="10">
        <v>42430</v>
      </c>
      <c r="J1497" s="11">
        <v>5657</v>
      </c>
      <c r="K1497" s="51"/>
      <c r="O1497" s="1" t="s">
        <v>6</v>
      </c>
      <c r="P1497" s="1" t="s">
        <v>40</v>
      </c>
      <c r="Q1497" s="1" t="s">
        <v>41</v>
      </c>
      <c r="R1497" s="1" t="s">
        <v>0</v>
      </c>
      <c r="S1497" s="1" t="s">
        <v>42</v>
      </c>
      <c r="T1497" s="1">
        <v>2016</v>
      </c>
      <c r="U1497" s="1">
        <v>3</v>
      </c>
      <c r="V1497" s="50">
        <v>42430</v>
      </c>
      <c r="W1497" s="4">
        <v>4978.16</v>
      </c>
      <c r="X1497" s="48">
        <v>5657</v>
      </c>
    </row>
    <row r="1498" spans="2:24" x14ac:dyDescent="0.35">
      <c r="B1498" s="8" t="s">
        <v>7</v>
      </c>
      <c r="C1498" s="8" t="s">
        <v>43</v>
      </c>
      <c r="D1498" s="8" t="s">
        <v>10</v>
      </c>
      <c r="E1498" s="8" t="s">
        <v>0</v>
      </c>
      <c r="F1498" s="6" t="s">
        <v>26</v>
      </c>
      <c r="G1498" s="8">
        <v>2016</v>
      </c>
      <c r="H1498" s="8">
        <v>3</v>
      </c>
      <c r="I1498" s="10">
        <v>42430</v>
      </c>
      <c r="J1498" s="11">
        <v>5357</v>
      </c>
      <c r="K1498" s="51"/>
      <c r="O1498" s="1" t="s">
        <v>7</v>
      </c>
      <c r="P1498" s="1" t="s">
        <v>43</v>
      </c>
      <c r="Q1498" s="1" t="s">
        <v>10</v>
      </c>
      <c r="R1498" s="1" t="s">
        <v>0</v>
      </c>
      <c r="S1498" t="s">
        <v>26</v>
      </c>
      <c r="T1498" s="1">
        <v>2016</v>
      </c>
      <c r="U1498" s="1">
        <v>3</v>
      </c>
      <c r="V1498" s="50">
        <v>42430</v>
      </c>
      <c r="W1498" s="4">
        <v>4660.59</v>
      </c>
      <c r="X1498" s="48">
        <v>5357</v>
      </c>
    </row>
    <row r="1499" spans="2:24" x14ac:dyDescent="0.35">
      <c r="B1499" s="8" t="s">
        <v>12</v>
      </c>
      <c r="C1499" s="8" t="s">
        <v>44</v>
      </c>
      <c r="D1499" s="8" t="s">
        <v>13</v>
      </c>
      <c r="E1499" s="8" t="s">
        <v>0</v>
      </c>
      <c r="F1499" s="6" t="s">
        <v>45</v>
      </c>
      <c r="G1499" s="8">
        <v>2016</v>
      </c>
      <c r="H1499" s="8">
        <v>3</v>
      </c>
      <c r="I1499" s="10">
        <v>42430</v>
      </c>
      <c r="J1499" s="11">
        <v>3515</v>
      </c>
      <c r="K1499" s="51"/>
      <c r="O1499" s="1" t="s">
        <v>12</v>
      </c>
      <c r="P1499" s="1" t="s">
        <v>44</v>
      </c>
      <c r="Q1499" s="1" t="s">
        <v>13</v>
      </c>
      <c r="R1499" s="1" t="s">
        <v>0</v>
      </c>
      <c r="S1499" t="s">
        <v>45</v>
      </c>
      <c r="T1499" s="1">
        <v>2016</v>
      </c>
      <c r="U1499" s="1">
        <v>3</v>
      </c>
      <c r="V1499" s="50">
        <v>42430</v>
      </c>
      <c r="W1499" s="4">
        <v>3233.7999999999997</v>
      </c>
      <c r="X1499" s="48">
        <v>3515</v>
      </c>
    </row>
    <row r="1500" spans="2:24" x14ac:dyDescent="0.35">
      <c r="B1500" s="8" t="s">
        <v>14</v>
      </c>
      <c r="C1500" s="8" t="s">
        <v>46</v>
      </c>
      <c r="D1500" s="8" t="s">
        <v>47</v>
      </c>
      <c r="E1500" s="8" t="s">
        <v>27</v>
      </c>
      <c r="F1500" s="6" t="s">
        <v>28</v>
      </c>
      <c r="G1500" s="8">
        <v>2016</v>
      </c>
      <c r="H1500" s="8">
        <v>3</v>
      </c>
      <c r="I1500" s="10">
        <v>42430</v>
      </c>
      <c r="J1500" s="11">
        <v>4115</v>
      </c>
      <c r="K1500" s="51"/>
      <c r="O1500" s="1" t="s">
        <v>14</v>
      </c>
      <c r="P1500" s="1" t="s">
        <v>46</v>
      </c>
      <c r="Q1500" s="1" t="s">
        <v>47</v>
      </c>
      <c r="R1500" s="1" t="s">
        <v>27</v>
      </c>
      <c r="S1500" t="s">
        <v>28</v>
      </c>
      <c r="T1500" s="1">
        <v>2016</v>
      </c>
      <c r="U1500" s="1">
        <v>3</v>
      </c>
      <c r="V1500" s="50">
        <v>42430</v>
      </c>
      <c r="W1500" s="4">
        <v>3497.7500000000005</v>
      </c>
      <c r="X1500" s="48">
        <v>4115</v>
      </c>
    </row>
    <row r="1501" spans="2:24" x14ac:dyDescent="0.35">
      <c r="B1501" s="8" t="s">
        <v>3</v>
      </c>
      <c r="C1501" s="8" t="s">
        <v>22</v>
      </c>
      <c r="D1501" s="8" t="s">
        <v>5</v>
      </c>
      <c r="E1501" s="9" t="s">
        <v>27</v>
      </c>
      <c r="F1501" s="9" t="s">
        <v>31</v>
      </c>
      <c r="G1501" s="8">
        <v>2016</v>
      </c>
      <c r="H1501" s="8">
        <v>3</v>
      </c>
      <c r="I1501" s="10">
        <v>42430</v>
      </c>
      <c r="J1501" s="11">
        <v>4136</v>
      </c>
      <c r="K1501" s="51"/>
      <c r="O1501" s="1" t="s">
        <v>3</v>
      </c>
      <c r="P1501" s="1" t="s">
        <v>22</v>
      </c>
      <c r="Q1501" s="1" t="s">
        <v>5</v>
      </c>
      <c r="R1501" s="2" t="s">
        <v>27</v>
      </c>
      <c r="S1501" s="2" t="s">
        <v>31</v>
      </c>
      <c r="T1501" s="1">
        <v>2016</v>
      </c>
      <c r="U1501" s="1">
        <v>3</v>
      </c>
      <c r="V1501" s="50">
        <v>42430</v>
      </c>
      <c r="W1501" s="4">
        <v>3846.4799999999996</v>
      </c>
      <c r="X1501" s="48">
        <v>4136</v>
      </c>
    </row>
    <row r="1502" spans="2:24" x14ac:dyDescent="0.35">
      <c r="B1502" s="8" t="s">
        <v>6</v>
      </c>
      <c r="C1502" s="8" t="s">
        <v>29</v>
      </c>
      <c r="D1502" s="8" t="s">
        <v>30</v>
      </c>
      <c r="E1502" s="8" t="s">
        <v>27</v>
      </c>
      <c r="F1502" s="9" t="s">
        <v>33</v>
      </c>
      <c r="G1502" s="8">
        <v>2016</v>
      </c>
      <c r="H1502" s="8">
        <v>3</v>
      </c>
      <c r="I1502" s="10">
        <v>42430</v>
      </c>
      <c r="J1502" s="11">
        <v>3211</v>
      </c>
      <c r="K1502" s="51"/>
      <c r="O1502" s="1" t="s">
        <v>6</v>
      </c>
      <c r="P1502" s="1" t="s">
        <v>29</v>
      </c>
      <c r="Q1502" s="1" t="s">
        <v>30</v>
      </c>
      <c r="R1502" s="1" t="s">
        <v>27</v>
      </c>
      <c r="S1502" s="2" t="s">
        <v>33</v>
      </c>
      <c r="T1502" s="1">
        <v>2016</v>
      </c>
      <c r="U1502" s="1">
        <v>3</v>
      </c>
      <c r="V1502" s="50">
        <v>42430</v>
      </c>
      <c r="W1502" s="4">
        <v>2889.8999999999996</v>
      </c>
      <c r="X1502" s="48">
        <v>3211</v>
      </c>
    </row>
    <row r="1503" spans="2:24" x14ac:dyDescent="0.35">
      <c r="B1503" s="8" t="s">
        <v>7</v>
      </c>
      <c r="C1503" s="8" t="s">
        <v>32</v>
      </c>
      <c r="D1503" s="8" t="s">
        <v>8</v>
      </c>
      <c r="E1503" s="8" t="s">
        <v>23</v>
      </c>
      <c r="F1503" s="6" t="s">
        <v>36</v>
      </c>
      <c r="G1503" s="8">
        <v>2016</v>
      </c>
      <c r="H1503" s="8">
        <v>3</v>
      </c>
      <c r="I1503" s="10">
        <v>42430</v>
      </c>
      <c r="J1503" s="11">
        <v>1730</v>
      </c>
      <c r="K1503" s="51"/>
      <c r="O1503" s="1" t="s">
        <v>7</v>
      </c>
      <c r="P1503" s="1" t="s">
        <v>32</v>
      </c>
      <c r="Q1503" s="1" t="s">
        <v>8</v>
      </c>
      <c r="R1503" s="1" t="s">
        <v>23</v>
      </c>
      <c r="S1503" t="s">
        <v>36</v>
      </c>
      <c r="T1503" s="1">
        <v>2016</v>
      </c>
      <c r="U1503" s="1">
        <v>3</v>
      </c>
      <c r="V1503" s="50">
        <v>42430</v>
      </c>
      <c r="W1503" s="4">
        <v>1487.8000000000002</v>
      </c>
      <c r="X1503" s="48">
        <v>1730</v>
      </c>
    </row>
    <row r="1504" spans="2:24" x14ac:dyDescent="0.35">
      <c r="B1504" s="8" t="s">
        <v>12</v>
      </c>
      <c r="C1504" s="8" t="s">
        <v>34</v>
      </c>
      <c r="D1504" s="8" t="s">
        <v>35</v>
      </c>
      <c r="E1504" s="8" t="s">
        <v>23</v>
      </c>
      <c r="F1504" s="8" t="s">
        <v>24</v>
      </c>
      <c r="G1504" s="8">
        <v>2016</v>
      </c>
      <c r="H1504" s="8">
        <v>3</v>
      </c>
      <c r="I1504" s="10">
        <v>42430</v>
      </c>
      <c r="J1504" s="11">
        <v>2024</v>
      </c>
      <c r="K1504" s="51"/>
      <c r="O1504" s="1" t="s">
        <v>12</v>
      </c>
      <c r="P1504" s="1" t="s">
        <v>34</v>
      </c>
      <c r="Q1504" s="1" t="s">
        <v>35</v>
      </c>
      <c r="R1504" s="1" t="s">
        <v>23</v>
      </c>
      <c r="S1504" s="1" t="s">
        <v>24</v>
      </c>
      <c r="T1504" s="1">
        <v>2016</v>
      </c>
      <c r="U1504" s="1">
        <v>3</v>
      </c>
      <c r="V1504" s="50">
        <v>42430</v>
      </c>
      <c r="W1504" s="4">
        <v>1882.32</v>
      </c>
      <c r="X1504" s="48">
        <v>2024</v>
      </c>
    </row>
    <row r="1505" spans="2:24" x14ac:dyDescent="0.35">
      <c r="B1505" s="8" t="s">
        <v>14</v>
      </c>
      <c r="C1505" s="8" t="s">
        <v>37</v>
      </c>
      <c r="D1505" s="8" t="s">
        <v>38</v>
      </c>
      <c r="E1505" s="8" t="s">
        <v>23</v>
      </c>
      <c r="F1505" s="8" t="s">
        <v>39</v>
      </c>
      <c r="G1505" s="8">
        <v>2016</v>
      </c>
      <c r="H1505" s="8">
        <v>3</v>
      </c>
      <c r="I1505" s="10">
        <v>42430</v>
      </c>
      <c r="J1505" s="11">
        <v>1725</v>
      </c>
      <c r="K1505" s="51"/>
      <c r="O1505" s="1" t="s">
        <v>14</v>
      </c>
      <c r="P1505" s="1" t="s">
        <v>37</v>
      </c>
      <c r="Q1505" s="1" t="s">
        <v>38</v>
      </c>
      <c r="R1505" s="1" t="s">
        <v>23</v>
      </c>
      <c r="S1505" s="1" t="s">
        <v>39</v>
      </c>
      <c r="T1505" s="1">
        <v>2016</v>
      </c>
      <c r="U1505" s="1">
        <v>3</v>
      </c>
      <c r="V1505" s="50">
        <v>42430</v>
      </c>
      <c r="W1505" s="4">
        <v>1500.7500000000002</v>
      </c>
      <c r="X1505" s="48">
        <v>1725</v>
      </c>
    </row>
    <row r="1506" spans="2:24" x14ac:dyDescent="0.35">
      <c r="B1506" s="8" t="s">
        <v>3</v>
      </c>
      <c r="C1506" s="8" t="s">
        <v>25</v>
      </c>
      <c r="D1506" s="8" t="s">
        <v>4</v>
      </c>
      <c r="E1506" s="8" t="s">
        <v>0</v>
      </c>
      <c r="F1506" s="8" t="s">
        <v>42</v>
      </c>
      <c r="G1506" s="8">
        <v>2016</v>
      </c>
      <c r="H1506" s="8">
        <v>3</v>
      </c>
      <c r="I1506" s="10">
        <v>42430</v>
      </c>
      <c r="J1506" s="11">
        <v>5422</v>
      </c>
      <c r="K1506" s="51"/>
      <c r="O1506" s="1" t="s">
        <v>3</v>
      </c>
      <c r="P1506" s="1" t="s">
        <v>25</v>
      </c>
      <c r="Q1506" s="1" t="s">
        <v>4</v>
      </c>
      <c r="R1506" s="1" t="s">
        <v>0</v>
      </c>
      <c r="S1506" s="1" t="s">
        <v>42</v>
      </c>
      <c r="T1506" s="1">
        <v>2016</v>
      </c>
      <c r="U1506" s="1">
        <v>3</v>
      </c>
      <c r="V1506" s="50">
        <v>42430</v>
      </c>
      <c r="W1506" s="4">
        <v>4608.7000000000007</v>
      </c>
      <c r="X1506" s="48">
        <v>5422</v>
      </c>
    </row>
    <row r="1507" spans="2:24" x14ac:dyDescent="0.35">
      <c r="B1507" s="8" t="s">
        <v>6</v>
      </c>
      <c r="C1507" s="8" t="s">
        <v>40</v>
      </c>
      <c r="D1507" s="8" t="s">
        <v>41</v>
      </c>
      <c r="E1507" s="8" t="s">
        <v>0</v>
      </c>
      <c r="F1507" s="6" t="s">
        <v>26</v>
      </c>
      <c r="G1507" s="8">
        <v>2016</v>
      </c>
      <c r="H1507" s="8">
        <v>3</v>
      </c>
      <c r="I1507" s="10">
        <v>42430</v>
      </c>
      <c r="J1507" s="11">
        <v>4314</v>
      </c>
      <c r="K1507" s="51"/>
      <c r="O1507" s="1" t="s">
        <v>6</v>
      </c>
      <c r="P1507" s="1" t="s">
        <v>40</v>
      </c>
      <c r="Q1507" s="1" t="s">
        <v>41</v>
      </c>
      <c r="R1507" s="1" t="s">
        <v>0</v>
      </c>
      <c r="S1507" t="s">
        <v>26</v>
      </c>
      <c r="T1507" s="1">
        <v>2016</v>
      </c>
      <c r="U1507" s="1">
        <v>3</v>
      </c>
      <c r="V1507" s="50">
        <v>42430</v>
      </c>
      <c r="W1507" s="4">
        <v>3796.3199999999997</v>
      </c>
      <c r="X1507" s="48">
        <v>4314</v>
      </c>
    </row>
    <row r="1508" spans="2:24" x14ac:dyDescent="0.35">
      <c r="B1508" s="8" t="s">
        <v>7</v>
      </c>
      <c r="C1508" s="8" t="s">
        <v>43</v>
      </c>
      <c r="D1508" s="8" t="s">
        <v>10</v>
      </c>
      <c r="E1508" s="8" t="s">
        <v>0</v>
      </c>
      <c r="F1508" s="6" t="s">
        <v>45</v>
      </c>
      <c r="G1508" s="8">
        <v>2016</v>
      </c>
      <c r="H1508" s="8">
        <v>3</v>
      </c>
      <c r="I1508" s="10">
        <v>42430</v>
      </c>
      <c r="J1508" s="11">
        <v>3498</v>
      </c>
      <c r="K1508" s="51"/>
      <c r="O1508" s="1" t="s">
        <v>7</v>
      </c>
      <c r="P1508" s="1" t="s">
        <v>43</v>
      </c>
      <c r="Q1508" s="1" t="s">
        <v>10</v>
      </c>
      <c r="R1508" s="1" t="s">
        <v>0</v>
      </c>
      <c r="S1508" t="s">
        <v>45</v>
      </c>
      <c r="T1508" s="1">
        <v>2016</v>
      </c>
      <c r="U1508" s="1">
        <v>3</v>
      </c>
      <c r="V1508" s="50">
        <v>42430</v>
      </c>
      <c r="W1508" s="4">
        <v>3148.2</v>
      </c>
      <c r="X1508" s="48">
        <v>3498</v>
      </c>
    </row>
    <row r="1509" spans="2:24" x14ac:dyDescent="0.35">
      <c r="B1509" s="8" t="s">
        <v>12</v>
      </c>
      <c r="C1509" s="8" t="s">
        <v>44</v>
      </c>
      <c r="D1509" s="8" t="s">
        <v>13</v>
      </c>
      <c r="E1509" s="8" t="s">
        <v>27</v>
      </c>
      <c r="F1509" s="6" t="s">
        <v>28</v>
      </c>
      <c r="G1509" s="8">
        <v>2016</v>
      </c>
      <c r="H1509" s="8">
        <v>3</v>
      </c>
      <c r="I1509" s="10">
        <v>42430</v>
      </c>
      <c r="J1509" s="11">
        <v>3470</v>
      </c>
      <c r="K1509" s="51"/>
      <c r="O1509" s="1" t="s">
        <v>12</v>
      </c>
      <c r="P1509" s="1" t="s">
        <v>44</v>
      </c>
      <c r="Q1509" s="1" t="s">
        <v>13</v>
      </c>
      <c r="R1509" s="1" t="s">
        <v>27</v>
      </c>
      <c r="S1509" t="s">
        <v>28</v>
      </c>
      <c r="T1509" s="1">
        <v>2016</v>
      </c>
      <c r="U1509" s="1">
        <v>3</v>
      </c>
      <c r="V1509" s="50">
        <v>42430</v>
      </c>
      <c r="W1509" s="4">
        <v>3053.5999999999995</v>
      </c>
      <c r="X1509" s="48">
        <v>3470</v>
      </c>
    </row>
    <row r="1510" spans="2:24" x14ac:dyDescent="0.35">
      <c r="B1510" s="8" t="s">
        <v>14</v>
      </c>
      <c r="C1510" s="8" t="s">
        <v>46</v>
      </c>
      <c r="D1510" s="8" t="s">
        <v>47</v>
      </c>
      <c r="E1510" s="9" t="s">
        <v>27</v>
      </c>
      <c r="F1510" s="9" t="s">
        <v>31</v>
      </c>
      <c r="G1510" s="8">
        <v>2016</v>
      </c>
      <c r="H1510" s="8">
        <v>3</v>
      </c>
      <c r="I1510" s="10">
        <v>42430</v>
      </c>
      <c r="J1510" s="11">
        <v>3501</v>
      </c>
      <c r="K1510" s="51"/>
      <c r="O1510" s="1" t="s">
        <v>14</v>
      </c>
      <c r="P1510" s="1" t="s">
        <v>46</v>
      </c>
      <c r="Q1510" s="1" t="s">
        <v>47</v>
      </c>
      <c r="R1510" s="2" t="s">
        <v>27</v>
      </c>
      <c r="S1510" s="2" t="s">
        <v>31</v>
      </c>
      <c r="T1510" s="1">
        <v>2016</v>
      </c>
      <c r="U1510" s="1">
        <v>3</v>
      </c>
      <c r="V1510" s="50">
        <v>42430</v>
      </c>
      <c r="W1510" s="4">
        <v>3290.9399999999996</v>
      </c>
      <c r="X1510" s="48">
        <v>3501</v>
      </c>
    </row>
    <row r="1511" spans="2:24" x14ac:dyDescent="0.35">
      <c r="B1511" s="8" t="s">
        <v>3</v>
      </c>
      <c r="C1511" s="8" t="s">
        <v>22</v>
      </c>
      <c r="D1511" s="8" t="s">
        <v>5</v>
      </c>
      <c r="E1511" s="8" t="s">
        <v>27</v>
      </c>
      <c r="F1511" s="9" t="s">
        <v>33</v>
      </c>
      <c r="G1511" s="8">
        <v>2016</v>
      </c>
      <c r="H1511" s="8">
        <v>3</v>
      </c>
      <c r="I1511" s="10">
        <v>42430</v>
      </c>
      <c r="J1511" s="11">
        <v>4008</v>
      </c>
      <c r="K1511" s="51"/>
      <c r="O1511" s="1" t="s">
        <v>3</v>
      </c>
      <c r="P1511" s="1" t="s">
        <v>22</v>
      </c>
      <c r="Q1511" s="1" t="s">
        <v>5</v>
      </c>
      <c r="R1511" s="1" t="s">
        <v>27</v>
      </c>
      <c r="S1511" s="2" t="s">
        <v>33</v>
      </c>
      <c r="T1511" s="1">
        <v>2016</v>
      </c>
      <c r="U1511" s="1">
        <v>3</v>
      </c>
      <c r="V1511" s="50">
        <v>42430</v>
      </c>
      <c r="W1511" s="4">
        <v>3767.52</v>
      </c>
      <c r="X1511" s="48">
        <v>4008</v>
      </c>
    </row>
    <row r="1512" spans="2:24" x14ac:dyDescent="0.35">
      <c r="B1512" s="8" t="s">
        <v>6</v>
      </c>
      <c r="C1512" s="8" t="s">
        <v>29</v>
      </c>
      <c r="D1512" s="8" t="s">
        <v>30</v>
      </c>
      <c r="E1512" s="8" t="s">
        <v>23</v>
      </c>
      <c r="F1512" s="6" t="s">
        <v>36</v>
      </c>
      <c r="G1512" s="8">
        <v>2016</v>
      </c>
      <c r="H1512" s="8">
        <v>3</v>
      </c>
      <c r="I1512" s="10">
        <v>42430</v>
      </c>
      <c r="J1512" s="11">
        <v>2882</v>
      </c>
      <c r="K1512" s="51"/>
      <c r="O1512" s="1" t="s">
        <v>6</v>
      </c>
      <c r="P1512" s="1" t="s">
        <v>29</v>
      </c>
      <c r="Q1512" s="1" t="s">
        <v>30</v>
      </c>
      <c r="R1512" s="1" t="s">
        <v>23</v>
      </c>
      <c r="S1512" t="s">
        <v>36</v>
      </c>
      <c r="T1512" s="1">
        <v>2016</v>
      </c>
      <c r="U1512" s="1">
        <v>3</v>
      </c>
      <c r="V1512" s="50">
        <v>42430</v>
      </c>
      <c r="W1512" s="4">
        <v>2593.7999999999997</v>
      </c>
      <c r="X1512" s="48">
        <v>2882</v>
      </c>
    </row>
    <row r="1513" spans="2:24" x14ac:dyDescent="0.35">
      <c r="B1513" s="8" t="s">
        <v>7</v>
      </c>
      <c r="C1513" s="8" t="s">
        <v>32</v>
      </c>
      <c r="D1513" s="8" t="s">
        <v>8</v>
      </c>
      <c r="E1513" s="8" t="s">
        <v>23</v>
      </c>
      <c r="F1513" s="8" t="s">
        <v>24</v>
      </c>
      <c r="G1513" s="8">
        <v>2016</v>
      </c>
      <c r="H1513" s="8">
        <v>3</v>
      </c>
      <c r="I1513" s="10">
        <v>42430</v>
      </c>
      <c r="J1513" s="11">
        <v>2074</v>
      </c>
      <c r="K1513" s="51"/>
      <c r="O1513" s="1" t="s">
        <v>7</v>
      </c>
      <c r="P1513" s="1" t="s">
        <v>32</v>
      </c>
      <c r="Q1513" s="1" t="s">
        <v>8</v>
      </c>
      <c r="R1513" s="1" t="s">
        <v>23</v>
      </c>
      <c r="S1513" s="1" t="s">
        <v>24</v>
      </c>
      <c r="T1513" s="1">
        <v>2016</v>
      </c>
      <c r="U1513" s="1">
        <v>3</v>
      </c>
      <c r="V1513" s="50">
        <v>42430</v>
      </c>
      <c r="W1513" s="4">
        <v>1762.9</v>
      </c>
      <c r="X1513" s="48">
        <v>2074</v>
      </c>
    </row>
    <row r="1514" spans="2:24" x14ac:dyDescent="0.35">
      <c r="B1514" s="8" t="s">
        <v>12</v>
      </c>
      <c r="C1514" s="8" t="s">
        <v>34</v>
      </c>
      <c r="D1514" s="8" t="s">
        <v>35</v>
      </c>
      <c r="E1514" s="8" t="s">
        <v>23</v>
      </c>
      <c r="F1514" s="8" t="s">
        <v>39</v>
      </c>
      <c r="G1514" s="8">
        <v>2016</v>
      </c>
      <c r="H1514" s="8">
        <v>3</v>
      </c>
      <c r="I1514" s="10">
        <v>42430</v>
      </c>
      <c r="J1514" s="11">
        <v>2644</v>
      </c>
      <c r="K1514" s="51"/>
      <c r="O1514" s="1" t="s">
        <v>12</v>
      </c>
      <c r="P1514" s="1" t="s">
        <v>34</v>
      </c>
      <c r="Q1514" s="1" t="s">
        <v>35</v>
      </c>
      <c r="R1514" s="1" t="s">
        <v>23</v>
      </c>
      <c r="S1514" s="1" t="s">
        <v>39</v>
      </c>
      <c r="T1514" s="1">
        <v>2016</v>
      </c>
      <c r="U1514" s="1">
        <v>3</v>
      </c>
      <c r="V1514" s="50">
        <v>42430</v>
      </c>
      <c r="W1514" s="4">
        <v>2273.84</v>
      </c>
      <c r="X1514" s="48">
        <v>2644</v>
      </c>
    </row>
    <row r="1515" spans="2:24" x14ac:dyDescent="0.35">
      <c r="B1515" s="8" t="s">
        <v>14</v>
      </c>
      <c r="C1515" s="8" t="s">
        <v>37</v>
      </c>
      <c r="D1515" s="8" t="s">
        <v>38</v>
      </c>
      <c r="E1515" s="8" t="s">
        <v>0</v>
      </c>
      <c r="F1515" s="8" t="s">
        <v>42</v>
      </c>
      <c r="G1515" s="8">
        <v>2016</v>
      </c>
      <c r="H1515" s="8">
        <v>3</v>
      </c>
      <c r="I1515" s="10">
        <v>42430</v>
      </c>
      <c r="J1515" s="11">
        <v>6680</v>
      </c>
      <c r="K1515" s="51"/>
      <c r="O1515" s="1" t="s">
        <v>14</v>
      </c>
      <c r="P1515" s="1" t="s">
        <v>37</v>
      </c>
      <c r="Q1515" s="1" t="s">
        <v>38</v>
      </c>
      <c r="R1515" s="1" t="s">
        <v>0</v>
      </c>
      <c r="S1515" s="1" t="s">
        <v>42</v>
      </c>
      <c r="T1515" s="1">
        <v>2016</v>
      </c>
      <c r="U1515" s="1">
        <v>3</v>
      </c>
      <c r="V1515" s="50">
        <v>42430</v>
      </c>
      <c r="W1515" s="4">
        <v>5878.4</v>
      </c>
      <c r="X1515" s="48">
        <v>6680</v>
      </c>
    </row>
    <row r="1516" spans="2:24" x14ac:dyDescent="0.35">
      <c r="B1516" s="8" t="s">
        <v>6</v>
      </c>
      <c r="C1516" s="8" t="s">
        <v>29</v>
      </c>
      <c r="D1516" s="8" t="s">
        <v>30</v>
      </c>
      <c r="E1516" s="8" t="s">
        <v>0</v>
      </c>
      <c r="F1516" s="6" t="s">
        <v>45</v>
      </c>
      <c r="G1516" s="8">
        <v>2016</v>
      </c>
      <c r="H1516" s="8">
        <v>3</v>
      </c>
      <c r="I1516" s="10">
        <v>42430</v>
      </c>
      <c r="J1516" s="11">
        <v>2389</v>
      </c>
      <c r="K1516" s="51"/>
      <c r="O1516" s="1" t="s">
        <v>6</v>
      </c>
      <c r="P1516" s="1" t="s">
        <v>29</v>
      </c>
      <c r="Q1516" s="1" t="s">
        <v>30</v>
      </c>
      <c r="R1516" s="1" t="s">
        <v>0</v>
      </c>
      <c r="S1516" t="s">
        <v>45</v>
      </c>
      <c r="T1516" s="1">
        <v>2016</v>
      </c>
      <c r="U1516" s="1">
        <v>3</v>
      </c>
      <c r="V1516" s="50">
        <v>42430</v>
      </c>
      <c r="W1516" s="4">
        <v>2197.8799999999997</v>
      </c>
      <c r="X1516" s="48">
        <v>2389</v>
      </c>
    </row>
    <row r="1517" spans="2:24" x14ac:dyDescent="0.35">
      <c r="B1517" s="8" t="s">
        <v>7</v>
      </c>
      <c r="C1517" s="8" t="s">
        <v>43</v>
      </c>
      <c r="D1517" s="8" t="s">
        <v>10</v>
      </c>
      <c r="E1517" s="8" t="s">
        <v>27</v>
      </c>
      <c r="F1517" s="6" t="s">
        <v>28</v>
      </c>
      <c r="G1517" s="8">
        <v>2016</v>
      </c>
      <c r="H1517" s="8">
        <v>3</v>
      </c>
      <c r="I1517" s="10">
        <v>42430</v>
      </c>
      <c r="J1517" s="11">
        <v>3492</v>
      </c>
      <c r="K1517" s="51"/>
      <c r="O1517" s="1" t="s">
        <v>7</v>
      </c>
      <c r="P1517" s="1" t="s">
        <v>43</v>
      </c>
      <c r="Q1517" s="1" t="s">
        <v>10</v>
      </c>
      <c r="R1517" s="1" t="s">
        <v>27</v>
      </c>
      <c r="S1517" t="s">
        <v>28</v>
      </c>
      <c r="T1517" s="1">
        <v>2016</v>
      </c>
      <c r="U1517" s="1">
        <v>3</v>
      </c>
      <c r="V1517" s="50">
        <v>42430</v>
      </c>
      <c r="W1517" s="4">
        <v>3177.72</v>
      </c>
      <c r="X1517" s="48">
        <v>3492</v>
      </c>
    </row>
    <row r="1518" spans="2:24" x14ac:dyDescent="0.35">
      <c r="B1518" s="8" t="s">
        <v>12</v>
      </c>
      <c r="C1518" s="8" t="s">
        <v>44</v>
      </c>
      <c r="D1518" s="8" t="s">
        <v>13</v>
      </c>
      <c r="E1518" s="8" t="s">
        <v>27</v>
      </c>
      <c r="F1518" s="6" t="s">
        <v>31</v>
      </c>
      <c r="G1518" s="8">
        <v>2016</v>
      </c>
      <c r="H1518" s="8">
        <v>3</v>
      </c>
      <c r="I1518" s="10">
        <v>42430</v>
      </c>
      <c r="J1518" s="11">
        <v>2711</v>
      </c>
      <c r="K1518" s="51"/>
      <c r="O1518" s="1" t="s">
        <v>12</v>
      </c>
      <c r="P1518" s="1" t="s">
        <v>44</v>
      </c>
      <c r="Q1518" s="1" t="s">
        <v>13</v>
      </c>
      <c r="R1518" s="1" t="s">
        <v>27</v>
      </c>
      <c r="S1518" t="s">
        <v>31</v>
      </c>
      <c r="T1518" s="1">
        <v>2016</v>
      </c>
      <c r="U1518" s="1">
        <v>3</v>
      </c>
      <c r="V1518" s="50">
        <v>42430</v>
      </c>
      <c r="W1518" s="4">
        <v>2494.12</v>
      </c>
      <c r="X1518" s="48">
        <v>2711</v>
      </c>
    </row>
    <row r="1519" spans="2:24" x14ac:dyDescent="0.35">
      <c r="B1519" s="8" t="s">
        <v>14</v>
      </c>
      <c r="C1519" s="8" t="s">
        <v>46</v>
      </c>
      <c r="D1519" s="8" t="s">
        <v>47</v>
      </c>
      <c r="E1519" s="9" t="s">
        <v>27</v>
      </c>
      <c r="F1519" s="9" t="s">
        <v>33</v>
      </c>
      <c r="G1519" s="8">
        <v>2016</v>
      </c>
      <c r="H1519" s="8">
        <v>3</v>
      </c>
      <c r="I1519" s="10">
        <v>42430</v>
      </c>
      <c r="J1519" s="11">
        <v>3144</v>
      </c>
      <c r="K1519" s="51"/>
      <c r="O1519" s="1" t="s">
        <v>14</v>
      </c>
      <c r="P1519" s="1" t="s">
        <v>46</v>
      </c>
      <c r="Q1519" s="1" t="s">
        <v>47</v>
      </c>
      <c r="R1519" s="2" t="s">
        <v>27</v>
      </c>
      <c r="S1519" s="2" t="s">
        <v>33</v>
      </c>
      <c r="T1519" s="1">
        <v>2016</v>
      </c>
      <c r="U1519" s="1">
        <v>3</v>
      </c>
      <c r="V1519" s="50">
        <v>42430</v>
      </c>
      <c r="W1519" s="4">
        <v>2703.84</v>
      </c>
      <c r="X1519" s="48">
        <v>3144</v>
      </c>
    </row>
    <row r="1520" spans="2:24" x14ac:dyDescent="0.35">
      <c r="B1520" s="8" t="s">
        <v>3</v>
      </c>
      <c r="C1520" s="8" t="s">
        <v>22</v>
      </c>
      <c r="D1520" s="8" t="s">
        <v>5</v>
      </c>
      <c r="E1520" s="8" t="s">
        <v>23</v>
      </c>
      <c r="F1520" s="9" t="s">
        <v>36</v>
      </c>
      <c r="G1520" s="8">
        <v>2016</v>
      </c>
      <c r="H1520" s="8">
        <v>3</v>
      </c>
      <c r="I1520" s="10">
        <v>42430</v>
      </c>
      <c r="J1520" s="11">
        <v>1856</v>
      </c>
      <c r="K1520" s="51"/>
      <c r="O1520" s="1" t="s">
        <v>3</v>
      </c>
      <c r="P1520" s="1" t="s">
        <v>22</v>
      </c>
      <c r="Q1520" s="1" t="s">
        <v>5</v>
      </c>
      <c r="R1520" s="1" t="s">
        <v>23</v>
      </c>
      <c r="S1520" s="2" t="s">
        <v>36</v>
      </c>
      <c r="T1520" s="1">
        <v>2016</v>
      </c>
      <c r="U1520" s="1">
        <v>3</v>
      </c>
      <c r="V1520" s="50">
        <v>42430</v>
      </c>
      <c r="W1520" s="4">
        <v>1726.08</v>
      </c>
      <c r="X1520" s="48">
        <v>1856</v>
      </c>
    </row>
    <row r="1521" spans="2:24" x14ac:dyDescent="0.35">
      <c r="B1521" s="8" t="s">
        <v>6</v>
      </c>
      <c r="C1521" s="8" t="s">
        <v>40</v>
      </c>
      <c r="D1521" s="8" t="s">
        <v>41</v>
      </c>
      <c r="E1521" s="8" t="s">
        <v>23</v>
      </c>
      <c r="F1521" s="6" t="s">
        <v>24</v>
      </c>
      <c r="G1521" s="8">
        <v>2016</v>
      </c>
      <c r="H1521" s="8">
        <v>3</v>
      </c>
      <c r="I1521" s="10">
        <v>42430</v>
      </c>
      <c r="J1521" s="11">
        <v>3269</v>
      </c>
      <c r="K1521" s="51"/>
      <c r="O1521" s="1" t="s">
        <v>6</v>
      </c>
      <c r="P1521" s="1" t="s">
        <v>40</v>
      </c>
      <c r="Q1521" s="1" t="s">
        <v>41</v>
      </c>
      <c r="R1521" s="1" t="s">
        <v>23</v>
      </c>
      <c r="S1521" t="s">
        <v>24</v>
      </c>
      <c r="T1521" s="1">
        <v>2016</v>
      </c>
      <c r="U1521" s="1">
        <v>3</v>
      </c>
      <c r="V1521" s="50">
        <v>42430</v>
      </c>
      <c r="W1521" s="4">
        <v>2909.41</v>
      </c>
      <c r="X1521" s="48">
        <v>3269</v>
      </c>
    </row>
    <row r="1522" spans="2:24" x14ac:dyDescent="0.35">
      <c r="B1522" s="8" t="s">
        <v>7</v>
      </c>
      <c r="C1522" s="8" t="s">
        <v>32</v>
      </c>
      <c r="D1522" s="8" t="s">
        <v>8</v>
      </c>
      <c r="E1522" s="8" t="s">
        <v>23</v>
      </c>
      <c r="F1522" s="8" t="s">
        <v>39</v>
      </c>
      <c r="G1522" s="8">
        <v>2016</v>
      </c>
      <c r="H1522" s="8">
        <v>3</v>
      </c>
      <c r="I1522" s="10">
        <v>42430</v>
      </c>
      <c r="J1522" s="11">
        <v>2701</v>
      </c>
      <c r="K1522" s="51"/>
      <c r="O1522" s="1" t="s">
        <v>7</v>
      </c>
      <c r="P1522" s="1" t="s">
        <v>32</v>
      </c>
      <c r="Q1522" s="1" t="s">
        <v>8</v>
      </c>
      <c r="R1522" s="1" t="s">
        <v>23</v>
      </c>
      <c r="S1522" s="1" t="s">
        <v>39</v>
      </c>
      <c r="T1522" s="1">
        <v>2016</v>
      </c>
      <c r="U1522" s="1">
        <v>3</v>
      </c>
      <c r="V1522" s="50">
        <v>42430</v>
      </c>
      <c r="W1522" s="4">
        <v>2457.91</v>
      </c>
      <c r="X1522" s="48">
        <v>2701</v>
      </c>
    </row>
    <row r="1523" spans="2:24" x14ac:dyDescent="0.35">
      <c r="B1523" s="8" t="s">
        <v>12</v>
      </c>
      <c r="C1523" s="8" t="s">
        <v>34</v>
      </c>
      <c r="D1523" s="8" t="s">
        <v>35</v>
      </c>
      <c r="E1523" s="8" t="s">
        <v>0</v>
      </c>
      <c r="F1523" s="8" t="s">
        <v>42</v>
      </c>
      <c r="G1523" s="8">
        <v>2016</v>
      </c>
      <c r="H1523" s="8">
        <v>3</v>
      </c>
      <c r="I1523" s="10">
        <v>42430</v>
      </c>
      <c r="J1523" s="11">
        <v>5415</v>
      </c>
      <c r="K1523" s="51"/>
      <c r="O1523" s="1" t="s">
        <v>12</v>
      </c>
      <c r="P1523" s="1" t="s">
        <v>34</v>
      </c>
      <c r="Q1523" s="1" t="s">
        <v>35</v>
      </c>
      <c r="R1523" s="1" t="s">
        <v>0</v>
      </c>
      <c r="S1523" s="1" t="s">
        <v>42</v>
      </c>
      <c r="T1523" s="1">
        <v>2016</v>
      </c>
      <c r="U1523" s="1">
        <v>3</v>
      </c>
      <c r="V1523" s="50">
        <v>42430</v>
      </c>
      <c r="W1523" s="4">
        <v>4927.6499999999996</v>
      </c>
      <c r="X1523" s="48">
        <v>5415</v>
      </c>
    </row>
    <row r="1524" spans="2:24" x14ac:dyDescent="0.35">
      <c r="B1524" s="8" t="s">
        <v>14</v>
      </c>
      <c r="C1524" s="8" t="s">
        <v>37</v>
      </c>
      <c r="D1524" s="8" t="s">
        <v>38</v>
      </c>
      <c r="E1524" s="8" t="s">
        <v>0</v>
      </c>
      <c r="F1524" s="8" t="s">
        <v>26</v>
      </c>
      <c r="G1524" s="8">
        <v>2016</v>
      </c>
      <c r="H1524" s="8">
        <v>3</v>
      </c>
      <c r="I1524" s="10">
        <v>42430</v>
      </c>
      <c r="J1524" s="11">
        <v>4163</v>
      </c>
      <c r="K1524" s="51"/>
      <c r="O1524" s="1" t="s">
        <v>14</v>
      </c>
      <c r="P1524" s="1" t="s">
        <v>37</v>
      </c>
      <c r="Q1524" s="1" t="s">
        <v>38</v>
      </c>
      <c r="R1524" s="1" t="s">
        <v>0</v>
      </c>
      <c r="S1524" s="1" t="s">
        <v>26</v>
      </c>
      <c r="T1524" s="1">
        <v>2016</v>
      </c>
      <c r="U1524" s="1">
        <v>3</v>
      </c>
      <c r="V1524" s="50">
        <v>42430</v>
      </c>
      <c r="W1524" s="4">
        <v>3705.0699999999997</v>
      </c>
      <c r="X1524" s="48">
        <v>4163</v>
      </c>
    </row>
    <row r="1525" spans="2:24" x14ac:dyDescent="0.35">
      <c r="B1525" s="8" t="s">
        <v>3</v>
      </c>
      <c r="C1525" s="8" t="s">
        <v>25</v>
      </c>
      <c r="D1525" s="8" t="s">
        <v>4</v>
      </c>
      <c r="E1525" s="8" t="s">
        <v>0</v>
      </c>
      <c r="F1525" s="6" t="s">
        <v>45</v>
      </c>
      <c r="G1525" s="8">
        <v>2016</v>
      </c>
      <c r="H1525" s="8">
        <v>3</v>
      </c>
      <c r="I1525" s="10">
        <v>42430</v>
      </c>
      <c r="J1525" s="11">
        <v>4607</v>
      </c>
      <c r="K1525" s="51"/>
      <c r="O1525" s="1" t="s">
        <v>3</v>
      </c>
      <c r="P1525" s="1" t="s">
        <v>25</v>
      </c>
      <c r="Q1525" s="1" t="s">
        <v>4</v>
      </c>
      <c r="R1525" s="1" t="s">
        <v>0</v>
      </c>
      <c r="S1525" t="s">
        <v>45</v>
      </c>
      <c r="T1525" s="1">
        <v>2016</v>
      </c>
      <c r="U1525" s="1">
        <v>3</v>
      </c>
      <c r="V1525" s="50">
        <v>42430</v>
      </c>
      <c r="W1525" s="4">
        <v>4330.58</v>
      </c>
      <c r="X1525" s="48">
        <v>4607</v>
      </c>
    </row>
    <row r="1526" spans="2:24" x14ac:dyDescent="0.35">
      <c r="B1526" s="8" t="s">
        <v>6</v>
      </c>
      <c r="C1526" s="8" t="s">
        <v>29</v>
      </c>
      <c r="D1526" s="8" t="s">
        <v>30</v>
      </c>
      <c r="E1526" s="8" t="s">
        <v>27</v>
      </c>
      <c r="F1526" s="6" t="s">
        <v>28</v>
      </c>
      <c r="G1526" s="8">
        <v>2016</v>
      </c>
      <c r="H1526" s="8">
        <v>3</v>
      </c>
      <c r="I1526" s="10">
        <v>42430</v>
      </c>
      <c r="J1526" s="11">
        <v>4870</v>
      </c>
      <c r="K1526" s="51"/>
      <c r="O1526" s="1" t="s">
        <v>6</v>
      </c>
      <c r="P1526" s="1" t="s">
        <v>29</v>
      </c>
      <c r="Q1526" s="1" t="s">
        <v>30</v>
      </c>
      <c r="R1526" s="1" t="s">
        <v>27</v>
      </c>
      <c r="S1526" t="s">
        <v>28</v>
      </c>
      <c r="T1526" s="1">
        <v>2016</v>
      </c>
      <c r="U1526" s="1">
        <v>3</v>
      </c>
      <c r="V1526" s="50">
        <v>42430</v>
      </c>
      <c r="W1526" s="4">
        <v>4577.7999999999993</v>
      </c>
      <c r="X1526" s="48">
        <v>4870</v>
      </c>
    </row>
    <row r="1527" spans="2:24" x14ac:dyDescent="0.35">
      <c r="B1527" s="8" t="s">
        <v>7</v>
      </c>
      <c r="C1527" s="8" t="s">
        <v>43</v>
      </c>
      <c r="D1527" s="8" t="s">
        <v>10</v>
      </c>
      <c r="E1527" s="8" t="s">
        <v>27</v>
      </c>
      <c r="F1527" s="6" t="s">
        <v>31</v>
      </c>
      <c r="G1527" s="8">
        <v>2016</v>
      </c>
      <c r="H1527" s="8">
        <v>3</v>
      </c>
      <c r="I1527" s="10">
        <v>42430</v>
      </c>
      <c r="J1527" s="11">
        <v>5208</v>
      </c>
      <c r="K1527" s="51"/>
      <c r="O1527" s="1" t="s">
        <v>7</v>
      </c>
      <c r="P1527" s="1" t="s">
        <v>43</v>
      </c>
      <c r="Q1527" s="1" t="s">
        <v>10</v>
      </c>
      <c r="R1527" s="1" t="s">
        <v>27</v>
      </c>
      <c r="S1527" t="s">
        <v>31</v>
      </c>
      <c r="T1527" s="1">
        <v>2016</v>
      </c>
      <c r="U1527" s="1">
        <v>3</v>
      </c>
      <c r="V1527" s="50">
        <v>42430</v>
      </c>
      <c r="W1527" s="4">
        <v>4635.119999999999</v>
      </c>
      <c r="X1527" s="48">
        <v>5208</v>
      </c>
    </row>
    <row r="1528" spans="2:24" x14ac:dyDescent="0.35">
      <c r="B1528" s="8" t="s">
        <v>12</v>
      </c>
      <c r="C1528" s="8" t="s">
        <v>44</v>
      </c>
      <c r="D1528" s="8" t="s">
        <v>13</v>
      </c>
      <c r="E1528" s="9" t="s">
        <v>27</v>
      </c>
      <c r="F1528" s="9" t="s">
        <v>33</v>
      </c>
      <c r="G1528" s="8">
        <v>2016</v>
      </c>
      <c r="H1528" s="8">
        <v>3</v>
      </c>
      <c r="I1528" s="10">
        <v>42430</v>
      </c>
      <c r="J1528" s="11">
        <v>2908</v>
      </c>
      <c r="K1528" s="51"/>
      <c r="O1528" s="1" t="s">
        <v>12</v>
      </c>
      <c r="P1528" s="1" t="s">
        <v>44</v>
      </c>
      <c r="Q1528" s="1" t="s">
        <v>13</v>
      </c>
      <c r="R1528" s="2" t="s">
        <v>27</v>
      </c>
      <c r="S1528" s="2" t="s">
        <v>33</v>
      </c>
      <c r="T1528" s="1">
        <v>2016</v>
      </c>
      <c r="U1528" s="1">
        <v>3</v>
      </c>
      <c r="V1528" s="50">
        <v>42430</v>
      </c>
      <c r="W1528" s="4">
        <v>2529.9600000000005</v>
      </c>
      <c r="X1528" s="48">
        <v>2908</v>
      </c>
    </row>
    <row r="1529" spans="2:24" x14ac:dyDescent="0.35">
      <c r="B1529" s="8" t="s">
        <v>14</v>
      </c>
      <c r="C1529" s="8" t="s">
        <v>46</v>
      </c>
      <c r="D1529" s="8" t="s">
        <v>47</v>
      </c>
      <c r="E1529" s="8" t="s">
        <v>23</v>
      </c>
      <c r="F1529" s="9" t="s">
        <v>36</v>
      </c>
      <c r="G1529" s="8">
        <v>2016</v>
      </c>
      <c r="H1529" s="8">
        <v>3</v>
      </c>
      <c r="I1529" s="10">
        <v>42430</v>
      </c>
      <c r="J1529" s="11">
        <v>2742</v>
      </c>
      <c r="K1529" s="51"/>
      <c r="O1529" s="1" t="s">
        <v>14</v>
      </c>
      <c r="P1529" s="1" t="s">
        <v>46</v>
      </c>
      <c r="Q1529" s="1" t="s">
        <v>47</v>
      </c>
      <c r="R1529" s="1" t="s">
        <v>23</v>
      </c>
      <c r="S1529" s="2" t="s">
        <v>36</v>
      </c>
      <c r="T1529" s="1">
        <v>2016</v>
      </c>
      <c r="U1529" s="1">
        <v>3</v>
      </c>
      <c r="V1529" s="50">
        <v>42430</v>
      </c>
      <c r="W1529" s="4">
        <v>2440.3799999999997</v>
      </c>
      <c r="X1529" s="48">
        <v>2742</v>
      </c>
    </row>
    <row r="1530" spans="2:24" x14ac:dyDescent="0.35">
      <c r="B1530" s="8" t="s">
        <v>6</v>
      </c>
      <c r="C1530" s="8" t="s">
        <v>29</v>
      </c>
      <c r="D1530" s="8" t="s">
        <v>30</v>
      </c>
      <c r="E1530" s="8" t="s">
        <v>23</v>
      </c>
      <c r="F1530" s="6" t="s">
        <v>39</v>
      </c>
      <c r="G1530" s="8">
        <v>2016</v>
      </c>
      <c r="H1530" s="8">
        <v>3</v>
      </c>
      <c r="I1530" s="10">
        <v>42430</v>
      </c>
      <c r="J1530" s="11">
        <v>2861</v>
      </c>
      <c r="K1530" s="51"/>
      <c r="O1530" s="1" t="s">
        <v>6</v>
      </c>
      <c r="P1530" s="1" t="s">
        <v>29</v>
      </c>
      <c r="Q1530" s="1" t="s">
        <v>30</v>
      </c>
      <c r="R1530" s="1" t="s">
        <v>23</v>
      </c>
      <c r="S1530" t="s">
        <v>39</v>
      </c>
      <c r="T1530" s="1">
        <v>2016</v>
      </c>
      <c r="U1530" s="1">
        <v>3</v>
      </c>
      <c r="V1530" s="50">
        <v>42430</v>
      </c>
      <c r="W1530" s="4">
        <v>2546.29</v>
      </c>
      <c r="X1530" s="48">
        <v>2861</v>
      </c>
    </row>
    <row r="1531" spans="2:24" x14ac:dyDescent="0.35">
      <c r="B1531" s="8" t="s">
        <v>7</v>
      </c>
      <c r="C1531" s="8" t="s">
        <v>32</v>
      </c>
      <c r="D1531" s="8" t="s">
        <v>8</v>
      </c>
      <c r="E1531" s="8" t="s">
        <v>0</v>
      </c>
      <c r="F1531" s="8" t="s">
        <v>42</v>
      </c>
      <c r="G1531" s="8">
        <v>2016</v>
      </c>
      <c r="H1531" s="8">
        <v>3</v>
      </c>
      <c r="I1531" s="10">
        <v>42430</v>
      </c>
      <c r="J1531" s="11">
        <v>6343</v>
      </c>
      <c r="K1531" s="51"/>
      <c r="O1531" s="1" t="s">
        <v>7</v>
      </c>
      <c r="P1531" s="1" t="s">
        <v>32</v>
      </c>
      <c r="Q1531" s="1" t="s">
        <v>8</v>
      </c>
      <c r="R1531" s="1" t="s">
        <v>0</v>
      </c>
      <c r="S1531" s="1" t="s">
        <v>42</v>
      </c>
      <c r="T1531" s="1">
        <v>2016</v>
      </c>
      <c r="U1531" s="1">
        <v>3</v>
      </c>
      <c r="V1531" s="50">
        <v>42430</v>
      </c>
      <c r="W1531" s="4">
        <v>5645.2699999999995</v>
      </c>
      <c r="X1531" s="48">
        <v>6343</v>
      </c>
    </row>
    <row r="1532" spans="2:24" x14ac:dyDescent="0.35">
      <c r="B1532" s="8" t="s">
        <v>12</v>
      </c>
      <c r="C1532" s="8" t="s">
        <v>44</v>
      </c>
      <c r="D1532" s="8" t="s">
        <v>13</v>
      </c>
      <c r="E1532" s="8" t="s">
        <v>0</v>
      </c>
      <c r="F1532" s="8" t="s">
        <v>26</v>
      </c>
      <c r="G1532" s="8">
        <v>2016</v>
      </c>
      <c r="H1532" s="8">
        <v>3</v>
      </c>
      <c r="I1532" s="10">
        <v>42430</v>
      </c>
      <c r="J1532" s="11">
        <v>5529</v>
      </c>
      <c r="K1532" s="51"/>
      <c r="O1532" s="1" t="s">
        <v>12</v>
      </c>
      <c r="P1532" s="1" t="s">
        <v>44</v>
      </c>
      <c r="Q1532" s="1" t="s">
        <v>13</v>
      </c>
      <c r="R1532" s="1" t="s">
        <v>0</v>
      </c>
      <c r="S1532" s="1" t="s">
        <v>26</v>
      </c>
      <c r="T1532" s="1">
        <v>2016</v>
      </c>
      <c r="U1532" s="1">
        <v>3</v>
      </c>
      <c r="V1532" s="50">
        <v>42430</v>
      </c>
      <c r="W1532" s="4">
        <v>4754.9400000000005</v>
      </c>
      <c r="X1532" s="48">
        <v>5529</v>
      </c>
    </row>
    <row r="1533" spans="2:24" x14ac:dyDescent="0.35">
      <c r="B1533" s="8" t="s">
        <v>14</v>
      </c>
      <c r="C1533" s="8" t="s">
        <v>37</v>
      </c>
      <c r="D1533" s="8" t="s">
        <v>38</v>
      </c>
      <c r="E1533" s="8" t="s">
        <v>0</v>
      </c>
      <c r="F1533" s="8" t="s">
        <v>45</v>
      </c>
      <c r="G1533" s="8">
        <v>2016</v>
      </c>
      <c r="H1533" s="8">
        <v>3</v>
      </c>
      <c r="I1533" s="10">
        <v>42430</v>
      </c>
      <c r="J1533" s="11">
        <v>4116</v>
      </c>
      <c r="K1533" s="51"/>
      <c r="O1533" s="1" t="s">
        <v>14</v>
      </c>
      <c r="P1533" s="1" t="s">
        <v>37</v>
      </c>
      <c r="Q1533" s="1" t="s">
        <v>38</v>
      </c>
      <c r="R1533" s="1" t="s">
        <v>0</v>
      </c>
      <c r="S1533" s="1" t="s">
        <v>45</v>
      </c>
      <c r="T1533" s="1">
        <v>2016</v>
      </c>
      <c r="U1533" s="1">
        <v>3</v>
      </c>
      <c r="V1533" s="50">
        <v>42430</v>
      </c>
      <c r="W1533" s="4">
        <v>3498.6000000000004</v>
      </c>
      <c r="X1533" s="48">
        <v>4116</v>
      </c>
    </row>
    <row r="1534" spans="2:24" x14ac:dyDescent="0.35">
      <c r="B1534" s="8" t="s">
        <v>3</v>
      </c>
      <c r="C1534" s="8" t="s">
        <v>25</v>
      </c>
      <c r="D1534" s="8" t="s">
        <v>4</v>
      </c>
      <c r="E1534" s="8" t="s">
        <v>27</v>
      </c>
      <c r="F1534" s="6" t="s">
        <v>28</v>
      </c>
      <c r="G1534" s="8">
        <v>2016</v>
      </c>
      <c r="H1534" s="8">
        <v>3</v>
      </c>
      <c r="I1534" s="10">
        <v>42430</v>
      </c>
      <c r="J1534" s="11">
        <v>4351</v>
      </c>
      <c r="K1534" s="51"/>
      <c r="O1534" s="1" t="s">
        <v>3</v>
      </c>
      <c r="P1534" s="1" t="s">
        <v>25</v>
      </c>
      <c r="Q1534" s="1" t="s">
        <v>4</v>
      </c>
      <c r="R1534" s="1" t="s">
        <v>27</v>
      </c>
      <c r="S1534" t="s">
        <v>28</v>
      </c>
      <c r="T1534" s="1">
        <v>2016</v>
      </c>
      <c r="U1534" s="1">
        <v>3</v>
      </c>
      <c r="V1534" s="50">
        <v>42430</v>
      </c>
      <c r="W1534" s="4">
        <v>3785.3700000000003</v>
      </c>
      <c r="X1534" s="48">
        <v>4351</v>
      </c>
    </row>
    <row r="1535" spans="2:24" x14ac:dyDescent="0.35">
      <c r="B1535" s="8" t="s">
        <v>3</v>
      </c>
      <c r="C1535" s="8" t="s">
        <v>25</v>
      </c>
      <c r="D1535" s="8" t="s">
        <v>4</v>
      </c>
      <c r="E1535" s="8" t="s">
        <v>27</v>
      </c>
      <c r="F1535" s="6" t="s">
        <v>31</v>
      </c>
      <c r="G1535" s="8">
        <v>2016</v>
      </c>
      <c r="H1535" s="8">
        <v>3</v>
      </c>
      <c r="I1535" s="10">
        <v>42430</v>
      </c>
      <c r="J1535" s="11">
        <v>4664</v>
      </c>
      <c r="K1535" s="51"/>
      <c r="O1535" s="1" t="s">
        <v>3</v>
      </c>
      <c r="P1535" s="1" t="s">
        <v>25</v>
      </c>
      <c r="Q1535" s="1" t="s">
        <v>4</v>
      </c>
      <c r="R1535" s="1" t="s">
        <v>27</v>
      </c>
      <c r="S1535" t="s">
        <v>31</v>
      </c>
      <c r="T1535" s="1">
        <v>2016</v>
      </c>
      <c r="U1535" s="1">
        <v>3</v>
      </c>
      <c r="V1535" s="50">
        <v>42430</v>
      </c>
      <c r="W1535" s="4">
        <v>4150.9599999999991</v>
      </c>
      <c r="X1535" s="48">
        <v>4664</v>
      </c>
    </row>
    <row r="1536" spans="2:24" x14ac:dyDescent="0.35">
      <c r="B1536" s="8" t="s">
        <v>6</v>
      </c>
      <c r="C1536" s="8" t="s">
        <v>40</v>
      </c>
      <c r="D1536" s="8" t="s">
        <v>41</v>
      </c>
      <c r="E1536" s="8" t="s">
        <v>27</v>
      </c>
      <c r="F1536" s="6" t="s">
        <v>33</v>
      </c>
      <c r="G1536" s="8">
        <v>2016</v>
      </c>
      <c r="H1536" s="8">
        <v>3</v>
      </c>
      <c r="I1536" s="10">
        <v>42430</v>
      </c>
      <c r="J1536" s="11">
        <v>3039</v>
      </c>
      <c r="K1536" s="51"/>
      <c r="O1536" s="1" t="s">
        <v>6</v>
      </c>
      <c r="P1536" s="1" t="s">
        <v>40</v>
      </c>
      <c r="Q1536" s="1" t="s">
        <v>41</v>
      </c>
      <c r="R1536" s="1" t="s">
        <v>27</v>
      </c>
      <c r="S1536" t="s">
        <v>33</v>
      </c>
      <c r="T1536" s="1">
        <v>2016</v>
      </c>
      <c r="U1536" s="1">
        <v>3</v>
      </c>
      <c r="V1536" s="50">
        <v>42430</v>
      </c>
      <c r="W1536" s="4">
        <v>2583.15</v>
      </c>
      <c r="X1536" s="48">
        <v>3039</v>
      </c>
    </row>
    <row r="1537" spans="2:24" x14ac:dyDescent="0.35">
      <c r="B1537" s="8" t="s">
        <v>6</v>
      </c>
      <c r="C1537" s="8" t="s">
        <v>40</v>
      </c>
      <c r="D1537" s="8" t="s">
        <v>41</v>
      </c>
      <c r="E1537" s="9" t="s">
        <v>23</v>
      </c>
      <c r="F1537" s="9" t="s">
        <v>36</v>
      </c>
      <c r="G1537" s="8">
        <v>2016</v>
      </c>
      <c r="H1537" s="8">
        <v>3</v>
      </c>
      <c r="I1537" s="10">
        <v>42430</v>
      </c>
      <c r="J1537" s="11">
        <v>2680</v>
      </c>
      <c r="K1537" s="51"/>
      <c r="O1537" s="1" t="s">
        <v>6</v>
      </c>
      <c r="P1537" s="1" t="s">
        <v>40</v>
      </c>
      <c r="Q1537" s="1" t="s">
        <v>41</v>
      </c>
      <c r="R1537" s="2" t="s">
        <v>23</v>
      </c>
      <c r="S1537" s="2" t="s">
        <v>36</v>
      </c>
      <c r="T1537" s="1">
        <v>2016</v>
      </c>
      <c r="U1537" s="1">
        <v>3</v>
      </c>
      <c r="V1537" s="50">
        <v>42430</v>
      </c>
      <c r="W1537" s="4">
        <v>2465.6</v>
      </c>
      <c r="X1537" s="48">
        <v>2680</v>
      </c>
    </row>
    <row r="1538" spans="2:24" x14ac:dyDescent="0.35">
      <c r="B1538" s="8" t="s">
        <v>7</v>
      </c>
      <c r="C1538" s="8" t="s">
        <v>43</v>
      </c>
      <c r="D1538" s="8" t="s">
        <v>10</v>
      </c>
      <c r="E1538" s="8" t="s">
        <v>23</v>
      </c>
      <c r="F1538" s="9" t="s">
        <v>24</v>
      </c>
      <c r="G1538" s="8">
        <v>2016</v>
      </c>
      <c r="H1538" s="8">
        <v>3</v>
      </c>
      <c r="I1538" s="10">
        <v>42430</v>
      </c>
      <c r="J1538" s="11">
        <v>2961</v>
      </c>
      <c r="K1538" s="51"/>
      <c r="O1538" s="1" t="s">
        <v>7</v>
      </c>
      <c r="P1538" s="1" t="s">
        <v>43</v>
      </c>
      <c r="Q1538" s="1" t="s">
        <v>10</v>
      </c>
      <c r="R1538" s="1" t="s">
        <v>23</v>
      </c>
      <c r="S1538" s="2" t="s">
        <v>24</v>
      </c>
      <c r="T1538" s="1">
        <v>2016</v>
      </c>
      <c r="U1538" s="1">
        <v>3</v>
      </c>
      <c r="V1538" s="50">
        <v>42430</v>
      </c>
      <c r="W1538" s="4">
        <v>2635.29</v>
      </c>
      <c r="X1538" s="48">
        <v>2961</v>
      </c>
    </row>
    <row r="1539" spans="2:24" x14ac:dyDescent="0.35">
      <c r="B1539" s="8" t="s">
        <v>7</v>
      </c>
      <c r="C1539" s="8" t="s">
        <v>43</v>
      </c>
      <c r="D1539" s="8" t="s">
        <v>10</v>
      </c>
      <c r="E1539" s="8" t="s">
        <v>23</v>
      </c>
      <c r="F1539" s="6" t="s">
        <v>39</v>
      </c>
      <c r="G1539" s="8">
        <v>2016</v>
      </c>
      <c r="H1539" s="8">
        <v>3</v>
      </c>
      <c r="I1539" s="10">
        <v>42430</v>
      </c>
      <c r="J1539" s="11">
        <v>2471</v>
      </c>
      <c r="K1539" s="51"/>
      <c r="O1539" s="1" t="s">
        <v>7</v>
      </c>
      <c r="P1539" s="1" t="s">
        <v>43</v>
      </c>
      <c r="Q1539" s="1" t="s">
        <v>10</v>
      </c>
      <c r="R1539" s="1" t="s">
        <v>23</v>
      </c>
      <c r="S1539" t="s">
        <v>39</v>
      </c>
      <c r="T1539" s="1">
        <v>2016</v>
      </c>
      <c r="U1539" s="1">
        <v>3</v>
      </c>
      <c r="V1539" s="50">
        <v>42430</v>
      </c>
      <c r="W1539" s="4">
        <v>2174.4799999999996</v>
      </c>
      <c r="X1539" s="48">
        <v>2471</v>
      </c>
    </row>
    <row r="1540" spans="2:24" x14ac:dyDescent="0.35">
      <c r="B1540" s="8" t="s">
        <v>7</v>
      </c>
      <c r="C1540" s="8" t="s">
        <v>32</v>
      </c>
      <c r="D1540" s="8" t="s">
        <v>8</v>
      </c>
      <c r="E1540" s="8" t="s">
        <v>0</v>
      </c>
      <c r="F1540" s="8" t="s">
        <v>26</v>
      </c>
      <c r="G1540" s="8">
        <v>2016</v>
      </c>
      <c r="H1540" s="8">
        <v>3</v>
      </c>
      <c r="I1540" s="10">
        <v>42430</v>
      </c>
      <c r="J1540" s="11">
        <v>5242</v>
      </c>
      <c r="K1540" s="51"/>
      <c r="O1540" s="1" t="s">
        <v>7</v>
      </c>
      <c r="P1540" s="1" t="s">
        <v>32</v>
      </c>
      <c r="Q1540" s="1" t="s">
        <v>8</v>
      </c>
      <c r="R1540" s="1" t="s">
        <v>0</v>
      </c>
      <c r="S1540" s="1" t="s">
        <v>26</v>
      </c>
      <c r="T1540" s="1">
        <v>2016</v>
      </c>
      <c r="U1540" s="1">
        <v>3</v>
      </c>
      <c r="V1540" s="50">
        <v>42430</v>
      </c>
      <c r="W1540" s="4">
        <v>4717.7999999999993</v>
      </c>
      <c r="X1540" s="48">
        <v>5242</v>
      </c>
    </row>
    <row r="1541" spans="2:24" x14ac:dyDescent="0.35">
      <c r="B1541" s="8" t="s">
        <v>3</v>
      </c>
      <c r="C1541" s="8" t="s">
        <v>22</v>
      </c>
      <c r="D1541" s="8" t="s">
        <v>5</v>
      </c>
      <c r="E1541" s="8" t="s">
        <v>0</v>
      </c>
      <c r="F1541" s="8" t="s">
        <v>45</v>
      </c>
      <c r="G1541" s="8">
        <v>2016</v>
      </c>
      <c r="H1541" s="8">
        <v>3</v>
      </c>
      <c r="I1541" s="10">
        <v>42430</v>
      </c>
      <c r="J1541" s="11">
        <v>3828</v>
      </c>
      <c r="K1541" s="51"/>
      <c r="O1541" s="1" t="s">
        <v>3</v>
      </c>
      <c r="P1541" s="1" t="s">
        <v>22</v>
      </c>
      <c r="Q1541" s="1" t="s">
        <v>5</v>
      </c>
      <c r="R1541" s="1" t="s">
        <v>0</v>
      </c>
      <c r="S1541" s="1" t="s">
        <v>45</v>
      </c>
      <c r="T1541" s="1">
        <v>2016</v>
      </c>
      <c r="U1541" s="1">
        <v>3</v>
      </c>
      <c r="V1541" s="50">
        <v>42430</v>
      </c>
      <c r="W1541" s="4">
        <v>3292.0800000000004</v>
      </c>
      <c r="X1541" s="48">
        <v>3828</v>
      </c>
    </row>
    <row r="1542" spans="2:24" x14ac:dyDescent="0.35">
      <c r="B1542" s="8" t="s">
        <v>7</v>
      </c>
      <c r="C1542" s="8" t="s">
        <v>48</v>
      </c>
      <c r="D1542" s="8" t="s">
        <v>9</v>
      </c>
      <c r="E1542" s="8" t="s">
        <v>23</v>
      </c>
      <c r="F1542" s="8" t="s">
        <v>36</v>
      </c>
      <c r="G1542" s="8">
        <v>2016</v>
      </c>
      <c r="H1542" s="8">
        <v>3</v>
      </c>
      <c r="I1542" s="10">
        <v>42430</v>
      </c>
      <c r="J1542" s="11">
        <v>2642</v>
      </c>
      <c r="K1542" s="51"/>
      <c r="O1542" s="1" t="s">
        <v>7</v>
      </c>
      <c r="P1542" s="1" t="s">
        <v>48</v>
      </c>
      <c r="Q1542" s="1" t="s">
        <v>9</v>
      </c>
      <c r="R1542" s="1" t="s">
        <v>23</v>
      </c>
      <c r="S1542" s="1" t="s">
        <v>36</v>
      </c>
      <c r="T1542" s="1">
        <v>2016</v>
      </c>
      <c r="U1542" s="1">
        <v>3</v>
      </c>
      <c r="V1542" s="50">
        <v>42430</v>
      </c>
      <c r="W1542" s="4">
        <v>2483.48</v>
      </c>
      <c r="X1542" s="48">
        <v>2642</v>
      </c>
    </row>
    <row r="1543" spans="2:24" x14ac:dyDescent="0.35">
      <c r="B1543" s="8" t="s">
        <v>7</v>
      </c>
      <c r="C1543" s="8" t="s">
        <v>48</v>
      </c>
      <c r="D1543" s="8" t="s">
        <v>9</v>
      </c>
      <c r="E1543" s="8" t="s">
        <v>23</v>
      </c>
      <c r="F1543" s="6" t="s">
        <v>24</v>
      </c>
      <c r="G1543" s="8">
        <v>2016</v>
      </c>
      <c r="H1543" s="8">
        <v>3</v>
      </c>
      <c r="I1543" s="10">
        <v>42430</v>
      </c>
      <c r="J1543" s="11">
        <v>1730</v>
      </c>
      <c r="K1543" s="51"/>
      <c r="O1543" s="1" t="s">
        <v>7</v>
      </c>
      <c r="P1543" s="1" t="s">
        <v>48</v>
      </c>
      <c r="Q1543" s="1" t="s">
        <v>9</v>
      </c>
      <c r="R1543" s="1" t="s">
        <v>23</v>
      </c>
      <c r="S1543" t="s">
        <v>24</v>
      </c>
      <c r="T1543" s="1">
        <v>2016</v>
      </c>
      <c r="U1543" s="1">
        <v>3</v>
      </c>
      <c r="V1543" s="50">
        <v>42430</v>
      </c>
      <c r="W1543" s="4">
        <v>1591.6</v>
      </c>
      <c r="X1543" s="48">
        <v>1730</v>
      </c>
    </row>
    <row r="1544" spans="2:24" x14ac:dyDescent="0.35">
      <c r="B1544" s="8" t="s">
        <v>7</v>
      </c>
      <c r="C1544" s="8" t="s">
        <v>49</v>
      </c>
      <c r="D1544" s="8" t="s">
        <v>11</v>
      </c>
      <c r="E1544" s="8" t="s">
        <v>23</v>
      </c>
      <c r="F1544" s="6" t="s">
        <v>39</v>
      </c>
      <c r="G1544" s="8">
        <v>2016</v>
      </c>
      <c r="H1544" s="8">
        <v>3</v>
      </c>
      <c r="I1544" s="10">
        <v>42430</v>
      </c>
      <c r="J1544" s="11">
        <v>2802</v>
      </c>
      <c r="K1544" s="51"/>
      <c r="O1544" s="1" t="s">
        <v>7</v>
      </c>
      <c r="P1544" s="1" t="s">
        <v>49</v>
      </c>
      <c r="Q1544" s="1" t="s">
        <v>11</v>
      </c>
      <c r="R1544" s="1" t="s">
        <v>23</v>
      </c>
      <c r="S1544" t="s">
        <v>39</v>
      </c>
      <c r="T1544" s="1">
        <v>2016</v>
      </c>
      <c r="U1544" s="1">
        <v>3</v>
      </c>
      <c r="V1544" s="50">
        <v>42430</v>
      </c>
      <c r="W1544" s="4">
        <v>2437.7400000000002</v>
      </c>
      <c r="X1544" s="48">
        <v>2802</v>
      </c>
    </row>
    <row r="1545" spans="2:24" x14ac:dyDescent="0.35">
      <c r="B1545" s="8" t="s">
        <v>7</v>
      </c>
      <c r="C1545" s="8" t="s">
        <v>49</v>
      </c>
      <c r="D1545" s="8" t="s">
        <v>11</v>
      </c>
      <c r="E1545" s="8" t="s">
        <v>0</v>
      </c>
      <c r="F1545" s="6" t="s">
        <v>42</v>
      </c>
      <c r="G1545" s="8">
        <v>2016</v>
      </c>
      <c r="H1545" s="8">
        <v>3</v>
      </c>
      <c r="I1545" s="10">
        <v>42430</v>
      </c>
      <c r="J1545" s="11">
        <v>5534</v>
      </c>
      <c r="K1545" s="51"/>
      <c r="O1545" s="1" t="s">
        <v>7</v>
      </c>
      <c r="P1545" s="1" t="s">
        <v>49</v>
      </c>
      <c r="Q1545" s="1" t="s">
        <v>11</v>
      </c>
      <c r="R1545" s="1" t="s">
        <v>0</v>
      </c>
      <c r="S1545" t="s">
        <v>42</v>
      </c>
      <c r="T1545" s="1">
        <v>2016</v>
      </c>
      <c r="U1545" s="1">
        <v>3</v>
      </c>
      <c r="V1545" s="50">
        <v>42430</v>
      </c>
      <c r="W1545" s="4">
        <v>5035.9399999999996</v>
      </c>
      <c r="X1545" s="48">
        <v>5534</v>
      </c>
    </row>
    <row r="1546" spans="2:24" x14ac:dyDescent="0.35">
      <c r="B1546" s="8" t="s">
        <v>12</v>
      </c>
      <c r="C1546" s="8" t="s">
        <v>34</v>
      </c>
      <c r="D1546" s="8" t="s">
        <v>35</v>
      </c>
      <c r="E1546" s="9" t="s">
        <v>0</v>
      </c>
      <c r="F1546" s="9" t="s">
        <v>26</v>
      </c>
      <c r="G1546" s="8">
        <v>2016</v>
      </c>
      <c r="H1546" s="8">
        <v>3</v>
      </c>
      <c r="I1546" s="10">
        <v>42430</v>
      </c>
      <c r="J1546" s="11">
        <v>3298</v>
      </c>
      <c r="K1546" s="51"/>
      <c r="O1546" s="1" t="s">
        <v>12</v>
      </c>
      <c r="P1546" s="1" t="s">
        <v>34</v>
      </c>
      <c r="Q1546" s="1" t="s">
        <v>35</v>
      </c>
      <c r="R1546" s="2" t="s">
        <v>0</v>
      </c>
      <c r="S1546" s="2" t="s">
        <v>26</v>
      </c>
      <c r="T1546" s="1">
        <v>2016</v>
      </c>
      <c r="U1546" s="1">
        <v>3</v>
      </c>
      <c r="V1546" s="50">
        <v>42430</v>
      </c>
      <c r="W1546" s="4">
        <v>3034.16</v>
      </c>
      <c r="X1546" s="48">
        <v>3298</v>
      </c>
    </row>
    <row r="1547" spans="2:24" x14ac:dyDescent="0.35">
      <c r="B1547" s="8" t="s">
        <v>12</v>
      </c>
      <c r="C1547" s="8" t="s">
        <v>34</v>
      </c>
      <c r="D1547" s="8" t="s">
        <v>35</v>
      </c>
      <c r="E1547" s="8" t="s">
        <v>0</v>
      </c>
      <c r="F1547" s="9" t="s">
        <v>45</v>
      </c>
      <c r="G1547" s="8">
        <v>2016</v>
      </c>
      <c r="H1547" s="8">
        <v>3</v>
      </c>
      <c r="I1547" s="10">
        <v>42430</v>
      </c>
      <c r="J1547" s="11">
        <v>3900</v>
      </c>
      <c r="K1547" s="51"/>
      <c r="O1547" s="1" t="s">
        <v>12</v>
      </c>
      <c r="P1547" s="1" t="s">
        <v>34</v>
      </c>
      <c r="Q1547" s="1" t="s">
        <v>35</v>
      </c>
      <c r="R1547" s="1" t="s">
        <v>0</v>
      </c>
      <c r="S1547" s="2" t="s">
        <v>45</v>
      </c>
      <c r="T1547" s="1">
        <v>2016</v>
      </c>
      <c r="U1547" s="1">
        <v>3</v>
      </c>
      <c r="V1547" s="50">
        <v>42430</v>
      </c>
      <c r="W1547" s="4">
        <v>3393.0000000000005</v>
      </c>
      <c r="X1547" s="48">
        <v>3900</v>
      </c>
    </row>
    <row r="1548" spans="2:24" x14ac:dyDescent="0.35">
      <c r="B1548" s="8" t="s">
        <v>14</v>
      </c>
      <c r="C1548" s="8" t="s">
        <v>37</v>
      </c>
      <c r="D1548" s="8" t="s">
        <v>38</v>
      </c>
      <c r="E1548" s="8" t="s">
        <v>27</v>
      </c>
      <c r="F1548" s="6" t="s">
        <v>28</v>
      </c>
      <c r="G1548" s="8">
        <v>2016</v>
      </c>
      <c r="H1548" s="8">
        <v>3</v>
      </c>
      <c r="I1548" s="10">
        <v>42430</v>
      </c>
      <c r="J1548" s="11">
        <v>4346</v>
      </c>
      <c r="K1548" s="51"/>
      <c r="O1548" s="1" t="s">
        <v>14</v>
      </c>
      <c r="P1548" s="1" t="s">
        <v>37</v>
      </c>
      <c r="Q1548" s="1" t="s">
        <v>38</v>
      </c>
      <c r="R1548" s="1" t="s">
        <v>27</v>
      </c>
      <c r="S1548" t="s">
        <v>28</v>
      </c>
      <c r="T1548" s="1">
        <v>2016</v>
      </c>
      <c r="U1548" s="1">
        <v>3</v>
      </c>
      <c r="V1548" s="50">
        <v>42430</v>
      </c>
      <c r="W1548" s="4">
        <v>3911.3999999999996</v>
      </c>
      <c r="X1548" s="48">
        <v>4346</v>
      </c>
    </row>
    <row r="1549" spans="2:24" x14ac:dyDescent="0.35">
      <c r="B1549" s="8" t="s">
        <v>14</v>
      </c>
      <c r="C1549" s="8" t="s">
        <v>37</v>
      </c>
      <c r="D1549" s="8" t="s">
        <v>38</v>
      </c>
      <c r="E1549" s="8" t="s">
        <v>27</v>
      </c>
      <c r="F1549" s="8" t="s">
        <v>31</v>
      </c>
      <c r="G1549" s="8">
        <v>2016</v>
      </c>
      <c r="H1549" s="8">
        <v>3</v>
      </c>
      <c r="I1549" s="10">
        <v>42430</v>
      </c>
      <c r="J1549" s="11">
        <v>5484</v>
      </c>
      <c r="K1549" s="51"/>
      <c r="O1549" s="1" t="s">
        <v>14</v>
      </c>
      <c r="P1549" s="1" t="s">
        <v>37</v>
      </c>
      <c r="Q1549" s="1" t="s">
        <v>38</v>
      </c>
      <c r="R1549" s="1" t="s">
        <v>27</v>
      </c>
      <c r="S1549" s="1" t="s">
        <v>31</v>
      </c>
      <c r="T1549" s="1">
        <v>2016</v>
      </c>
      <c r="U1549" s="1">
        <v>3</v>
      </c>
      <c r="V1549" s="50">
        <v>42430</v>
      </c>
      <c r="W1549" s="4">
        <v>4716.2400000000007</v>
      </c>
      <c r="X1549" s="48">
        <v>5484</v>
      </c>
    </row>
    <row r="1550" spans="2:24" x14ac:dyDescent="0.35">
      <c r="B1550" s="8" t="s">
        <v>12</v>
      </c>
      <c r="C1550" s="8" t="s">
        <v>44</v>
      </c>
      <c r="D1550" s="8" t="s">
        <v>13</v>
      </c>
      <c r="E1550" s="8" t="s">
        <v>23</v>
      </c>
      <c r="F1550" s="8" t="s">
        <v>36</v>
      </c>
      <c r="G1550" s="8">
        <v>2016</v>
      </c>
      <c r="H1550" s="8">
        <v>3</v>
      </c>
      <c r="I1550" s="10">
        <v>42430</v>
      </c>
      <c r="J1550" s="11">
        <v>1746</v>
      </c>
      <c r="K1550" s="51"/>
      <c r="O1550" s="1" t="s">
        <v>12</v>
      </c>
      <c r="P1550" s="1" t="s">
        <v>44</v>
      </c>
      <c r="Q1550" s="1" t="s">
        <v>13</v>
      </c>
      <c r="R1550" s="1" t="s">
        <v>23</v>
      </c>
      <c r="S1550" s="1" t="s">
        <v>36</v>
      </c>
      <c r="T1550" s="1">
        <v>2016</v>
      </c>
      <c r="U1550" s="1">
        <v>3</v>
      </c>
      <c r="V1550" s="50">
        <v>42430</v>
      </c>
      <c r="W1550" s="4">
        <v>1588.86</v>
      </c>
      <c r="X1550" s="48">
        <v>1746</v>
      </c>
    </row>
    <row r="1551" spans="2:24" x14ac:dyDescent="0.35">
      <c r="B1551" s="8" t="s">
        <v>14</v>
      </c>
      <c r="C1551" s="8" t="s">
        <v>46</v>
      </c>
      <c r="D1551" s="8" t="s">
        <v>47</v>
      </c>
      <c r="E1551" s="8" t="s">
        <v>23</v>
      </c>
      <c r="F1551" s="8" t="s">
        <v>24</v>
      </c>
      <c r="G1551" s="8">
        <v>2016</v>
      </c>
      <c r="H1551" s="8">
        <v>3</v>
      </c>
      <c r="I1551" s="10">
        <v>42430</v>
      </c>
      <c r="J1551" s="11">
        <v>2353</v>
      </c>
      <c r="K1551" s="51"/>
      <c r="O1551" s="1" t="s">
        <v>14</v>
      </c>
      <c r="P1551" s="1" t="s">
        <v>46</v>
      </c>
      <c r="Q1551" s="1" t="s">
        <v>47</v>
      </c>
      <c r="R1551" s="1" t="s">
        <v>23</v>
      </c>
      <c r="S1551" s="1" t="s">
        <v>24</v>
      </c>
      <c r="T1551" s="1">
        <v>2016</v>
      </c>
      <c r="U1551" s="1">
        <v>3</v>
      </c>
      <c r="V1551" s="50">
        <v>42430</v>
      </c>
      <c r="W1551" s="4">
        <v>2000.0500000000002</v>
      </c>
      <c r="X1551" s="48">
        <v>2353</v>
      </c>
    </row>
    <row r="1552" spans="2:24" x14ac:dyDescent="0.35">
      <c r="B1552" s="8" t="s">
        <v>14</v>
      </c>
      <c r="C1552" s="8" t="s">
        <v>46</v>
      </c>
      <c r="D1552" s="8" t="s">
        <v>47</v>
      </c>
      <c r="E1552" s="8" t="s">
        <v>23</v>
      </c>
      <c r="F1552" s="6" t="s">
        <v>39</v>
      </c>
      <c r="G1552" s="8">
        <v>2016</v>
      </c>
      <c r="H1552" s="8">
        <v>3</v>
      </c>
      <c r="I1552" s="10">
        <v>42430</v>
      </c>
      <c r="J1552" s="11">
        <v>1358</v>
      </c>
      <c r="K1552" s="51"/>
      <c r="O1552" s="1" t="s">
        <v>14</v>
      </c>
      <c r="P1552" s="1" t="s">
        <v>46</v>
      </c>
      <c r="Q1552" s="1" t="s">
        <v>47</v>
      </c>
      <c r="R1552" s="1" t="s">
        <v>23</v>
      </c>
      <c r="S1552" t="s">
        <v>39</v>
      </c>
      <c r="T1552" s="1">
        <v>2016</v>
      </c>
      <c r="U1552" s="1">
        <v>3</v>
      </c>
      <c r="V1552" s="50">
        <v>42430</v>
      </c>
      <c r="W1552" s="4">
        <v>1195.04</v>
      </c>
      <c r="X1552" s="48">
        <v>1358</v>
      </c>
    </row>
    <row r="1553" spans="2:24" x14ac:dyDescent="0.35">
      <c r="B1553" s="8" t="s">
        <v>7</v>
      </c>
      <c r="C1553" s="8" t="s">
        <v>43</v>
      </c>
      <c r="D1553" s="8" t="s">
        <v>10</v>
      </c>
      <c r="E1553" s="8" t="s">
        <v>0</v>
      </c>
      <c r="F1553" s="6" t="s">
        <v>42</v>
      </c>
      <c r="G1553" s="8">
        <v>2016</v>
      </c>
      <c r="H1553" s="8">
        <v>3</v>
      </c>
      <c r="I1553" s="10">
        <v>42430</v>
      </c>
      <c r="J1553" s="11">
        <v>5478</v>
      </c>
      <c r="K1553" s="51"/>
      <c r="O1553" s="1" t="s">
        <v>7</v>
      </c>
      <c r="P1553" s="1" t="s">
        <v>43</v>
      </c>
      <c r="Q1553" s="1" t="s">
        <v>10</v>
      </c>
      <c r="R1553" s="1" t="s">
        <v>0</v>
      </c>
      <c r="S1553" t="s">
        <v>42</v>
      </c>
      <c r="T1553" s="1">
        <v>2016</v>
      </c>
      <c r="U1553" s="1">
        <v>3</v>
      </c>
      <c r="V1553" s="50">
        <v>42430</v>
      </c>
      <c r="W1553" s="4">
        <v>4875.4199999999992</v>
      </c>
      <c r="X1553" s="48">
        <v>5478</v>
      </c>
    </row>
    <row r="1554" spans="2:24" x14ac:dyDescent="0.35">
      <c r="B1554" s="8" t="s">
        <v>6</v>
      </c>
      <c r="C1554" s="8" t="s">
        <v>40</v>
      </c>
      <c r="D1554" s="8" t="s">
        <v>41</v>
      </c>
      <c r="E1554" s="8" t="s">
        <v>27</v>
      </c>
      <c r="F1554" s="6" t="s">
        <v>31</v>
      </c>
      <c r="G1554" s="8">
        <v>2016</v>
      </c>
      <c r="H1554" s="8">
        <v>3</v>
      </c>
      <c r="I1554" s="10">
        <v>42430</v>
      </c>
      <c r="J1554" s="11">
        <v>3687</v>
      </c>
      <c r="K1554" s="51"/>
      <c r="O1554" s="1" t="s">
        <v>6</v>
      </c>
      <c r="P1554" s="1" t="s">
        <v>40</v>
      </c>
      <c r="Q1554" s="1" t="s">
        <v>41</v>
      </c>
      <c r="R1554" s="1" t="s">
        <v>27</v>
      </c>
      <c r="S1554" t="s">
        <v>31</v>
      </c>
      <c r="T1554" s="1">
        <v>2016</v>
      </c>
      <c r="U1554" s="1">
        <v>3</v>
      </c>
      <c r="V1554" s="50">
        <v>42430</v>
      </c>
      <c r="W1554" s="4">
        <v>3318.2999999999997</v>
      </c>
      <c r="X1554" s="48">
        <v>3687</v>
      </c>
    </row>
    <row r="1555" spans="2:24" x14ac:dyDescent="0.35">
      <c r="B1555" s="8" t="s">
        <v>3</v>
      </c>
      <c r="C1555" s="8" t="s">
        <v>22</v>
      </c>
      <c r="D1555" s="8" t="s">
        <v>5</v>
      </c>
      <c r="E1555" s="9" t="s">
        <v>23</v>
      </c>
      <c r="F1555" s="9" t="s">
        <v>39</v>
      </c>
      <c r="G1555" s="8">
        <v>2016</v>
      </c>
      <c r="H1555" s="8">
        <v>3</v>
      </c>
      <c r="I1555" s="10">
        <v>42430</v>
      </c>
      <c r="J1555" s="11">
        <v>1446</v>
      </c>
      <c r="K1555" s="51"/>
      <c r="O1555" s="1" t="s">
        <v>3</v>
      </c>
      <c r="P1555" s="1" t="s">
        <v>22</v>
      </c>
      <c r="Q1555" s="1" t="s">
        <v>5</v>
      </c>
      <c r="R1555" s="2" t="s">
        <v>23</v>
      </c>
      <c r="S1555" s="2" t="s">
        <v>39</v>
      </c>
      <c r="T1555" s="1">
        <v>2016</v>
      </c>
      <c r="U1555" s="1">
        <v>3</v>
      </c>
      <c r="V1555" s="50">
        <v>42430</v>
      </c>
      <c r="W1555" s="4">
        <v>1330.32</v>
      </c>
      <c r="X1555" s="48">
        <v>1446</v>
      </c>
    </row>
    <row r="1556" spans="2:24" x14ac:dyDescent="0.35">
      <c r="B1556" s="8" t="s">
        <v>3</v>
      </c>
      <c r="C1556" s="8" t="s">
        <v>22</v>
      </c>
      <c r="D1556" s="8" t="s">
        <v>5</v>
      </c>
      <c r="E1556" s="8" t="s">
        <v>0</v>
      </c>
      <c r="F1556" s="9" t="s">
        <v>42</v>
      </c>
      <c r="G1556" s="8">
        <v>2016</v>
      </c>
      <c r="H1556" s="8">
        <v>3</v>
      </c>
      <c r="I1556" s="10">
        <v>42430</v>
      </c>
      <c r="J1556" s="11">
        <v>6342</v>
      </c>
      <c r="K1556" s="51"/>
      <c r="O1556" s="1" t="s">
        <v>3</v>
      </c>
      <c r="P1556" s="1" t="s">
        <v>22</v>
      </c>
      <c r="Q1556" s="1" t="s">
        <v>5</v>
      </c>
      <c r="R1556" s="1" t="s">
        <v>0</v>
      </c>
      <c r="S1556" s="2" t="s">
        <v>42</v>
      </c>
      <c r="T1556" s="1">
        <v>2016</v>
      </c>
      <c r="U1556" s="1">
        <v>3</v>
      </c>
      <c r="V1556" s="50">
        <v>42430</v>
      </c>
      <c r="W1556" s="4">
        <v>5517.5400000000009</v>
      </c>
      <c r="X1556" s="48">
        <v>6342</v>
      </c>
    </row>
    <row r="1557" spans="2:24" x14ac:dyDescent="0.35">
      <c r="B1557" s="8" t="s">
        <v>6</v>
      </c>
      <c r="C1557" s="8" t="s">
        <v>29</v>
      </c>
      <c r="D1557" s="8" t="s">
        <v>30</v>
      </c>
      <c r="E1557" s="8" t="s">
        <v>0</v>
      </c>
      <c r="F1557" s="6" t="s">
        <v>26</v>
      </c>
      <c r="G1557" s="8">
        <v>2016</v>
      </c>
      <c r="H1557" s="8">
        <v>3</v>
      </c>
      <c r="I1557" s="10">
        <v>42430</v>
      </c>
      <c r="J1557" s="11">
        <v>4400</v>
      </c>
      <c r="K1557" s="51"/>
      <c r="O1557" s="1" t="s">
        <v>6</v>
      </c>
      <c r="P1557" s="1" t="s">
        <v>29</v>
      </c>
      <c r="Q1557" s="1" t="s">
        <v>30</v>
      </c>
      <c r="R1557" s="1" t="s">
        <v>0</v>
      </c>
      <c r="S1557" t="s">
        <v>26</v>
      </c>
      <c r="T1557" s="1">
        <v>2016</v>
      </c>
      <c r="U1557" s="1">
        <v>3</v>
      </c>
      <c r="V1557" s="50">
        <v>42430</v>
      </c>
      <c r="W1557" s="4">
        <v>3959.9999999999995</v>
      </c>
      <c r="X1557" s="48">
        <v>4400</v>
      </c>
    </row>
    <row r="1558" spans="2:24" x14ac:dyDescent="0.35">
      <c r="B1558" s="8" t="s">
        <v>7</v>
      </c>
      <c r="C1558" s="8" t="s">
        <v>48</v>
      </c>
      <c r="D1558" s="8" t="s">
        <v>9</v>
      </c>
      <c r="E1558" s="8" t="s">
        <v>27</v>
      </c>
      <c r="F1558" s="8" t="s">
        <v>28</v>
      </c>
      <c r="G1558" s="8">
        <v>2016</v>
      </c>
      <c r="H1558" s="8">
        <v>3</v>
      </c>
      <c r="I1558" s="10">
        <v>42430</v>
      </c>
      <c r="J1558" s="11">
        <v>4364</v>
      </c>
      <c r="K1558" s="51"/>
      <c r="O1558" s="1" t="s">
        <v>7</v>
      </c>
      <c r="P1558" s="1" t="s">
        <v>48</v>
      </c>
      <c r="Q1558" s="1" t="s">
        <v>9</v>
      </c>
      <c r="R1558" s="1" t="s">
        <v>27</v>
      </c>
      <c r="S1558" s="1" t="s">
        <v>28</v>
      </c>
      <c r="T1558" s="1">
        <v>2016</v>
      </c>
      <c r="U1558" s="1">
        <v>3</v>
      </c>
      <c r="V1558" s="50">
        <v>42430</v>
      </c>
      <c r="W1558" s="4">
        <v>3927.5999999999995</v>
      </c>
      <c r="X1558" s="48">
        <v>4364</v>
      </c>
    </row>
    <row r="1559" spans="2:24" x14ac:dyDescent="0.35">
      <c r="B1559" s="8" t="s">
        <v>7</v>
      </c>
      <c r="C1559" s="8" t="s">
        <v>48</v>
      </c>
      <c r="D1559" s="8" t="s">
        <v>9</v>
      </c>
      <c r="E1559" s="8" t="s">
        <v>27</v>
      </c>
      <c r="F1559" s="8" t="s">
        <v>31</v>
      </c>
      <c r="G1559" s="8">
        <v>2016</v>
      </c>
      <c r="H1559" s="8">
        <v>3</v>
      </c>
      <c r="I1559" s="10">
        <v>42430</v>
      </c>
      <c r="J1559" s="11">
        <v>4292</v>
      </c>
      <c r="K1559" s="51"/>
      <c r="O1559" s="1" t="s">
        <v>7</v>
      </c>
      <c r="P1559" s="1" t="s">
        <v>48</v>
      </c>
      <c r="Q1559" s="1" t="s">
        <v>9</v>
      </c>
      <c r="R1559" s="1" t="s">
        <v>27</v>
      </c>
      <c r="S1559" s="1" t="s">
        <v>31</v>
      </c>
      <c r="T1559" s="1">
        <v>2016</v>
      </c>
      <c r="U1559" s="1">
        <v>3</v>
      </c>
      <c r="V1559" s="50">
        <v>42430</v>
      </c>
      <c r="W1559" s="4">
        <v>3948.64</v>
      </c>
      <c r="X1559" s="48">
        <v>4292</v>
      </c>
    </row>
    <row r="1560" spans="2:24" x14ac:dyDescent="0.35">
      <c r="B1560" s="8" t="s">
        <v>7</v>
      </c>
      <c r="C1560" s="8" t="s">
        <v>49</v>
      </c>
      <c r="D1560" s="8" t="s">
        <v>11</v>
      </c>
      <c r="E1560" s="8" t="s">
        <v>27</v>
      </c>
      <c r="F1560" s="8" t="s">
        <v>33</v>
      </c>
      <c r="G1560" s="8">
        <v>2016</v>
      </c>
      <c r="H1560" s="8">
        <v>3</v>
      </c>
      <c r="I1560" s="10">
        <v>42430</v>
      </c>
      <c r="J1560" s="11">
        <v>3934</v>
      </c>
      <c r="K1560" s="51"/>
      <c r="O1560" s="1" t="s">
        <v>7</v>
      </c>
      <c r="P1560" s="1" t="s">
        <v>49</v>
      </c>
      <c r="Q1560" s="1" t="s">
        <v>11</v>
      </c>
      <c r="R1560" s="1" t="s">
        <v>27</v>
      </c>
      <c r="S1560" s="1" t="s">
        <v>33</v>
      </c>
      <c r="T1560" s="1">
        <v>2016</v>
      </c>
      <c r="U1560" s="1">
        <v>3</v>
      </c>
      <c r="V1560" s="50">
        <v>42430</v>
      </c>
      <c r="W1560" s="4">
        <v>3619.2799999999997</v>
      </c>
      <c r="X1560" s="48">
        <v>3934</v>
      </c>
    </row>
    <row r="1561" spans="2:24" x14ac:dyDescent="0.35">
      <c r="B1561" s="8" t="s">
        <v>7</v>
      </c>
      <c r="C1561" s="8" t="s">
        <v>49</v>
      </c>
      <c r="D1561" s="8" t="s">
        <v>11</v>
      </c>
      <c r="E1561" s="8" t="s">
        <v>23</v>
      </c>
      <c r="F1561" s="6" t="s">
        <v>36</v>
      </c>
      <c r="G1561" s="8">
        <v>2016</v>
      </c>
      <c r="H1561" s="8">
        <v>3</v>
      </c>
      <c r="I1561" s="10">
        <v>42430</v>
      </c>
      <c r="J1561" s="11">
        <v>2724</v>
      </c>
      <c r="K1561" s="51"/>
      <c r="O1561" s="1" t="s">
        <v>7</v>
      </c>
      <c r="P1561" s="1" t="s">
        <v>49</v>
      </c>
      <c r="Q1561" s="1" t="s">
        <v>11</v>
      </c>
      <c r="R1561" s="1" t="s">
        <v>23</v>
      </c>
      <c r="S1561" t="s">
        <v>36</v>
      </c>
      <c r="T1561" s="1">
        <v>2016</v>
      </c>
      <c r="U1561" s="1">
        <v>3</v>
      </c>
      <c r="V1561" s="50">
        <v>42430</v>
      </c>
      <c r="W1561" s="4">
        <v>2478.8399999999997</v>
      </c>
      <c r="X1561" s="48">
        <v>2724</v>
      </c>
    </row>
    <row r="1562" spans="2:24" x14ac:dyDescent="0.35">
      <c r="B1562" s="8" t="s">
        <v>7</v>
      </c>
      <c r="C1562" s="8" t="s">
        <v>43</v>
      </c>
      <c r="D1562" s="8" t="s">
        <v>10</v>
      </c>
      <c r="E1562" s="8" t="s">
        <v>23</v>
      </c>
      <c r="F1562" s="6" t="s">
        <v>36</v>
      </c>
      <c r="G1562" s="8">
        <v>2016</v>
      </c>
      <c r="H1562" s="8">
        <v>3</v>
      </c>
      <c r="I1562" s="10">
        <v>42430</v>
      </c>
      <c r="J1562" s="11">
        <v>2910</v>
      </c>
      <c r="K1562" s="51"/>
      <c r="O1562" s="1" t="s">
        <v>7</v>
      </c>
      <c r="P1562" s="1" t="s">
        <v>43</v>
      </c>
      <c r="Q1562" s="1" t="s">
        <v>10</v>
      </c>
      <c r="R1562" s="1" t="s">
        <v>23</v>
      </c>
      <c r="S1562" t="s">
        <v>36</v>
      </c>
      <c r="T1562" s="1">
        <v>2016</v>
      </c>
      <c r="U1562" s="1">
        <v>3</v>
      </c>
      <c r="V1562" s="50">
        <v>42430</v>
      </c>
      <c r="W1562" s="4">
        <v>2473.5000000000005</v>
      </c>
      <c r="X1562" s="48">
        <v>2910</v>
      </c>
    </row>
    <row r="1563" spans="2:24" x14ac:dyDescent="0.35">
      <c r="B1563" s="8" t="s">
        <v>6</v>
      </c>
      <c r="C1563" s="8" t="s">
        <v>40</v>
      </c>
      <c r="D1563" s="8" t="s">
        <v>41</v>
      </c>
      <c r="E1563" s="8" t="s">
        <v>0</v>
      </c>
      <c r="F1563" s="6" t="s">
        <v>45</v>
      </c>
      <c r="G1563" s="8">
        <v>2016</v>
      </c>
      <c r="H1563" s="8">
        <v>3</v>
      </c>
      <c r="I1563" s="10">
        <v>42430</v>
      </c>
      <c r="J1563" s="11">
        <v>2685</v>
      </c>
      <c r="K1563" s="51"/>
      <c r="O1563" s="1" t="s">
        <v>6</v>
      </c>
      <c r="P1563" s="1" t="s">
        <v>40</v>
      </c>
      <c r="Q1563" s="1" t="s">
        <v>41</v>
      </c>
      <c r="R1563" s="1" t="s">
        <v>0</v>
      </c>
      <c r="S1563" t="s">
        <v>45</v>
      </c>
      <c r="T1563" s="1">
        <v>2016</v>
      </c>
      <c r="U1563" s="1">
        <v>3</v>
      </c>
      <c r="V1563" s="50">
        <v>42430</v>
      </c>
      <c r="W1563" s="4">
        <v>2335.9500000000003</v>
      </c>
      <c r="X1563" s="48">
        <v>2685</v>
      </c>
    </row>
    <row r="1564" spans="2:24" x14ac:dyDescent="0.35">
      <c r="B1564" s="8" t="s">
        <v>7</v>
      </c>
      <c r="C1564" s="8" t="s">
        <v>32</v>
      </c>
      <c r="D1564" s="8" t="s">
        <v>8</v>
      </c>
      <c r="E1564" s="9" t="s">
        <v>27</v>
      </c>
      <c r="F1564" s="9" t="s">
        <v>28</v>
      </c>
      <c r="G1564" s="8">
        <v>2016</v>
      </c>
      <c r="H1564" s="8">
        <v>3</v>
      </c>
      <c r="I1564" s="10">
        <v>42430</v>
      </c>
      <c r="J1564" s="11">
        <v>4756</v>
      </c>
      <c r="K1564" s="51"/>
      <c r="O1564" s="1" t="s">
        <v>7</v>
      </c>
      <c r="P1564" s="1" t="s">
        <v>32</v>
      </c>
      <c r="Q1564" s="1" t="s">
        <v>8</v>
      </c>
      <c r="R1564" s="2" t="s">
        <v>27</v>
      </c>
      <c r="S1564" s="2" t="s">
        <v>28</v>
      </c>
      <c r="T1564" s="1">
        <v>2016</v>
      </c>
      <c r="U1564" s="1">
        <v>3</v>
      </c>
      <c r="V1564" s="50">
        <v>42430</v>
      </c>
      <c r="W1564" s="4">
        <v>4137.72</v>
      </c>
      <c r="X1564" s="48">
        <v>4756</v>
      </c>
    </row>
    <row r="1565" spans="2:24" x14ac:dyDescent="0.35">
      <c r="B1565" s="8" t="s">
        <v>7</v>
      </c>
      <c r="C1565" s="8" t="s">
        <v>32</v>
      </c>
      <c r="D1565" s="8" t="s">
        <v>8</v>
      </c>
      <c r="E1565" s="8" t="s">
        <v>27</v>
      </c>
      <c r="F1565" s="9" t="s">
        <v>31</v>
      </c>
      <c r="G1565" s="8">
        <v>2016</v>
      </c>
      <c r="H1565" s="8">
        <v>3</v>
      </c>
      <c r="I1565" s="10">
        <v>42430</v>
      </c>
      <c r="J1565" s="11">
        <v>2976</v>
      </c>
      <c r="K1565" s="51"/>
      <c r="O1565" s="1" t="s">
        <v>7</v>
      </c>
      <c r="P1565" s="1" t="s">
        <v>32</v>
      </c>
      <c r="Q1565" s="1" t="s">
        <v>8</v>
      </c>
      <c r="R1565" s="1" t="s">
        <v>27</v>
      </c>
      <c r="S1565" s="2" t="s">
        <v>31</v>
      </c>
      <c r="T1565" s="1">
        <v>2016</v>
      </c>
      <c r="U1565" s="1">
        <v>3</v>
      </c>
      <c r="V1565" s="50">
        <v>42430</v>
      </c>
      <c r="W1565" s="4">
        <v>2708.16</v>
      </c>
      <c r="X1565" s="48">
        <v>2976</v>
      </c>
    </row>
    <row r="1566" spans="2:24" x14ac:dyDescent="0.35">
      <c r="B1566" s="8" t="s">
        <v>6</v>
      </c>
      <c r="C1566" s="8" t="s">
        <v>29</v>
      </c>
      <c r="D1566" s="8" t="s">
        <v>30</v>
      </c>
      <c r="E1566" s="8" t="s">
        <v>23</v>
      </c>
      <c r="F1566" s="6" t="s">
        <v>24</v>
      </c>
      <c r="G1566" s="8">
        <v>2016</v>
      </c>
      <c r="H1566" s="8">
        <v>3</v>
      </c>
      <c r="I1566" s="10">
        <v>42430</v>
      </c>
      <c r="J1566" s="11">
        <v>2243</v>
      </c>
      <c r="K1566" s="51"/>
      <c r="O1566" s="1" t="s">
        <v>6</v>
      </c>
      <c r="P1566" s="1" t="s">
        <v>29</v>
      </c>
      <c r="Q1566" s="1" t="s">
        <v>30</v>
      </c>
      <c r="R1566" s="1" t="s">
        <v>23</v>
      </c>
      <c r="S1566" t="s">
        <v>24</v>
      </c>
      <c r="T1566" s="1">
        <v>2016</v>
      </c>
      <c r="U1566" s="1">
        <v>3</v>
      </c>
      <c r="V1566" s="50">
        <v>42430</v>
      </c>
      <c r="W1566" s="4">
        <v>2018.6999999999998</v>
      </c>
      <c r="X1566" s="48">
        <v>2243</v>
      </c>
    </row>
    <row r="1567" spans="2:24" x14ac:dyDescent="0.35">
      <c r="B1567" s="8" t="s">
        <v>7</v>
      </c>
      <c r="C1567" s="8" t="s">
        <v>48</v>
      </c>
      <c r="D1567" s="8" t="s">
        <v>9</v>
      </c>
      <c r="E1567" s="8" t="s">
        <v>0</v>
      </c>
      <c r="F1567" s="8" t="s">
        <v>42</v>
      </c>
      <c r="G1567" s="8">
        <v>2016</v>
      </c>
      <c r="H1567" s="8">
        <v>3</v>
      </c>
      <c r="I1567" s="10">
        <v>42430</v>
      </c>
      <c r="J1567" s="11">
        <v>6898</v>
      </c>
      <c r="K1567" s="51"/>
      <c r="O1567" s="1" t="s">
        <v>7</v>
      </c>
      <c r="P1567" s="1" t="s">
        <v>48</v>
      </c>
      <c r="Q1567" s="1" t="s">
        <v>9</v>
      </c>
      <c r="R1567" s="1" t="s">
        <v>0</v>
      </c>
      <c r="S1567" s="1" t="s">
        <v>42</v>
      </c>
      <c r="T1567" s="1">
        <v>2016</v>
      </c>
      <c r="U1567" s="1">
        <v>3</v>
      </c>
      <c r="V1567" s="50">
        <v>42430</v>
      </c>
      <c r="W1567" s="4">
        <v>6484.12</v>
      </c>
      <c r="X1567" s="48">
        <v>6898</v>
      </c>
    </row>
    <row r="1568" spans="2:24" x14ac:dyDescent="0.35">
      <c r="B1568" s="8" t="s">
        <v>7</v>
      </c>
      <c r="C1568" s="8" t="s">
        <v>48</v>
      </c>
      <c r="D1568" s="8" t="s">
        <v>9</v>
      </c>
      <c r="E1568" s="8" t="s">
        <v>0</v>
      </c>
      <c r="F1568" s="8" t="s">
        <v>26</v>
      </c>
      <c r="G1568" s="8">
        <v>2016</v>
      </c>
      <c r="H1568" s="8">
        <v>3</v>
      </c>
      <c r="I1568" s="10">
        <v>42430</v>
      </c>
      <c r="J1568" s="11">
        <v>5253</v>
      </c>
      <c r="K1568" s="51"/>
      <c r="O1568" s="1" t="s">
        <v>7</v>
      </c>
      <c r="P1568" s="1" t="s">
        <v>48</v>
      </c>
      <c r="Q1568" s="1" t="s">
        <v>9</v>
      </c>
      <c r="R1568" s="1" t="s">
        <v>0</v>
      </c>
      <c r="S1568" s="1" t="s">
        <v>26</v>
      </c>
      <c r="T1568" s="1">
        <v>2016</v>
      </c>
      <c r="U1568" s="1">
        <v>3</v>
      </c>
      <c r="V1568" s="50">
        <v>42430</v>
      </c>
      <c r="W1568" s="4">
        <v>4832.7599999999993</v>
      </c>
      <c r="X1568" s="48">
        <v>5253</v>
      </c>
    </row>
    <row r="1569" spans="2:24" x14ac:dyDescent="0.35">
      <c r="B1569" s="8" t="s">
        <v>7</v>
      </c>
      <c r="C1569" s="8" t="s">
        <v>49</v>
      </c>
      <c r="D1569" s="8" t="s">
        <v>11</v>
      </c>
      <c r="E1569" s="8" t="s">
        <v>0</v>
      </c>
      <c r="F1569" s="8" t="s">
        <v>45</v>
      </c>
      <c r="G1569" s="8">
        <v>2016</v>
      </c>
      <c r="H1569" s="8">
        <v>3</v>
      </c>
      <c r="I1569" s="10">
        <v>42430</v>
      </c>
      <c r="J1569" s="11">
        <v>2734</v>
      </c>
      <c r="K1569" s="51"/>
      <c r="O1569" s="1" t="s">
        <v>7</v>
      </c>
      <c r="P1569" s="1" t="s">
        <v>49</v>
      </c>
      <c r="Q1569" s="1" t="s">
        <v>11</v>
      </c>
      <c r="R1569" s="1" t="s">
        <v>0</v>
      </c>
      <c r="S1569" s="1" t="s">
        <v>45</v>
      </c>
      <c r="T1569" s="1">
        <v>2016</v>
      </c>
      <c r="U1569" s="1">
        <v>3</v>
      </c>
      <c r="V1569" s="50">
        <v>42430</v>
      </c>
      <c r="W1569" s="4">
        <v>2515.2799999999997</v>
      </c>
      <c r="X1569" s="48">
        <v>2734</v>
      </c>
    </row>
    <row r="1570" spans="2:24" x14ac:dyDescent="0.35">
      <c r="B1570" s="8" t="s">
        <v>7</v>
      </c>
      <c r="C1570" s="8" t="s">
        <v>49</v>
      </c>
      <c r="D1570" s="8" t="s">
        <v>11</v>
      </c>
      <c r="E1570" s="8" t="s">
        <v>27</v>
      </c>
      <c r="F1570" s="6" t="s">
        <v>28</v>
      </c>
      <c r="G1570" s="8">
        <v>2016</v>
      </c>
      <c r="H1570" s="8">
        <v>3</v>
      </c>
      <c r="I1570" s="10">
        <v>42430</v>
      </c>
      <c r="J1570" s="11">
        <v>4746</v>
      </c>
      <c r="K1570" s="51"/>
      <c r="O1570" s="1" t="s">
        <v>7</v>
      </c>
      <c r="P1570" s="1" t="s">
        <v>49</v>
      </c>
      <c r="Q1570" s="1" t="s">
        <v>11</v>
      </c>
      <c r="R1570" s="1" t="s">
        <v>27</v>
      </c>
      <c r="S1570" t="s">
        <v>28</v>
      </c>
      <c r="T1570" s="1">
        <v>2016</v>
      </c>
      <c r="U1570" s="1">
        <v>3</v>
      </c>
      <c r="V1570" s="50">
        <v>42430</v>
      </c>
      <c r="W1570" s="4">
        <v>4318.8599999999997</v>
      </c>
      <c r="X1570" s="48">
        <v>4746</v>
      </c>
    </row>
    <row r="1571" spans="2:24" x14ac:dyDescent="0.35">
      <c r="B1571" s="8" t="s">
        <v>12</v>
      </c>
      <c r="C1571" s="8" t="s">
        <v>34</v>
      </c>
      <c r="D1571" s="8" t="s">
        <v>35</v>
      </c>
      <c r="E1571" s="8" t="s">
        <v>27</v>
      </c>
      <c r="F1571" s="6" t="s">
        <v>31</v>
      </c>
      <c r="G1571" s="8">
        <v>2016</v>
      </c>
      <c r="H1571" s="8">
        <v>3</v>
      </c>
      <c r="I1571" s="10">
        <v>42430</v>
      </c>
      <c r="J1571" s="11">
        <v>3541</v>
      </c>
      <c r="K1571" s="51"/>
      <c r="O1571" s="1" t="s">
        <v>12</v>
      </c>
      <c r="P1571" s="1" t="s">
        <v>34</v>
      </c>
      <c r="Q1571" s="1" t="s">
        <v>35</v>
      </c>
      <c r="R1571" s="1" t="s">
        <v>27</v>
      </c>
      <c r="S1571" t="s">
        <v>31</v>
      </c>
      <c r="T1571" s="1">
        <v>2016</v>
      </c>
      <c r="U1571" s="1">
        <v>3</v>
      </c>
      <c r="V1571" s="50">
        <v>42430</v>
      </c>
      <c r="W1571" s="4">
        <v>3222.3099999999995</v>
      </c>
      <c r="X1571" s="48">
        <v>3541</v>
      </c>
    </row>
    <row r="1572" spans="2:24" x14ac:dyDescent="0.35">
      <c r="B1572" s="8" t="s">
        <v>12</v>
      </c>
      <c r="C1572" s="8" t="s">
        <v>34</v>
      </c>
      <c r="D1572" s="8" t="s">
        <v>35</v>
      </c>
      <c r="E1572" s="8" t="s">
        <v>27</v>
      </c>
      <c r="F1572" s="6" t="s">
        <v>33</v>
      </c>
      <c r="G1572" s="8">
        <v>2016</v>
      </c>
      <c r="H1572" s="8">
        <v>3</v>
      </c>
      <c r="I1572" s="10">
        <v>42430</v>
      </c>
      <c r="J1572" s="11">
        <v>3788</v>
      </c>
      <c r="K1572" s="51"/>
      <c r="O1572" s="1" t="s">
        <v>12</v>
      </c>
      <c r="P1572" s="1" t="s">
        <v>34</v>
      </c>
      <c r="Q1572" s="1" t="s">
        <v>35</v>
      </c>
      <c r="R1572" s="1" t="s">
        <v>27</v>
      </c>
      <c r="S1572" t="s">
        <v>33</v>
      </c>
      <c r="T1572" s="1">
        <v>2016</v>
      </c>
      <c r="U1572" s="1">
        <v>3</v>
      </c>
      <c r="V1572" s="50">
        <v>42430</v>
      </c>
      <c r="W1572" s="4">
        <v>3295.5600000000004</v>
      </c>
      <c r="X1572" s="48">
        <v>3788</v>
      </c>
    </row>
    <row r="1573" spans="2:24" x14ac:dyDescent="0.35">
      <c r="B1573" s="8" t="s">
        <v>14</v>
      </c>
      <c r="C1573" s="8" t="s">
        <v>37</v>
      </c>
      <c r="D1573" s="8" t="s">
        <v>38</v>
      </c>
      <c r="E1573" s="9" t="s">
        <v>23</v>
      </c>
      <c r="F1573" s="9" t="s">
        <v>36</v>
      </c>
      <c r="G1573" s="8">
        <v>2016</v>
      </c>
      <c r="H1573" s="8">
        <v>3</v>
      </c>
      <c r="I1573" s="10">
        <v>42430</v>
      </c>
      <c r="J1573" s="11">
        <v>1584</v>
      </c>
      <c r="K1573" s="51"/>
      <c r="O1573" s="1" t="s">
        <v>14</v>
      </c>
      <c r="P1573" s="1" t="s">
        <v>37</v>
      </c>
      <c r="Q1573" s="1" t="s">
        <v>38</v>
      </c>
      <c r="R1573" s="2" t="s">
        <v>23</v>
      </c>
      <c r="S1573" s="2" t="s">
        <v>36</v>
      </c>
      <c r="T1573" s="1">
        <v>2016</v>
      </c>
      <c r="U1573" s="1">
        <v>3</v>
      </c>
      <c r="V1573" s="50">
        <v>42430</v>
      </c>
      <c r="W1573" s="4">
        <v>1457.28</v>
      </c>
      <c r="X1573" s="48">
        <v>1584</v>
      </c>
    </row>
    <row r="1574" spans="2:24" x14ac:dyDescent="0.35">
      <c r="B1574" s="8" t="s">
        <v>12</v>
      </c>
      <c r="C1574" s="8" t="s">
        <v>44</v>
      </c>
      <c r="D1574" s="8" t="s">
        <v>13</v>
      </c>
      <c r="E1574" s="8" t="s">
        <v>23</v>
      </c>
      <c r="F1574" s="9" t="s">
        <v>39</v>
      </c>
      <c r="G1574" s="8">
        <v>2016</v>
      </c>
      <c r="H1574" s="8">
        <v>3</v>
      </c>
      <c r="I1574" s="10">
        <v>42430</v>
      </c>
      <c r="J1574" s="11">
        <v>2315</v>
      </c>
      <c r="K1574" s="51"/>
      <c r="O1574" s="1" t="s">
        <v>12</v>
      </c>
      <c r="P1574" s="1" t="s">
        <v>44</v>
      </c>
      <c r="Q1574" s="1" t="s">
        <v>13</v>
      </c>
      <c r="R1574" s="1" t="s">
        <v>23</v>
      </c>
      <c r="S1574" s="2" t="s">
        <v>39</v>
      </c>
      <c r="T1574" s="1">
        <v>2016</v>
      </c>
      <c r="U1574" s="1">
        <v>3</v>
      </c>
      <c r="V1574" s="50">
        <v>42430</v>
      </c>
      <c r="W1574" s="4">
        <v>2152.9499999999998</v>
      </c>
      <c r="X1574" s="48">
        <v>2315</v>
      </c>
    </row>
    <row r="1575" spans="2:24" x14ac:dyDescent="0.35">
      <c r="B1575" s="8" t="s">
        <v>12</v>
      </c>
      <c r="C1575" s="8" t="s">
        <v>44</v>
      </c>
      <c r="D1575" s="8" t="s">
        <v>13</v>
      </c>
      <c r="E1575" s="8" t="s">
        <v>0</v>
      </c>
      <c r="F1575" s="6" t="s">
        <v>42</v>
      </c>
      <c r="G1575" s="8">
        <v>2016</v>
      </c>
      <c r="H1575" s="8">
        <v>3</v>
      </c>
      <c r="I1575" s="10">
        <v>42430</v>
      </c>
      <c r="J1575" s="11">
        <v>4839</v>
      </c>
      <c r="K1575" s="51"/>
      <c r="O1575" s="1" t="s">
        <v>12</v>
      </c>
      <c r="P1575" s="1" t="s">
        <v>44</v>
      </c>
      <c r="Q1575" s="1" t="s">
        <v>13</v>
      </c>
      <c r="R1575" s="1" t="s">
        <v>0</v>
      </c>
      <c r="S1575" t="s">
        <v>42</v>
      </c>
      <c r="T1575" s="1">
        <v>2016</v>
      </c>
      <c r="U1575" s="1">
        <v>3</v>
      </c>
      <c r="V1575" s="50">
        <v>42430</v>
      </c>
      <c r="W1575" s="4">
        <v>4113.1500000000005</v>
      </c>
      <c r="X1575" s="48">
        <v>4839</v>
      </c>
    </row>
    <row r="1576" spans="2:24" x14ac:dyDescent="0.35">
      <c r="B1576" s="8" t="s">
        <v>14</v>
      </c>
      <c r="C1576" s="8" t="s">
        <v>46</v>
      </c>
      <c r="D1576" s="8" t="s">
        <v>47</v>
      </c>
      <c r="E1576" s="8" t="s">
        <v>0</v>
      </c>
      <c r="F1576" s="8" t="s">
        <v>26</v>
      </c>
      <c r="G1576" s="8">
        <v>2016</v>
      </c>
      <c r="H1576" s="8">
        <v>3</v>
      </c>
      <c r="I1576" s="10">
        <v>42430</v>
      </c>
      <c r="J1576" s="11">
        <v>3695</v>
      </c>
      <c r="K1576" s="51"/>
      <c r="O1576" s="1" t="s">
        <v>14</v>
      </c>
      <c r="P1576" s="1" t="s">
        <v>46</v>
      </c>
      <c r="Q1576" s="1" t="s">
        <v>47</v>
      </c>
      <c r="R1576" s="1" t="s">
        <v>0</v>
      </c>
      <c r="S1576" s="1" t="s">
        <v>26</v>
      </c>
      <c r="T1576" s="1">
        <v>2016</v>
      </c>
      <c r="U1576" s="1">
        <v>3</v>
      </c>
      <c r="V1576" s="50">
        <v>42430</v>
      </c>
      <c r="W1576" s="4">
        <v>3362.45</v>
      </c>
      <c r="X1576" s="48">
        <v>3695</v>
      </c>
    </row>
    <row r="1577" spans="2:24" x14ac:dyDescent="0.35">
      <c r="B1577" s="8" t="s">
        <v>14</v>
      </c>
      <c r="C1577" s="8" t="s">
        <v>46</v>
      </c>
      <c r="D1577" s="8" t="s">
        <v>47</v>
      </c>
      <c r="E1577" s="8" t="s">
        <v>0</v>
      </c>
      <c r="F1577" s="8" t="s">
        <v>45</v>
      </c>
      <c r="G1577" s="8">
        <v>2016</v>
      </c>
      <c r="H1577" s="8">
        <v>3</v>
      </c>
      <c r="I1577" s="10">
        <v>42430</v>
      </c>
      <c r="J1577" s="11">
        <v>3335</v>
      </c>
      <c r="K1577" s="51"/>
      <c r="O1577" s="1" t="s">
        <v>14</v>
      </c>
      <c r="P1577" s="1" t="s">
        <v>46</v>
      </c>
      <c r="Q1577" s="1" t="s">
        <v>47</v>
      </c>
      <c r="R1577" s="1" t="s">
        <v>0</v>
      </c>
      <c r="S1577" s="1" t="s">
        <v>45</v>
      </c>
      <c r="T1577" s="1">
        <v>2016</v>
      </c>
      <c r="U1577" s="1">
        <v>3</v>
      </c>
      <c r="V1577" s="50">
        <v>42430</v>
      </c>
      <c r="W1577" s="4">
        <v>2901.4500000000003</v>
      </c>
      <c r="X1577" s="48">
        <v>3335</v>
      </c>
    </row>
    <row r="1578" spans="2:24" x14ac:dyDescent="0.35">
      <c r="B1578" s="8" t="s">
        <v>3</v>
      </c>
      <c r="C1578" s="8" t="s">
        <v>25</v>
      </c>
      <c r="D1578" s="8" t="s">
        <v>4</v>
      </c>
      <c r="E1578" s="8" t="s">
        <v>27</v>
      </c>
      <c r="F1578" s="8" t="s">
        <v>33</v>
      </c>
      <c r="G1578" s="8">
        <v>2016</v>
      </c>
      <c r="H1578" s="8">
        <v>3</v>
      </c>
      <c r="I1578" s="10">
        <v>42430</v>
      </c>
      <c r="J1578" s="11">
        <v>3489</v>
      </c>
      <c r="K1578" s="51"/>
      <c r="O1578" s="1" t="s">
        <v>3</v>
      </c>
      <c r="P1578" s="1" t="s">
        <v>25</v>
      </c>
      <c r="Q1578" s="1" t="s">
        <v>4</v>
      </c>
      <c r="R1578" s="1" t="s">
        <v>27</v>
      </c>
      <c r="S1578" s="1" t="s">
        <v>33</v>
      </c>
      <c r="T1578" s="1">
        <v>2016</v>
      </c>
      <c r="U1578" s="1">
        <v>3</v>
      </c>
      <c r="V1578" s="50">
        <v>42430</v>
      </c>
      <c r="W1578" s="4">
        <v>3140.0999999999995</v>
      </c>
      <c r="X1578" s="48">
        <v>3489</v>
      </c>
    </row>
    <row r="1579" spans="2:24" x14ac:dyDescent="0.35">
      <c r="B1579" s="8" t="s">
        <v>3</v>
      </c>
      <c r="C1579" s="8" t="s">
        <v>25</v>
      </c>
      <c r="D1579" s="8" t="s">
        <v>4</v>
      </c>
      <c r="E1579" s="8" t="s">
        <v>23</v>
      </c>
      <c r="F1579" s="6" t="s">
        <v>36</v>
      </c>
      <c r="G1579" s="8">
        <v>2016</v>
      </c>
      <c r="H1579" s="8">
        <v>3</v>
      </c>
      <c r="I1579" s="10">
        <v>42430</v>
      </c>
      <c r="J1579" s="11">
        <v>1764</v>
      </c>
      <c r="K1579" s="51"/>
      <c r="O1579" s="1" t="s">
        <v>3</v>
      </c>
      <c r="P1579" s="1" t="s">
        <v>25</v>
      </c>
      <c r="Q1579" s="1" t="s">
        <v>4</v>
      </c>
      <c r="R1579" s="1" t="s">
        <v>23</v>
      </c>
      <c r="S1579" t="s">
        <v>36</v>
      </c>
      <c r="T1579" s="1">
        <v>2016</v>
      </c>
      <c r="U1579" s="1">
        <v>3</v>
      </c>
      <c r="V1579" s="50">
        <v>42430</v>
      </c>
      <c r="W1579" s="4">
        <v>1587.6</v>
      </c>
      <c r="X1579" s="48">
        <v>1764</v>
      </c>
    </row>
    <row r="1580" spans="2:24" x14ac:dyDescent="0.35">
      <c r="B1580" s="8" t="s">
        <v>6</v>
      </c>
      <c r="C1580" s="8" t="s">
        <v>40</v>
      </c>
      <c r="D1580" s="8" t="s">
        <v>41</v>
      </c>
      <c r="E1580" s="8" t="s">
        <v>23</v>
      </c>
      <c r="F1580" s="6" t="s">
        <v>39</v>
      </c>
      <c r="G1580" s="8">
        <v>2016</v>
      </c>
      <c r="H1580" s="8">
        <v>3</v>
      </c>
      <c r="I1580" s="10">
        <v>42430</v>
      </c>
      <c r="J1580" s="11">
        <v>2361</v>
      </c>
      <c r="K1580" s="51"/>
      <c r="O1580" s="1" t="s">
        <v>6</v>
      </c>
      <c r="P1580" s="1" t="s">
        <v>40</v>
      </c>
      <c r="Q1580" s="1" t="s">
        <v>41</v>
      </c>
      <c r="R1580" s="1" t="s">
        <v>23</v>
      </c>
      <c r="S1580" t="s">
        <v>39</v>
      </c>
      <c r="T1580" s="1">
        <v>2016</v>
      </c>
      <c r="U1580" s="1">
        <v>3</v>
      </c>
      <c r="V1580" s="50">
        <v>42430</v>
      </c>
      <c r="W1580" s="4">
        <v>2172.12</v>
      </c>
      <c r="X1580" s="48">
        <v>2361</v>
      </c>
    </row>
    <row r="1581" spans="2:24" x14ac:dyDescent="0.35">
      <c r="B1581" s="8" t="s">
        <v>7</v>
      </c>
      <c r="C1581" s="8" t="s">
        <v>48</v>
      </c>
      <c r="D1581" s="8" t="s">
        <v>9</v>
      </c>
      <c r="E1581" s="8" t="s">
        <v>0</v>
      </c>
      <c r="F1581" s="6" t="s">
        <v>45</v>
      </c>
      <c r="G1581" s="8">
        <v>2016</v>
      </c>
      <c r="H1581" s="8">
        <v>3</v>
      </c>
      <c r="I1581" s="10">
        <v>42430</v>
      </c>
      <c r="J1581" s="11">
        <v>2880</v>
      </c>
      <c r="K1581" s="51"/>
      <c r="O1581" s="1" t="s">
        <v>7</v>
      </c>
      <c r="P1581" s="1" t="s">
        <v>48</v>
      </c>
      <c r="Q1581" s="1" t="s">
        <v>9</v>
      </c>
      <c r="R1581" s="1" t="s">
        <v>0</v>
      </c>
      <c r="S1581" t="s">
        <v>45</v>
      </c>
      <c r="T1581" s="1">
        <v>2016</v>
      </c>
      <c r="U1581" s="1">
        <v>3</v>
      </c>
      <c r="V1581" s="50">
        <v>42430</v>
      </c>
      <c r="W1581" s="4">
        <v>2448</v>
      </c>
      <c r="X1581" s="48">
        <v>2880</v>
      </c>
    </row>
    <row r="1582" spans="2:24" x14ac:dyDescent="0.35">
      <c r="B1582" s="8" t="s">
        <v>7</v>
      </c>
      <c r="C1582" s="8" t="s">
        <v>49</v>
      </c>
      <c r="D1582" s="8" t="s">
        <v>11</v>
      </c>
      <c r="E1582" s="9" t="s">
        <v>27</v>
      </c>
      <c r="F1582" s="9" t="s">
        <v>31</v>
      </c>
      <c r="G1582" s="8">
        <v>2016</v>
      </c>
      <c r="H1582" s="8">
        <v>3</v>
      </c>
      <c r="I1582" s="10">
        <v>42430</v>
      </c>
      <c r="J1582" s="11">
        <v>3603</v>
      </c>
      <c r="K1582" s="51"/>
      <c r="O1582" s="1" t="s">
        <v>7</v>
      </c>
      <c r="P1582" s="1" t="s">
        <v>49</v>
      </c>
      <c r="Q1582" s="1" t="s">
        <v>11</v>
      </c>
      <c r="R1582" s="2" t="s">
        <v>27</v>
      </c>
      <c r="S1582" s="2" t="s">
        <v>31</v>
      </c>
      <c r="T1582" s="1">
        <v>2016</v>
      </c>
      <c r="U1582" s="1">
        <v>3</v>
      </c>
      <c r="V1582" s="50">
        <v>42430</v>
      </c>
      <c r="W1582" s="4">
        <v>3278.7299999999996</v>
      </c>
      <c r="X1582" s="48">
        <v>3603</v>
      </c>
    </row>
    <row r="1583" spans="2:24" x14ac:dyDescent="0.35">
      <c r="B1583" s="8" t="s">
        <v>7</v>
      </c>
      <c r="C1583" s="8" t="s">
        <v>43</v>
      </c>
      <c r="D1583" s="8" t="s">
        <v>10</v>
      </c>
      <c r="E1583" s="8" t="s">
        <v>27</v>
      </c>
      <c r="F1583" s="9" t="s">
        <v>33</v>
      </c>
      <c r="G1583" s="8">
        <v>2016</v>
      </c>
      <c r="H1583" s="8">
        <v>3</v>
      </c>
      <c r="I1583" s="10">
        <v>42430</v>
      </c>
      <c r="J1583" s="11">
        <v>4088</v>
      </c>
      <c r="K1583" s="51"/>
      <c r="O1583" s="1" t="s">
        <v>7</v>
      </c>
      <c r="P1583" s="1" t="s">
        <v>43</v>
      </c>
      <c r="Q1583" s="1" t="s">
        <v>10</v>
      </c>
      <c r="R1583" s="1" t="s">
        <v>27</v>
      </c>
      <c r="S1583" s="2" t="s">
        <v>33</v>
      </c>
      <c r="T1583" s="1">
        <v>2016</v>
      </c>
      <c r="U1583" s="1">
        <v>3</v>
      </c>
      <c r="V1583" s="50">
        <v>42430</v>
      </c>
      <c r="W1583" s="4">
        <v>3801.8399999999997</v>
      </c>
      <c r="X1583" s="48">
        <v>4088</v>
      </c>
    </row>
    <row r="1584" spans="2:24" x14ac:dyDescent="0.35">
      <c r="B1584" s="8" t="s">
        <v>7</v>
      </c>
      <c r="C1584" s="8" t="s">
        <v>32</v>
      </c>
      <c r="D1584" s="8" t="s">
        <v>8</v>
      </c>
      <c r="E1584" s="8" t="s">
        <v>0</v>
      </c>
      <c r="F1584" s="6" t="s">
        <v>45</v>
      </c>
      <c r="G1584" s="8">
        <v>2016</v>
      </c>
      <c r="H1584" s="8">
        <v>3</v>
      </c>
      <c r="I1584" s="10">
        <v>42430</v>
      </c>
      <c r="J1584" s="11">
        <v>3836</v>
      </c>
      <c r="K1584" s="51"/>
      <c r="O1584" s="1" t="s">
        <v>7</v>
      </c>
      <c r="P1584" s="1" t="s">
        <v>32</v>
      </c>
      <c r="Q1584" s="1" t="s">
        <v>8</v>
      </c>
      <c r="R1584" s="1" t="s">
        <v>0</v>
      </c>
      <c r="S1584" t="s">
        <v>45</v>
      </c>
      <c r="T1584" s="1">
        <v>2016</v>
      </c>
      <c r="U1584" s="1">
        <v>3</v>
      </c>
      <c r="V1584" s="50">
        <v>42430</v>
      </c>
      <c r="W1584" s="4">
        <v>3337.3200000000006</v>
      </c>
      <c r="X1584" s="48">
        <v>3836</v>
      </c>
    </row>
    <row r="1585" spans="2:24" x14ac:dyDescent="0.35">
      <c r="B1585" s="8" t="s">
        <v>7</v>
      </c>
      <c r="C1585" s="8" t="s">
        <v>48</v>
      </c>
      <c r="D1585" s="8" t="s">
        <v>9</v>
      </c>
      <c r="E1585" s="8" t="s">
        <v>23</v>
      </c>
      <c r="F1585" s="8" t="s">
        <v>39</v>
      </c>
      <c r="G1585" s="8">
        <v>2016</v>
      </c>
      <c r="H1585" s="8">
        <v>3</v>
      </c>
      <c r="I1585" s="10">
        <v>42430</v>
      </c>
      <c r="J1585" s="11">
        <v>1574</v>
      </c>
      <c r="K1585" s="51"/>
      <c r="O1585" s="1" t="s">
        <v>7</v>
      </c>
      <c r="P1585" s="1" t="s">
        <v>48</v>
      </c>
      <c r="Q1585" s="1" t="s">
        <v>9</v>
      </c>
      <c r="R1585" s="1" t="s">
        <v>23</v>
      </c>
      <c r="S1585" s="1" t="s">
        <v>39</v>
      </c>
      <c r="T1585" s="1">
        <v>2016</v>
      </c>
      <c r="U1585" s="1">
        <v>3</v>
      </c>
      <c r="V1585" s="50">
        <v>42430</v>
      </c>
      <c r="W1585" s="4">
        <v>1448.08</v>
      </c>
      <c r="X1585" s="48">
        <v>1574</v>
      </c>
    </row>
    <row r="1586" spans="2:24" x14ac:dyDescent="0.35">
      <c r="B1586" s="8" t="s">
        <v>7</v>
      </c>
      <c r="C1586" s="8" t="s">
        <v>49</v>
      </c>
      <c r="D1586" s="8" t="s">
        <v>11</v>
      </c>
      <c r="E1586" s="8" t="s">
        <v>0</v>
      </c>
      <c r="F1586" s="8" t="s">
        <v>26</v>
      </c>
      <c r="G1586" s="8">
        <v>2016</v>
      </c>
      <c r="H1586" s="8">
        <v>3</v>
      </c>
      <c r="I1586" s="10">
        <v>42430</v>
      </c>
      <c r="J1586" s="11">
        <v>3006</v>
      </c>
      <c r="K1586" s="51"/>
      <c r="O1586" s="1" t="s">
        <v>7</v>
      </c>
      <c r="P1586" s="1" t="s">
        <v>49</v>
      </c>
      <c r="Q1586" s="1" t="s">
        <v>11</v>
      </c>
      <c r="R1586" s="1" t="s">
        <v>0</v>
      </c>
      <c r="S1586" s="1" t="s">
        <v>26</v>
      </c>
      <c r="T1586" s="1">
        <v>2016</v>
      </c>
      <c r="U1586" s="1">
        <v>3</v>
      </c>
      <c r="V1586" s="50">
        <v>42430</v>
      </c>
      <c r="W1586" s="4">
        <v>2585.1600000000003</v>
      </c>
      <c r="X1586" s="48">
        <v>3006</v>
      </c>
    </row>
    <row r="1587" spans="2:24" x14ac:dyDescent="0.35">
      <c r="B1587" s="8" t="s">
        <v>12</v>
      </c>
      <c r="C1587" s="8" t="s">
        <v>34</v>
      </c>
      <c r="D1587" s="8" t="s">
        <v>35</v>
      </c>
      <c r="E1587" s="8" t="s">
        <v>27</v>
      </c>
      <c r="F1587" s="8" t="s">
        <v>28</v>
      </c>
      <c r="G1587" s="8">
        <v>2016</v>
      </c>
      <c r="H1587" s="8">
        <v>3</v>
      </c>
      <c r="I1587" s="10">
        <v>42430</v>
      </c>
      <c r="J1587" s="11">
        <v>3787</v>
      </c>
      <c r="K1587" s="51"/>
      <c r="O1587" s="1" t="s">
        <v>12</v>
      </c>
      <c r="P1587" s="1" t="s">
        <v>34</v>
      </c>
      <c r="Q1587" s="1" t="s">
        <v>35</v>
      </c>
      <c r="R1587" s="1" t="s">
        <v>27</v>
      </c>
      <c r="S1587" s="1" t="s">
        <v>28</v>
      </c>
      <c r="T1587" s="1">
        <v>2016</v>
      </c>
      <c r="U1587" s="1">
        <v>3</v>
      </c>
      <c r="V1587" s="50">
        <v>42430</v>
      </c>
      <c r="W1587" s="4">
        <v>3294.6900000000005</v>
      </c>
      <c r="X1587" s="48">
        <v>3787</v>
      </c>
    </row>
    <row r="1588" spans="2:24" x14ac:dyDescent="0.35">
      <c r="B1588" s="8" t="s">
        <v>14</v>
      </c>
      <c r="C1588" s="8" t="s">
        <v>37</v>
      </c>
      <c r="D1588" s="8" t="s">
        <v>38</v>
      </c>
      <c r="E1588" s="8" t="s">
        <v>27</v>
      </c>
      <c r="F1588" s="6" t="s">
        <v>33</v>
      </c>
      <c r="G1588" s="8">
        <v>2016</v>
      </c>
      <c r="H1588" s="8">
        <v>3</v>
      </c>
      <c r="I1588" s="10">
        <v>42430</v>
      </c>
      <c r="J1588" s="11">
        <v>3698</v>
      </c>
      <c r="K1588" s="51"/>
      <c r="O1588" s="1" t="s">
        <v>14</v>
      </c>
      <c r="P1588" s="1" t="s">
        <v>37</v>
      </c>
      <c r="Q1588" s="1" t="s">
        <v>38</v>
      </c>
      <c r="R1588" s="1" t="s">
        <v>27</v>
      </c>
      <c r="S1588" t="s">
        <v>33</v>
      </c>
      <c r="T1588" s="1">
        <v>2016</v>
      </c>
      <c r="U1588" s="1">
        <v>3</v>
      </c>
      <c r="V1588" s="50">
        <v>42430</v>
      </c>
      <c r="W1588" s="4">
        <v>3217.26</v>
      </c>
      <c r="X1588" s="48">
        <v>3698</v>
      </c>
    </row>
    <row r="1589" spans="2:24" x14ac:dyDescent="0.35">
      <c r="B1589" s="8" t="s">
        <v>12</v>
      </c>
      <c r="C1589" s="8" t="s">
        <v>44</v>
      </c>
      <c r="D1589" s="8" t="s">
        <v>13</v>
      </c>
      <c r="E1589" s="8" t="s">
        <v>23</v>
      </c>
      <c r="F1589" s="6" t="s">
        <v>24</v>
      </c>
      <c r="G1589" s="8">
        <v>2016</v>
      </c>
      <c r="H1589" s="8">
        <v>3</v>
      </c>
      <c r="I1589" s="10">
        <v>42430</v>
      </c>
      <c r="J1589" s="11">
        <v>2022</v>
      </c>
      <c r="K1589" s="51"/>
      <c r="O1589" s="1" t="s">
        <v>12</v>
      </c>
      <c r="P1589" s="1" t="s">
        <v>44</v>
      </c>
      <c r="Q1589" s="1" t="s">
        <v>13</v>
      </c>
      <c r="R1589" s="1" t="s">
        <v>23</v>
      </c>
      <c r="S1589" t="s">
        <v>24</v>
      </c>
      <c r="T1589" s="1">
        <v>2016</v>
      </c>
      <c r="U1589" s="1">
        <v>3</v>
      </c>
      <c r="V1589" s="50">
        <v>42430</v>
      </c>
      <c r="W1589" s="4">
        <v>1779.3599999999997</v>
      </c>
      <c r="X1589" s="48">
        <v>2022</v>
      </c>
    </row>
    <row r="1590" spans="2:24" x14ac:dyDescent="0.35">
      <c r="B1590" s="8" t="s">
        <v>14</v>
      </c>
      <c r="C1590" s="8" t="s">
        <v>46</v>
      </c>
      <c r="D1590" s="8" t="s">
        <v>47</v>
      </c>
      <c r="E1590" s="8" t="s">
        <v>0</v>
      </c>
      <c r="F1590" s="6" t="s">
        <v>42</v>
      </c>
      <c r="G1590" s="8">
        <v>2016</v>
      </c>
      <c r="H1590" s="8">
        <v>3</v>
      </c>
      <c r="I1590" s="10">
        <v>42430</v>
      </c>
      <c r="J1590" s="11">
        <v>4657</v>
      </c>
      <c r="K1590" s="51"/>
      <c r="O1590" s="1" t="s">
        <v>14</v>
      </c>
      <c r="P1590" s="1" t="s">
        <v>46</v>
      </c>
      <c r="Q1590" s="1" t="s">
        <v>47</v>
      </c>
      <c r="R1590" s="1" t="s">
        <v>0</v>
      </c>
      <c r="S1590" t="s">
        <v>42</v>
      </c>
      <c r="T1590" s="1">
        <v>2016</v>
      </c>
      <c r="U1590" s="1">
        <v>3</v>
      </c>
      <c r="V1590" s="50">
        <v>42430</v>
      </c>
      <c r="W1590" s="4">
        <v>4098.16</v>
      </c>
      <c r="X1590" s="48">
        <v>4657</v>
      </c>
    </row>
    <row r="1591" spans="2:24" x14ac:dyDescent="0.35">
      <c r="B1591" s="8" t="s">
        <v>7</v>
      </c>
      <c r="C1591" s="8" t="s">
        <v>48</v>
      </c>
      <c r="D1591" s="8" t="s">
        <v>9</v>
      </c>
      <c r="E1591" s="9" t="s">
        <v>27</v>
      </c>
      <c r="F1591" s="9" t="s">
        <v>33</v>
      </c>
      <c r="G1591" s="8">
        <v>2016</v>
      </c>
      <c r="H1591" s="8">
        <v>3</v>
      </c>
      <c r="I1591" s="10">
        <v>42430</v>
      </c>
      <c r="J1591" s="11">
        <v>3079</v>
      </c>
      <c r="K1591" s="51"/>
      <c r="O1591" s="1" t="s">
        <v>7</v>
      </c>
      <c r="P1591" s="1" t="s">
        <v>48</v>
      </c>
      <c r="Q1591" s="1" t="s">
        <v>9</v>
      </c>
      <c r="R1591" s="2" t="s">
        <v>27</v>
      </c>
      <c r="S1591" s="2" t="s">
        <v>33</v>
      </c>
      <c r="T1591" s="1">
        <v>2016</v>
      </c>
      <c r="U1591" s="1">
        <v>3</v>
      </c>
      <c r="V1591" s="50">
        <v>42430</v>
      </c>
      <c r="W1591" s="4">
        <v>2832.68</v>
      </c>
      <c r="X1591" s="48">
        <v>3079</v>
      </c>
    </row>
    <row r="1592" spans="2:24" x14ac:dyDescent="0.35">
      <c r="B1592" s="8" t="s">
        <v>7</v>
      </c>
      <c r="C1592" s="8" t="s">
        <v>49</v>
      </c>
      <c r="D1592" s="8" t="s">
        <v>11</v>
      </c>
      <c r="E1592" s="8" t="s">
        <v>23</v>
      </c>
      <c r="F1592" s="9" t="s">
        <v>24</v>
      </c>
      <c r="G1592" s="8">
        <v>2016</v>
      </c>
      <c r="H1592" s="8">
        <v>3</v>
      </c>
      <c r="I1592" s="10">
        <v>42430</v>
      </c>
      <c r="J1592" s="11">
        <v>2856</v>
      </c>
      <c r="K1592" s="51"/>
      <c r="O1592" s="1" t="s">
        <v>7</v>
      </c>
      <c r="P1592" s="1" t="s">
        <v>49</v>
      </c>
      <c r="Q1592" s="1" t="s">
        <v>11</v>
      </c>
      <c r="R1592" s="1" t="s">
        <v>23</v>
      </c>
      <c r="S1592" s="2" t="s">
        <v>24</v>
      </c>
      <c r="T1592" s="1">
        <v>2016</v>
      </c>
      <c r="U1592" s="1">
        <v>3</v>
      </c>
      <c r="V1592" s="50">
        <v>42430</v>
      </c>
      <c r="W1592" s="4">
        <v>2598.9599999999996</v>
      </c>
      <c r="X1592" s="48">
        <v>2856</v>
      </c>
    </row>
    <row r="1593" spans="2:24" x14ac:dyDescent="0.35">
      <c r="B1593" s="8" t="s">
        <v>3</v>
      </c>
      <c r="C1593" s="8" t="s">
        <v>22</v>
      </c>
      <c r="D1593" s="8" t="s">
        <v>5</v>
      </c>
      <c r="E1593" s="8" t="s">
        <v>23</v>
      </c>
      <c r="F1593" s="6" t="s">
        <v>24</v>
      </c>
      <c r="G1593" s="8">
        <v>2016</v>
      </c>
      <c r="H1593" s="8">
        <v>4</v>
      </c>
      <c r="I1593" s="10">
        <v>42461</v>
      </c>
      <c r="J1593" s="11">
        <v>2733</v>
      </c>
      <c r="K1593" s="51"/>
      <c r="O1593" s="1" t="s">
        <v>3</v>
      </c>
      <c r="P1593" s="1" t="s">
        <v>22</v>
      </c>
      <c r="Q1593" s="1" t="s">
        <v>5</v>
      </c>
      <c r="R1593" s="1" t="s">
        <v>23</v>
      </c>
      <c r="S1593" t="s">
        <v>24</v>
      </c>
      <c r="T1593" s="1">
        <v>2016</v>
      </c>
      <c r="U1593" s="1">
        <v>4</v>
      </c>
      <c r="V1593" s="50">
        <v>42461</v>
      </c>
      <c r="W1593" s="4">
        <v>2569.02</v>
      </c>
      <c r="X1593" s="48">
        <v>2733</v>
      </c>
    </row>
    <row r="1594" spans="2:24" x14ac:dyDescent="0.35">
      <c r="B1594" s="8" t="s">
        <v>3</v>
      </c>
      <c r="C1594" s="8" t="s">
        <v>25</v>
      </c>
      <c r="D1594" s="8" t="s">
        <v>4</v>
      </c>
      <c r="E1594" s="8" t="s">
        <v>23</v>
      </c>
      <c r="F1594" s="8" t="s">
        <v>24</v>
      </c>
      <c r="G1594" s="8">
        <v>2016</v>
      </c>
      <c r="H1594" s="8">
        <v>4</v>
      </c>
      <c r="I1594" s="10">
        <v>42461</v>
      </c>
      <c r="J1594" s="11">
        <v>1839</v>
      </c>
      <c r="K1594" s="51"/>
      <c r="O1594" s="1" t="s">
        <v>3</v>
      </c>
      <c r="P1594" s="1" t="s">
        <v>25</v>
      </c>
      <c r="Q1594" s="1" t="s">
        <v>4</v>
      </c>
      <c r="R1594" s="1" t="s">
        <v>23</v>
      </c>
      <c r="S1594" s="1" t="s">
        <v>24</v>
      </c>
      <c r="T1594" s="1">
        <v>2016</v>
      </c>
      <c r="U1594" s="1">
        <v>4</v>
      </c>
      <c r="V1594" s="50">
        <v>42461</v>
      </c>
      <c r="W1594" s="4">
        <v>1728.6599999999999</v>
      </c>
      <c r="X1594" s="48">
        <v>1839</v>
      </c>
    </row>
    <row r="1595" spans="2:24" x14ac:dyDescent="0.35">
      <c r="B1595" s="8" t="s">
        <v>3</v>
      </c>
      <c r="C1595" s="8" t="s">
        <v>25</v>
      </c>
      <c r="D1595" s="8" t="s">
        <v>4</v>
      </c>
      <c r="E1595" s="8" t="s">
        <v>0</v>
      </c>
      <c r="F1595" s="8" t="s">
        <v>26</v>
      </c>
      <c r="G1595" s="8">
        <v>2016</v>
      </c>
      <c r="H1595" s="8">
        <v>4</v>
      </c>
      <c r="I1595" s="10">
        <v>42461</v>
      </c>
      <c r="J1595" s="11">
        <v>2646</v>
      </c>
      <c r="K1595" s="51"/>
      <c r="O1595" s="1" t="s">
        <v>3</v>
      </c>
      <c r="P1595" s="1" t="s">
        <v>25</v>
      </c>
      <c r="Q1595" s="1" t="s">
        <v>4</v>
      </c>
      <c r="R1595" s="1" t="s">
        <v>0</v>
      </c>
      <c r="S1595" s="1" t="s">
        <v>26</v>
      </c>
      <c r="T1595" s="1">
        <v>2016</v>
      </c>
      <c r="U1595" s="1">
        <v>4</v>
      </c>
      <c r="V1595" s="50">
        <v>42461</v>
      </c>
      <c r="W1595" s="4">
        <v>2328.4799999999996</v>
      </c>
      <c r="X1595" s="48">
        <v>2646</v>
      </c>
    </row>
    <row r="1596" spans="2:24" x14ac:dyDescent="0.35">
      <c r="B1596" s="8" t="s">
        <v>3</v>
      </c>
      <c r="C1596" s="8" t="s">
        <v>22</v>
      </c>
      <c r="D1596" s="8" t="s">
        <v>5</v>
      </c>
      <c r="E1596" s="8" t="s">
        <v>0</v>
      </c>
      <c r="F1596" s="8" t="s">
        <v>26</v>
      </c>
      <c r="G1596" s="8">
        <v>2016</v>
      </c>
      <c r="H1596" s="8">
        <v>4</v>
      </c>
      <c r="I1596" s="10">
        <v>42461</v>
      </c>
      <c r="J1596" s="11">
        <v>3728</v>
      </c>
      <c r="K1596" s="51"/>
      <c r="O1596" s="1" t="s">
        <v>3</v>
      </c>
      <c r="P1596" s="1" t="s">
        <v>22</v>
      </c>
      <c r="Q1596" s="1" t="s">
        <v>5</v>
      </c>
      <c r="R1596" s="1" t="s">
        <v>0</v>
      </c>
      <c r="S1596" s="1" t="s">
        <v>26</v>
      </c>
      <c r="T1596" s="1">
        <v>2016</v>
      </c>
      <c r="U1596" s="1">
        <v>4</v>
      </c>
      <c r="V1596" s="50">
        <v>42461</v>
      </c>
      <c r="W1596" s="4">
        <v>3206.0800000000004</v>
      </c>
      <c r="X1596" s="48">
        <v>3728</v>
      </c>
    </row>
    <row r="1597" spans="2:24" x14ac:dyDescent="0.35">
      <c r="B1597" s="8" t="s">
        <v>3</v>
      </c>
      <c r="C1597" s="8" t="s">
        <v>22</v>
      </c>
      <c r="D1597" s="8" t="s">
        <v>5</v>
      </c>
      <c r="E1597" s="8" t="s">
        <v>27</v>
      </c>
      <c r="F1597" s="6" t="s">
        <v>28</v>
      </c>
      <c r="G1597" s="8">
        <v>2016</v>
      </c>
      <c r="H1597" s="8">
        <v>4</v>
      </c>
      <c r="I1597" s="10">
        <v>42461</v>
      </c>
      <c r="J1597" s="11">
        <v>4932</v>
      </c>
      <c r="K1597" s="51"/>
      <c r="O1597" s="1" t="s">
        <v>3</v>
      </c>
      <c r="P1597" s="1" t="s">
        <v>22</v>
      </c>
      <c r="Q1597" s="1" t="s">
        <v>5</v>
      </c>
      <c r="R1597" s="1" t="s">
        <v>27</v>
      </c>
      <c r="S1597" t="s">
        <v>28</v>
      </c>
      <c r="T1597" s="1">
        <v>2016</v>
      </c>
      <c r="U1597" s="1">
        <v>4</v>
      </c>
      <c r="V1597" s="50">
        <v>42461</v>
      </c>
      <c r="W1597" s="4">
        <v>4438.7999999999993</v>
      </c>
      <c r="X1597" s="48">
        <v>4932</v>
      </c>
    </row>
    <row r="1598" spans="2:24" x14ac:dyDescent="0.35">
      <c r="B1598" s="8" t="s">
        <v>6</v>
      </c>
      <c r="C1598" s="8" t="s">
        <v>29</v>
      </c>
      <c r="D1598" s="8" t="s">
        <v>30</v>
      </c>
      <c r="E1598" s="8" t="s">
        <v>27</v>
      </c>
      <c r="F1598" s="6" t="s">
        <v>31</v>
      </c>
      <c r="G1598" s="8">
        <v>2016</v>
      </c>
      <c r="H1598" s="8">
        <v>4</v>
      </c>
      <c r="I1598" s="10">
        <v>42461</v>
      </c>
      <c r="J1598" s="11">
        <v>3775</v>
      </c>
      <c r="K1598" s="51"/>
      <c r="O1598" s="1" t="s">
        <v>6</v>
      </c>
      <c r="P1598" s="1" t="s">
        <v>29</v>
      </c>
      <c r="Q1598" s="1" t="s">
        <v>30</v>
      </c>
      <c r="R1598" s="1" t="s">
        <v>27</v>
      </c>
      <c r="S1598" t="s">
        <v>31</v>
      </c>
      <c r="T1598" s="1">
        <v>2016</v>
      </c>
      <c r="U1598" s="1">
        <v>4</v>
      </c>
      <c r="V1598" s="50">
        <v>42461</v>
      </c>
      <c r="W1598" s="4">
        <v>3246.5000000000005</v>
      </c>
      <c r="X1598" s="48">
        <v>3775</v>
      </c>
    </row>
    <row r="1599" spans="2:24" x14ac:dyDescent="0.35">
      <c r="B1599" s="8" t="s">
        <v>7</v>
      </c>
      <c r="C1599" s="8" t="s">
        <v>32</v>
      </c>
      <c r="D1599" s="8" t="s">
        <v>8</v>
      </c>
      <c r="E1599" s="8" t="s">
        <v>27</v>
      </c>
      <c r="F1599" s="6" t="s">
        <v>33</v>
      </c>
      <c r="G1599" s="8">
        <v>2016</v>
      </c>
      <c r="H1599" s="8">
        <v>4</v>
      </c>
      <c r="I1599" s="10">
        <v>42461</v>
      </c>
      <c r="J1599" s="11">
        <v>3530</v>
      </c>
      <c r="K1599" s="51"/>
      <c r="O1599" s="1" t="s">
        <v>7</v>
      </c>
      <c r="P1599" s="1" t="s">
        <v>32</v>
      </c>
      <c r="Q1599" s="1" t="s">
        <v>8</v>
      </c>
      <c r="R1599" s="1" t="s">
        <v>27</v>
      </c>
      <c r="S1599" t="s">
        <v>33</v>
      </c>
      <c r="T1599" s="1">
        <v>2016</v>
      </c>
      <c r="U1599" s="1">
        <v>4</v>
      </c>
      <c r="V1599" s="50">
        <v>42461</v>
      </c>
      <c r="W1599" s="4">
        <v>3176.9999999999995</v>
      </c>
      <c r="X1599" s="48">
        <v>3530</v>
      </c>
    </row>
    <row r="1600" spans="2:24" x14ac:dyDescent="0.35">
      <c r="B1600" s="8" t="s">
        <v>12</v>
      </c>
      <c r="C1600" s="8" t="s">
        <v>34</v>
      </c>
      <c r="D1600" s="8" t="s">
        <v>35</v>
      </c>
      <c r="E1600" s="9" t="s">
        <v>23</v>
      </c>
      <c r="F1600" s="9" t="s">
        <v>36</v>
      </c>
      <c r="G1600" s="8">
        <v>2016</v>
      </c>
      <c r="H1600" s="8">
        <v>4</v>
      </c>
      <c r="I1600" s="10">
        <v>42461</v>
      </c>
      <c r="J1600" s="11">
        <v>2241</v>
      </c>
      <c r="K1600" s="51"/>
      <c r="O1600" s="1" t="s">
        <v>12</v>
      </c>
      <c r="P1600" s="1" t="s">
        <v>34</v>
      </c>
      <c r="Q1600" s="1" t="s">
        <v>35</v>
      </c>
      <c r="R1600" s="2" t="s">
        <v>23</v>
      </c>
      <c r="S1600" s="2" t="s">
        <v>36</v>
      </c>
      <c r="T1600" s="1">
        <v>2016</v>
      </c>
      <c r="U1600" s="1">
        <v>4</v>
      </c>
      <c r="V1600" s="50">
        <v>42461</v>
      </c>
      <c r="W1600" s="4">
        <v>2061.7199999999998</v>
      </c>
      <c r="X1600" s="48">
        <v>2241</v>
      </c>
    </row>
    <row r="1601" spans="2:24" x14ac:dyDescent="0.35">
      <c r="B1601" s="8" t="s">
        <v>14</v>
      </c>
      <c r="C1601" s="8" t="s">
        <v>37</v>
      </c>
      <c r="D1601" s="8" t="s">
        <v>38</v>
      </c>
      <c r="E1601" s="8" t="s">
        <v>23</v>
      </c>
      <c r="F1601" s="9" t="s">
        <v>24</v>
      </c>
      <c r="G1601" s="8">
        <v>2016</v>
      </c>
      <c r="H1601" s="8">
        <v>4</v>
      </c>
      <c r="I1601" s="10">
        <v>42461</v>
      </c>
      <c r="J1601" s="11">
        <v>3006</v>
      </c>
      <c r="K1601" s="51"/>
      <c r="O1601" s="1" t="s">
        <v>14</v>
      </c>
      <c r="P1601" s="1" t="s">
        <v>37</v>
      </c>
      <c r="Q1601" s="1" t="s">
        <v>38</v>
      </c>
      <c r="R1601" s="1" t="s">
        <v>23</v>
      </c>
      <c r="S1601" s="2" t="s">
        <v>24</v>
      </c>
      <c r="T1601" s="1">
        <v>2016</v>
      </c>
      <c r="U1601" s="1">
        <v>4</v>
      </c>
      <c r="V1601" s="50">
        <v>42461</v>
      </c>
      <c r="W1601" s="4">
        <v>2795.58</v>
      </c>
      <c r="X1601" s="48">
        <v>3006</v>
      </c>
    </row>
    <row r="1602" spans="2:24" x14ac:dyDescent="0.35">
      <c r="B1602" s="8" t="s">
        <v>3</v>
      </c>
      <c r="C1602" s="8" t="s">
        <v>25</v>
      </c>
      <c r="D1602" s="8" t="s">
        <v>4</v>
      </c>
      <c r="E1602" s="8" t="s">
        <v>23</v>
      </c>
      <c r="F1602" s="6" t="s">
        <v>39</v>
      </c>
      <c r="G1602" s="8">
        <v>2016</v>
      </c>
      <c r="H1602" s="8">
        <v>4</v>
      </c>
      <c r="I1602" s="10">
        <v>42461</v>
      </c>
      <c r="J1602" s="11">
        <v>1437</v>
      </c>
      <c r="K1602" s="51"/>
      <c r="O1602" s="1" t="s">
        <v>3</v>
      </c>
      <c r="P1602" s="1" t="s">
        <v>25</v>
      </c>
      <c r="Q1602" s="1" t="s">
        <v>4</v>
      </c>
      <c r="R1602" s="1" t="s">
        <v>23</v>
      </c>
      <c r="S1602" t="s">
        <v>39</v>
      </c>
      <c r="T1602" s="1">
        <v>2016</v>
      </c>
      <c r="U1602" s="1">
        <v>4</v>
      </c>
      <c r="V1602" s="50">
        <v>42461</v>
      </c>
      <c r="W1602" s="4">
        <v>1221.45</v>
      </c>
      <c r="X1602" s="48">
        <v>1437</v>
      </c>
    </row>
    <row r="1603" spans="2:24" x14ac:dyDescent="0.35">
      <c r="B1603" s="8" t="s">
        <v>6</v>
      </c>
      <c r="C1603" s="8" t="s">
        <v>40</v>
      </c>
      <c r="D1603" s="8" t="s">
        <v>41</v>
      </c>
      <c r="E1603" s="8" t="s">
        <v>0</v>
      </c>
      <c r="F1603" s="8" t="s">
        <v>42</v>
      </c>
      <c r="G1603" s="8">
        <v>2016</v>
      </c>
      <c r="H1603" s="8">
        <v>4</v>
      </c>
      <c r="I1603" s="10">
        <v>42461</v>
      </c>
      <c r="J1603" s="11">
        <v>5730</v>
      </c>
      <c r="K1603" s="51"/>
      <c r="O1603" s="1" t="s">
        <v>6</v>
      </c>
      <c r="P1603" s="1" t="s">
        <v>40</v>
      </c>
      <c r="Q1603" s="1" t="s">
        <v>41</v>
      </c>
      <c r="R1603" s="1" t="s">
        <v>0</v>
      </c>
      <c r="S1603" s="1" t="s">
        <v>42</v>
      </c>
      <c r="T1603" s="1">
        <v>2016</v>
      </c>
      <c r="U1603" s="1">
        <v>4</v>
      </c>
      <c r="V1603" s="50">
        <v>42461</v>
      </c>
      <c r="W1603" s="4">
        <v>4870.5</v>
      </c>
      <c r="X1603" s="48">
        <v>5730</v>
      </c>
    </row>
    <row r="1604" spans="2:24" x14ac:dyDescent="0.35">
      <c r="B1604" s="8" t="s">
        <v>7</v>
      </c>
      <c r="C1604" s="8" t="s">
        <v>43</v>
      </c>
      <c r="D1604" s="8" t="s">
        <v>10</v>
      </c>
      <c r="E1604" s="8" t="s">
        <v>0</v>
      </c>
      <c r="F1604" s="8" t="s">
        <v>26</v>
      </c>
      <c r="G1604" s="8">
        <v>2016</v>
      </c>
      <c r="H1604" s="8">
        <v>4</v>
      </c>
      <c r="I1604" s="10">
        <v>42461</v>
      </c>
      <c r="J1604" s="11">
        <v>3996</v>
      </c>
      <c r="K1604" s="51"/>
      <c r="O1604" s="1" t="s">
        <v>7</v>
      </c>
      <c r="P1604" s="1" t="s">
        <v>43</v>
      </c>
      <c r="Q1604" s="1" t="s">
        <v>10</v>
      </c>
      <c r="R1604" s="1" t="s">
        <v>0</v>
      </c>
      <c r="S1604" s="1" t="s">
        <v>26</v>
      </c>
      <c r="T1604" s="1">
        <v>2016</v>
      </c>
      <c r="U1604" s="1">
        <v>4</v>
      </c>
      <c r="V1604" s="50">
        <v>42461</v>
      </c>
      <c r="W1604" s="4">
        <v>3596.3999999999996</v>
      </c>
      <c r="X1604" s="48">
        <v>3996</v>
      </c>
    </row>
    <row r="1605" spans="2:24" x14ac:dyDescent="0.35">
      <c r="B1605" s="8" t="s">
        <v>12</v>
      </c>
      <c r="C1605" s="8" t="s">
        <v>44</v>
      </c>
      <c r="D1605" s="8" t="s">
        <v>13</v>
      </c>
      <c r="E1605" s="8" t="s">
        <v>0</v>
      </c>
      <c r="F1605" s="8" t="s">
        <v>45</v>
      </c>
      <c r="G1605" s="8">
        <v>2016</v>
      </c>
      <c r="H1605" s="8">
        <v>4</v>
      </c>
      <c r="I1605" s="10">
        <v>42461</v>
      </c>
      <c r="J1605" s="11">
        <v>2941</v>
      </c>
      <c r="K1605" s="51"/>
      <c r="O1605" s="1" t="s">
        <v>12</v>
      </c>
      <c r="P1605" s="1" t="s">
        <v>44</v>
      </c>
      <c r="Q1605" s="1" t="s">
        <v>13</v>
      </c>
      <c r="R1605" s="1" t="s">
        <v>0</v>
      </c>
      <c r="S1605" s="1" t="s">
        <v>45</v>
      </c>
      <c r="T1605" s="1">
        <v>2016</v>
      </c>
      <c r="U1605" s="1">
        <v>4</v>
      </c>
      <c r="V1605" s="50">
        <v>42461</v>
      </c>
      <c r="W1605" s="4">
        <v>2676.31</v>
      </c>
      <c r="X1605" s="48">
        <v>2941</v>
      </c>
    </row>
    <row r="1606" spans="2:24" x14ac:dyDescent="0.35">
      <c r="B1606" s="8" t="s">
        <v>14</v>
      </c>
      <c r="C1606" s="8" t="s">
        <v>46</v>
      </c>
      <c r="D1606" s="8" t="s">
        <v>47</v>
      </c>
      <c r="E1606" s="8" t="s">
        <v>27</v>
      </c>
      <c r="F1606" s="6" t="s">
        <v>28</v>
      </c>
      <c r="G1606" s="8">
        <v>2016</v>
      </c>
      <c r="H1606" s="8">
        <v>4</v>
      </c>
      <c r="I1606" s="10">
        <v>42461</v>
      </c>
      <c r="J1606" s="11">
        <v>3648</v>
      </c>
      <c r="K1606" s="51"/>
      <c r="O1606" s="1" t="s">
        <v>14</v>
      </c>
      <c r="P1606" s="1" t="s">
        <v>46</v>
      </c>
      <c r="Q1606" s="1" t="s">
        <v>47</v>
      </c>
      <c r="R1606" s="1" t="s">
        <v>27</v>
      </c>
      <c r="S1606" t="s">
        <v>28</v>
      </c>
      <c r="T1606" s="1">
        <v>2016</v>
      </c>
      <c r="U1606" s="1">
        <v>4</v>
      </c>
      <c r="V1606" s="50">
        <v>42461</v>
      </c>
      <c r="W1606" s="4">
        <v>3137.28</v>
      </c>
      <c r="X1606" s="48">
        <v>3648</v>
      </c>
    </row>
    <row r="1607" spans="2:24" x14ac:dyDescent="0.35">
      <c r="B1607" s="8" t="s">
        <v>3</v>
      </c>
      <c r="C1607" s="8" t="s">
        <v>22</v>
      </c>
      <c r="D1607" s="8" t="s">
        <v>5</v>
      </c>
      <c r="E1607" s="8" t="s">
        <v>27</v>
      </c>
      <c r="F1607" s="6" t="s">
        <v>31</v>
      </c>
      <c r="G1607" s="8">
        <v>2016</v>
      </c>
      <c r="H1607" s="8">
        <v>4</v>
      </c>
      <c r="I1607" s="10">
        <v>42461</v>
      </c>
      <c r="J1607" s="11">
        <v>4851</v>
      </c>
      <c r="K1607" s="51"/>
      <c r="O1607" s="1" t="s">
        <v>3</v>
      </c>
      <c r="P1607" s="1" t="s">
        <v>22</v>
      </c>
      <c r="Q1607" s="1" t="s">
        <v>5</v>
      </c>
      <c r="R1607" s="1" t="s">
        <v>27</v>
      </c>
      <c r="S1607" t="s">
        <v>31</v>
      </c>
      <c r="T1607" s="1">
        <v>2016</v>
      </c>
      <c r="U1607" s="1">
        <v>4</v>
      </c>
      <c r="V1607" s="50">
        <v>42461</v>
      </c>
      <c r="W1607" s="4">
        <v>4365.8999999999996</v>
      </c>
      <c r="X1607" s="48">
        <v>4851</v>
      </c>
    </row>
    <row r="1608" spans="2:24" x14ac:dyDescent="0.35">
      <c r="B1608" s="8" t="s">
        <v>6</v>
      </c>
      <c r="C1608" s="8" t="s">
        <v>29</v>
      </c>
      <c r="D1608" s="8" t="s">
        <v>30</v>
      </c>
      <c r="E1608" s="8" t="s">
        <v>27</v>
      </c>
      <c r="F1608" s="6" t="s">
        <v>33</v>
      </c>
      <c r="G1608" s="8">
        <v>2016</v>
      </c>
      <c r="H1608" s="8">
        <v>4</v>
      </c>
      <c r="I1608" s="10">
        <v>42461</v>
      </c>
      <c r="J1608" s="11">
        <v>3897</v>
      </c>
      <c r="K1608" s="51"/>
      <c r="O1608" s="1" t="s">
        <v>6</v>
      </c>
      <c r="P1608" s="1" t="s">
        <v>29</v>
      </c>
      <c r="Q1608" s="1" t="s">
        <v>30</v>
      </c>
      <c r="R1608" s="1" t="s">
        <v>27</v>
      </c>
      <c r="S1608" t="s">
        <v>33</v>
      </c>
      <c r="T1608" s="1">
        <v>2016</v>
      </c>
      <c r="U1608" s="1">
        <v>4</v>
      </c>
      <c r="V1608" s="50">
        <v>42461</v>
      </c>
      <c r="W1608" s="4">
        <v>3546.2699999999995</v>
      </c>
      <c r="X1608" s="48">
        <v>3897</v>
      </c>
    </row>
    <row r="1609" spans="2:24" x14ac:dyDescent="0.35">
      <c r="B1609" s="8" t="s">
        <v>7</v>
      </c>
      <c r="C1609" s="8" t="s">
        <v>32</v>
      </c>
      <c r="D1609" s="8" t="s">
        <v>8</v>
      </c>
      <c r="E1609" s="9" t="s">
        <v>23</v>
      </c>
      <c r="F1609" s="9" t="s">
        <v>36</v>
      </c>
      <c r="G1609" s="8">
        <v>2016</v>
      </c>
      <c r="H1609" s="8">
        <v>4</v>
      </c>
      <c r="I1609" s="10">
        <v>42461</v>
      </c>
      <c r="J1609" s="11">
        <v>1567</v>
      </c>
      <c r="K1609" s="51"/>
      <c r="O1609" s="1" t="s">
        <v>7</v>
      </c>
      <c r="P1609" s="1" t="s">
        <v>32</v>
      </c>
      <c r="Q1609" s="1" t="s">
        <v>8</v>
      </c>
      <c r="R1609" s="2" t="s">
        <v>23</v>
      </c>
      <c r="S1609" s="2" t="s">
        <v>36</v>
      </c>
      <c r="T1609" s="1">
        <v>2016</v>
      </c>
      <c r="U1609" s="1">
        <v>4</v>
      </c>
      <c r="V1609" s="50">
        <v>42461</v>
      </c>
      <c r="W1609" s="4">
        <v>1378.9599999999998</v>
      </c>
      <c r="X1609" s="48">
        <v>1567</v>
      </c>
    </row>
    <row r="1610" spans="2:24" x14ac:dyDescent="0.35">
      <c r="B1610" s="8" t="s">
        <v>12</v>
      </c>
      <c r="C1610" s="8" t="s">
        <v>34</v>
      </c>
      <c r="D1610" s="8" t="s">
        <v>35</v>
      </c>
      <c r="E1610" s="8" t="s">
        <v>23</v>
      </c>
      <c r="F1610" s="9" t="s">
        <v>24</v>
      </c>
      <c r="G1610" s="8">
        <v>2016</v>
      </c>
      <c r="H1610" s="8">
        <v>4</v>
      </c>
      <c r="I1610" s="10">
        <v>42461</v>
      </c>
      <c r="J1610" s="11">
        <v>1628</v>
      </c>
      <c r="K1610" s="51"/>
      <c r="O1610" s="1" t="s">
        <v>12</v>
      </c>
      <c r="P1610" s="1" t="s">
        <v>34</v>
      </c>
      <c r="Q1610" s="1" t="s">
        <v>35</v>
      </c>
      <c r="R1610" s="1" t="s">
        <v>23</v>
      </c>
      <c r="S1610" s="2" t="s">
        <v>24</v>
      </c>
      <c r="T1610" s="1">
        <v>2016</v>
      </c>
      <c r="U1610" s="1">
        <v>4</v>
      </c>
      <c r="V1610" s="50">
        <v>42461</v>
      </c>
      <c r="W1610" s="4">
        <v>1530.32</v>
      </c>
      <c r="X1610" s="48">
        <v>1628</v>
      </c>
    </row>
    <row r="1611" spans="2:24" x14ac:dyDescent="0.35">
      <c r="B1611" s="8" t="s">
        <v>14</v>
      </c>
      <c r="C1611" s="8" t="s">
        <v>37</v>
      </c>
      <c r="D1611" s="8" t="s">
        <v>38</v>
      </c>
      <c r="E1611" s="8" t="s">
        <v>23</v>
      </c>
      <c r="F1611" s="6" t="s">
        <v>39</v>
      </c>
      <c r="G1611" s="8">
        <v>2016</v>
      </c>
      <c r="H1611" s="8">
        <v>4</v>
      </c>
      <c r="I1611" s="10">
        <v>42461</v>
      </c>
      <c r="J1611" s="11">
        <v>1850</v>
      </c>
      <c r="K1611" s="51"/>
      <c r="O1611" s="1" t="s">
        <v>14</v>
      </c>
      <c r="P1611" s="1" t="s">
        <v>37</v>
      </c>
      <c r="Q1611" s="1" t="s">
        <v>38</v>
      </c>
      <c r="R1611" s="1" t="s">
        <v>23</v>
      </c>
      <c r="S1611" t="s">
        <v>39</v>
      </c>
      <c r="T1611" s="1">
        <v>2016</v>
      </c>
      <c r="U1611" s="1">
        <v>4</v>
      </c>
      <c r="V1611" s="50">
        <v>42461</v>
      </c>
      <c r="W1611" s="4">
        <v>1591.0000000000002</v>
      </c>
      <c r="X1611" s="48">
        <v>1850</v>
      </c>
    </row>
    <row r="1612" spans="2:24" x14ac:dyDescent="0.35">
      <c r="B1612" s="8" t="s">
        <v>3</v>
      </c>
      <c r="C1612" s="8" t="s">
        <v>25</v>
      </c>
      <c r="D1612" s="8" t="s">
        <v>4</v>
      </c>
      <c r="E1612" s="8" t="s">
        <v>0</v>
      </c>
      <c r="F1612" s="8" t="s">
        <v>42</v>
      </c>
      <c r="G1612" s="8">
        <v>2016</v>
      </c>
      <c r="H1612" s="8">
        <v>4</v>
      </c>
      <c r="I1612" s="10">
        <v>42461</v>
      </c>
      <c r="J1612" s="11">
        <v>5638</v>
      </c>
      <c r="K1612" s="51"/>
      <c r="O1612" s="1" t="s">
        <v>3</v>
      </c>
      <c r="P1612" s="1" t="s">
        <v>25</v>
      </c>
      <c r="Q1612" s="1" t="s">
        <v>4</v>
      </c>
      <c r="R1612" s="1" t="s">
        <v>0</v>
      </c>
      <c r="S1612" s="1" t="s">
        <v>42</v>
      </c>
      <c r="T1612" s="1">
        <v>2016</v>
      </c>
      <c r="U1612" s="1">
        <v>4</v>
      </c>
      <c r="V1612" s="50">
        <v>42461</v>
      </c>
      <c r="W1612" s="4">
        <v>5299.7199999999993</v>
      </c>
      <c r="X1612" s="48">
        <v>5638</v>
      </c>
    </row>
    <row r="1613" spans="2:24" x14ac:dyDescent="0.35">
      <c r="B1613" s="8" t="s">
        <v>6</v>
      </c>
      <c r="C1613" s="8" t="s">
        <v>40</v>
      </c>
      <c r="D1613" s="8" t="s">
        <v>41</v>
      </c>
      <c r="E1613" s="8" t="s">
        <v>0</v>
      </c>
      <c r="F1613" s="8" t="s">
        <v>26</v>
      </c>
      <c r="G1613" s="8">
        <v>2016</v>
      </c>
      <c r="H1613" s="8">
        <v>4</v>
      </c>
      <c r="I1613" s="10">
        <v>42461</v>
      </c>
      <c r="J1613" s="11">
        <v>4522</v>
      </c>
      <c r="K1613" s="51"/>
      <c r="O1613" s="1" t="s">
        <v>6</v>
      </c>
      <c r="P1613" s="1" t="s">
        <v>40</v>
      </c>
      <c r="Q1613" s="1" t="s">
        <v>41</v>
      </c>
      <c r="R1613" s="1" t="s">
        <v>0</v>
      </c>
      <c r="S1613" s="1" t="s">
        <v>26</v>
      </c>
      <c r="T1613" s="1">
        <v>2016</v>
      </c>
      <c r="U1613" s="1">
        <v>4</v>
      </c>
      <c r="V1613" s="50">
        <v>42461</v>
      </c>
      <c r="W1613" s="4">
        <v>4160.24</v>
      </c>
      <c r="X1613" s="48">
        <v>4522</v>
      </c>
    </row>
    <row r="1614" spans="2:24" x14ac:dyDescent="0.35">
      <c r="B1614" s="8" t="s">
        <v>7</v>
      </c>
      <c r="C1614" s="8" t="s">
        <v>43</v>
      </c>
      <c r="D1614" s="8" t="s">
        <v>10</v>
      </c>
      <c r="E1614" s="8" t="s">
        <v>0</v>
      </c>
      <c r="F1614" s="8" t="s">
        <v>45</v>
      </c>
      <c r="G1614" s="8">
        <v>2016</v>
      </c>
      <c r="H1614" s="8">
        <v>4</v>
      </c>
      <c r="I1614" s="10">
        <v>42461</v>
      </c>
      <c r="J1614" s="11">
        <v>4286</v>
      </c>
      <c r="K1614" s="51"/>
      <c r="O1614" s="1" t="s">
        <v>7</v>
      </c>
      <c r="P1614" s="1" t="s">
        <v>43</v>
      </c>
      <c r="Q1614" s="1" t="s">
        <v>10</v>
      </c>
      <c r="R1614" s="1" t="s">
        <v>0</v>
      </c>
      <c r="S1614" s="1" t="s">
        <v>45</v>
      </c>
      <c r="T1614" s="1">
        <v>2016</v>
      </c>
      <c r="U1614" s="1">
        <v>4</v>
      </c>
      <c r="V1614" s="50">
        <v>42461</v>
      </c>
      <c r="W1614" s="4">
        <v>3857.3999999999996</v>
      </c>
      <c r="X1614" s="48">
        <v>4286</v>
      </c>
    </row>
    <row r="1615" spans="2:24" x14ac:dyDescent="0.35">
      <c r="B1615" s="8" t="s">
        <v>12</v>
      </c>
      <c r="C1615" s="8" t="s">
        <v>44</v>
      </c>
      <c r="D1615" s="8" t="s">
        <v>13</v>
      </c>
      <c r="E1615" s="8" t="s">
        <v>27</v>
      </c>
      <c r="F1615" s="6" t="s">
        <v>28</v>
      </c>
      <c r="G1615" s="8">
        <v>2016</v>
      </c>
      <c r="H1615" s="8">
        <v>4</v>
      </c>
      <c r="I1615" s="10">
        <v>42461</v>
      </c>
      <c r="J1615" s="11">
        <v>4201</v>
      </c>
      <c r="K1615" s="51"/>
      <c r="O1615" s="1" t="s">
        <v>12</v>
      </c>
      <c r="P1615" s="1" t="s">
        <v>44</v>
      </c>
      <c r="Q1615" s="1" t="s">
        <v>13</v>
      </c>
      <c r="R1615" s="1" t="s">
        <v>27</v>
      </c>
      <c r="S1615" t="s">
        <v>28</v>
      </c>
      <c r="T1615" s="1">
        <v>2016</v>
      </c>
      <c r="U1615" s="1">
        <v>4</v>
      </c>
      <c r="V1615" s="50">
        <v>42461</v>
      </c>
      <c r="W1615" s="4">
        <v>3654.8700000000003</v>
      </c>
      <c r="X1615" s="48">
        <v>4201</v>
      </c>
    </row>
    <row r="1616" spans="2:24" x14ac:dyDescent="0.35">
      <c r="B1616" s="8" t="s">
        <v>14</v>
      </c>
      <c r="C1616" s="8" t="s">
        <v>46</v>
      </c>
      <c r="D1616" s="8" t="s">
        <v>47</v>
      </c>
      <c r="E1616" s="8" t="s">
        <v>27</v>
      </c>
      <c r="F1616" s="6" t="s">
        <v>31</v>
      </c>
      <c r="G1616" s="8">
        <v>2016</v>
      </c>
      <c r="H1616" s="8">
        <v>4</v>
      </c>
      <c r="I1616" s="10">
        <v>42461</v>
      </c>
      <c r="J1616" s="11">
        <v>4588</v>
      </c>
      <c r="K1616" s="51"/>
      <c r="O1616" s="1" t="s">
        <v>14</v>
      </c>
      <c r="P1616" s="1" t="s">
        <v>46</v>
      </c>
      <c r="Q1616" s="1" t="s">
        <v>47</v>
      </c>
      <c r="R1616" s="1" t="s">
        <v>27</v>
      </c>
      <c r="S1616" t="s">
        <v>31</v>
      </c>
      <c r="T1616" s="1">
        <v>2016</v>
      </c>
      <c r="U1616" s="1">
        <v>4</v>
      </c>
      <c r="V1616" s="50">
        <v>42461</v>
      </c>
      <c r="W1616" s="4">
        <v>3991.5600000000004</v>
      </c>
      <c r="X1616" s="48">
        <v>4588</v>
      </c>
    </row>
    <row r="1617" spans="2:24" x14ac:dyDescent="0.35">
      <c r="B1617" s="8" t="s">
        <v>3</v>
      </c>
      <c r="C1617" s="8" t="s">
        <v>22</v>
      </c>
      <c r="D1617" s="8" t="s">
        <v>5</v>
      </c>
      <c r="E1617" s="8" t="s">
        <v>27</v>
      </c>
      <c r="F1617" s="6" t="s">
        <v>33</v>
      </c>
      <c r="G1617" s="8">
        <v>2016</v>
      </c>
      <c r="H1617" s="8">
        <v>4</v>
      </c>
      <c r="I1617" s="10">
        <v>42461</v>
      </c>
      <c r="J1617" s="11">
        <v>3984</v>
      </c>
      <c r="K1617" s="51"/>
      <c r="O1617" s="1" t="s">
        <v>3</v>
      </c>
      <c r="P1617" s="1" t="s">
        <v>22</v>
      </c>
      <c r="Q1617" s="1" t="s">
        <v>5</v>
      </c>
      <c r="R1617" s="1" t="s">
        <v>27</v>
      </c>
      <c r="S1617" t="s">
        <v>33</v>
      </c>
      <c r="T1617" s="1">
        <v>2016</v>
      </c>
      <c r="U1617" s="1">
        <v>4</v>
      </c>
      <c r="V1617" s="50">
        <v>42461</v>
      </c>
      <c r="W1617" s="4">
        <v>3744.9599999999996</v>
      </c>
      <c r="X1617" s="48">
        <v>3984</v>
      </c>
    </row>
    <row r="1618" spans="2:24" x14ac:dyDescent="0.35">
      <c r="B1618" s="8" t="s">
        <v>6</v>
      </c>
      <c r="C1618" s="8" t="s">
        <v>29</v>
      </c>
      <c r="D1618" s="8" t="s">
        <v>30</v>
      </c>
      <c r="E1618" s="9" t="s">
        <v>23</v>
      </c>
      <c r="F1618" s="9" t="s">
        <v>36</v>
      </c>
      <c r="G1618" s="8">
        <v>2016</v>
      </c>
      <c r="H1618" s="8">
        <v>4</v>
      </c>
      <c r="I1618" s="10">
        <v>42461</v>
      </c>
      <c r="J1618" s="11">
        <v>2551</v>
      </c>
      <c r="K1618" s="51"/>
      <c r="O1618" s="1" t="s">
        <v>6</v>
      </c>
      <c r="P1618" s="1" t="s">
        <v>29</v>
      </c>
      <c r="Q1618" s="1" t="s">
        <v>30</v>
      </c>
      <c r="R1618" s="2" t="s">
        <v>23</v>
      </c>
      <c r="S1618" s="2" t="s">
        <v>36</v>
      </c>
      <c r="T1618" s="1">
        <v>2016</v>
      </c>
      <c r="U1618" s="1">
        <v>4</v>
      </c>
      <c r="V1618" s="50">
        <v>42461</v>
      </c>
      <c r="W1618" s="4">
        <v>2346.9199999999996</v>
      </c>
      <c r="X1618" s="48">
        <v>2551</v>
      </c>
    </row>
    <row r="1619" spans="2:24" x14ac:dyDescent="0.35">
      <c r="B1619" s="8" t="s">
        <v>7</v>
      </c>
      <c r="C1619" s="8" t="s">
        <v>32</v>
      </c>
      <c r="D1619" s="8" t="s">
        <v>8</v>
      </c>
      <c r="E1619" s="8" t="s">
        <v>23</v>
      </c>
      <c r="F1619" s="9" t="s">
        <v>24</v>
      </c>
      <c r="G1619" s="8">
        <v>2016</v>
      </c>
      <c r="H1619" s="8">
        <v>4</v>
      </c>
      <c r="I1619" s="10">
        <v>42461</v>
      </c>
      <c r="J1619" s="11">
        <v>1968</v>
      </c>
      <c r="K1619" s="51"/>
      <c r="O1619" s="1" t="s">
        <v>7</v>
      </c>
      <c r="P1619" s="1" t="s">
        <v>32</v>
      </c>
      <c r="Q1619" s="1" t="s">
        <v>8</v>
      </c>
      <c r="R1619" s="1" t="s">
        <v>23</v>
      </c>
      <c r="S1619" s="2" t="s">
        <v>24</v>
      </c>
      <c r="T1619" s="1">
        <v>2016</v>
      </c>
      <c r="U1619" s="1">
        <v>4</v>
      </c>
      <c r="V1619" s="50">
        <v>42461</v>
      </c>
      <c r="W1619" s="4">
        <v>1712.1600000000003</v>
      </c>
      <c r="X1619" s="48">
        <v>1968</v>
      </c>
    </row>
    <row r="1620" spans="2:24" x14ac:dyDescent="0.35">
      <c r="B1620" s="8" t="s">
        <v>12</v>
      </c>
      <c r="C1620" s="8" t="s">
        <v>34</v>
      </c>
      <c r="D1620" s="8" t="s">
        <v>35</v>
      </c>
      <c r="E1620" s="8" t="s">
        <v>23</v>
      </c>
      <c r="F1620" s="6" t="s">
        <v>39</v>
      </c>
      <c r="G1620" s="8">
        <v>2016</v>
      </c>
      <c r="H1620" s="8">
        <v>4</v>
      </c>
      <c r="I1620" s="10">
        <v>42461</v>
      </c>
      <c r="J1620" s="11">
        <v>2127</v>
      </c>
      <c r="K1620" s="51"/>
      <c r="O1620" s="1" t="s">
        <v>12</v>
      </c>
      <c r="P1620" s="1" t="s">
        <v>34</v>
      </c>
      <c r="Q1620" s="1" t="s">
        <v>35</v>
      </c>
      <c r="R1620" s="1" t="s">
        <v>23</v>
      </c>
      <c r="S1620" t="s">
        <v>39</v>
      </c>
      <c r="T1620" s="1">
        <v>2016</v>
      </c>
      <c r="U1620" s="1">
        <v>4</v>
      </c>
      <c r="V1620" s="50">
        <v>42461</v>
      </c>
      <c r="W1620" s="4">
        <v>1807.9500000000003</v>
      </c>
      <c r="X1620" s="48">
        <v>2127</v>
      </c>
    </row>
    <row r="1621" spans="2:24" x14ac:dyDescent="0.35">
      <c r="B1621" s="8" t="s">
        <v>14</v>
      </c>
      <c r="C1621" s="8" t="s">
        <v>37</v>
      </c>
      <c r="D1621" s="8" t="s">
        <v>38</v>
      </c>
      <c r="E1621" s="8" t="s">
        <v>0</v>
      </c>
      <c r="F1621" s="8" t="s">
        <v>42</v>
      </c>
      <c r="G1621" s="8">
        <v>2016</v>
      </c>
      <c r="H1621" s="8">
        <v>4</v>
      </c>
      <c r="I1621" s="10">
        <v>42461</v>
      </c>
      <c r="J1621" s="11">
        <v>4082</v>
      </c>
      <c r="K1621" s="51"/>
      <c r="O1621" s="1" t="s">
        <v>14</v>
      </c>
      <c r="P1621" s="1" t="s">
        <v>37</v>
      </c>
      <c r="Q1621" s="1" t="s">
        <v>38</v>
      </c>
      <c r="R1621" s="1" t="s">
        <v>0</v>
      </c>
      <c r="S1621" s="1" t="s">
        <v>42</v>
      </c>
      <c r="T1621" s="1">
        <v>2016</v>
      </c>
      <c r="U1621" s="1">
        <v>4</v>
      </c>
      <c r="V1621" s="50">
        <v>42461</v>
      </c>
      <c r="W1621" s="4">
        <v>3796.2599999999998</v>
      </c>
      <c r="X1621" s="48">
        <v>4082</v>
      </c>
    </row>
    <row r="1622" spans="2:24" x14ac:dyDescent="0.35">
      <c r="B1622" s="8" t="s">
        <v>6</v>
      </c>
      <c r="C1622" s="8" t="s">
        <v>29</v>
      </c>
      <c r="D1622" s="8" t="s">
        <v>30</v>
      </c>
      <c r="E1622" s="8" t="s">
        <v>0</v>
      </c>
      <c r="F1622" s="8" t="s">
        <v>45</v>
      </c>
      <c r="G1622" s="8">
        <v>2016</v>
      </c>
      <c r="H1622" s="8">
        <v>4</v>
      </c>
      <c r="I1622" s="10">
        <v>42461</v>
      </c>
      <c r="J1622" s="11">
        <v>2578</v>
      </c>
      <c r="K1622" s="51"/>
      <c r="O1622" s="1" t="s">
        <v>6</v>
      </c>
      <c r="P1622" s="1" t="s">
        <v>29</v>
      </c>
      <c r="Q1622" s="1" t="s">
        <v>30</v>
      </c>
      <c r="R1622" s="1" t="s">
        <v>0</v>
      </c>
      <c r="S1622" s="1" t="s">
        <v>45</v>
      </c>
      <c r="T1622" s="1">
        <v>2016</v>
      </c>
      <c r="U1622" s="1">
        <v>4</v>
      </c>
      <c r="V1622" s="50">
        <v>42461</v>
      </c>
      <c r="W1622" s="4">
        <v>2242.86</v>
      </c>
      <c r="X1622" s="48">
        <v>2578</v>
      </c>
    </row>
    <row r="1623" spans="2:24" x14ac:dyDescent="0.35">
      <c r="B1623" s="8" t="s">
        <v>7</v>
      </c>
      <c r="C1623" s="8" t="s">
        <v>43</v>
      </c>
      <c r="D1623" s="8" t="s">
        <v>10</v>
      </c>
      <c r="E1623" s="8" t="s">
        <v>27</v>
      </c>
      <c r="F1623" s="8" t="s">
        <v>28</v>
      </c>
      <c r="G1623" s="8">
        <v>2016</v>
      </c>
      <c r="H1623" s="8">
        <v>4</v>
      </c>
      <c r="I1623" s="10">
        <v>42461</v>
      </c>
      <c r="J1623" s="11">
        <v>4790</v>
      </c>
      <c r="K1623" s="51"/>
      <c r="O1623" s="1" t="s">
        <v>7</v>
      </c>
      <c r="P1623" s="1" t="s">
        <v>43</v>
      </c>
      <c r="Q1623" s="1" t="s">
        <v>10</v>
      </c>
      <c r="R1623" s="1" t="s">
        <v>27</v>
      </c>
      <c r="S1623" s="1" t="s">
        <v>28</v>
      </c>
      <c r="T1623" s="1">
        <v>2016</v>
      </c>
      <c r="U1623" s="1">
        <v>4</v>
      </c>
      <c r="V1623" s="50">
        <v>42461</v>
      </c>
      <c r="W1623" s="4">
        <v>4263.0999999999995</v>
      </c>
      <c r="X1623" s="48">
        <v>4790</v>
      </c>
    </row>
    <row r="1624" spans="2:24" x14ac:dyDescent="0.35">
      <c r="B1624" s="8" t="s">
        <v>12</v>
      </c>
      <c r="C1624" s="8" t="s">
        <v>44</v>
      </c>
      <c r="D1624" s="8" t="s">
        <v>13</v>
      </c>
      <c r="E1624" s="8" t="s">
        <v>27</v>
      </c>
      <c r="F1624" s="6" t="s">
        <v>31</v>
      </c>
      <c r="G1624" s="8">
        <v>2016</v>
      </c>
      <c r="H1624" s="8">
        <v>4</v>
      </c>
      <c r="I1624" s="10">
        <v>42461</v>
      </c>
      <c r="J1624" s="11">
        <v>4479</v>
      </c>
      <c r="K1624" s="51"/>
      <c r="O1624" s="1" t="s">
        <v>12</v>
      </c>
      <c r="P1624" s="1" t="s">
        <v>44</v>
      </c>
      <c r="Q1624" s="1" t="s">
        <v>13</v>
      </c>
      <c r="R1624" s="1" t="s">
        <v>27</v>
      </c>
      <c r="S1624" t="s">
        <v>31</v>
      </c>
      <c r="T1624" s="1">
        <v>2016</v>
      </c>
      <c r="U1624" s="1">
        <v>4</v>
      </c>
      <c r="V1624" s="50">
        <v>42461</v>
      </c>
      <c r="W1624" s="4">
        <v>4120.6799999999994</v>
      </c>
      <c r="X1624" s="48">
        <v>4479</v>
      </c>
    </row>
    <row r="1625" spans="2:24" x14ac:dyDescent="0.35">
      <c r="B1625" s="8" t="s">
        <v>14</v>
      </c>
      <c r="C1625" s="8" t="s">
        <v>46</v>
      </c>
      <c r="D1625" s="8" t="s">
        <v>47</v>
      </c>
      <c r="E1625" s="8" t="s">
        <v>27</v>
      </c>
      <c r="F1625" s="6" t="s">
        <v>33</v>
      </c>
      <c r="G1625" s="8">
        <v>2016</v>
      </c>
      <c r="H1625" s="8">
        <v>4</v>
      </c>
      <c r="I1625" s="10">
        <v>42461</v>
      </c>
      <c r="J1625" s="11">
        <v>4030</v>
      </c>
      <c r="K1625" s="51"/>
      <c r="O1625" s="1" t="s">
        <v>14</v>
      </c>
      <c r="P1625" s="1" t="s">
        <v>46</v>
      </c>
      <c r="Q1625" s="1" t="s">
        <v>47</v>
      </c>
      <c r="R1625" s="1" t="s">
        <v>27</v>
      </c>
      <c r="S1625" t="s">
        <v>33</v>
      </c>
      <c r="T1625" s="1">
        <v>2016</v>
      </c>
      <c r="U1625" s="1">
        <v>4</v>
      </c>
      <c r="V1625" s="50">
        <v>42461</v>
      </c>
      <c r="W1625" s="4">
        <v>3788.2</v>
      </c>
      <c r="X1625" s="48">
        <v>4030</v>
      </c>
    </row>
    <row r="1626" spans="2:24" x14ac:dyDescent="0.35">
      <c r="B1626" s="8" t="s">
        <v>3</v>
      </c>
      <c r="C1626" s="8" t="s">
        <v>22</v>
      </c>
      <c r="D1626" s="8" t="s">
        <v>5</v>
      </c>
      <c r="E1626" s="8" t="s">
        <v>23</v>
      </c>
      <c r="F1626" s="6" t="s">
        <v>36</v>
      </c>
      <c r="G1626" s="8">
        <v>2016</v>
      </c>
      <c r="H1626" s="8">
        <v>4</v>
      </c>
      <c r="I1626" s="10">
        <v>42461</v>
      </c>
      <c r="J1626" s="11">
        <v>2120</v>
      </c>
      <c r="K1626" s="51"/>
      <c r="O1626" s="1" t="s">
        <v>3</v>
      </c>
      <c r="P1626" s="1" t="s">
        <v>22</v>
      </c>
      <c r="Q1626" s="1" t="s">
        <v>5</v>
      </c>
      <c r="R1626" s="1" t="s">
        <v>23</v>
      </c>
      <c r="S1626" t="s">
        <v>36</v>
      </c>
      <c r="T1626" s="1">
        <v>2016</v>
      </c>
      <c r="U1626" s="1">
        <v>4</v>
      </c>
      <c r="V1626" s="50">
        <v>42461</v>
      </c>
      <c r="W1626" s="4">
        <v>1929.1999999999998</v>
      </c>
      <c r="X1626" s="48">
        <v>2120</v>
      </c>
    </row>
    <row r="1627" spans="2:24" x14ac:dyDescent="0.35">
      <c r="B1627" s="8" t="s">
        <v>6</v>
      </c>
      <c r="C1627" s="8" t="s">
        <v>40</v>
      </c>
      <c r="D1627" s="8" t="s">
        <v>41</v>
      </c>
      <c r="E1627" s="9" t="s">
        <v>23</v>
      </c>
      <c r="F1627" s="9" t="s">
        <v>24</v>
      </c>
      <c r="G1627" s="8">
        <v>2016</v>
      </c>
      <c r="H1627" s="8">
        <v>4</v>
      </c>
      <c r="I1627" s="10">
        <v>42461</v>
      </c>
      <c r="J1627" s="11">
        <v>3071</v>
      </c>
      <c r="K1627" s="51"/>
      <c r="O1627" s="1" t="s">
        <v>6</v>
      </c>
      <c r="P1627" s="1" t="s">
        <v>40</v>
      </c>
      <c r="Q1627" s="1" t="s">
        <v>41</v>
      </c>
      <c r="R1627" s="2" t="s">
        <v>23</v>
      </c>
      <c r="S1627" s="2" t="s">
        <v>24</v>
      </c>
      <c r="T1627" s="1">
        <v>2016</v>
      </c>
      <c r="U1627" s="1">
        <v>4</v>
      </c>
      <c r="V1627" s="50">
        <v>42461</v>
      </c>
      <c r="W1627" s="4">
        <v>2671.7700000000004</v>
      </c>
      <c r="X1627" s="48">
        <v>3071</v>
      </c>
    </row>
    <row r="1628" spans="2:24" x14ac:dyDescent="0.35">
      <c r="B1628" s="8" t="s">
        <v>7</v>
      </c>
      <c r="C1628" s="8" t="s">
        <v>32</v>
      </c>
      <c r="D1628" s="8" t="s">
        <v>8</v>
      </c>
      <c r="E1628" s="8" t="s">
        <v>23</v>
      </c>
      <c r="F1628" s="9" t="s">
        <v>39</v>
      </c>
      <c r="G1628" s="8">
        <v>2016</v>
      </c>
      <c r="H1628" s="8">
        <v>4</v>
      </c>
      <c r="I1628" s="10">
        <v>42461</v>
      </c>
      <c r="J1628" s="11">
        <v>1578</v>
      </c>
      <c r="K1628" s="51"/>
      <c r="O1628" s="1" t="s">
        <v>7</v>
      </c>
      <c r="P1628" s="1" t="s">
        <v>32</v>
      </c>
      <c r="Q1628" s="1" t="s">
        <v>8</v>
      </c>
      <c r="R1628" s="1" t="s">
        <v>23</v>
      </c>
      <c r="S1628" s="2" t="s">
        <v>39</v>
      </c>
      <c r="T1628" s="1">
        <v>2016</v>
      </c>
      <c r="U1628" s="1">
        <v>4</v>
      </c>
      <c r="V1628" s="50">
        <v>42461</v>
      </c>
      <c r="W1628" s="4">
        <v>1467.54</v>
      </c>
      <c r="X1628" s="48">
        <v>1578</v>
      </c>
    </row>
    <row r="1629" spans="2:24" x14ac:dyDescent="0.35">
      <c r="B1629" s="8" t="s">
        <v>12</v>
      </c>
      <c r="C1629" s="8" t="s">
        <v>34</v>
      </c>
      <c r="D1629" s="8" t="s">
        <v>35</v>
      </c>
      <c r="E1629" s="8" t="s">
        <v>0</v>
      </c>
      <c r="F1629" s="6" t="s">
        <v>42</v>
      </c>
      <c r="G1629" s="8">
        <v>2016</v>
      </c>
      <c r="H1629" s="8">
        <v>4</v>
      </c>
      <c r="I1629" s="10">
        <v>42461</v>
      </c>
      <c r="J1629" s="11">
        <v>5824</v>
      </c>
      <c r="K1629" s="51"/>
      <c r="O1629" s="1" t="s">
        <v>12</v>
      </c>
      <c r="P1629" s="1" t="s">
        <v>34</v>
      </c>
      <c r="Q1629" s="1" t="s">
        <v>35</v>
      </c>
      <c r="R1629" s="1" t="s">
        <v>0</v>
      </c>
      <c r="S1629" t="s">
        <v>42</v>
      </c>
      <c r="T1629" s="1">
        <v>2016</v>
      </c>
      <c r="U1629" s="1">
        <v>4</v>
      </c>
      <c r="V1629" s="50">
        <v>42461</v>
      </c>
      <c r="W1629" s="4">
        <v>5008.6400000000003</v>
      </c>
      <c r="X1629" s="48">
        <v>5824</v>
      </c>
    </row>
    <row r="1630" spans="2:24" x14ac:dyDescent="0.35">
      <c r="B1630" s="8" t="s">
        <v>14</v>
      </c>
      <c r="C1630" s="8" t="s">
        <v>37</v>
      </c>
      <c r="D1630" s="8" t="s">
        <v>38</v>
      </c>
      <c r="E1630" s="8" t="s">
        <v>0</v>
      </c>
      <c r="F1630" s="8" t="s">
        <v>26</v>
      </c>
      <c r="G1630" s="8">
        <v>2016</v>
      </c>
      <c r="H1630" s="8">
        <v>4</v>
      </c>
      <c r="I1630" s="10">
        <v>42461</v>
      </c>
      <c r="J1630" s="11">
        <v>3297</v>
      </c>
      <c r="K1630" s="51"/>
      <c r="O1630" s="1" t="s">
        <v>14</v>
      </c>
      <c r="P1630" s="1" t="s">
        <v>37</v>
      </c>
      <c r="Q1630" s="1" t="s">
        <v>38</v>
      </c>
      <c r="R1630" s="1" t="s">
        <v>0</v>
      </c>
      <c r="S1630" s="1" t="s">
        <v>26</v>
      </c>
      <c r="T1630" s="1">
        <v>2016</v>
      </c>
      <c r="U1630" s="1">
        <v>4</v>
      </c>
      <c r="V1630" s="50">
        <v>42461</v>
      </c>
      <c r="W1630" s="4">
        <v>3033.24</v>
      </c>
      <c r="X1630" s="48">
        <v>3297</v>
      </c>
    </row>
    <row r="1631" spans="2:24" x14ac:dyDescent="0.35">
      <c r="B1631" s="8" t="s">
        <v>3</v>
      </c>
      <c r="C1631" s="8" t="s">
        <v>25</v>
      </c>
      <c r="D1631" s="8" t="s">
        <v>4</v>
      </c>
      <c r="E1631" s="8" t="s">
        <v>0</v>
      </c>
      <c r="F1631" s="8" t="s">
        <v>45</v>
      </c>
      <c r="G1631" s="8">
        <v>2016</v>
      </c>
      <c r="H1631" s="8">
        <v>4</v>
      </c>
      <c r="I1631" s="10">
        <v>42461</v>
      </c>
      <c r="J1631" s="11">
        <v>2242</v>
      </c>
      <c r="K1631" s="51"/>
      <c r="O1631" s="1" t="s">
        <v>3</v>
      </c>
      <c r="P1631" s="1" t="s">
        <v>25</v>
      </c>
      <c r="Q1631" s="1" t="s">
        <v>4</v>
      </c>
      <c r="R1631" s="1" t="s">
        <v>0</v>
      </c>
      <c r="S1631" s="1" t="s">
        <v>45</v>
      </c>
      <c r="T1631" s="1">
        <v>2016</v>
      </c>
      <c r="U1631" s="1">
        <v>4</v>
      </c>
      <c r="V1631" s="50">
        <v>42461</v>
      </c>
      <c r="W1631" s="4">
        <v>2017.7999999999997</v>
      </c>
      <c r="X1631" s="48">
        <v>2242</v>
      </c>
    </row>
    <row r="1632" spans="2:24" x14ac:dyDescent="0.35">
      <c r="B1632" s="8" t="s">
        <v>6</v>
      </c>
      <c r="C1632" s="8" t="s">
        <v>29</v>
      </c>
      <c r="D1632" s="8" t="s">
        <v>30</v>
      </c>
      <c r="E1632" s="8" t="s">
        <v>27</v>
      </c>
      <c r="F1632" s="8" t="s">
        <v>28</v>
      </c>
      <c r="G1632" s="8">
        <v>2016</v>
      </c>
      <c r="H1632" s="8">
        <v>4</v>
      </c>
      <c r="I1632" s="10">
        <v>42461</v>
      </c>
      <c r="J1632" s="11">
        <v>3536</v>
      </c>
      <c r="K1632" s="51"/>
      <c r="O1632" s="1" t="s">
        <v>6</v>
      </c>
      <c r="P1632" s="1" t="s">
        <v>29</v>
      </c>
      <c r="Q1632" s="1" t="s">
        <v>30</v>
      </c>
      <c r="R1632" s="1" t="s">
        <v>27</v>
      </c>
      <c r="S1632" s="1" t="s">
        <v>28</v>
      </c>
      <c r="T1632" s="1">
        <v>2016</v>
      </c>
      <c r="U1632" s="1">
        <v>4</v>
      </c>
      <c r="V1632" s="50">
        <v>42461</v>
      </c>
      <c r="W1632" s="4">
        <v>3147.0399999999995</v>
      </c>
      <c r="X1632" s="48">
        <v>3536</v>
      </c>
    </row>
    <row r="1633" spans="2:24" x14ac:dyDescent="0.35">
      <c r="B1633" s="8" t="s">
        <v>7</v>
      </c>
      <c r="C1633" s="8" t="s">
        <v>43</v>
      </c>
      <c r="D1633" s="8" t="s">
        <v>10</v>
      </c>
      <c r="E1633" s="8" t="s">
        <v>27</v>
      </c>
      <c r="F1633" s="6" t="s">
        <v>31</v>
      </c>
      <c r="G1633" s="8">
        <v>2016</v>
      </c>
      <c r="H1633" s="8">
        <v>4</v>
      </c>
      <c r="I1633" s="10">
        <v>42461</v>
      </c>
      <c r="J1633" s="11">
        <v>3157</v>
      </c>
      <c r="K1633" s="51"/>
      <c r="O1633" s="1" t="s">
        <v>7</v>
      </c>
      <c r="P1633" s="1" t="s">
        <v>43</v>
      </c>
      <c r="Q1633" s="1" t="s">
        <v>10</v>
      </c>
      <c r="R1633" s="1" t="s">
        <v>27</v>
      </c>
      <c r="S1633" t="s">
        <v>31</v>
      </c>
      <c r="T1633" s="1">
        <v>2016</v>
      </c>
      <c r="U1633" s="1">
        <v>4</v>
      </c>
      <c r="V1633" s="50">
        <v>42461</v>
      </c>
      <c r="W1633" s="4">
        <v>2904.4399999999996</v>
      </c>
      <c r="X1633" s="48">
        <v>3157</v>
      </c>
    </row>
    <row r="1634" spans="2:24" x14ac:dyDescent="0.35">
      <c r="B1634" s="8" t="s">
        <v>12</v>
      </c>
      <c r="C1634" s="8" t="s">
        <v>44</v>
      </c>
      <c r="D1634" s="8" t="s">
        <v>13</v>
      </c>
      <c r="E1634" s="8" t="s">
        <v>27</v>
      </c>
      <c r="F1634" s="6" t="s">
        <v>33</v>
      </c>
      <c r="G1634" s="8">
        <v>2016</v>
      </c>
      <c r="H1634" s="8">
        <v>4</v>
      </c>
      <c r="I1634" s="10">
        <v>42461</v>
      </c>
      <c r="J1634" s="11">
        <v>3482</v>
      </c>
      <c r="K1634" s="51"/>
      <c r="O1634" s="1" t="s">
        <v>12</v>
      </c>
      <c r="P1634" s="1" t="s">
        <v>44</v>
      </c>
      <c r="Q1634" s="1" t="s">
        <v>13</v>
      </c>
      <c r="R1634" s="1" t="s">
        <v>27</v>
      </c>
      <c r="S1634" t="s">
        <v>33</v>
      </c>
      <c r="T1634" s="1">
        <v>2016</v>
      </c>
      <c r="U1634" s="1">
        <v>4</v>
      </c>
      <c r="V1634" s="50">
        <v>42461</v>
      </c>
      <c r="W1634" s="4">
        <v>3133.7999999999997</v>
      </c>
      <c r="X1634" s="48">
        <v>3482</v>
      </c>
    </row>
    <row r="1635" spans="2:24" x14ac:dyDescent="0.35">
      <c r="B1635" s="8" t="s">
        <v>14</v>
      </c>
      <c r="C1635" s="8" t="s">
        <v>46</v>
      </c>
      <c r="D1635" s="8" t="s">
        <v>47</v>
      </c>
      <c r="E1635" s="8" t="s">
        <v>23</v>
      </c>
      <c r="F1635" s="6" t="s">
        <v>36</v>
      </c>
      <c r="G1635" s="8">
        <v>2016</v>
      </c>
      <c r="H1635" s="8">
        <v>4</v>
      </c>
      <c r="I1635" s="10">
        <v>42461</v>
      </c>
      <c r="J1635" s="11">
        <v>2942</v>
      </c>
      <c r="K1635" s="51"/>
      <c r="O1635" s="1" t="s">
        <v>14</v>
      </c>
      <c r="P1635" s="1" t="s">
        <v>46</v>
      </c>
      <c r="Q1635" s="1" t="s">
        <v>47</v>
      </c>
      <c r="R1635" s="1" t="s">
        <v>23</v>
      </c>
      <c r="S1635" t="s">
        <v>36</v>
      </c>
      <c r="T1635" s="1">
        <v>2016</v>
      </c>
      <c r="U1635" s="1">
        <v>4</v>
      </c>
      <c r="V1635" s="50">
        <v>42461</v>
      </c>
      <c r="W1635" s="4">
        <v>2677.22</v>
      </c>
      <c r="X1635" s="48">
        <v>2942</v>
      </c>
    </row>
    <row r="1636" spans="2:24" x14ac:dyDescent="0.35">
      <c r="B1636" s="8" t="s">
        <v>6</v>
      </c>
      <c r="C1636" s="8" t="s">
        <v>29</v>
      </c>
      <c r="D1636" s="8" t="s">
        <v>30</v>
      </c>
      <c r="E1636" s="9" t="s">
        <v>23</v>
      </c>
      <c r="F1636" s="9" t="s">
        <v>39</v>
      </c>
      <c r="G1636" s="8">
        <v>2016</v>
      </c>
      <c r="H1636" s="8">
        <v>4</v>
      </c>
      <c r="I1636" s="10">
        <v>42461</v>
      </c>
      <c r="J1636" s="11">
        <v>2125</v>
      </c>
      <c r="K1636" s="51"/>
      <c r="O1636" s="1" t="s">
        <v>6</v>
      </c>
      <c r="P1636" s="1" t="s">
        <v>29</v>
      </c>
      <c r="Q1636" s="1" t="s">
        <v>30</v>
      </c>
      <c r="R1636" s="2" t="s">
        <v>23</v>
      </c>
      <c r="S1636" s="2" t="s">
        <v>39</v>
      </c>
      <c r="T1636" s="1">
        <v>2016</v>
      </c>
      <c r="U1636" s="1">
        <v>4</v>
      </c>
      <c r="V1636" s="50">
        <v>42461</v>
      </c>
      <c r="W1636" s="4">
        <v>1997.5</v>
      </c>
      <c r="X1636" s="48">
        <v>2125</v>
      </c>
    </row>
    <row r="1637" spans="2:24" x14ac:dyDescent="0.35">
      <c r="B1637" s="8" t="s">
        <v>7</v>
      </c>
      <c r="C1637" s="8" t="s">
        <v>32</v>
      </c>
      <c r="D1637" s="8" t="s">
        <v>8</v>
      </c>
      <c r="E1637" s="8" t="s">
        <v>0</v>
      </c>
      <c r="F1637" s="9" t="s">
        <v>42</v>
      </c>
      <c r="G1637" s="8">
        <v>2016</v>
      </c>
      <c r="H1637" s="8">
        <v>4</v>
      </c>
      <c r="I1637" s="10">
        <v>42461</v>
      </c>
      <c r="J1637" s="11">
        <v>4906</v>
      </c>
      <c r="K1637" s="51"/>
      <c r="O1637" s="1" t="s">
        <v>7</v>
      </c>
      <c r="P1637" s="1" t="s">
        <v>32</v>
      </c>
      <c r="Q1637" s="1" t="s">
        <v>8</v>
      </c>
      <c r="R1637" s="1" t="s">
        <v>0</v>
      </c>
      <c r="S1637" s="2" t="s">
        <v>42</v>
      </c>
      <c r="T1637" s="1">
        <v>2016</v>
      </c>
      <c r="U1637" s="1">
        <v>4</v>
      </c>
      <c r="V1637" s="50">
        <v>42461</v>
      </c>
      <c r="W1637" s="4">
        <v>4366.3399999999992</v>
      </c>
      <c r="X1637" s="48">
        <v>4906</v>
      </c>
    </row>
    <row r="1638" spans="2:24" x14ac:dyDescent="0.35">
      <c r="B1638" s="8" t="s">
        <v>12</v>
      </c>
      <c r="C1638" s="8" t="s">
        <v>44</v>
      </c>
      <c r="D1638" s="8" t="s">
        <v>13</v>
      </c>
      <c r="E1638" s="8" t="s">
        <v>0</v>
      </c>
      <c r="F1638" s="6" t="s">
        <v>26</v>
      </c>
      <c r="G1638" s="8">
        <v>2016</v>
      </c>
      <c r="H1638" s="8">
        <v>4</v>
      </c>
      <c r="I1638" s="10">
        <v>42461</v>
      </c>
      <c r="J1638" s="11">
        <v>2921</v>
      </c>
      <c r="K1638" s="51"/>
      <c r="O1638" s="1" t="s">
        <v>12</v>
      </c>
      <c r="P1638" s="1" t="s">
        <v>44</v>
      </c>
      <c r="Q1638" s="1" t="s">
        <v>13</v>
      </c>
      <c r="R1638" s="1" t="s">
        <v>0</v>
      </c>
      <c r="S1638" t="s">
        <v>26</v>
      </c>
      <c r="T1638" s="1">
        <v>2016</v>
      </c>
      <c r="U1638" s="1">
        <v>4</v>
      </c>
      <c r="V1638" s="50">
        <v>42461</v>
      </c>
      <c r="W1638" s="4">
        <v>2658.1099999999997</v>
      </c>
      <c r="X1638" s="48">
        <v>2921</v>
      </c>
    </row>
    <row r="1639" spans="2:24" x14ac:dyDescent="0.35">
      <c r="B1639" s="8" t="s">
        <v>14</v>
      </c>
      <c r="C1639" s="8" t="s">
        <v>37</v>
      </c>
      <c r="D1639" s="8" t="s">
        <v>38</v>
      </c>
      <c r="E1639" s="8" t="s">
        <v>0</v>
      </c>
      <c r="F1639" s="8" t="s">
        <v>45</v>
      </c>
      <c r="G1639" s="8">
        <v>2016</v>
      </c>
      <c r="H1639" s="8">
        <v>4</v>
      </c>
      <c r="I1639" s="10">
        <v>42461</v>
      </c>
      <c r="J1639" s="11">
        <v>2093</v>
      </c>
      <c r="K1639" s="51"/>
      <c r="O1639" s="1" t="s">
        <v>14</v>
      </c>
      <c r="P1639" s="1" t="s">
        <v>37</v>
      </c>
      <c r="Q1639" s="1" t="s">
        <v>38</v>
      </c>
      <c r="R1639" s="1" t="s">
        <v>0</v>
      </c>
      <c r="S1639" s="1" t="s">
        <v>45</v>
      </c>
      <c r="T1639" s="1">
        <v>2016</v>
      </c>
      <c r="U1639" s="1">
        <v>4</v>
      </c>
      <c r="V1639" s="50">
        <v>42461</v>
      </c>
      <c r="W1639" s="4">
        <v>1883.6999999999998</v>
      </c>
      <c r="X1639" s="48">
        <v>2093</v>
      </c>
    </row>
    <row r="1640" spans="2:24" x14ac:dyDescent="0.35">
      <c r="B1640" s="8" t="s">
        <v>3</v>
      </c>
      <c r="C1640" s="8" t="s">
        <v>25</v>
      </c>
      <c r="D1640" s="8" t="s">
        <v>4</v>
      </c>
      <c r="E1640" s="8" t="s">
        <v>27</v>
      </c>
      <c r="F1640" s="8" t="s">
        <v>28</v>
      </c>
      <c r="G1640" s="8">
        <v>2016</v>
      </c>
      <c r="H1640" s="8">
        <v>4</v>
      </c>
      <c r="I1640" s="10">
        <v>42461</v>
      </c>
      <c r="J1640" s="11">
        <v>3940</v>
      </c>
      <c r="K1640" s="51"/>
      <c r="O1640" s="1" t="s">
        <v>3</v>
      </c>
      <c r="P1640" s="1" t="s">
        <v>25</v>
      </c>
      <c r="Q1640" s="1" t="s">
        <v>4</v>
      </c>
      <c r="R1640" s="1" t="s">
        <v>27</v>
      </c>
      <c r="S1640" s="1" t="s">
        <v>28</v>
      </c>
      <c r="T1640" s="1">
        <v>2016</v>
      </c>
      <c r="U1640" s="1">
        <v>4</v>
      </c>
      <c r="V1640" s="50">
        <v>42461</v>
      </c>
      <c r="W1640" s="4">
        <v>3545.9999999999995</v>
      </c>
      <c r="X1640" s="48">
        <v>3940</v>
      </c>
    </row>
    <row r="1641" spans="2:24" x14ac:dyDescent="0.35">
      <c r="B1641" s="8" t="s">
        <v>3</v>
      </c>
      <c r="C1641" s="8" t="s">
        <v>25</v>
      </c>
      <c r="D1641" s="8" t="s">
        <v>4</v>
      </c>
      <c r="E1641" s="8" t="s">
        <v>27</v>
      </c>
      <c r="F1641" s="8" t="s">
        <v>31</v>
      </c>
      <c r="G1641" s="8">
        <v>2016</v>
      </c>
      <c r="H1641" s="8">
        <v>4</v>
      </c>
      <c r="I1641" s="10">
        <v>42461</v>
      </c>
      <c r="J1641" s="11">
        <v>3522</v>
      </c>
      <c r="K1641" s="51"/>
      <c r="O1641" s="1" t="s">
        <v>3</v>
      </c>
      <c r="P1641" s="1" t="s">
        <v>25</v>
      </c>
      <c r="Q1641" s="1" t="s">
        <v>4</v>
      </c>
      <c r="R1641" s="1" t="s">
        <v>27</v>
      </c>
      <c r="S1641" s="1" t="s">
        <v>31</v>
      </c>
      <c r="T1641" s="1">
        <v>2016</v>
      </c>
      <c r="U1641" s="1">
        <v>4</v>
      </c>
      <c r="V1641" s="50">
        <v>42461</v>
      </c>
      <c r="W1641" s="4">
        <v>3028.9200000000005</v>
      </c>
      <c r="X1641" s="48">
        <v>3522</v>
      </c>
    </row>
    <row r="1642" spans="2:24" x14ac:dyDescent="0.35">
      <c r="B1642" s="8" t="s">
        <v>6</v>
      </c>
      <c r="C1642" s="8" t="s">
        <v>40</v>
      </c>
      <c r="D1642" s="8" t="s">
        <v>41</v>
      </c>
      <c r="E1642" s="8" t="s">
        <v>27</v>
      </c>
      <c r="F1642" s="6" t="s">
        <v>33</v>
      </c>
      <c r="G1642" s="8">
        <v>2016</v>
      </c>
      <c r="H1642" s="8">
        <v>4</v>
      </c>
      <c r="I1642" s="10">
        <v>42461</v>
      </c>
      <c r="J1642" s="11">
        <v>3715</v>
      </c>
      <c r="K1642" s="51"/>
      <c r="O1642" s="1" t="s">
        <v>6</v>
      </c>
      <c r="P1642" s="1" t="s">
        <v>40</v>
      </c>
      <c r="Q1642" s="1" t="s">
        <v>41</v>
      </c>
      <c r="R1642" s="1" t="s">
        <v>27</v>
      </c>
      <c r="S1642" t="s">
        <v>33</v>
      </c>
      <c r="T1642" s="1">
        <v>2016</v>
      </c>
      <c r="U1642" s="1">
        <v>4</v>
      </c>
      <c r="V1642" s="50">
        <v>42461</v>
      </c>
      <c r="W1642" s="4">
        <v>3157.7500000000005</v>
      </c>
      <c r="X1642" s="48">
        <v>3715</v>
      </c>
    </row>
    <row r="1643" spans="2:24" x14ac:dyDescent="0.35">
      <c r="B1643" s="8" t="s">
        <v>6</v>
      </c>
      <c r="C1643" s="8" t="s">
        <v>40</v>
      </c>
      <c r="D1643" s="8" t="s">
        <v>41</v>
      </c>
      <c r="E1643" s="8" t="s">
        <v>23</v>
      </c>
      <c r="F1643" s="6" t="s">
        <v>36</v>
      </c>
      <c r="G1643" s="8">
        <v>2016</v>
      </c>
      <c r="H1643" s="8">
        <v>4</v>
      </c>
      <c r="I1643" s="10">
        <v>42461</v>
      </c>
      <c r="J1643" s="11">
        <v>1584</v>
      </c>
      <c r="K1643" s="51"/>
      <c r="O1643" s="1" t="s">
        <v>6</v>
      </c>
      <c r="P1643" s="1" t="s">
        <v>40</v>
      </c>
      <c r="Q1643" s="1" t="s">
        <v>41</v>
      </c>
      <c r="R1643" s="1" t="s">
        <v>23</v>
      </c>
      <c r="S1643" t="s">
        <v>36</v>
      </c>
      <c r="T1643" s="1">
        <v>2016</v>
      </c>
      <c r="U1643" s="1">
        <v>4</v>
      </c>
      <c r="V1643" s="50">
        <v>42461</v>
      </c>
      <c r="W1643" s="4">
        <v>1362.2400000000002</v>
      </c>
      <c r="X1643" s="48">
        <v>1584</v>
      </c>
    </row>
    <row r="1644" spans="2:24" x14ac:dyDescent="0.35">
      <c r="B1644" s="8" t="s">
        <v>7</v>
      </c>
      <c r="C1644" s="8" t="s">
        <v>43</v>
      </c>
      <c r="D1644" s="8" t="s">
        <v>10</v>
      </c>
      <c r="E1644" s="8" t="s">
        <v>23</v>
      </c>
      <c r="F1644" s="6" t="s">
        <v>24</v>
      </c>
      <c r="G1644" s="8">
        <v>2016</v>
      </c>
      <c r="H1644" s="8">
        <v>4</v>
      </c>
      <c r="I1644" s="10">
        <v>42461</v>
      </c>
      <c r="J1644" s="11">
        <v>2861</v>
      </c>
      <c r="K1644" s="51"/>
      <c r="O1644" s="1" t="s">
        <v>7</v>
      </c>
      <c r="P1644" s="1" t="s">
        <v>43</v>
      </c>
      <c r="Q1644" s="1" t="s">
        <v>10</v>
      </c>
      <c r="R1644" s="1" t="s">
        <v>23</v>
      </c>
      <c r="S1644" t="s">
        <v>24</v>
      </c>
      <c r="T1644" s="1">
        <v>2016</v>
      </c>
      <c r="U1644" s="1">
        <v>4</v>
      </c>
      <c r="V1644" s="50">
        <v>42461</v>
      </c>
      <c r="W1644" s="4">
        <v>2517.6799999999998</v>
      </c>
      <c r="X1644" s="48">
        <v>2861</v>
      </c>
    </row>
    <row r="1645" spans="2:24" x14ac:dyDescent="0.35">
      <c r="B1645" s="8" t="s">
        <v>7</v>
      </c>
      <c r="C1645" s="8" t="s">
        <v>43</v>
      </c>
      <c r="D1645" s="8" t="s">
        <v>10</v>
      </c>
      <c r="E1645" s="9" t="s">
        <v>23</v>
      </c>
      <c r="F1645" s="9" t="s">
        <v>39</v>
      </c>
      <c r="G1645" s="8">
        <v>2016</v>
      </c>
      <c r="H1645" s="8">
        <v>4</v>
      </c>
      <c r="I1645" s="10">
        <v>42461</v>
      </c>
      <c r="J1645" s="11">
        <v>2135</v>
      </c>
      <c r="K1645" s="51"/>
      <c r="O1645" s="1" t="s">
        <v>7</v>
      </c>
      <c r="P1645" s="1" t="s">
        <v>43</v>
      </c>
      <c r="Q1645" s="1" t="s">
        <v>10</v>
      </c>
      <c r="R1645" s="2" t="s">
        <v>23</v>
      </c>
      <c r="S1645" s="2" t="s">
        <v>39</v>
      </c>
      <c r="T1645" s="1">
        <v>2016</v>
      </c>
      <c r="U1645" s="1">
        <v>4</v>
      </c>
      <c r="V1645" s="50">
        <v>42461</v>
      </c>
      <c r="W1645" s="4">
        <v>1814.7500000000002</v>
      </c>
      <c r="X1645" s="48">
        <v>2135</v>
      </c>
    </row>
    <row r="1646" spans="2:24" x14ac:dyDescent="0.35">
      <c r="B1646" s="8" t="s">
        <v>7</v>
      </c>
      <c r="C1646" s="8" t="s">
        <v>32</v>
      </c>
      <c r="D1646" s="8" t="s">
        <v>8</v>
      </c>
      <c r="E1646" s="8" t="s">
        <v>0</v>
      </c>
      <c r="F1646" s="9" t="s">
        <v>26</v>
      </c>
      <c r="G1646" s="8">
        <v>2016</v>
      </c>
      <c r="H1646" s="8">
        <v>4</v>
      </c>
      <c r="I1646" s="10">
        <v>42461</v>
      </c>
      <c r="J1646" s="11">
        <v>3949</v>
      </c>
      <c r="K1646" s="51"/>
      <c r="O1646" s="1" t="s">
        <v>7</v>
      </c>
      <c r="P1646" s="1" t="s">
        <v>32</v>
      </c>
      <c r="Q1646" s="1" t="s">
        <v>8</v>
      </c>
      <c r="R1646" s="1" t="s">
        <v>0</v>
      </c>
      <c r="S1646" s="2" t="s">
        <v>26</v>
      </c>
      <c r="T1646" s="1">
        <v>2016</v>
      </c>
      <c r="U1646" s="1">
        <v>4</v>
      </c>
      <c r="V1646" s="50">
        <v>42461</v>
      </c>
      <c r="W1646" s="4">
        <v>3672.5699999999997</v>
      </c>
      <c r="X1646" s="48">
        <v>3949</v>
      </c>
    </row>
    <row r="1647" spans="2:24" x14ac:dyDescent="0.35">
      <c r="B1647" s="8" t="s">
        <v>3</v>
      </c>
      <c r="C1647" s="8" t="s">
        <v>22</v>
      </c>
      <c r="D1647" s="8" t="s">
        <v>5</v>
      </c>
      <c r="E1647" s="8" t="s">
        <v>0</v>
      </c>
      <c r="F1647" s="6" t="s">
        <v>45</v>
      </c>
      <c r="G1647" s="8">
        <v>2016</v>
      </c>
      <c r="H1647" s="8">
        <v>4</v>
      </c>
      <c r="I1647" s="10">
        <v>42461</v>
      </c>
      <c r="J1647" s="11">
        <v>2916</v>
      </c>
      <c r="K1647" s="51"/>
      <c r="O1647" s="1" t="s">
        <v>3</v>
      </c>
      <c r="P1647" s="1" t="s">
        <v>22</v>
      </c>
      <c r="Q1647" s="1" t="s">
        <v>5</v>
      </c>
      <c r="R1647" s="1" t="s">
        <v>0</v>
      </c>
      <c r="S1647" t="s">
        <v>45</v>
      </c>
      <c r="T1647" s="1">
        <v>2016</v>
      </c>
      <c r="U1647" s="1">
        <v>4</v>
      </c>
      <c r="V1647" s="50">
        <v>42461</v>
      </c>
      <c r="W1647" s="4">
        <v>2624.3999999999996</v>
      </c>
      <c r="X1647" s="48">
        <v>2916</v>
      </c>
    </row>
    <row r="1648" spans="2:24" x14ac:dyDescent="0.35">
      <c r="B1648" s="8" t="s">
        <v>7</v>
      </c>
      <c r="C1648" s="8" t="s">
        <v>48</v>
      </c>
      <c r="D1648" s="8" t="s">
        <v>9</v>
      </c>
      <c r="E1648" s="8" t="s">
        <v>23</v>
      </c>
      <c r="F1648" s="8" t="s">
        <v>36</v>
      </c>
      <c r="G1648" s="8">
        <v>2016</v>
      </c>
      <c r="H1648" s="8">
        <v>4</v>
      </c>
      <c r="I1648" s="10">
        <v>42461</v>
      </c>
      <c r="J1648" s="11">
        <v>1853</v>
      </c>
      <c r="K1648" s="51"/>
      <c r="O1648" s="1" t="s">
        <v>7</v>
      </c>
      <c r="P1648" s="1" t="s">
        <v>48</v>
      </c>
      <c r="Q1648" s="1" t="s">
        <v>9</v>
      </c>
      <c r="R1648" s="1" t="s">
        <v>23</v>
      </c>
      <c r="S1648" s="1" t="s">
        <v>36</v>
      </c>
      <c r="T1648" s="1">
        <v>2016</v>
      </c>
      <c r="U1648" s="1">
        <v>4</v>
      </c>
      <c r="V1648" s="50">
        <v>42461</v>
      </c>
      <c r="W1648" s="4">
        <v>1612.1100000000001</v>
      </c>
      <c r="X1648" s="48">
        <v>1853</v>
      </c>
    </row>
    <row r="1649" spans="2:24" x14ac:dyDescent="0.35">
      <c r="B1649" s="8" t="s">
        <v>7</v>
      </c>
      <c r="C1649" s="8" t="s">
        <v>48</v>
      </c>
      <c r="D1649" s="8" t="s">
        <v>9</v>
      </c>
      <c r="E1649" s="8" t="s">
        <v>23</v>
      </c>
      <c r="F1649" s="8" t="s">
        <v>24</v>
      </c>
      <c r="G1649" s="8">
        <v>2016</v>
      </c>
      <c r="H1649" s="8">
        <v>4</v>
      </c>
      <c r="I1649" s="10">
        <v>42461</v>
      </c>
      <c r="J1649" s="11">
        <v>2261</v>
      </c>
      <c r="K1649" s="51"/>
      <c r="O1649" s="1" t="s">
        <v>7</v>
      </c>
      <c r="P1649" s="1" t="s">
        <v>48</v>
      </c>
      <c r="Q1649" s="1" t="s">
        <v>9</v>
      </c>
      <c r="R1649" s="1" t="s">
        <v>23</v>
      </c>
      <c r="S1649" s="1" t="s">
        <v>24</v>
      </c>
      <c r="T1649" s="1">
        <v>2016</v>
      </c>
      <c r="U1649" s="1">
        <v>4</v>
      </c>
      <c r="V1649" s="50">
        <v>42461</v>
      </c>
      <c r="W1649" s="4">
        <v>2057.5099999999998</v>
      </c>
      <c r="X1649" s="48">
        <v>2261</v>
      </c>
    </row>
    <row r="1650" spans="2:24" x14ac:dyDescent="0.35">
      <c r="B1650" s="8" t="s">
        <v>7</v>
      </c>
      <c r="C1650" s="8" t="s">
        <v>49</v>
      </c>
      <c r="D1650" s="8" t="s">
        <v>11</v>
      </c>
      <c r="E1650" s="8" t="s">
        <v>23</v>
      </c>
      <c r="F1650" s="8" t="s">
        <v>39</v>
      </c>
      <c r="G1650" s="8">
        <v>2016</v>
      </c>
      <c r="H1650" s="8">
        <v>4</v>
      </c>
      <c r="I1650" s="10">
        <v>42461</v>
      </c>
      <c r="J1650" s="11">
        <v>2800</v>
      </c>
      <c r="K1650" s="51"/>
      <c r="O1650" s="1" t="s">
        <v>7</v>
      </c>
      <c r="P1650" s="1" t="s">
        <v>49</v>
      </c>
      <c r="Q1650" s="1" t="s">
        <v>11</v>
      </c>
      <c r="R1650" s="1" t="s">
        <v>23</v>
      </c>
      <c r="S1650" s="1" t="s">
        <v>39</v>
      </c>
      <c r="T1650" s="1">
        <v>2016</v>
      </c>
      <c r="U1650" s="1">
        <v>4</v>
      </c>
      <c r="V1650" s="50">
        <v>42461</v>
      </c>
      <c r="W1650" s="4">
        <v>2576</v>
      </c>
      <c r="X1650" s="48">
        <v>2800</v>
      </c>
    </row>
    <row r="1651" spans="2:24" x14ac:dyDescent="0.35">
      <c r="B1651" s="8" t="s">
        <v>7</v>
      </c>
      <c r="C1651" s="8" t="s">
        <v>49</v>
      </c>
      <c r="D1651" s="8" t="s">
        <v>11</v>
      </c>
      <c r="E1651" s="8" t="s">
        <v>0</v>
      </c>
      <c r="F1651" s="6" t="s">
        <v>42</v>
      </c>
      <c r="G1651" s="8">
        <v>2016</v>
      </c>
      <c r="H1651" s="8">
        <v>4</v>
      </c>
      <c r="I1651" s="10">
        <v>42461</v>
      </c>
      <c r="J1651" s="11">
        <v>6748</v>
      </c>
      <c r="K1651" s="51"/>
      <c r="O1651" s="1" t="s">
        <v>7</v>
      </c>
      <c r="P1651" s="1" t="s">
        <v>49</v>
      </c>
      <c r="Q1651" s="1" t="s">
        <v>11</v>
      </c>
      <c r="R1651" s="1" t="s">
        <v>0</v>
      </c>
      <c r="S1651" t="s">
        <v>42</v>
      </c>
      <c r="T1651" s="1">
        <v>2016</v>
      </c>
      <c r="U1651" s="1">
        <v>4</v>
      </c>
      <c r="V1651" s="50">
        <v>42461</v>
      </c>
      <c r="W1651" s="4">
        <v>5735.8000000000011</v>
      </c>
      <c r="X1651" s="48">
        <v>6748</v>
      </c>
    </row>
    <row r="1652" spans="2:24" x14ac:dyDescent="0.35">
      <c r="B1652" s="8" t="s">
        <v>12</v>
      </c>
      <c r="C1652" s="8" t="s">
        <v>34</v>
      </c>
      <c r="D1652" s="8" t="s">
        <v>35</v>
      </c>
      <c r="E1652" s="8" t="s">
        <v>0</v>
      </c>
      <c r="F1652" s="6" t="s">
        <v>26</v>
      </c>
      <c r="G1652" s="8">
        <v>2016</v>
      </c>
      <c r="H1652" s="8">
        <v>4</v>
      </c>
      <c r="I1652" s="10">
        <v>42461</v>
      </c>
      <c r="J1652" s="11">
        <v>4267</v>
      </c>
      <c r="K1652" s="51"/>
      <c r="O1652" s="1" t="s">
        <v>12</v>
      </c>
      <c r="P1652" s="1" t="s">
        <v>34</v>
      </c>
      <c r="Q1652" s="1" t="s">
        <v>35</v>
      </c>
      <c r="R1652" s="1" t="s">
        <v>0</v>
      </c>
      <c r="S1652" t="s">
        <v>26</v>
      </c>
      <c r="T1652" s="1">
        <v>2016</v>
      </c>
      <c r="U1652" s="1">
        <v>4</v>
      </c>
      <c r="V1652" s="50">
        <v>42461</v>
      </c>
      <c r="W1652" s="4">
        <v>3712.2900000000004</v>
      </c>
      <c r="X1652" s="48">
        <v>4267</v>
      </c>
    </row>
    <row r="1653" spans="2:24" x14ac:dyDescent="0.35">
      <c r="B1653" s="8" t="s">
        <v>12</v>
      </c>
      <c r="C1653" s="8" t="s">
        <v>34</v>
      </c>
      <c r="D1653" s="8" t="s">
        <v>35</v>
      </c>
      <c r="E1653" s="8" t="s">
        <v>0</v>
      </c>
      <c r="F1653" s="6" t="s">
        <v>45</v>
      </c>
      <c r="G1653" s="8">
        <v>2016</v>
      </c>
      <c r="H1653" s="8">
        <v>4</v>
      </c>
      <c r="I1653" s="10">
        <v>42461</v>
      </c>
      <c r="J1653" s="11">
        <v>3963</v>
      </c>
      <c r="K1653" s="51"/>
      <c r="O1653" s="1" t="s">
        <v>12</v>
      </c>
      <c r="P1653" s="1" t="s">
        <v>34</v>
      </c>
      <c r="Q1653" s="1" t="s">
        <v>35</v>
      </c>
      <c r="R1653" s="1" t="s">
        <v>0</v>
      </c>
      <c r="S1653" t="s">
        <v>45</v>
      </c>
      <c r="T1653" s="1">
        <v>2016</v>
      </c>
      <c r="U1653" s="1">
        <v>4</v>
      </c>
      <c r="V1653" s="50">
        <v>42461</v>
      </c>
      <c r="W1653" s="4">
        <v>3368.55</v>
      </c>
      <c r="X1653" s="48">
        <v>3963</v>
      </c>
    </row>
    <row r="1654" spans="2:24" x14ac:dyDescent="0.35">
      <c r="B1654" s="8" t="s">
        <v>14</v>
      </c>
      <c r="C1654" s="8" t="s">
        <v>37</v>
      </c>
      <c r="D1654" s="8" t="s">
        <v>38</v>
      </c>
      <c r="E1654" s="9" t="s">
        <v>27</v>
      </c>
      <c r="F1654" s="9" t="s">
        <v>28</v>
      </c>
      <c r="G1654" s="8">
        <v>2016</v>
      </c>
      <c r="H1654" s="8">
        <v>4</v>
      </c>
      <c r="I1654" s="10">
        <v>42461</v>
      </c>
      <c r="J1654" s="11">
        <v>4351</v>
      </c>
      <c r="K1654" s="51"/>
      <c r="O1654" s="1" t="s">
        <v>14</v>
      </c>
      <c r="P1654" s="1" t="s">
        <v>37</v>
      </c>
      <c r="Q1654" s="1" t="s">
        <v>38</v>
      </c>
      <c r="R1654" s="2" t="s">
        <v>27</v>
      </c>
      <c r="S1654" s="2" t="s">
        <v>28</v>
      </c>
      <c r="T1654" s="1">
        <v>2016</v>
      </c>
      <c r="U1654" s="1">
        <v>4</v>
      </c>
      <c r="V1654" s="50">
        <v>42461</v>
      </c>
      <c r="W1654" s="4">
        <v>3959.41</v>
      </c>
      <c r="X1654" s="48">
        <v>4351</v>
      </c>
    </row>
    <row r="1655" spans="2:24" x14ac:dyDescent="0.35">
      <c r="B1655" s="8" t="s">
        <v>14</v>
      </c>
      <c r="C1655" s="8" t="s">
        <v>37</v>
      </c>
      <c r="D1655" s="8" t="s">
        <v>38</v>
      </c>
      <c r="E1655" s="8" t="s">
        <v>27</v>
      </c>
      <c r="F1655" s="9" t="s">
        <v>31</v>
      </c>
      <c r="G1655" s="8">
        <v>2016</v>
      </c>
      <c r="H1655" s="8">
        <v>4</v>
      </c>
      <c r="I1655" s="10">
        <v>42461</v>
      </c>
      <c r="J1655" s="11">
        <v>3529</v>
      </c>
      <c r="K1655" s="51"/>
      <c r="O1655" s="1" t="s">
        <v>14</v>
      </c>
      <c r="P1655" s="1" t="s">
        <v>37</v>
      </c>
      <c r="Q1655" s="1" t="s">
        <v>38</v>
      </c>
      <c r="R1655" s="1" t="s">
        <v>27</v>
      </c>
      <c r="S1655" s="2" t="s">
        <v>31</v>
      </c>
      <c r="T1655" s="1">
        <v>2016</v>
      </c>
      <c r="U1655" s="1">
        <v>4</v>
      </c>
      <c r="V1655" s="50">
        <v>42461</v>
      </c>
      <c r="W1655" s="4">
        <v>3105.5199999999995</v>
      </c>
      <c r="X1655" s="48">
        <v>3529</v>
      </c>
    </row>
    <row r="1656" spans="2:24" x14ac:dyDescent="0.35">
      <c r="B1656" s="8" t="s">
        <v>12</v>
      </c>
      <c r="C1656" s="8" t="s">
        <v>44</v>
      </c>
      <c r="D1656" s="8" t="s">
        <v>13</v>
      </c>
      <c r="E1656" s="8" t="s">
        <v>23</v>
      </c>
      <c r="F1656" s="6" t="s">
        <v>36</v>
      </c>
      <c r="G1656" s="8">
        <v>2016</v>
      </c>
      <c r="H1656" s="8">
        <v>4</v>
      </c>
      <c r="I1656" s="10">
        <v>42461</v>
      </c>
      <c r="J1656" s="11">
        <v>2100</v>
      </c>
      <c r="K1656" s="51"/>
      <c r="O1656" s="1" t="s">
        <v>12</v>
      </c>
      <c r="P1656" s="1" t="s">
        <v>44</v>
      </c>
      <c r="Q1656" s="1" t="s">
        <v>13</v>
      </c>
      <c r="R1656" s="1" t="s">
        <v>23</v>
      </c>
      <c r="S1656" t="s">
        <v>36</v>
      </c>
      <c r="T1656" s="1">
        <v>2016</v>
      </c>
      <c r="U1656" s="1">
        <v>4</v>
      </c>
      <c r="V1656" s="50">
        <v>42461</v>
      </c>
      <c r="W1656" s="4">
        <v>1931.9999999999998</v>
      </c>
      <c r="X1656" s="48">
        <v>2100</v>
      </c>
    </row>
    <row r="1657" spans="2:24" x14ac:dyDescent="0.35">
      <c r="B1657" s="8" t="s">
        <v>14</v>
      </c>
      <c r="C1657" s="8" t="s">
        <v>46</v>
      </c>
      <c r="D1657" s="8" t="s">
        <v>47</v>
      </c>
      <c r="E1657" s="8" t="s">
        <v>23</v>
      </c>
      <c r="F1657" s="8" t="s">
        <v>24</v>
      </c>
      <c r="G1657" s="8">
        <v>2016</v>
      </c>
      <c r="H1657" s="8">
        <v>4</v>
      </c>
      <c r="I1657" s="10">
        <v>42461</v>
      </c>
      <c r="J1657" s="11">
        <v>2881</v>
      </c>
      <c r="K1657" s="51"/>
      <c r="O1657" s="1" t="s">
        <v>14</v>
      </c>
      <c r="P1657" s="1" t="s">
        <v>46</v>
      </c>
      <c r="Q1657" s="1" t="s">
        <v>47</v>
      </c>
      <c r="R1657" s="1" t="s">
        <v>23</v>
      </c>
      <c r="S1657" s="1" t="s">
        <v>24</v>
      </c>
      <c r="T1657" s="1">
        <v>2016</v>
      </c>
      <c r="U1657" s="1">
        <v>4</v>
      </c>
      <c r="V1657" s="50">
        <v>42461</v>
      </c>
      <c r="W1657" s="4">
        <v>2679.33</v>
      </c>
      <c r="X1657" s="48">
        <v>2881</v>
      </c>
    </row>
    <row r="1658" spans="2:24" x14ac:dyDescent="0.35">
      <c r="B1658" s="8" t="s">
        <v>14</v>
      </c>
      <c r="C1658" s="8" t="s">
        <v>46</v>
      </c>
      <c r="D1658" s="8" t="s">
        <v>47</v>
      </c>
      <c r="E1658" s="8" t="s">
        <v>23</v>
      </c>
      <c r="F1658" s="8" t="s">
        <v>39</v>
      </c>
      <c r="G1658" s="8">
        <v>2016</v>
      </c>
      <c r="H1658" s="8">
        <v>4</v>
      </c>
      <c r="I1658" s="10">
        <v>42461</v>
      </c>
      <c r="J1658" s="11">
        <v>1905</v>
      </c>
      <c r="K1658" s="51"/>
      <c r="O1658" s="1" t="s">
        <v>14</v>
      </c>
      <c r="P1658" s="1" t="s">
        <v>46</v>
      </c>
      <c r="Q1658" s="1" t="s">
        <v>47</v>
      </c>
      <c r="R1658" s="1" t="s">
        <v>23</v>
      </c>
      <c r="S1658" s="1" t="s">
        <v>39</v>
      </c>
      <c r="T1658" s="1">
        <v>2016</v>
      </c>
      <c r="U1658" s="1">
        <v>4</v>
      </c>
      <c r="V1658" s="50">
        <v>42461</v>
      </c>
      <c r="W1658" s="4">
        <v>1733.5499999999997</v>
      </c>
      <c r="X1658" s="48">
        <v>1905</v>
      </c>
    </row>
    <row r="1659" spans="2:24" x14ac:dyDescent="0.35">
      <c r="B1659" s="8" t="s">
        <v>7</v>
      </c>
      <c r="C1659" s="8" t="s">
        <v>43</v>
      </c>
      <c r="D1659" s="8" t="s">
        <v>10</v>
      </c>
      <c r="E1659" s="8" t="s">
        <v>0</v>
      </c>
      <c r="F1659" s="8" t="s">
        <v>42</v>
      </c>
      <c r="G1659" s="8">
        <v>2016</v>
      </c>
      <c r="H1659" s="8">
        <v>4</v>
      </c>
      <c r="I1659" s="10">
        <v>42461</v>
      </c>
      <c r="J1659" s="11">
        <v>4023</v>
      </c>
      <c r="K1659" s="51"/>
      <c r="O1659" s="1" t="s">
        <v>7</v>
      </c>
      <c r="P1659" s="1" t="s">
        <v>43</v>
      </c>
      <c r="Q1659" s="1" t="s">
        <v>10</v>
      </c>
      <c r="R1659" s="1" t="s">
        <v>0</v>
      </c>
      <c r="S1659" s="1" t="s">
        <v>42</v>
      </c>
      <c r="T1659" s="1">
        <v>2016</v>
      </c>
      <c r="U1659" s="1">
        <v>4</v>
      </c>
      <c r="V1659" s="50">
        <v>42461</v>
      </c>
      <c r="W1659" s="4">
        <v>3419.55</v>
      </c>
      <c r="X1659" s="48">
        <v>4023</v>
      </c>
    </row>
    <row r="1660" spans="2:24" x14ac:dyDescent="0.35">
      <c r="B1660" s="8" t="s">
        <v>6</v>
      </c>
      <c r="C1660" s="8" t="s">
        <v>40</v>
      </c>
      <c r="D1660" s="8" t="s">
        <v>41</v>
      </c>
      <c r="E1660" s="8" t="s">
        <v>27</v>
      </c>
      <c r="F1660" s="6" t="s">
        <v>31</v>
      </c>
      <c r="G1660" s="8">
        <v>2016</v>
      </c>
      <c r="H1660" s="8">
        <v>4</v>
      </c>
      <c r="I1660" s="10">
        <v>42461</v>
      </c>
      <c r="J1660" s="11">
        <v>4941</v>
      </c>
      <c r="K1660" s="51"/>
      <c r="O1660" s="1" t="s">
        <v>6</v>
      </c>
      <c r="P1660" s="1" t="s">
        <v>40</v>
      </c>
      <c r="Q1660" s="1" t="s">
        <v>41</v>
      </c>
      <c r="R1660" s="1" t="s">
        <v>27</v>
      </c>
      <c r="S1660" t="s">
        <v>31</v>
      </c>
      <c r="T1660" s="1">
        <v>2016</v>
      </c>
      <c r="U1660" s="1">
        <v>4</v>
      </c>
      <c r="V1660" s="50">
        <v>42461</v>
      </c>
      <c r="W1660" s="4">
        <v>4348.08</v>
      </c>
      <c r="X1660" s="48">
        <v>4941</v>
      </c>
    </row>
    <row r="1661" spans="2:24" x14ac:dyDescent="0.35">
      <c r="B1661" s="8" t="s">
        <v>3</v>
      </c>
      <c r="C1661" s="8" t="s">
        <v>22</v>
      </c>
      <c r="D1661" s="8" t="s">
        <v>5</v>
      </c>
      <c r="E1661" s="8" t="s">
        <v>23</v>
      </c>
      <c r="F1661" s="6" t="s">
        <v>39</v>
      </c>
      <c r="G1661" s="8">
        <v>2016</v>
      </c>
      <c r="H1661" s="8">
        <v>4</v>
      </c>
      <c r="I1661" s="10">
        <v>42461</v>
      </c>
      <c r="J1661" s="11">
        <v>2765</v>
      </c>
      <c r="K1661" s="51"/>
      <c r="O1661" s="1" t="s">
        <v>3</v>
      </c>
      <c r="P1661" s="1" t="s">
        <v>22</v>
      </c>
      <c r="Q1661" s="1" t="s">
        <v>5</v>
      </c>
      <c r="R1661" s="1" t="s">
        <v>23</v>
      </c>
      <c r="S1661" t="s">
        <v>39</v>
      </c>
      <c r="T1661" s="1">
        <v>2016</v>
      </c>
      <c r="U1661" s="1">
        <v>4</v>
      </c>
      <c r="V1661" s="50">
        <v>42461</v>
      </c>
      <c r="W1661" s="4">
        <v>2571.4499999999998</v>
      </c>
      <c r="X1661" s="48">
        <v>2765</v>
      </c>
    </row>
    <row r="1662" spans="2:24" x14ac:dyDescent="0.35">
      <c r="B1662" s="8" t="s">
        <v>3</v>
      </c>
      <c r="C1662" s="8" t="s">
        <v>22</v>
      </c>
      <c r="D1662" s="8" t="s">
        <v>5</v>
      </c>
      <c r="E1662" s="8" t="s">
        <v>0</v>
      </c>
      <c r="F1662" s="6" t="s">
        <v>42</v>
      </c>
      <c r="G1662" s="8">
        <v>2016</v>
      </c>
      <c r="H1662" s="8">
        <v>4</v>
      </c>
      <c r="I1662" s="10">
        <v>42461</v>
      </c>
      <c r="J1662" s="11">
        <v>6277</v>
      </c>
      <c r="K1662" s="51"/>
      <c r="O1662" s="1" t="s">
        <v>3</v>
      </c>
      <c r="P1662" s="1" t="s">
        <v>22</v>
      </c>
      <c r="Q1662" s="1" t="s">
        <v>5</v>
      </c>
      <c r="R1662" s="1" t="s">
        <v>0</v>
      </c>
      <c r="S1662" t="s">
        <v>42</v>
      </c>
      <c r="T1662" s="1">
        <v>2016</v>
      </c>
      <c r="U1662" s="1">
        <v>4</v>
      </c>
      <c r="V1662" s="50">
        <v>42461</v>
      </c>
      <c r="W1662" s="4">
        <v>5900.3799999999992</v>
      </c>
      <c r="X1662" s="48">
        <v>6277</v>
      </c>
    </row>
    <row r="1663" spans="2:24" x14ac:dyDescent="0.35">
      <c r="B1663" s="8" t="s">
        <v>6</v>
      </c>
      <c r="C1663" s="8" t="s">
        <v>29</v>
      </c>
      <c r="D1663" s="8" t="s">
        <v>30</v>
      </c>
      <c r="E1663" s="9" t="s">
        <v>0</v>
      </c>
      <c r="F1663" s="9" t="s">
        <v>26</v>
      </c>
      <c r="G1663" s="8">
        <v>2016</v>
      </c>
      <c r="H1663" s="8">
        <v>4</v>
      </c>
      <c r="I1663" s="10">
        <v>42461</v>
      </c>
      <c r="J1663" s="11">
        <v>2908</v>
      </c>
      <c r="K1663" s="51"/>
      <c r="O1663" s="1" t="s">
        <v>6</v>
      </c>
      <c r="P1663" s="1" t="s">
        <v>29</v>
      </c>
      <c r="Q1663" s="1" t="s">
        <v>30</v>
      </c>
      <c r="R1663" s="2" t="s">
        <v>0</v>
      </c>
      <c r="S1663" s="2" t="s">
        <v>26</v>
      </c>
      <c r="T1663" s="1">
        <v>2016</v>
      </c>
      <c r="U1663" s="1">
        <v>4</v>
      </c>
      <c r="V1663" s="50">
        <v>42461</v>
      </c>
      <c r="W1663" s="4">
        <v>2617.1999999999998</v>
      </c>
      <c r="X1663" s="48">
        <v>2908</v>
      </c>
    </row>
    <row r="1664" spans="2:24" x14ac:dyDescent="0.35">
      <c r="B1664" s="8" t="s">
        <v>7</v>
      </c>
      <c r="C1664" s="8" t="s">
        <v>48</v>
      </c>
      <c r="D1664" s="8" t="s">
        <v>9</v>
      </c>
      <c r="E1664" s="8" t="s">
        <v>27</v>
      </c>
      <c r="F1664" s="9" t="s">
        <v>28</v>
      </c>
      <c r="G1664" s="8">
        <v>2016</v>
      </c>
      <c r="H1664" s="8">
        <v>4</v>
      </c>
      <c r="I1664" s="10">
        <v>42461</v>
      </c>
      <c r="J1664" s="11">
        <v>3469</v>
      </c>
      <c r="K1664" s="51"/>
      <c r="O1664" s="1" t="s">
        <v>7</v>
      </c>
      <c r="P1664" s="1" t="s">
        <v>48</v>
      </c>
      <c r="Q1664" s="1" t="s">
        <v>9</v>
      </c>
      <c r="R1664" s="1" t="s">
        <v>27</v>
      </c>
      <c r="S1664" s="2" t="s">
        <v>28</v>
      </c>
      <c r="T1664" s="1">
        <v>2016</v>
      </c>
      <c r="U1664" s="1">
        <v>4</v>
      </c>
      <c r="V1664" s="50">
        <v>42461</v>
      </c>
      <c r="W1664" s="4">
        <v>3052.72</v>
      </c>
      <c r="X1664" s="48">
        <v>3469</v>
      </c>
    </row>
    <row r="1665" spans="2:24" x14ac:dyDescent="0.35">
      <c r="B1665" s="8" t="s">
        <v>7</v>
      </c>
      <c r="C1665" s="8" t="s">
        <v>48</v>
      </c>
      <c r="D1665" s="8" t="s">
        <v>9</v>
      </c>
      <c r="E1665" s="8" t="s">
        <v>27</v>
      </c>
      <c r="F1665" s="6" t="s">
        <v>31</v>
      </c>
      <c r="G1665" s="8">
        <v>2016</v>
      </c>
      <c r="H1665" s="8">
        <v>4</v>
      </c>
      <c r="I1665" s="10">
        <v>42461</v>
      </c>
      <c r="J1665" s="11">
        <v>5412</v>
      </c>
      <c r="K1665" s="51"/>
      <c r="O1665" s="1" t="s">
        <v>7</v>
      </c>
      <c r="P1665" s="1" t="s">
        <v>48</v>
      </c>
      <c r="Q1665" s="1" t="s">
        <v>9</v>
      </c>
      <c r="R1665" s="1" t="s">
        <v>27</v>
      </c>
      <c r="S1665" t="s">
        <v>31</v>
      </c>
      <c r="T1665" s="1">
        <v>2016</v>
      </c>
      <c r="U1665" s="1">
        <v>4</v>
      </c>
      <c r="V1665" s="50">
        <v>42461</v>
      </c>
      <c r="W1665" s="4">
        <v>4870.7999999999993</v>
      </c>
      <c r="X1665" s="48">
        <v>5412</v>
      </c>
    </row>
    <row r="1666" spans="2:24" x14ac:dyDescent="0.35">
      <c r="B1666" s="8" t="s">
        <v>7</v>
      </c>
      <c r="C1666" s="8" t="s">
        <v>49</v>
      </c>
      <c r="D1666" s="8" t="s">
        <v>11</v>
      </c>
      <c r="E1666" s="8" t="s">
        <v>27</v>
      </c>
      <c r="F1666" s="8" t="s">
        <v>33</v>
      </c>
      <c r="G1666" s="8">
        <v>2016</v>
      </c>
      <c r="H1666" s="8">
        <v>4</v>
      </c>
      <c r="I1666" s="10">
        <v>42461</v>
      </c>
      <c r="J1666" s="11">
        <v>3959</v>
      </c>
      <c r="K1666" s="51"/>
      <c r="O1666" s="1" t="s">
        <v>7</v>
      </c>
      <c r="P1666" s="1" t="s">
        <v>49</v>
      </c>
      <c r="Q1666" s="1" t="s">
        <v>11</v>
      </c>
      <c r="R1666" s="1" t="s">
        <v>27</v>
      </c>
      <c r="S1666" s="1" t="s">
        <v>33</v>
      </c>
      <c r="T1666" s="1">
        <v>2016</v>
      </c>
      <c r="U1666" s="1">
        <v>4</v>
      </c>
      <c r="V1666" s="50">
        <v>42461</v>
      </c>
      <c r="W1666" s="4">
        <v>3681.87</v>
      </c>
      <c r="X1666" s="48">
        <v>3959</v>
      </c>
    </row>
    <row r="1667" spans="2:24" x14ac:dyDescent="0.35">
      <c r="B1667" s="8" t="s">
        <v>7</v>
      </c>
      <c r="C1667" s="8" t="s">
        <v>49</v>
      </c>
      <c r="D1667" s="8" t="s">
        <v>11</v>
      </c>
      <c r="E1667" s="8" t="s">
        <v>23</v>
      </c>
      <c r="F1667" s="8" t="s">
        <v>36</v>
      </c>
      <c r="G1667" s="8">
        <v>2016</v>
      </c>
      <c r="H1667" s="8">
        <v>4</v>
      </c>
      <c r="I1667" s="10">
        <v>42461</v>
      </c>
      <c r="J1667" s="11">
        <v>1829</v>
      </c>
      <c r="K1667" s="51"/>
      <c r="O1667" s="1" t="s">
        <v>7</v>
      </c>
      <c r="P1667" s="1" t="s">
        <v>49</v>
      </c>
      <c r="Q1667" s="1" t="s">
        <v>11</v>
      </c>
      <c r="R1667" s="1" t="s">
        <v>23</v>
      </c>
      <c r="S1667" s="1" t="s">
        <v>36</v>
      </c>
      <c r="T1667" s="1">
        <v>2016</v>
      </c>
      <c r="U1667" s="1">
        <v>4</v>
      </c>
      <c r="V1667" s="50">
        <v>42461</v>
      </c>
      <c r="W1667" s="4">
        <v>1719.26</v>
      </c>
      <c r="X1667" s="48">
        <v>1829</v>
      </c>
    </row>
    <row r="1668" spans="2:24" x14ac:dyDescent="0.35">
      <c r="B1668" s="8" t="s">
        <v>7</v>
      </c>
      <c r="C1668" s="8" t="s">
        <v>43</v>
      </c>
      <c r="D1668" s="8" t="s">
        <v>10</v>
      </c>
      <c r="E1668" s="8" t="s">
        <v>23</v>
      </c>
      <c r="F1668" s="8" t="s">
        <v>36</v>
      </c>
      <c r="G1668" s="8">
        <v>2016</v>
      </c>
      <c r="H1668" s="8">
        <v>4</v>
      </c>
      <c r="I1668" s="10">
        <v>42461</v>
      </c>
      <c r="J1668" s="11">
        <v>2369</v>
      </c>
      <c r="K1668" s="51"/>
      <c r="O1668" s="1" t="s">
        <v>7</v>
      </c>
      <c r="P1668" s="1" t="s">
        <v>43</v>
      </c>
      <c r="Q1668" s="1" t="s">
        <v>10</v>
      </c>
      <c r="R1668" s="1" t="s">
        <v>23</v>
      </c>
      <c r="S1668" s="1" t="s">
        <v>36</v>
      </c>
      <c r="T1668" s="1">
        <v>2016</v>
      </c>
      <c r="U1668" s="1">
        <v>4</v>
      </c>
      <c r="V1668" s="50">
        <v>42461</v>
      </c>
      <c r="W1668" s="4">
        <v>2132.1</v>
      </c>
      <c r="X1668" s="48">
        <v>2369</v>
      </c>
    </row>
    <row r="1669" spans="2:24" x14ac:dyDescent="0.35">
      <c r="B1669" s="8" t="s">
        <v>6</v>
      </c>
      <c r="C1669" s="8" t="s">
        <v>40</v>
      </c>
      <c r="D1669" s="8" t="s">
        <v>41</v>
      </c>
      <c r="E1669" s="8" t="s">
        <v>0</v>
      </c>
      <c r="F1669" s="6" t="s">
        <v>45</v>
      </c>
      <c r="G1669" s="8">
        <v>2016</v>
      </c>
      <c r="H1669" s="8">
        <v>4</v>
      </c>
      <c r="I1669" s="10">
        <v>42461</v>
      </c>
      <c r="J1669" s="11">
        <v>3296</v>
      </c>
      <c r="K1669" s="51"/>
      <c r="O1669" s="1" t="s">
        <v>6</v>
      </c>
      <c r="P1669" s="1" t="s">
        <v>40</v>
      </c>
      <c r="Q1669" s="1" t="s">
        <v>41</v>
      </c>
      <c r="R1669" s="1" t="s">
        <v>0</v>
      </c>
      <c r="S1669" t="s">
        <v>45</v>
      </c>
      <c r="T1669" s="1">
        <v>2016</v>
      </c>
      <c r="U1669" s="1">
        <v>4</v>
      </c>
      <c r="V1669" s="50">
        <v>42461</v>
      </c>
      <c r="W1669" s="4">
        <v>2801.6000000000004</v>
      </c>
      <c r="X1669" s="48">
        <v>3296</v>
      </c>
    </row>
    <row r="1670" spans="2:24" x14ac:dyDescent="0.35">
      <c r="B1670" s="8" t="s">
        <v>7</v>
      </c>
      <c r="C1670" s="8" t="s">
        <v>32</v>
      </c>
      <c r="D1670" s="8" t="s">
        <v>8</v>
      </c>
      <c r="E1670" s="8" t="s">
        <v>27</v>
      </c>
      <c r="F1670" s="6" t="s">
        <v>28</v>
      </c>
      <c r="G1670" s="8">
        <v>2016</v>
      </c>
      <c r="H1670" s="8">
        <v>4</v>
      </c>
      <c r="I1670" s="10">
        <v>42461</v>
      </c>
      <c r="J1670" s="11">
        <v>3318</v>
      </c>
      <c r="K1670" s="51"/>
      <c r="O1670" s="1" t="s">
        <v>7</v>
      </c>
      <c r="P1670" s="1" t="s">
        <v>32</v>
      </c>
      <c r="Q1670" s="1" t="s">
        <v>8</v>
      </c>
      <c r="R1670" s="1" t="s">
        <v>27</v>
      </c>
      <c r="S1670" t="s">
        <v>28</v>
      </c>
      <c r="T1670" s="1">
        <v>2016</v>
      </c>
      <c r="U1670" s="1">
        <v>4</v>
      </c>
      <c r="V1670" s="50">
        <v>42461</v>
      </c>
      <c r="W1670" s="4">
        <v>3052.56</v>
      </c>
      <c r="X1670" s="48">
        <v>3318</v>
      </c>
    </row>
    <row r="1671" spans="2:24" x14ac:dyDescent="0.35">
      <c r="B1671" s="8" t="s">
        <v>7</v>
      </c>
      <c r="C1671" s="8" t="s">
        <v>32</v>
      </c>
      <c r="D1671" s="8" t="s">
        <v>8</v>
      </c>
      <c r="E1671" s="8" t="s">
        <v>27</v>
      </c>
      <c r="F1671" s="6" t="s">
        <v>31</v>
      </c>
      <c r="G1671" s="8">
        <v>2016</v>
      </c>
      <c r="H1671" s="8">
        <v>4</v>
      </c>
      <c r="I1671" s="10">
        <v>42461</v>
      </c>
      <c r="J1671" s="11">
        <v>4600</v>
      </c>
      <c r="K1671" s="51"/>
      <c r="O1671" s="1" t="s">
        <v>7</v>
      </c>
      <c r="P1671" s="1" t="s">
        <v>32</v>
      </c>
      <c r="Q1671" s="1" t="s">
        <v>8</v>
      </c>
      <c r="R1671" s="1" t="s">
        <v>27</v>
      </c>
      <c r="S1671" t="s">
        <v>31</v>
      </c>
      <c r="T1671" s="1">
        <v>2016</v>
      </c>
      <c r="U1671" s="1">
        <v>4</v>
      </c>
      <c r="V1671" s="50">
        <v>42461</v>
      </c>
      <c r="W1671" s="4">
        <v>4324</v>
      </c>
      <c r="X1671" s="48">
        <v>4600</v>
      </c>
    </row>
    <row r="1672" spans="2:24" x14ac:dyDescent="0.35">
      <c r="B1672" s="8" t="s">
        <v>6</v>
      </c>
      <c r="C1672" s="8" t="s">
        <v>29</v>
      </c>
      <c r="D1672" s="8" t="s">
        <v>30</v>
      </c>
      <c r="E1672" s="9" t="s">
        <v>23</v>
      </c>
      <c r="F1672" s="9" t="s">
        <v>24</v>
      </c>
      <c r="G1672" s="8">
        <v>2016</v>
      </c>
      <c r="H1672" s="8">
        <v>4</v>
      </c>
      <c r="I1672" s="10">
        <v>42461</v>
      </c>
      <c r="J1672" s="11">
        <v>2346</v>
      </c>
      <c r="K1672" s="51"/>
      <c r="O1672" s="1" t="s">
        <v>6</v>
      </c>
      <c r="P1672" s="1" t="s">
        <v>29</v>
      </c>
      <c r="Q1672" s="1" t="s">
        <v>30</v>
      </c>
      <c r="R1672" s="2" t="s">
        <v>23</v>
      </c>
      <c r="S1672" s="2" t="s">
        <v>24</v>
      </c>
      <c r="T1672" s="1">
        <v>2016</v>
      </c>
      <c r="U1672" s="1">
        <v>4</v>
      </c>
      <c r="V1672" s="50">
        <v>42461</v>
      </c>
      <c r="W1672" s="4">
        <v>2111.3999999999996</v>
      </c>
      <c r="X1672" s="48">
        <v>2346</v>
      </c>
    </row>
    <row r="1673" spans="2:24" x14ac:dyDescent="0.35">
      <c r="B1673" s="8" t="s">
        <v>7</v>
      </c>
      <c r="C1673" s="8" t="s">
        <v>48</v>
      </c>
      <c r="D1673" s="8" t="s">
        <v>9</v>
      </c>
      <c r="E1673" s="8" t="s">
        <v>0</v>
      </c>
      <c r="F1673" s="9" t="s">
        <v>42</v>
      </c>
      <c r="G1673" s="8">
        <v>2016</v>
      </c>
      <c r="H1673" s="8">
        <v>4</v>
      </c>
      <c r="I1673" s="10">
        <v>42461</v>
      </c>
      <c r="J1673" s="11">
        <v>4186</v>
      </c>
      <c r="K1673" s="51"/>
      <c r="O1673" s="1" t="s">
        <v>7</v>
      </c>
      <c r="P1673" s="1" t="s">
        <v>48</v>
      </c>
      <c r="Q1673" s="1" t="s">
        <v>9</v>
      </c>
      <c r="R1673" s="1" t="s">
        <v>0</v>
      </c>
      <c r="S1673" s="2" t="s">
        <v>42</v>
      </c>
      <c r="T1673" s="1">
        <v>2016</v>
      </c>
      <c r="U1673" s="1">
        <v>4</v>
      </c>
      <c r="V1673" s="50">
        <v>42461</v>
      </c>
      <c r="W1673" s="4">
        <v>3809.2599999999998</v>
      </c>
      <c r="X1673" s="48">
        <v>4186</v>
      </c>
    </row>
    <row r="1674" spans="2:24" x14ac:dyDescent="0.35">
      <c r="B1674" s="8" t="s">
        <v>7</v>
      </c>
      <c r="C1674" s="8" t="s">
        <v>48</v>
      </c>
      <c r="D1674" s="8" t="s">
        <v>9</v>
      </c>
      <c r="E1674" s="8" t="s">
        <v>0</v>
      </c>
      <c r="F1674" s="6" t="s">
        <v>26</v>
      </c>
      <c r="G1674" s="8">
        <v>2016</v>
      </c>
      <c r="H1674" s="8">
        <v>4</v>
      </c>
      <c r="I1674" s="10">
        <v>42461</v>
      </c>
      <c r="J1674" s="11">
        <v>3239</v>
      </c>
      <c r="K1674" s="51"/>
      <c r="O1674" s="1" t="s">
        <v>7</v>
      </c>
      <c r="P1674" s="1" t="s">
        <v>48</v>
      </c>
      <c r="Q1674" s="1" t="s">
        <v>9</v>
      </c>
      <c r="R1674" s="1" t="s">
        <v>0</v>
      </c>
      <c r="S1674" t="s">
        <v>26</v>
      </c>
      <c r="T1674" s="1">
        <v>2016</v>
      </c>
      <c r="U1674" s="1">
        <v>4</v>
      </c>
      <c r="V1674" s="50">
        <v>42461</v>
      </c>
      <c r="W1674" s="4">
        <v>2817.9300000000003</v>
      </c>
      <c r="X1674" s="48">
        <v>3239</v>
      </c>
    </row>
    <row r="1675" spans="2:24" x14ac:dyDescent="0.35">
      <c r="B1675" s="8" t="s">
        <v>7</v>
      </c>
      <c r="C1675" s="8" t="s">
        <v>49</v>
      </c>
      <c r="D1675" s="8" t="s">
        <v>11</v>
      </c>
      <c r="E1675" s="8" t="s">
        <v>0</v>
      </c>
      <c r="F1675" s="8" t="s">
        <v>45</v>
      </c>
      <c r="G1675" s="8">
        <v>2016</v>
      </c>
      <c r="H1675" s="8">
        <v>4</v>
      </c>
      <c r="I1675" s="10">
        <v>42461</v>
      </c>
      <c r="J1675" s="11">
        <v>4159</v>
      </c>
      <c r="K1675" s="51"/>
      <c r="O1675" s="1" t="s">
        <v>7</v>
      </c>
      <c r="P1675" s="1" t="s">
        <v>49</v>
      </c>
      <c r="Q1675" s="1" t="s">
        <v>11</v>
      </c>
      <c r="R1675" s="1" t="s">
        <v>0</v>
      </c>
      <c r="S1675" s="1" t="s">
        <v>45</v>
      </c>
      <c r="T1675" s="1">
        <v>2016</v>
      </c>
      <c r="U1675" s="1">
        <v>4</v>
      </c>
      <c r="V1675" s="50">
        <v>42461</v>
      </c>
      <c r="W1675" s="4">
        <v>3576.7400000000002</v>
      </c>
      <c r="X1675" s="48">
        <v>4159</v>
      </c>
    </row>
    <row r="1676" spans="2:24" x14ac:dyDescent="0.35">
      <c r="B1676" s="8" t="s">
        <v>7</v>
      </c>
      <c r="C1676" s="8" t="s">
        <v>49</v>
      </c>
      <c r="D1676" s="8" t="s">
        <v>11</v>
      </c>
      <c r="E1676" s="8" t="s">
        <v>27</v>
      </c>
      <c r="F1676" s="8" t="s">
        <v>28</v>
      </c>
      <c r="G1676" s="8">
        <v>2016</v>
      </c>
      <c r="H1676" s="8">
        <v>4</v>
      </c>
      <c r="I1676" s="10">
        <v>42461</v>
      </c>
      <c r="J1676" s="11">
        <v>4868</v>
      </c>
      <c r="K1676" s="51"/>
      <c r="O1676" s="1" t="s">
        <v>7</v>
      </c>
      <c r="P1676" s="1" t="s">
        <v>49</v>
      </c>
      <c r="Q1676" s="1" t="s">
        <v>11</v>
      </c>
      <c r="R1676" s="1" t="s">
        <v>27</v>
      </c>
      <c r="S1676" s="1" t="s">
        <v>28</v>
      </c>
      <c r="T1676" s="1">
        <v>2016</v>
      </c>
      <c r="U1676" s="1">
        <v>4</v>
      </c>
      <c r="V1676" s="50">
        <v>42461</v>
      </c>
      <c r="W1676" s="4">
        <v>4527.24</v>
      </c>
      <c r="X1676" s="48">
        <v>4868</v>
      </c>
    </row>
    <row r="1677" spans="2:24" x14ac:dyDescent="0.35">
      <c r="B1677" s="8" t="s">
        <v>12</v>
      </c>
      <c r="C1677" s="8" t="s">
        <v>34</v>
      </c>
      <c r="D1677" s="8" t="s">
        <v>35</v>
      </c>
      <c r="E1677" s="8" t="s">
        <v>27</v>
      </c>
      <c r="F1677" s="8" t="s">
        <v>31</v>
      </c>
      <c r="G1677" s="8">
        <v>2016</v>
      </c>
      <c r="H1677" s="8">
        <v>4</v>
      </c>
      <c r="I1677" s="10">
        <v>42461</v>
      </c>
      <c r="J1677" s="11">
        <v>4096</v>
      </c>
      <c r="K1677" s="51"/>
      <c r="O1677" s="1" t="s">
        <v>12</v>
      </c>
      <c r="P1677" s="1" t="s">
        <v>34</v>
      </c>
      <c r="Q1677" s="1" t="s">
        <v>35</v>
      </c>
      <c r="R1677" s="1" t="s">
        <v>27</v>
      </c>
      <c r="S1677" s="1" t="s">
        <v>31</v>
      </c>
      <c r="T1677" s="1">
        <v>2016</v>
      </c>
      <c r="U1677" s="1">
        <v>4</v>
      </c>
      <c r="V1677" s="50">
        <v>42461</v>
      </c>
      <c r="W1677" s="4">
        <v>3686.3999999999996</v>
      </c>
      <c r="X1677" s="48">
        <v>4096</v>
      </c>
    </row>
    <row r="1678" spans="2:24" x14ac:dyDescent="0.35">
      <c r="B1678" s="8" t="s">
        <v>12</v>
      </c>
      <c r="C1678" s="8" t="s">
        <v>34</v>
      </c>
      <c r="D1678" s="8" t="s">
        <v>35</v>
      </c>
      <c r="E1678" s="8" t="s">
        <v>27</v>
      </c>
      <c r="F1678" s="6" t="s">
        <v>33</v>
      </c>
      <c r="G1678" s="8">
        <v>2016</v>
      </c>
      <c r="H1678" s="8">
        <v>4</v>
      </c>
      <c r="I1678" s="10">
        <v>42461</v>
      </c>
      <c r="J1678" s="11">
        <v>3216</v>
      </c>
      <c r="K1678" s="51"/>
      <c r="O1678" s="1" t="s">
        <v>12</v>
      </c>
      <c r="P1678" s="1" t="s">
        <v>34</v>
      </c>
      <c r="Q1678" s="1" t="s">
        <v>35</v>
      </c>
      <c r="R1678" s="1" t="s">
        <v>27</v>
      </c>
      <c r="S1678" t="s">
        <v>33</v>
      </c>
      <c r="T1678" s="1">
        <v>2016</v>
      </c>
      <c r="U1678" s="1">
        <v>4</v>
      </c>
      <c r="V1678" s="50">
        <v>42461</v>
      </c>
      <c r="W1678" s="4">
        <v>3023.04</v>
      </c>
      <c r="X1678" s="48">
        <v>3216</v>
      </c>
    </row>
    <row r="1679" spans="2:24" x14ac:dyDescent="0.35">
      <c r="B1679" s="8" t="s">
        <v>14</v>
      </c>
      <c r="C1679" s="8" t="s">
        <v>37</v>
      </c>
      <c r="D1679" s="8" t="s">
        <v>38</v>
      </c>
      <c r="E1679" s="8" t="s">
        <v>23</v>
      </c>
      <c r="F1679" s="6" t="s">
        <v>36</v>
      </c>
      <c r="G1679" s="8">
        <v>2016</v>
      </c>
      <c r="H1679" s="8">
        <v>4</v>
      </c>
      <c r="I1679" s="10">
        <v>42461</v>
      </c>
      <c r="J1679" s="11">
        <v>2403</v>
      </c>
      <c r="K1679" s="51"/>
      <c r="O1679" s="1" t="s">
        <v>14</v>
      </c>
      <c r="P1679" s="1" t="s">
        <v>37</v>
      </c>
      <c r="Q1679" s="1" t="s">
        <v>38</v>
      </c>
      <c r="R1679" s="1" t="s">
        <v>23</v>
      </c>
      <c r="S1679" t="s">
        <v>36</v>
      </c>
      <c r="T1679" s="1">
        <v>2016</v>
      </c>
      <c r="U1679" s="1">
        <v>4</v>
      </c>
      <c r="V1679" s="50">
        <v>42461</v>
      </c>
      <c r="W1679" s="4">
        <v>2186.73</v>
      </c>
      <c r="X1679" s="48">
        <v>2403</v>
      </c>
    </row>
    <row r="1680" spans="2:24" x14ac:dyDescent="0.35">
      <c r="B1680" s="8" t="s">
        <v>12</v>
      </c>
      <c r="C1680" s="8" t="s">
        <v>44</v>
      </c>
      <c r="D1680" s="8" t="s">
        <v>13</v>
      </c>
      <c r="E1680" s="8" t="s">
        <v>23</v>
      </c>
      <c r="F1680" s="6" t="s">
        <v>39</v>
      </c>
      <c r="G1680" s="8">
        <v>2016</v>
      </c>
      <c r="H1680" s="8">
        <v>4</v>
      </c>
      <c r="I1680" s="10">
        <v>42461</v>
      </c>
      <c r="J1680" s="11">
        <v>2787</v>
      </c>
      <c r="K1680" s="51"/>
      <c r="O1680" s="1" t="s">
        <v>12</v>
      </c>
      <c r="P1680" s="1" t="s">
        <v>44</v>
      </c>
      <c r="Q1680" s="1" t="s">
        <v>13</v>
      </c>
      <c r="R1680" s="1" t="s">
        <v>23</v>
      </c>
      <c r="S1680" t="s">
        <v>39</v>
      </c>
      <c r="T1680" s="1">
        <v>2016</v>
      </c>
      <c r="U1680" s="1">
        <v>4</v>
      </c>
      <c r="V1680" s="50">
        <v>42461</v>
      </c>
      <c r="W1680" s="4">
        <v>2536.1699999999996</v>
      </c>
      <c r="X1680" s="48">
        <v>2787</v>
      </c>
    </row>
    <row r="1681" spans="2:24" x14ac:dyDescent="0.35">
      <c r="B1681" s="8" t="s">
        <v>12</v>
      </c>
      <c r="C1681" s="8" t="s">
        <v>44</v>
      </c>
      <c r="D1681" s="8" t="s">
        <v>13</v>
      </c>
      <c r="E1681" s="9" t="s">
        <v>0</v>
      </c>
      <c r="F1681" s="9" t="s">
        <v>42</v>
      </c>
      <c r="G1681" s="8">
        <v>2016</v>
      </c>
      <c r="H1681" s="8">
        <v>4</v>
      </c>
      <c r="I1681" s="10">
        <v>42461</v>
      </c>
      <c r="J1681" s="11">
        <v>5389</v>
      </c>
      <c r="K1681" s="51"/>
      <c r="O1681" s="1" t="s">
        <v>12</v>
      </c>
      <c r="P1681" s="1" t="s">
        <v>44</v>
      </c>
      <c r="Q1681" s="1" t="s">
        <v>13</v>
      </c>
      <c r="R1681" s="2" t="s">
        <v>0</v>
      </c>
      <c r="S1681" s="2" t="s">
        <v>42</v>
      </c>
      <c r="T1681" s="1">
        <v>2016</v>
      </c>
      <c r="U1681" s="1">
        <v>4</v>
      </c>
      <c r="V1681" s="50">
        <v>42461</v>
      </c>
      <c r="W1681" s="4">
        <v>4634.5400000000009</v>
      </c>
      <c r="X1681" s="48">
        <v>5389</v>
      </c>
    </row>
    <row r="1682" spans="2:24" x14ac:dyDescent="0.35">
      <c r="B1682" s="8" t="s">
        <v>14</v>
      </c>
      <c r="C1682" s="8" t="s">
        <v>46</v>
      </c>
      <c r="D1682" s="8" t="s">
        <v>47</v>
      </c>
      <c r="E1682" s="8" t="s">
        <v>0</v>
      </c>
      <c r="F1682" s="9" t="s">
        <v>26</v>
      </c>
      <c r="G1682" s="8">
        <v>2016</v>
      </c>
      <c r="H1682" s="8">
        <v>4</v>
      </c>
      <c r="I1682" s="10">
        <v>42461</v>
      </c>
      <c r="J1682" s="11">
        <v>3604</v>
      </c>
      <c r="K1682" s="51"/>
      <c r="O1682" s="1" t="s">
        <v>14</v>
      </c>
      <c r="P1682" s="1" t="s">
        <v>46</v>
      </c>
      <c r="Q1682" s="1" t="s">
        <v>47</v>
      </c>
      <c r="R1682" s="1" t="s">
        <v>0</v>
      </c>
      <c r="S1682" s="2" t="s">
        <v>26</v>
      </c>
      <c r="T1682" s="1">
        <v>2016</v>
      </c>
      <c r="U1682" s="1">
        <v>4</v>
      </c>
      <c r="V1682" s="50">
        <v>42461</v>
      </c>
      <c r="W1682" s="4">
        <v>3171.5199999999995</v>
      </c>
      <c r="X1682" s="48">
        <v>3604</v>
      </c>
    </row>
    <row r="1683" spans="2:24" x14ac:dyDescent="0.35">
      <c r="B1683" s="8" t="s">
        <v>14</v>
      </c>
      <c r="C1683" s="8" t="s">
        <v>46</v>
      </c>
      <c r="D1683" s="8" t="s">
        <v>47</v>
      </c>
      <c r="E1683" s="8" t="s">
        <v>0</v>
      </c>
      <c r="F1683" s="6" t="s">
        <v>45</v>
      </c>
      <c r="G1683" s="8">
        <v>2016</v>
      </c>
      <c r="H1683" s="8">
        <v>4</v>
      </c>
      <c r="I1683" s="10">
        <v>42461</v>
      </c>
      <c r="J1683" s="11">
        <v>4868</v>
      </c>
      <c r="K1683" s="51"/>
      <c r="O1683" s="1" t="s">
        <v>14</v>
      </c>
      <c r="P1683" s="1" t="s">
        <v>46</v>
      </c>
      <c r="Q1683" s="1" t="s">
        <v>47</v>
      </c>
      <c r="R1683" s="1" t="s">
        <v>0</v>
      </c>
      <c r="S1683" t="s">
        <v>45</v>
      </c>
      <c r="T1683" s="1">
        <v>2016</v>
      </c>
      <c r="U1683" s="1">
        <v>4</v>
      </c>
      <c r="V1683" s="50">
        <v>42461</v>
      </c>
      <c r="W1683" s="4">
        <v>4575.92</v>
      </c>
      <c r="X1683" s="48">
        <v>4868</v>
      </c>
    </row>
    <row r="1684" spans="2:24" x14ac:dyDescent="0.35">
      <c r="B1684" s="8" t="s">
        <v>3</v>
      </c>
      <c r="C1684" s="8" t="s">
        <v>25</v>
      </c>
      <c r="D1684" s="8" t="s">
        <v>4</v>
      </c>
      <c r="E1684" s="8" t="s">
        <v>27</v>
      </c>
      <c r="F1684" s="8" t="s">
        <v>33</v>
      </c>
      <c r="G1684" s="8">
        <v>2016</v>
      </c>
      <c r="H1684" s="8">
        <v>4</v>
      </c>
      <c r="I1684" s="10">
        <v>42461</v>
      </c>
      <c r="J1684" s="11">
        <v>2845</v>
      </c>
      <c r="K1684" s="51"/>
      <c r="O1684" s="1" t="s">
        <v>3</v>
      </c>
      <c r="P1684" s="1" t="s">
        <v>25</v>
      </c>
      <c r="Q1684" s="1" t="s">
        <v>4</v>
      </c>
      <c r="R1684" s="1" t="s">
        <v>27</v>
      </c>
      <c r="S1684" s="1" t="s">
        <v>33</v>
      </c>
      <c r="T1684" s="1">
        <v>2016</v>
      </c>
      <c r="U1684" s="1">
        <v>4</v>
      </c>
      <c r="V1684" s="50">
        <v>42461</v>
      </c>
      <c r="W1684" s="4">
        <v>2674.2999999999997</v>
      </c>
      <c r="X1684" s="48">
        <v>2845</v>
      </c>
    </row>
    <row r="1685" spans="2:24" x14ac:dyDescent="0.35">
      <c r="B1685" s="8" t="s">
        <v>3</v>
      </c>
      <c r="C1685" s="8" t="s">
        <v>25</v>
      </c>
      <c r="D1685" s="8" t="s">
        <v>4</v>
      </c>
      <c r="E1685" s="8" t="s">
        <v>23</v>
      </c>
      <c r="F1685" s="8" t="s">
        <v>36</v>
      </c>
      <c r="G1685" s="8">
        <v>2016</v>
      </c>
      <c r="H1685" s="8">
        <v>4</v>
      </c>
      <c r="I1685" s="10">
        <v>42461</v>
      </c>
      <c r="J1685" s="11">
        <v>2622</v>
      </c>
      <c r="K1685" s="51"/>
      <c r="O1685" s="1" t="s">
        <v>3</v>
      </c>
      <c r="P1685" s="1" t="s">
        <v>25</v>
      </c>
      <c r="Q1685" s="1" t="s">
        <v>4</v>
      </c>
      <c r="R1685" s="1" t="s">
        <v>23</v>
      </c>
      <c r="S1685" s="1" t="s">
        <v>36</v>
      </c>
      <c r="T1685" s="1">
        <v>2016</v>
      </c>
      <c r="U1685" s="1">
        <v>4</v>
      </c>
      <c r="V1685" s="50">
        <v>42461</v>
      </c>
      <c r="W1685" s="4">
        <v>2412.2399999999998</v>
      </c>
      <c r="X1685" s="48">
        <v>2622</v>
      </c>
    </row>
    <row r="1686" spans="2:24" x14ac:dyDescent="0.35">
      <c r="B1686" s="8" t="s">
        <v>6</v>
      </c>
      <c r="C1686" s="8" t="s">
        <v>40</v>
      </c>
      <c r="D1686" s="8" t="s">
        <v>41</v>
      </c>
      <c r="E1686" s="8" t="s">
        <v>23</v>
      </c>
      <c r="F1686" s="8" t="s">
        <v>39</v>
      </c>
      <c r="G1686" s="8">
        <v>2016</v>
      </c>
      <c r="H1686" s="8">
        <v>4</v>
      </c>
      <c r="I1686" s="10">
        <v>42461</v>
      </c>
      <c r="J1686" s="11">
        <v>2243</v>
      </c>
      <c r="K1686" s="51"/>
      <c r="O1686" s="1" t="s">
        <v>6</v>
      </c>
      <c r="P1686" s="1" t="s">
        <v>40</v>
      </c>
      <c r="Q1686" s="1" t="s">
        <v>41</v>
      </c>
      <c r="R1686" s="1" t="s">
        <v>23</v>
      </c>
      <c r="S1686" s="1" t="s">
        <v>39</v>
      </c>
      <c r="T1686" s="1">
        <v>2016</v>
      </c>
      <c r="U1686" s="1">
        <v>4</v>
      </c>
      <c r="V1686" s="50">
        <v>42461</v>
      </c>
      <c r="W1686" s="4">
        <v>1996.2699999999998</v>
      </c>
      <c r="X1686" s="48">
        <v>2243</v>
      </c>
    </row>
    <row r="1687" spans="2:24" x14ac:dyDescent="0.35">
      <c r="B1687" s="8" t="s">
        <v>7</v>
      </c>
      <c r="C1687" s="8" t="s">
        <v>48</v>
      </c>
      <c r="D1687" s="8" t="s">
        <v>9</v>
      </c>
      <c r="E1687" s="8" t="s">
        <v>0</v>
      </c>
      <c r="F1687" s="6" t="s">
        <v>45</v>
      </c>
      <c r="G1687" s="8">
        <v>2016</v>
      </c>
      <c r="H1687" s="8">
        <v>4</v>
      </c>
      <c r="I1687" s="10">
        <v>42461</v>
      </c>
      <c r="J1687" s="11">
        <v>2514</v>
      </c>
      <c r="K1687" s="51"/>
      <c r="O1687" s="1" t="s">
        <v>7</v>
      </c>
      <c r="P1687" s="1" t="s">
        <v>48</v>
      </c>
      <c r="Q1687" s="1" t="s">
        <v>9</v>
      </c>
      <c r="R1687" s="1" t="s">
        <v>0</v>
      </c>
      <c r="S1687" t="s">
        <v>45</v>
      </c>
      <c r="T1687" s="1">
        <v>2016</v>
      </c>
      <c r="U1687" s="1">
        <v>4</v>
      </c>
      <c r="V1687" s="50">
        <v>42461</v>
      </c>
      <c r="W1687" s="4">
        <v>2262.6</v>
      </c>
      <c r="X1687" s="48">
        <v>2514</v>
      </c>
    </row>
    <row r="1688" spans="2:24" x14ac:dyDescent="0.35">
      <c r="B1688" s="8" t="s">
        <v>7</v>
      </c>
      <c r="C1688" s="8" t="s">
        <v>49</v>
      </c>
      <c r="D1688" s="8" t="s">
        <v>11</v>
      </c>
      <c r="E1688" s="8" t="s">
        <v>27</v>
      </c>
      <c r="F1688" s="6" t="s">
        <v>31</v>
      </c>
      <c r="G1688" s="8">
        <v>2016</v>
      </c>
      <c r="H1688" s="8">
        <v>4</v>
      </c>
      <c r="I1688" s="10">
        <v>42461</v>
      </c>
      <c r="J1688" s="11">
        <v>3073</v>
      </c>
      <c r="K1688" s="51"/>
      <c r="O1688" s="1" t="s">
        <v>7</v>
      </c>
      <c r="P1688" s="1" t="s">
        <v>49</v>
      </c>
      <c r="Q1688" s="1" t="s">
        <v>11</v>
      </c>
      <c r="R1688" s="1" t="s">
        <v>27</v>
      </c>
      <c r="S1688" t="s">
        <v>31</v>
      </c>
      <c r="T1688" s="1">
        <v>2016</v>
      </c>
      <c r="U1688" s="1">
        <v>4</v>
      </c>
      <c r="V1688" s="50">
        <v>42461</v>
      </c>
      <c r="W1688" s="4">
        <v>2704.24</v>
      </c>
      <c r="X1688" s="48">
        <v>3073</v>
      </c>
    </row>
    <row r="1689" spans="2:24" x14ac:dyDescent="0.35">
      <c r="B1689" s="8" t="s">
        <v>7</v>
      </c>
      <c r="C1689" s="8" t="s">
        <v>43</v>
      </c>
      <c r="D1689" s="8" t="s">
        <v>10</v>
      </c>
      <c r="E1689" s="8" t="s">
        <v>27</v>
      </c>
      <c r="F1689" s="6" t="s">
        <v>33</v>
      </c>
      <c r="G1689" s="8">
        <v>2016</v>
      </c>
      <c r="H1689" s="8">
        <v>4</v>
      </c>
      <c r="I1689" s="10">
        <v>42461</v>
      </c>
      <c r="J1689" s="11">
        <v>3897</v>
      </c>
      <c r="K1689" s="51"/>
      <c r="O1689" s="1" t="s">
        <v>7</v>
      </c>
      <c r="P1689" s="1" t="s">
        <v>43</v>
      </c>
      <c r="Q1689" s="1" t="s">
        <v>10</v>
      </c>
      <c r="R1689" s="1" t="s">
        <v>27</v>
      </c>
      <c r="S1689" t="s">
        <v>33</v>
      </c>
      <c r="T1689" s="1">
        <v>2016</v>
      </c>
      <c r="U1689" s="1">
        <v>4</v>
      </c>
      <c r="V1689" s="50">
        <v>42461</v>
      </c>
      <c r="W1689" s="4">
        <v>3390.3900000000003</v>
      </c>
      <c r="X1689" s="48">
        <v>3897</v>
      </c>
    </row>
    <row r="1690" spans="2:24" x14ac:dyDescent="0.35">
      <c r="B1690" s="8" t="s">
        <v>7</v>
      </c>
      <c r="C1690" s="8" t="s">
        <v>32</v>
      </c>
      <c r="D1690" s="8" t="s">
        <v>8</v>
      </c>
      <c r="E1690" s="9" t="s">
        <v>0</v>
      </c>
      <c r="F1690" s="9" t="s">
        <v>45</v>
      </c>
      <c r="G1690" s="8">
        <v>2016</v>
      </c>
      <c r="H1690" s="8">
        <v>4</v>
      </c>
      <c r="I1690" s="10">
        <v>42461</v>
      </c>
      <c r="J1690" s="11">
        <v>4474</v>
      </c>
      <c r="K1690" s="51"/>
      <c r="O1690" s="1" t="s">
        <v>7</v>
      </c>
      <c r="P1690" s="1" t="s">
        <v>32</v>
      </c>
      <c r="Q1690" s="1" t="s">
        <v>8</v>
      </c>
      <c r="R1690" s="2" t="s">
        <v>0</v>
      </c>
      <c r="S1690" s="2" t="s">
        <v>45</v>
      </c>
      <c r="T1690" s="1">
        <v>2016</v>
      </c>
      <c r="U1690" s="1">
        <v>4</v>
      </c>
      <c r="V1690" s="50">
        <v>42461</v>
      </c>
      <c r="W1690" s="4">
        <v>4026.5999999999995</v>
      </c>
      <c r="X1690" s="48">
        <v>4474</v>
      </c>
    </row>
    <row r="1691" spans="2:24" x14ac:dyDescent="0.35">
      <c r="B1691" s="8" t="s">
        <v>7</v>
      </c>
      <c r="C1691" s="8" t="s">
        <v>48</v>
      </c>
      <c r="D1691" s="8" t="s">
        <v>9</v>
      </c>
      <c r="E1691" s="8" t="s">
        <v>23</v>
      </c>
      <c r="F1691" s="9" t="s">
        <v>39</v>
      </c>
      <c r="G1691" s="8">
        <v>2016</v>
      </c>
      <c r="H1691" s="8">
        <v>4</v>
      </c>
      <c r="I1691" s="10">
        <v>42461</v>
      </c>
      <c r="J1691" s="11">
        <v>1426</v>
      </c>
      <c r="K1691" s="51"/>
      <c r="O1691" s="1" t="s">
        <v>7</v>
      </c>
      <c r="P1691" s="1" t="s">
        <v>48</v>
      </c>
      <c r="Q1691" s="1" t="s">
        <v>9</v>
      </c>
      <c r="R1691" s="1" t="s">
        <v>23</v>
      </c>
      <c r="S1691" s="2" t="s">
        <v>39</v>
      </c>
      <c r="T1691" s="1">
        <v>2016</v>
      </c>
      <c r="U1691" s="1">
        <v>4</v>
      </c>
      <c r="V1691" s="50">
        <v>42461</v>
      </c>
      <c r="W1691" s="4">
        <v>1212.1000000000001</v>
      </c>
      <c r="X1691" s="48">
        <v>1426</v>
      </c>
    </row>
    <row r="1692" spans="2:24" x14ac:dyDescent="0.35">
      <c r="B1692" s="8" t="s">
        <v>7</v>
      </c>
      <c r="C1692" s="8" t="s">
        <v>49</v>
      </c>
      <c r="D1692" s="8" t="s">
        <v>11</v>
      </c>
      <c r="E1692" s="8" t="s">
        <v>0</v>
      </c>
      <c r="F1692" s="6" t="s">
        <v>26</v>
      </c>
      <c r="G1692" s="8">
        <v>2016</v>
      </c>
      <c r="H1692" s="8">
        <v>4</v>
      </c>
      <c r="I1692" s="10">
        <v>42461</v>
      </c>
      <c r="J1692" s="11">
        <v>4480</v>
      </c>
      <c r="K1692" s="51"/>
      <c r="O1692" s="1" t="s">
        <v>7</v>
      </c>
      <c r="P1692" s="1" t="s">
        <v>49</v>
      </c>
      <c r="Q1692" s="1" t="s">
        <v>11</v>
      </c>
      <c r="R1692" s="1" t="s">
        <v>0</v>
      </c>
      <c r="S1692" t="s">
        <v>26</v>
      </c>
      <c r="T1692" s="1">
        <v>2016</v>
      </c>
      <c r="U1692" s="1">
        <v>4</v>
      </c>
      <c r="V1692" s="50">
        <v>42461</v>
      </c>
      <c r="W1692" s="4">
        <v>4121.5999999999995</v>
      </c>
      <c r="X1692" s="48">
        <v>4480</v>
      </c>
    </row>
    <row r="1693" spans="2:24" x14ac:dyDescent="0.35">
      <c r="B1693" s="8" t="s">
        <v>12</v>
      </c>
      <c r="C1693" s="8" t="s">
        <v>34</v>
      </c>
      <c r="D1693" s="8" t="s">
        <v>35</v>
      </c>
      <c r="E1693" s="8" t="s">
        <v>27</v>
      </c>
      <c r="F1693" s="8" t="s">
        <v>28</v>
      </c>
      <c r="G1693" s="8">
        <v>2016</v>
      </c>
      <c r="H1693" s="8">
        <v>4</v>
      </c>
      <c r="I1693" s="10">
        <v>42461</v>
      </c>
      <c r="J1693" s="11">
        <v>3823</v>
      </c>
      <c r="K1693" s="51"/>
      <c r="O1693" s="1" t="s">
        <v>12</v>
      </c>
      <c r="P1693" s="1" t="s">
        <v>34</v>
      </c>
      <c r="Q1693" s="1" t="s">
        <v>35</v>
      </c>
      <c r="R1693" s="1" t="s">
        <v>27</v>
      </c>
      <c r="S1693" s="1" t="s">
        <v>28</v>
      </c>
      <c r="T1693" s="1">
        <v>2016</v>
      </c>
      <c r="U1693" s="1">
        <v>4</v>
      </c>
      <c r="V1693" s="50">
        <v>42461</v>
      </c>
      <c r="W1693" s="4">
        <v>3364.24</v>
      </c>
      <c r="X1693" s="48">
        <v>3823</v>
      </c>
    </row>
    <row r="1694" spans="2:24" x14ac:dyDescent="0.35">
      <c r="B1694" s="8" t="s">
        <v>14</v>
      </c>
      <c r="C1694" s="8" t="s">
        <v>37</v>
      </c>
      <c r="D1694" s="8" t="s">
        <v>38</v>
      </c>
      <c r="E1694" s="8" t="s">
        <v>27</v>
      </c>
      <c r="F1694" s="8" t="s">
        <v>33</v>
      </c>
      <c r="G1694" s="8">
        <v>2016</v>
      </c>
      <c r="H1694" s="8">
        <v>4</v>
      </c>
      <c r="I1694" s="10">
        <v>42461</v>
      </c>
      <c r="J1694" s="11">
        <v>3392</v>
      </c>
      <c r="K1694" s="51"/>
      <c r="O1694" s="1" t="s">
        <v>14</v>
      </c>
      <c r="P1694" s="1" t="s">
        <v>37</v>
      </c>
      <c r="Q1694" s="1" t="s">
        <v>38</v>
      </c>
      <c r="R1694" s="1" t="s">
        <v>27</v>
      </c>
      <c r="S1694" s="1" t="s">
        <v>33</v>
      </c>
      <c r="T1694" s="1">
        <v>2016</v>
      </c>
      <c r="U1694" s="1">
        <v>4</v>
      </c>
      <c r="V1694" s="50">
        <v>42461</v>
      </c>
      <c r="W1694" s="4">
        <v>3086.72</v>
      </c>
      <c r="X1694" s="48">
        <v>3392</v>
      </c>
    </row>
    <row r="1695" spans="2:24" x14ac:dyDescent="0.35">
      <c r="B1695" s="8" t="s">
        <v>12</v>
      </c>
      <c r="C1695" s="8" t="s">
        <v>44</v>
      </c>
      <c r="D1695" s="8" t="s">
        <v>13</v>
      </c>
      <c r="E1695" s="8" t="s">
        <v>23</v>
      </c>
      <c r="F1695" s="8" t="s">
        <v>24</v>
      </c>
      <c r="G1695" s="8">
        <v>2016</v>
      </c>
      <c r="H1695" s="8">
        <v>4</v>
      </c>
      <c r="I1695" s="10">
        <v>42461</v>
      </c>
      <c r="J1695" s="11">
        <v>2275</v>
      </c>
      <c r="K1695" s="51"/>
      <c r="O1695" s="1" t="s">
        <v>12</v>
      </c>
      <c r="P1695" s="1" t="s">
        <v>44</v>
      </c>
      <c r="Q1695" s="1" t="s">
        <v>13</v>
      </c>
      <c r="R1695" s="1" t="s">
        <v>23</v>
      </c>
      <c r="S1695" s="1" t="s">
        <v>24</v>
      </c>
      <c r="T1695" s="1">
        <v>2016</v>
      </c>
      <c r="U1695" s="1">
        <v>4</v>
      </c>
      <c r="V1695" s="50">
        <v>42461</v>
      </c>
      <c r="W1695" s="4">
        <v>2093</v>
      </c>
      <c r="X1695" s="48">
        <v>2275</v>
      </c>
    </row>
    <row r="1696" spans="2:24" x14ac:dyDescent="0.35">
      <c r="B1696" s="8" t="s">
        <v>14</v>
      </c>
      <c r="C1696" s="8" t="s">
        <v>46</v>
      </c>
      <c r="D1696" s="8" t="s">
        <v>47</v>
      </c>
      <c r="E1696" s="8" t="s">
        <v>0</v>
      </c>
      <c r="F1696" s="6" t="s">
        <v>42</v>
      </c>
      <c r="G1696" s="8">
        <v>2016</v>
      </c>
      <c r="H1696" s="8">
        <v>4</v>
      </c>
      <c r="I1696" s="10">
        <v>42461</v>
      </c>
      <c r="J1696" s="11">
        <v>4917</v>
      </c>
      <c r="K1696" s="51"/>
      <c r="O1696" s="1" t="s">
        <v>14</v>
      </c>
      <c r="P1696" s="1" t="s">
        <v>46</v>
      </c>
      <c r="Q1696" s="1" t="s">
        <v>47</v>
      </c>
      <c r="R1696" s="1" t="s">
        <v>0</v>
      </c>
      <c r="S1696" t="s">
        <v>42</v>
      </c>
      <c r="T1696" s="1">
        <v>2016</v>
      </c>
      <c r="U1696" s="1">
        <v>4</v>
      </c>
      <c r="V1696" s="50">
        <v>42461</v>
      </c>
      <c r="W1696" s="4">
        <v>4425.2999999999993</v>
      </c>
      <c r="X1696" s="48">
        <v>4917</v>
      </c>
    </row>
    <row r="1697" spans="2:24" x14ac:dyDescent="0.35">
      <c r="B1697" s="8" t="s">
        <v>7</v>
      </c>
      <c r="C1697" s="8" t="s">
        <v>48</v>
      </c>
      <c r="D1697" s="8" t="s">
        <v>9</v>
      </c>
      <c r="E1697" s="8" t="s">
        <v>27</v>
      </c>
      <c r="F1697" s="6" t="s">
        <v>33</v>
      </c>
      <c r="G1697" s="8">
        <v>2016</v>
      </c>
      <c r="H1697" s="8">
        <v>4</v>
      </c>
      <c r="I1697" s="10">
        <v>42461</v>
      </c>
      <c r="J1697" s="11">
        <v>3718</v>
      </c>
      <c r="K1697" s="51"/>
      <c r="O1697" s="1" t="s">
        <v>7</v>
      </c>
      <c r="P1697" s="1" t="s">
        <v>48</v>
      </c>
      <c r="Q1697" s="1" t="s">
        <v>9</v>
      </c>
      <c r="R1697" s="1" t="s">
        <v>27</v>
      </c>
      <c r="S1697" t="s">
        <v>33</v>
      </c>
      <c r="T1697" s="1">
        <v>2016</v>
      </c>
      <c r="U1697" s="1">
        <v>4</v>
      </c>
      <c r="V1697" s="50">
        <v>42461</v>
      </c>
      <c r="W1697" s="4">
        <v>3197.4800000000005</v>
      </c>
      <c r="X1697" s="48">
        <v>3718</v>
      </c>
    </row>
    <row r="1698" spans="2:24" x14ac:dyDescent="0.35">
      <c r="B1698" s="8" t="s">
        <v>7</v>
      </c>
      <c r="C1698" s="8" t="s">
        <v>49</v>
      </c>
      <c r="D1698" s="8" t="s">
        <v>11</v>
      </c>
      <c r="E1698" s="8" t="s">
        <v>23</v>
      </c>
      <c r="F1698" s="6" t="s">
        <v>24</v>
      </c>
      <c r="G1698" s="8">
        <v>2016</v>
      </c>
      <c r="H1698" s="8">
        <v>4</v>
      </c>
      <c r="I1698" s="10">
        <v>42461</v>
      </c>
      <c r="J1698" s="11">
        <v>1783</v>
      </c>
      <c r="K1698" s="51"/>
      <c r="O1698" s="1" t="s">
        <v>7</v>
      </c>
      <c r="P1698" s="1" t="s">
        <v>49</v>
      </c>
      <c r="Q1698" s="1" t="s">
        <v>11</v>
      </c>
      <c r="R1698" s="1" t="s">
        <v>23</v>
      </c>
      <c r="S1698" t="s">
        <v>24</v>
      </c>
      <c r="T1698" s="1">
        <v>2016</v>
      </c>
      <c r="U1698" s="1">
        <v>4</v>
      </c>
      <c r="V1698" s="50">
        <v>42461</v>
      </c>
      <c r="W1698" s="4">
        <v>1551.2100000000003</v>
      </c>
      <c r="X1698" s="48">
        <v>1783</v>
      </c>
    </row>
    <row r="1699" spans="2:24" x14ac:dyDescent="0.35">
      <c r="B1699" s="8" t="s">
        <v>3</v>
      </c>
      <c r="C1699" s="8" t="s">
        <v>22</v>
      </c>
      <c r="D1699" s="8" t="s">
        <v>5</v>
      </c>
      <c r="E1699" s="9" t="s">
        <v>23</v>
      </c>
      <c r="F1699" s="9" t="s">
        <v>24</v>
      </c>
      <c r="G1699" s="8">
        <v>2016</v>
      </c>
      <c r="H1699" s="8">
        <v>5</v>
      </c>
      <c r="I1699" s="10">
        <v>42491</v>
      </c>
      <c r="J1699" s="11">
        <v>2198</v>
      </c>
      <c r="K1699" s="51"/>
      <c r="O1699" s="1" t="s">
        <v>3</v>
      </c>
      <c r="P1699" s="1" t="s">
        <v>22</v>
      </c>
      <c r="Q1699" s="1" t="s">
        <v>5</v>
      </c>
      <c r="R1699" s="2" t="s">
        <v>23</v>
      </c>
      <c r="S1699" s="2" t="s">
        <v>24</v>
      </c>
      <c r="T1699" s="1">
        <v>2016</v>
      </c>
      <c r="U1699" s="1">
        <v>5</v>
      </c>
      <c r="V1699" s="50">
        <v>42491</v>
      </c>
      <c r="W1699" s="4">
        <v>2066.12</v>
      </c>
      <c r="X1699" s="48">
        <v>2198</v>
      </c>
    </row>
    <row r="1700" spans="2:24" x14ac:dyDescent="0.35">
      <c r="B1700" s="8" t="s">
        <v>3</v>
      </c>
      <c r="C1700" s="8" t="s">
        <v>25</v>
      </c>
      <c r="D1700" s="8" t="s">
        <v>4</v>
      </c>
      <c r="E1700" s="8" t="s">
        <v>23</v>
      </c>
      <c r="F1700" s="9" t="s">
        <v>24</v>
      </c>
      <c r="G1700" s="8">
        <v>2016</v>
      </c>
      <c r="H1700" s="8">
        <v>5</v>
      </c>
      <c r="I1700" s="10">
        <v>42491</v>
      </c>
      <c r="J1700" s="11">
        <v>3329</v>
      </c>
      <c r="K1700" s="51"/>
      <c r="O1700" s="1" t="s">
        <v>3</v>
      </c>
      <c r="P1700" s="1" t="s">
        <v>25</v>
      </c>
      <c r="Q1700" s="1" t="s">
        <v>4</v>
      </c>
      <c r="R1700" s="1" t="s">
        <v>23</v>
      </c>
      <c r="S1700" s="2" t="s">
        <v>24</v>
      </c>
      <c r="T1700" s="1">
        <v>2016</v>
      </c>
      <c r="U1700" s="1">
        <v>5</v>
      </c>
      <c r="V1700" s="50">
        <v>42491</v>
      </c>
      <c r="W1700" s="4">
        <v>3095.97</v>
      </c>
      <c r="X1700" s="48">
        <v>3329</v>
      </c>
    </row>
    <row r="1701" spans="2:24" x14ac:dyDescent="0.35">
      <c r="B1701" s="8" t="s">
        <v>3</v>
      </c>
      <c r="C1701" s="8" t="s">
        <v>25</v>
      </c>
      <c r="D1701" s="8" t="s">
        <v>4</v>
      </c>
      <c r="E1701" s="8" t="s">
        <v>0</v>
      </c>
      <c r="F1701" s="6" t="s">
        <v>26</v>
      </c>
      <c r="G1701" s="8">
        <v>2016</v>
      </c>
      <c r="H1701" s="8">
        <v>5</v>
      </c>
      <c r="I1701" s="10">
        <v>42491</v>
      </c>
      <c r="J1701" s="11">
        <v>5572</v>
      </c>
      <c r="K1701" s="51"/>
      <c r="O1701" s="1" t="s">
        <v>3</v>
      </c>
      <c r="P1701" s="1" t="s">
        <v>25</v>
      </c>
      <c r="Q1701" s="1" t="s">
        <v>4</v>
      </c>
      <c r="R1701" s="1" t="s">
        <v>0</v>
      </c>
      <c r="S1701" t="s">
        <v>26</v>
      </c>
      <c r="T1701" s="1">
        <v>2016</v>
      </c>
      <c r="U1701" s="1">
        <v>5</v>
      </c>
      <c r="V1701" s="50">
        <v>42491</v>
      </c>
      <c r="W1701" s="4">
        <v>4847.6400000000003</v>
      </c>
      <c r="X1701" s="48">
        <v>5572</v>
      </c>
    </row>
    <row r="1702" spans="2:24" x14ac:dyDescent="0.35">
      <c r="B1702" s="8" t="s">
        <v>3</v>
      </c>
      <c r="C1702" s="8" t="s">
        <v>22</v>
      </c>
      <c r="D1702" s="8" t="s">
        <v>5</v>
      </c>
      <c r="E1702" s="8" t="s">
        <v>0</v>
      </c>
      <c r="F1702" s="8" t="s">
        <v>26</v>
      </c>
      <c r="G1702" s="8">
        <v>2016</v>
      </c>
      <c r="H1702" s="8">
        <v>5</v>
      </c>
      <c r="I1702" s="10">
        <v>42491</v>
      </c>
      <c r="J1702" s="11">
        <v>4762</v>
      </c>
      <c r="K1702" s="51"/>
      <c r="O1702" s="1" t="s">
        <v>3</v>
      </c>
      <c r="P1702" s="1" t="s">
        <v>22</v>
      </c>
      <c r="Q1702" s="1" t="s">
        <v>5</v>
      </c>
      <c r="R1702" s="1" t="s">
        <v>0</v>
      </c>
      <c r="S1702" s="1" t="s">
        <v>26</v>
      </c>
      <c r="T1702" s="1">
        <v>2016</v>
      </c>
      <c r="U1702" s="1">
        <v>5</v>
      </c>
      <c r="V1702" s="50">
        <v>42491</v>
      </c>
      <c r="W1702" s="4">
        <v>4238.1799999999994</v>
      </c>
      <c r="X1702" s="48">
        <v>4762</v>
      </c>
    </row>
    <row r="1703" spans="2:24" x14ac:dyDescent="0.35">
      <c r="B1703" s="8" t="s">
        <v>3</v>
      </c>
      <c r="C1703" s="8" t="s">
        <v>22</v>
      </c>
      <c r="D1703" s="8" t="s">
        <v>5</v>
      </c>
      <c r="E1703" s="8" t="s">
        <v>27</v>
      </c>
      <c r="F1703" s="8" t="s">
        <v>28</v>
      </c>
      <c r="G1703" s="8">
        <v>2016</v>
      </c>
      <c r="H1703" s="8">
        <v>5</v>
      </c>
      <c r="I1703" s="10">
        <v>42491</v>
      </c>
      <c r="J1703" s="11">
        <v>3246</v>
      </c>
      <c r="K1703" s="51"/>
      <c r="O1703" s="1" t="s">
        <v>3</v>
      </c>
      <c r="P1703" s="1" t="s">
        <v>22</v>
      </c>
      <c r="Q1703" s="1" t="s">
        <v>5</v>
      </c>
      <c r="R1703" s="1" t="s">
        <v>27</v>
      </c>
      <c r="S1703" s="1" t="s">
        <v>28</v>
      </c>
      <c r="T1703" s="1">
        <v>2016</v>
      </c>
      <c r="U1703" s="1">
        <v>5</v>
      </c>
      <c r="V1703" s="50">
        <v>42491</v>
      </c>
      <c r="W1703" s="4">
        <v>2759.1000000000004</v>
      </c>
      <c r="X1703" s="48">
        <v>3246</v>
      </c>
    </row>
    <row r="1704" spans="2:24" x14ac:dyDescent="0.35">
      <c r="B1704" s="8" t="s">
        <v>6</v>
      </c>
      <c r="C1704" s="8" t="s">
        <v>29</v>
      </c>
      <c r="D1704" s="8" t="s">
        <v>30</v>
      </c>
      <c r="E1704" s="8" t="s">
        <v>27</v>
      </c>
      <c r="F1704" s="8" t="s">
        <v>31</v>
      </c>
      <c r="G1704" s="8">
        <v>2016</v>
      </c>
      <c r="H1704" s="8">
        <v>5</v>
      </c>
      <c r="I1704" s="10">
        <v>42491</v>
      </c>
      <c r="J1704" s="11">
        <v>5283</v>
      </c>
      <c r="K1704" s="51"/>
      <c r="O1704" s="1" t="s">
        <v>6</v>
      </c>
      <c r="P1704" s="1" t="s">
        <v>29</v>
      </c>
      <c r="Q1704" s="1" t="s">
        <v>30</v>
      </c>
      <c r="R1704" s="1" t="s">
        <v>27</v>
      </c>
      <c r="S1704" s="1" t="s">
        <v>31</v>
      </c>
      <c r="T1704" s="1">
        <v>2016</v>
      </c>
      <c r="U1704" s="1">
        <v>5</v>
      </c>
      <c r="V1704" s="50">
        <v>42491</v>
      </c>
      <c r="W1704" s="4">
        <v>4701.869999999999</v>
      </c>
      <c r="X1704" s="48">
        <v>5283</v>
      </c>
    </row>
    <row r="1705" spans="2:24" x14ac:dyDescent="0.35">
      <c r="B1705" s="8" t="s">
        <v>7</v>
      </c>
      <c r="C1705" s="8" t="s">
        <v>32</v>
      </c>
      <c r="D1705" s="8" t="s">
        <v>8</v>
      </c>
      <c r="E1705" s="8" t="s">
        <v>27</v>
      </c>
      <c r="F1705" s="6" t="s">
        <v>33</v>
      </c>
      <c r="G1705" s="8">
        <v>2016</v>
      </c>
      <c r="H1705" s="8">
        <v>5</v>
      </c>
      <c r="I1705" s="10">
        <v>42491</v>
      </c>
      <c r="J1705" s="11">
        <v>3553</v>
      </c>
      <c r="K1705" s="51"/>
      <c r="O1705" s="1" t="s">
        <v>7</v>
      </c>
      <c r="P1705" s="1" t="s">
        <v>32</v>
      </c>
      <c r="Q1705" s="1" t="s">
        <v>8</v>
      </c>
      <c r="R1705" s="1" t="s">
        <v>27</v>
      </c>
      <c r="S1705" t="s">
        <v>33</v>
      </c>
      <c r="T1705" s="1">
        <v>2016</v>
      </c>
      <c r="U1705" s="1">
        <v>5</v>
      </c>
      <c r="V1705" s="50">
        <v>42491</v>
      </c>
      <c r="W1705" s="4">
        <v>3304.29</v>
      </c>
      <c r="X1705" s="48">
        <v>3553</v>
      </c>
    </row>
    <row r="1706" spans="2:24" x14ac:dyDescent="0.35">
      <c r="B1706" s="8" t="s">
        <v>12</v>
      </c>
      <c r="C1706" s="8" t="s">
        <v>34</v>
      </c>
      <c r="D1706" s="8" t="s">
        <v>35</v>
      </c>
      <c r="E1706" s="8" t="s">
        <v>23</v>
      </c>
      <c r="F1706" s="6" t="s">
        <v>36</v>
      </c>
      <c r="G1706" s="8">
        <v>2016</v>
      </c>
      <c r="H1706" s="8">
        <v>5</v>
      </c>
      <c r="I1706" s="10">
        <v>42491</v>
      </c>
      <c r="J1706" s="11">
        <v>2108</v>
      </c>
      <c r="K1706" s="51"/>
      <c r="O1706" s="1" t="s">
        <v>12</v>
      </c>
      <c r="P1706" s="1" t="s">
        <v>34</v>
      </c>
      <c r="Q1706" s="1" t="s">
        <v>35</v>
      </c>
      <c r="R1706" s="1" t="s">
        <v>23</v>
      </c>
      <c r="S1706" t="s">
        <v>36</v>
      </c>
      <c r="T1706" s="1">
        <v>2016</v>
      </c>
      <c r="U1706" s="1">
        <v>5</v>
      </c>
      <c r="V1706" s="50">
        <v>42491</v>
      </c>
      <c r="W1706" s="4">
        <v>1791.8000000000002</v>
      </c>
      <c r="X1706" s="48">
        <v>2108</v>
      </c>
    </row>
    <row r="1707" spans="2:24" x14ac:dyDescent="0.35">
      <c r="B1707" s="8" t="s">
        <v>14</v>
      </c>
      <c r="C1707" s="8" t="s">
        <v>37</v>
      </c>
      <c r="D1707" s="8" t="s">
        <v>38</v>
      </c>
      <c r="E1707" s="8" t="s">
        <v>23</v>
      </c>
      <c r="F1707" s="6" t="s">
        <v>24</v>
      </c>
      <c r="G1707" s="8">
        <v>2016</v>
      </c>
      <c r="H1707" s="8">
        <v>5</v>
      </c>
      <c r="I1707" s="10">
        <v>42491</v>
      </c>
      <c r="J1707" s="11">
        <v>2349</v>
      </c>
      <c r="K1707" s="51"/>
      <c r="O1707" s="1" t="s">
        <v>14</v>
      </c>
      <c r="P1707" s="1" t="s">
        <v>37</v>
      </c>
      <c r="Q1707" s="1" t="s">
        <v>38</v>
      </c>
      <c r="R1707" s="1" t="s">
        <v>23</v>
      </c>
      <c r="S1707" t="s">
        <v>24</v>
      </c>
      <c r="T1707" s="1">
        <v>2016</v>
      </c>
      <c r="U1707" s="1">
        <v>5</v>
      </c>
      <c r="V1707" s="50">
        <v>42491</v>
      </c>
      <c r="W1707" s="4">
        <v>2161.08</v>
      </c>
      <c r="X1707" s="48">
        <v>2349</v>
      </c>
    </row>
    <row r="1708" spans="2:24" x14ac:dyDescent="0.35">
      <c r="B1708" s="8" t="s">
        <v>3</v>
      </c>
      <c r="C1708" s="8" t="s">
        <v>25</v>
      </c>
      <c r="D1708" s="8" t="s">
        <v>4</v>
      </c>
      <c r="E1708" s="9" t="s">
        <v>23</v>
      </c>
      <c r="F1708" s="9" t="s">
        <v>39</v>
      </c>
      <c r="G1708" s="8">
        <v>2016</v>
      </c>
      <c r="H1708" s="8">
        <v>5</v>
      </c>
      <c r="I1708" s="10">
        <v>42491</v>
      </c>
      <c r="J1708" s="11">
        <v>2510</v>
      </c>
      <c r="K1708" s="51"/>
      <c r="O1708" s="1" t="s">
        <v>3</v>
      </c>
      <c r="P1708" s="1" t="s">
        <v>25</v>
      </c>
      <c r="Q1708" s="1" t="s">
        <v>4</v>
      </c>
      <c r="R1708" s="2" t="s">
        <v>23</v>
      </c>
      <c r="S1708" s="2" t="s">
        <v>39</v>
      </c>
      <c r="T1708" s="1">
        <v>2016</v>
      </c>
      <c r="U1708" s="1">
        <v>5</v>
      </c>
      <c r="V1708" s="50">
        <v>42491</v>
      </c>
      <c r="W1708" s="4">
        <v>2233.8999999999996</v>
      </c>
      <c r="X1708" s="48">
        <v>2510</v>
      </c>
    </row>
    <row r="1709" spans="2:24" x14ac:dyDescent="0.35">
      <c r="B1709" s="8" t="s">
        <v>6</v>
      </c>
      <c r="C1709" s="8" t="s">
        <v>40</v>
      </c>
      <c r="D1709" s="8" t="s">
        <v>41</v>
      </c>
      <c r="E1709" s="8" t="s">
        <v>0</v>
      </c>
      <c r="F1709" s="9" t="s">
        <v>42</v>
      </c>
      <c r="G1709" s="8">
        <v>2016</v>
      </c>
      <c r="H1709" s="8">
        <v>5</v>
      </c>
      <c r="I1709" s="10">
        <v>42491</v>
      </c>
      <c r="J1709" s="11">
        <v>4779</v>
      </c>
      <c r="K1709" s="51"/>
      <c r="O1709" s="1" t="s">
        <v>6</v>
      </c>
      <c r="P1709" s="1" t="s">
        <v>40</v>
      </c>
      <c r="Q1709" s="1" t="s">
        <v>41</v>
      </c>
      <c r="R1709" s="1" t="s">
        <v>0</v>
      </c>
      <c r="S1709" s="2" t="s">
        <v>42</v>
      </c>
      <c r="T1709" s="1">
        <v>2016</v>
      </c>
      <c r="U1709" s="1">
        <v>5</v>
      </c>
      <c r="V1709" s="50">
        <v>42491</v>
      </c>
      <c r="W1709" s="4">
        <v>4492.26</v>
      </c>
      <c r="X1709" s="48">
        <v>4779</v>
      </c>
    </row>
    <row r="1710" spans="2:24" x14ac:dyDescent="0.35">
      <c r="B1710" s="8" t="s">
        <v>7</v>
      </c>
      <c r="C1710" s="8" t="s">
        <v>43</v>
      </c>
      <c r="D1710" s="8" t="s">
        <v>10</v>
      </c>
      <c r="E1710" s="8" t="s">
        <v>0</v>
      </c>
      <c r="F1710" s="6" t="s">
        <v>26</v>
      </c>
      <c r="G1710" s="8">
        <v>2016</v>
      </c>
      <c r="H1710" s="8">
        <v>5</v>
      </c>
      <c r="I1710" s="10">
        <v>42491</v>
      </c>
      <c r="J1710" s="11">
        <v>3360</v>
      </c>
      <c r="K1710" s="51"/>
      <c r="O1710" s="1" t="s">
        <v>7</v>
      </c>
      <c r="P1710" s="1" t="s">
        <v>43</v>
      </c>
      <c r="Q1710" s="1" t="s">
        <v>10</v>
      </c>
      <c r="R1710" s="1" t="s">
        <v>0</v>
      </c>
      <c r="S1710" t="s">
        <v>26</v>
      </c>
      <c r="T1710" s="1">
        <v>2016</v>
      </c>
      <c r="U1710" s="1">
        <v>5</v>
      </c>
      <c r="V1710" s="50">
        <v>42491</v>
      </c>
      <c r="W1710" s="4">
        <v>2956.7999999999997</v>
      </c>
      <c r="X1710" s="48">
        <v>3360</v>
      </c>
    </row>
    <row r="1711" spans="2:24" x14ac:dyDescent="0.35">
      <c r="B1711" s="8" t="s">
        <v>12</v>
      </c>
      <c r="C1711" s="8" t="s">
        <v>44</v>
      </c>
      <c r="D1711" s="8" t="s">
        <v>13</v>
      </c>
      <c r="E1711" s="8" t="s">
        <v>0</v>
      </c>
      <c r="F1711" s="8" t="s">
        <v>45</v>
      </c>
      <c r="G1711" s="8">
        <v>2016</v>
      </c>
      <c r="H1711" s="8">
        <v>5</v>
      </c>
      <c r="I1711" s="10">
        <v>42491</v>
      </c>
      <c r="J1711" s="11">
        <v>3399</v>
      </c>
      <c r="K1711" s="51"/>
      <c r="O1711" s="1" t="s">
        <v>12</v>
      </c>
      <c r="P1711" s="1" t="s">
        <v>44</v>
      </c>
      <c r="Q1711" s="1" t="s">
        <v>13</v>
      </c>
      <c r="R1711" s="1" t="s">
        <v>0</v>
      </c>
      <c r="S1711" s="1" t="s">
        <v>45</v>
      </c>
      <c r="T1711" s="1">
        <v>2016</v>
      </c>
      <c r="U1711" s="1">
        <v>5</v>
      </c>
      <c r="V1711" s="50">
        <v>42491</v>
      </c>
      <c r="W1711" s="4">
        <v>3093.0899999999997</v>
      </c>
      <c r="X1711" s="48">
        <v>3399</v>
      </c>
    </row>
    <row r="1712" spans="2:24" x14ac:dyDescent="0.35">
      <c r="B1712" s="8" t="s">
        <v>14</v>
      </c>
      <c r="C1712" s="8" t="s">
        <v>46</v>
      </c>
      <c r="D1712" s="8" t="s">
        <v>47</v>
      </c>
      <c r="E1712" s="8" t="s">
        <v>27</v>
      </c>
      <c r="F1712" s="8" t="s">
        <v>28</v>
      </c>
      <c r="G1712" s="8">
        <v>2016</v>
      </c>
      <c r="H1712" s="8">
        <v>5</v>
      </c>
      <c r="I1712" s="10">
        <v>42491</v>
      </c>
      <c r="J1712" s="11">
        <v>3598</v>
      </c>
      <c r="K1712" s="51"/>
      <c r="O1712" s="1" t="s">
        <v>14</v>
      </c>
      <c r="P1712" s="1" t="s">
        <v>46</v>
      </c>
      <c r="Q1712" s="1" t="s">
        <v>47</v>
      </c>
      <c r="R1712" s="1" t="s">
        <v>27</v>
      </c>
      <c r="S1712" s="1" t="s">
        <v>28</v>
      </c>
      <c r="T1712" s="1">
        <v>2016</v>
      </c>
      <c r="U1712" s="1">
        <v>5</v>
      </c>
      <c r="V1712" s="50">
        <v>42491</v>
      </c>
      <c r="W1712" s="4">
        <v>3238.2</v>
      </c>
      <c r="X1712" s="48">
        <v>3598</v>
      </c>
    </row>
    <row r="1713" spans="2:24" x14ac:dyDescent="0.35">
      <c r="B1713" s="8" t="s">
        <v>3</v>
      </c>
      <c r="C1713" s="8" t="s">
        <v>22</v>
      </c>
      <c r="D1713" s="8" t="s">
        <v>5</v>
      </c>
      <c r="E1713" s="8" t="s">
        <v>27</v>
      </c>
      <c r="F1713" s="8" t="s">
        <v>31</v>
      </c>
      <c r="G1713" s="8">
        <v>2016</v>
      </c>
      <c r="H1713" s="8">
        <v>5</v>
      </c>
      <c r="I1713" s="10">
        <v>42491</v>
      </c>
      <c r="J1713" s="11">
        <v>3593</v>
      </c>
      <c r="K1713" s="51"/>
      <c r="O1713" s="1" t="s">
        <v>3</v>
      </c>
      <c r="P1713" s="1" t="s">
        <v>22</v>
      </c>
      <c r="Q1713" s="1" t="s">
        <v>5</v>
      </c>
      <c r="R1713" s="1" t="s">
        <v>27</v>
      </c>
      <c r="S1713" s="1" t="s">
        <v>31</v>
      </c>
      <c r="T1713" s="1">
        <v>2016</v>
      </c>
      <c r="U1713" s="1">
        <v>5</v>
      </c>
      <c r="V1713" s="50">
        <v>42491</v>
      </c>
      <c r="W1713" s="4">
        <v>3305.5599999999995</v>
      </c>
      <c r="X1713" s="48">
        <v>3593</v>
      </c>
    </row>
    <row r="1714" spans="2:24" x14ac:dyDescent="0.35">
      <c r="B1714" s="8" t="s">
        <v>6</v>
      </c>
      <c r="C1714" s="8" t="s">
        <v>29</v>
      </c>
      <c r="D1714" s="8" t="s">
        <v>30</v>
      </c>
      <c r="E1714" s="8" t="s">
        <v>27</v>
      </c>
      <c r="F1714" s="6" t="s">
        <v>33</v>
      </c>
      <c r="G1714" s="8">
        <v>2016</v>
      </c>
      <c r="H1714" s="8">
        <v>5</v>
      </c>
      <c r="I1714" s="10">
        <v>42491</v>
      </c>
      <c r="J1714" s="11">
        <v>3748</v>
      </c>
      <c r="K1714" s="51"/>
      <c r="O1714" s="1" t="s">
        <v>6</v>
      </c>
      <c r="P1714" s="1" t="s">
        <v>29</v>
      </c>
      <c r="Q1714" s="1" t="s">
        <v>30</v>
      </c>
      <c r="R1714" s="1" t="s">
        <v>27</v>
      </c>
      <c r="S1714" t="s">
        <v>33</v>
      </c>
      <c r="T1714" s="1">
        <v>2016</v>
      </c>
      <c r="U1714" s="1">
        <v>5</v>
      </c>
      <c r="V1714" s="50">
        <v>42491</v>
      </c>
      <c r="W1714" s="4">
        <v>3185.8</v>
      </c>
      <c r="X1714" s="48">
        <v>3748</v>
      </c>
    </row>
    <row r="1715" spans="2:24" x14ac:dyDescent="0.35">
      <c r="B1715" s="8" t="s">
        <v>7</v>
      </c>
      <c r="C1715" s="8" t="s">
        <v>32</v>
      </c>
      <c r="D1715" s="8" t="s">
        <v>8</v>
      </c>
      <c r="E1715" s="8" t="s">
        <v>23</v>
      </c>
      <c r="F1715" s="6" t="s">
        <v>36</v>
      </c>
      <c r="G1715" s="8">
        <v>2016</v>
      </c>
      <c r="H1715" s="8">
        <v>5</v>
      </c>
      <c r="I1715" s="10">
        <v>42491</v>
      </c>
      <c r="J1715" s="11">
        <v>1968</v>
      </c>
      <c r="K1715" s="51"/>
      <c r="O1715" s="1" t="s">
        <v>7</v>
      </c>
      <c r="P1715" s="1" t="s">
        <v>32</v>
      </c>
      <c r="Q1715" s="1" t="s">
        <v>8</v>
      </c>
      <c r="R1715" s="1" t="s">
        <v>23</v>
      </c>
      <c r="S1715" t="s">
        <v>36</v>
      </c>
      <c r="T1715" s="1">
        <v>2016</v>
      </c>
      <c r="U1715" s="1">
        <v>5</v>
      </c>
      <c r="V1715" s="50">
        <v>42491</v>
      </c>
      <c r="W1715" s="4">
        <v>1712.1600000000003</v>
      </c>
      <c r="X1715" s="48">
        <v>1968</v>
      </c>
    </row>
    <row r="1716" spans="2:24" x14ac:dyDescent="0.35">
      <c r="B1716" s="8" t="s">
        <v>12</v>
      </c>
      <c r="C1716" s="8" t="s">
        <v>34</v>
      </c>
      <c r="D1716" s="8" t="s">
        <v>35</v>
      </c>
      <c r="E1716" s="8" t="s">
        <v>23</v>
      </c>
      <c r="F1716" s="6" t="s">
        <v>24</v>
      </c>
      <c r="G1716" s="8">
        <v>2016</v>
      </c>
      <c r="H1716" s="8">
        <v>5</v>
      </c>
      <c r="I1716" s="10">
        <v>42491</v>
      </c>
      <c r="J1716" s="11">
        <v>1837</v>
      </c>
      <c r="K1716" s="51"/>
      <c r="O1716" s="1" t="s">
        <v>12</v>
      </c>
      <c r="P1716" s="1" t="s">
        <v>34</v>
      </c>
      <c r="Q1716" s="1" t="s">
        <v>35</v>
      </c>
      <c r="R1716" s="1" t="s">
        <v>23</v>
      </c>
      <c r="S1716" t="s">
        <v>24</v>
      </c>
      <c r="T1716" s="1">
        <v>2016</v>
      </c>
      <c r="U1716" s="1">
        <v>5</v>
      </c>
      <c r="V1716" s="50">
        <v>42491</v>
      </c>
      <c r="W1716" s="4">
        <v>1653.2999999999997</v>
      </c>
      <c r="X1716" s="48">
        <v>1837</v>
      </c>
    </row>
    <row r="1717" spans="2:24" x14ac:dyDescent="0.35">
      <c r="B1717" s="8" t="s">
        <v>14</v>
      </c>
      <c r="C1717" s="8" t="s">
        <v>37</v>
      </c>
      <c r="D1717" s="8" t="s">
        <v>38</v>
      </c>
      <c r="E1717" s="9" t="s">
        <v>23</v>
      </c>
      <c r="F1717" s="9" t="s">
        <v>39</v>
      </c>
      <c r="G1717" s="8">
        <v>2016</v>
      </c>
      <c r="H1717" s="8">
        <v>5</v>
      </c>
      <c r="I1717" s="10">
        <v>42491</v>
      </c>
      <c r="J1717" s="11">
        <v>2690</v>
      </c>
      <c r="K1717" s="51"/>
      <c r="O1717" s="1" t="s">
        <v>14</v>
      </c>
      <c r="P1717" s="1" t="s">
        <v>37</v>
      </c>
      <c r="Q1717" s="1" t="s">
        <v>38</v>
      </c>
      <c r="R1717" s="2" t="s">
        <v>23</v>
      </c>
      <c r="S1717" s="2" t="s">
        <v>39</v>
      </c>
      <c r="T1717" s="1">
        <v>2016</v>
      </c>
      <c r="U1717" s="1">
        <v>5</v>
      </c>
      <c r="V1717" s="50">
        <v>42491</v>
      </c>
      <c r="W1717" s="4">
        <v>2394.1</v>
      </c>
      <c r="X1717" s="48">
        <v>2690</v>
      </c>
    </row>
    <row r="1718" spans="2:24" x14ac:dyDescent="0.35">
      <c r="B1718" s="8" t="s">
        <v>3</v>
      </c>
      <c r="C1718" s="8" t="s">
        <v>25</v>
      </c>
      <c r="D1718" s="8" t="s">
        <v>4</v>
      </c>
      <c r="E1718" s="8" t="s">
        <v>0</v>
      </c>
      <c r="F1718" s="9" t="s">
        <v>42</v>
      </c>
      <c r="G1718" s="8">
        <v>2016</v>
      </c>
      <c r="H1718" s="8">
        <v>5</v>
      </c>
      <c r="I1718" s="10">
        <v>42491</v>
      </c>
      <c r="J1718" s="11">
        <v>6832</v>
      </c>
      <c r="K1718" s="51"/>
      <c r="O1718" s="1" t="s">
        <v>3</v>
      </c>
      <c r="P1718" s="1" t="s">
        <v>25</v>
      </c>
      <c r="Q1718" s="1" t="s">
        <v>4</v>
      </c>
      <c r="R1718" s="1" t="s">
        <v>0</v>
      </c>
      <c r="S1718" s="2" t="s">
        <v>42</v>
      </c>
      <c r="T1718" s="1">
        <v>2016</v>
      </c>
      <c r="U1718" s="1">
        <v>5</v>
      </c>
      <c r="V1718" s="50">
        <v>42491</v>
      </c>
      <c r="W1718" s="4">
        <v>5943.8400000000011</v>
      </c>
      <c r="X1718" s="48">
        <v>6832</v>
      </c>
    </row>
    <row r="1719" spans="2:24" x14ac:dyDescent="0.35">
      <c r="B1719" s="8" t="s">
        <v>6</v>
      </c>
      <c r="C1719" s="8" t="s">
        <v>40</v>
      </c>
      <c r="D1719" s="8" t="s">
        <v>41</v>
      </c>
      <c r="E1719" s="8" t="s">
        <v>0</v>
      </c>
      <c r="F1719" s="6" t="s">
        <v>26</v>
      </c>
      <c r="G1719" s="8">
        <v>2016</v>
      </c>
      <c r="H1719" s="8">
        <v>5</v>
      </c>
      <c r="I1719" s="10">
        <v>42491</v>
      </c>
      <c r="J1719" s="11">
        <v>2982</v>
      </c>
      <c r="K1719" s="51"/>
      <c r="O1719" s="1" t="s">
        <v>6</v>
      </c>
      <c r="P1719" s="1" t="s">
        <v>40</v>
      </c>
      <c r="Q1719" s="1" t="s">
        <v>41</v>
      </c>
      <c r="R1719" s="1" t="s">
        <v>0</v>
      </c>
      <c r="S1719" t="s">
        <v>26</v>
      </c>
      <c r="T1719" s="1">
        <v>2016</v>
      </c>
      <c r="U1719" s="1">
        <v>5</v>
      </c>
      <c r="V1719" s="50">
        <v>42491</v>
      </c>
      <c r="W1719" s="4">
        <v>2683.7999999999997</v>
      </c>
      <c r="X1719" s="48">
        <v>2982</v>
      </c>
    </row>
    <row r="1720" spans="2:24" x14ac:dyDescent="0.35">
      <c r="B1720" s="8" t="s">
        <v>7</v>
      </c>
      <c r="C1720" s="8" t="s">
        <v>43</v>
      </c>
      <c r="D1720" s="8" t="s">
        <v>10</v>
      </c>
      <c r="E1720" s="8" t="s">
        <v>0</v>
      </c>
      <c r="F1720" s="8" t="s">
        <v>45</v>
      </c>
      <c r="G1720" s="8">
        <v>2016</v>
      </c>
      <c r="H1720" s="8">
        <v>5</v>
      </c>
      <c r="I1720" s="10">
        <v>42491</v>
      </c>
      <c r="J1720" s="11">
        <v>3236</v>
      </c>
      <c r="K1720" s="51"/>
      <c r="O1720" s="1" t="s">
        <v>7</v>
      </c>
      <c r="P1720" s="1" t="s">
        <v>43</v>
      </c>
      <c r="Q1720" s="1" t="s">
        <v>10</v>
      </c>
      <c r="R1720" s="1" t="s">
        <v>0</v>
      </c>
      <c r="S1720" s="1" t="s">
        <v>45</v>
      </c>
      <c r="T1720" s="1">
        <v>2016</v>
      </c>
      <c r="U1720" s="1">
        <v>5</v>
      </c>
      <c r="V1720" s="50">
        <v>42491</v>
      </c>
      <c r="W1720" s="4">
        <v>2750.6000000000004</v>
      </c>
      <c r="X1720" s="48">
        <v>3236</v>
      </c>
    </row>
    <row r="1721" spans="2:24" x14ac:dyDescent="0.35">
      <c r="B1721" s="8" t="s">
        <v>12</v>
      </c>
      <c r="C1721" s="8" t="s">
        <v>44</v>
      </c>
      <c r="D1721" s="8" t="s">
        <v>13</v>
      </c>
      <c r="E1721" s="8" t="s">
        <v>27</v>
      </c>
      <c r="F1721" s="8" t="s">
        <v>28</v>
      </c>
      <c r="G1721" s="8">
        <v>2016</v>
      </c>
      <c r="H1721" s="8">
        <v>5</v>
      </c>
      <c r="I1721" s="10">
        <v>42491</v>
      </c>
      <c r="J1721" s="11">
        <v>4090</v>
      </c>
      <c r="K1721" s="51"/>
      <c r="O1721" s="1" t="s">
        <v>12</v>
      </c>
      <c r="P1721" s="1" t="s">
        <v>44</v>
      </c>
      <c r="Q1721" s="1" t="s">
        <v>13</v>
      </c>
      <c r="R1721" s="1" t="s">
        <v>27</v>
      </c>
      <c r="S1721" s="1" t="s">
        <v>28</v>
      </c>
      <c r="T1721" s="1">
        <v>2016</v>
      </c>
      <c r="U1721" s="1">
        <v>5</v>
      </c>
      <c r="V1721" s="50">
        <v>42491</v>
      </c>
      <c r="W1721" s="4">
        <v>3721.8999999999996</v>
      </c>
      <c r="X1721" s="48">
        <v>4090</v>
      </c>
    </row>
    <row r="1722" spans="2:24" x14ac:dyDescent="0.35">
      <c r="B1722" s="8" t="s">
        <v>14</v>
      </c>
      <c r="C1722" s="8" t="s">
        <v>46</v>
      </c>
      <c r="D1722" s="8" t="s">
        <v>47</v>
      </c>
      <c r="E1722" s="8" t="s">
        <v>27</v>
      </c>
      <c r="F1722" s="8" t="s">
        <v>31</v>
      </c>
      <c r="G1722" s="8">
        <v>2016</v>
      </c>
      <c r="H1722" s="8">
        <v>5</v>
      </c>
      <c r="I1722" s="10">
        <v>42491</v>
      </c>
      <c r="J1722" s="11">
        <v>4861</v>
      </c>
      <c r="K1722" s="51"/>
      <c r="O1722" s="1" t="s">
        <v>14</v>
      </c>
      <c r="P1722" s="1" t="s">
        <v>46</v>
      </c>
      <c r="Q1722" s="1" t="s">
        <v>47</v>
      </c>
      <c r="R1722" s="1" t="s">
        <v>27</v>
      </c>
      <c r="S1722" s="1" t="s">
        <v>31</v>
      </c>
      <c r="T1722" s="1">
        <v>2016</v>
      </c>
      <c r="U1722" s="1">
        <v>5</v>
      </c>
      <c r="V1722" s="50">
        <v>42491</v>
      </c>
      <c r="W1722" s="4">
        <v>4326.2899999999991</v>
      </c>
      <c r="X1722" s="48">
        <v>4861</v>
      </c>
    </row>
    <row r="1723" spans="2:24" x14ac:dyDescent="0.35">
      <c r="B1723" s="8" t="s">
        <v>3</v>
      </c>
      <c r="C1723" s="8" t="s">
        <v>22</v>
      </c>
      <c r="D1723" s="8" t="s">
        <v>5</v>
      </c>
      <c r="E1723" s="8" t="s">
        <v>27</v>
      </c>
      <c r="F1723" s="6" t="s">
        <v>33</v>
      </c>
      <c r="G1723" s="8">
        <v>2016</v>
      </c>
      <c r="H1723" s="8">
        <v>5</v>
      </c>
      <c r="I1723" s="10">
        <v>42491</v>
      </c>
      <c r="J1723" s="11">
        <v>3609</v>
      </c>
      <c r="K1723" s="51"/>
      <c r="O1723" s="1" t="s">
        <v>3</v>
      </c>
      <c r="P1723" s="1" t="s">
        <v>22</v>
      </c>
      <c r="Q1723" s="1" t="s">
        <v>5</v>
      </c>
      <c r="R1723" s="1" t="s">
        <v>27</v>
      </c>
      <c r="S1723" t="s">
        <v>33</v>
      </c>
      <c r="T1723" s="1">
        <v>2016</v>
      </c>
      <c r="U1723" s="1">
        <v>5</v>
      </c>
      <c r="V1723" s="50">
        <v>42491</v>
      </c>
      <c r="W1723" s="4">
        <v>3212.0099999999998</v>
      </c>
      <c r="X1723" s="48">
        <v>3609</v>
      </c>
    </row>
    <row r="1724" spans="2:24" x14ac:dyDescent="0.35">
      <c r="B1724" s="8" t="s">
        <v>6</v>
      </c>
      <c r="C1724" s="8" t="s">
        <v>29</v>
      </c>
      <c r="D1724" s="8" t="s">
        <v>30</v>
      </c>
      <c r="E1724" s="8" t="s">
        <v>23</v>
      </c>
      <c r="F1724" s="6" t="s">
        <v>36</v>
      </c>
      <c r="G1724" s="8">
        <v>2016</v>
      </c>
      <c r="H1724" s="8">
        <v>5</v>
      </c>
      <c r="I1724" s="10">
        <v>42491</v>
      </c>
      <c r="J1724" s="11">
        <v>2193</v>
      </c>
      <c r="K1724" s="51"/>
      <c r="O1724" s="1" t="s">
        <v>6</v>
      </c>
      <c r="P1724" s="1" t="s">
        <v>29</v>
      </c>
      <c r="Q1724" s="1" t="s">
        <v>30</v>
      </c>
      <c r="R1724" s="1" t="s">
        <v>23</v>
      </c>
      <c r="S1724" t="s">
        <v>36</v>
      </c>
      <c r="T1724" s="1">
        <v>2016</v>
      </c>
      <c r="U1724" s="1">
        <v>5</v>
      </c>
      <c r="V1724" s="50">
        <v>42491</v>
      </c>
      <c r="W1724" s="4">
        <v>1951.7699999999998</v>
      </c>
      <c r="X1724" s="48">
        <v>2193</v>
      </c>
    </row>
    <row r="1725" spans="2:24" x14ac:dyDescent="0.35">
      <c r="B1725" s="8" t="s">
        <v>7</v>
      </c>
      <c r="C1725" s="8" t="s">
        <v>32</v>
      </c>
      <c r="D1725" s="8" t="s">
        <v>8</v>
      </c>
      <c r="E1725" s="8" t="s">
        <v>23</v>
      </c>
      <c r="F1725" s="6" t="s">
        <v>24</v>
      </c>
      <c r="G1725" s="8">
        <v>2016</v>
      </c>
      <c r="H1725" s="8">
        <v>5</v>
      </c>
      <c r="I1725" s="10">
        <v>42491</v>
      </c>
      <c r="J1725" s="11">
        <v>2471</v>
      </c>
      <c r="K1725" s="51"/>
      <c r="O1725" s="1" t="s">
        <v>7</v>
      </c>
      <c r="P1725" s="1" t="s">
        <v>32</v>
      </c>
      <c r="Q1725" s="1" t="s">
        <v>8</v>
      </c>
      <c r="R1725" s="1" t="s">
        <v>23</v>
      </c>
      <c r="S1725" t="s">
        <v>24</v>
      </c>
      <c r="T1725" s="1">
        <v>2016</v>
      </c>
      <c r="U1725" s="1">
        <v>5</v>
      </c>
      <c r="V1725" s="50">
        <v>42491</v>
      </c>
      <c r="W1725" s="4">
        <v>2223.8999999999996</v>
      </c>
      <c r="X1725" s="48">
        <v>2471</v>
      </c>
    </row>
    <row r="1726" spans="2:24" x14ac:dyDescent="0.35">
      <c r="B1726" s="8" t="s">
        <v>12</v>
      </c>
      <c r="C1726" s="8" t="s">
        <v>34</v>
      </c>
      <c r="D1726" s="8" t="s">
        <v>35</v>
      </c>
      <c r="E1726" s="9" t="s">
        <v>23</v>
      </c>
      <c r="F1726" s="9" t="s">
        <v>39</v>
      </c>
      <c r="G1726" s="8">
        <v>2016</v>
      </c>
      <c r="H1726" s="8">
        <v>5</v>
      </c>
      <c r="I1726" s="10">
        <v>42491</v>
      </c>
      <c r="J1726" s="11">
        <v>2679</v>
      </c>
      <c r="K1726" s="51"/>
      <c r="O1726" s="1" t="s">
        <v>12</v>
      </c>
      <c r="P1726" s="1" t="s">
        <v>34</v>
      </c>
      <c r="Q1726" s="1" t="s">
        <v>35</v>
      </c>
      <c r="R1726" s="2" t="s">
        <v>23</v>
      </c>
      <c r="S1726" s="2" t="s">
        <v>39</v>
      </c>
      <c r="T1726" s="1">
        <v>2016</v>
      </c>
      <c r="U1726" s="1">
        <v>5</v>
      </c>
      <c r="V1726" s="50">
        <v>42491</v>
      </c>
      <c r="W1726" s="4">
        <v>2384.3099999999995</v>
      </c>
      <c r="X1726" s="48">
        <v>2679</v>
      </c>
    </row>
    <row r="1727" spans="2:24" x14ac:dyDescent="0.35">
      <c r="B1727" s="8" t="s">
        <v>14</v>
      </c>
      <c r="C1727" s="8" t="s">
        <v>37</v>
      </c>
      <c r="D1727" s="8" t="s">
        <v>38</v>
      </c>
      <c r="E1727" s="8" t="s">
        <v>0</v>
      </c>
      <c r="F1727" s="9" t="s">
        <v>42</v>
      </c>
      <c r="G1727" s="8">
        <v>2016</v>
      </c>
      <c r="H1727" s="8">
        <v>5</v>
      </c>
      <c r="I1727" s="10">
        <v>42491</v>
      </c>
      <c r="J1727" s="11">
        <v>5646</v>
      </c>
      <c r="K1727" s="51"/>
      <c r="O1727" s="1" t="s">
        <v>14</v>
      </c>
      <c r="P1727" s="1" t="s">
        <v>37</v>
      </c>
      <c r="Q1727" s="1" t="s">
        <v>38</v>
      </c>
      <c r="R1727" s="1" t="s">
        <v>0</v>
      </c>
      <c r="S1727" s="2" t="s">
        <v>42</v>
      </c>
      <c r="T1727" s="1">
        <v>2016</v>
      </c>
      <c r="U1727" s="1">
        <v>5</v>
      </c>
      <c r="V1727" s="50">
        <v>42491</v>
      </c>
      <c r="W1727" s="4">
        <v>4912.0200000000004</v>
      </c>
      <c r="X1727" s="48">
        <v>5646</v>
      </c>
    </row>
    <row r="1728" spans="2:24" x14ac:dyDescent="0.35">
      <c r="B1728" s="8" t="s">
        <v>6</v>
      </c>
      <c r="C1728" s="8" t="s">
        <v>29</v>
      </c>
      <c r="D1728" s="8" t="s">
        <v>30</v>
      </c>
      <c r="E1728" s="8" t="s">
        <v>0</v>
      </c>
      <c r="F1728" s="6" t="s">
        <v>45</v>
      </c>
      <c r="G1728" s="8">
        <v>2016</v>
      </c>
      <c r="H1728" s="8">
        <v>5</v>
      </c>
      <c r="I1728" s="10">
        <v>42491</v>
      </c>
      <c r="J1728" s="11">
        <v>2184</v>
      </c>
      <c r="K1728" s="51"/>
      <c r="O1728" s="1" t="s">
        <v>6</v>
      </c>
      <c r="P1728" s="1" t="s">
        <v>29</v>
      </c>
      <c r="Q1728" s="1" t="s">
        <v>30</v>
      </c>
      <c r="R1728" s="1" t="s">
        <v>0</v>
      </c>
      <c r="S1728" t="s">
        <v>45</v>
      </c>
      <c r="T1728" s="1">
        <v>2016</v>
      </c>
      <c r="U1728" s="1">
        <v>5</v>
      </c>
      <c r="V1728" s="50">
        <v>42491</v>
      </c>
      <c r="W1728" s="4">
        <v>1856.4</v>
      </c>
      <c r="X1728" s="48">
        <v>2184</v>
      </c>
    </row>
    <row r="1729" spans="2:24" x14ac:dyDescent="0.35">
      <c r="B1729" s="8" t="s">
        <v>7</v>
      </c>
      <c r="C1729" s="8" t="s">
        <v>43</v>
      </c>
      <c r="D1729" s="8" t="s">
        <v>10</v>
      </c>
      <c r="E1729" s="8" t="s">
        <v>27</v>
      </c>
      <c r="F1729" s="8" t="s">
        <v>28</v>
      </c>
      <c r="G1729" s="8">
        <v>2016</v>
      </c>
      <c r="H1729" s="8">
        <v>5</v>
      </c>
      <c r="I1729" s="10">
        <v>42491</v>
      </c>
      <c r="J1729" s="11">
        <v>3319</v>
      </c>
      <c r="K1729" s="51"/>
      <c r="O1729" s="1" t="s">
        <v>7</v>
      </c>
      <c r="P1729" s="1" t="s">
        <v>43</v>
      </c>
      <c r="Q1729" s="1" t="s">
        <v>10</v>
      </c>
      <c r="R1729" s="1" t="s">
        <v>27</v>
      </c>
      <c r="S1729" s="1" t="s">
        <v>28</v>
      </c>
      <c r="T1729" s="1">
        <v>2016</v>
      </c>
      <c r="U1729" s="1">
        <v>5</v>
      </c>
      <c r="V1729" s="50">
        <v>42491</v>
      </c>
      <c r="W1729" s="4">
        <v>3053.4799999999996</v>
      </c>
      <c r="X1729" s="48">
        <v>3319</v>
      </c>
    </row>
    <row r="1730" spans="2:24" x14ac:dyDescent="0.35">
      <c r="B1730" s="8" t="s">
        <v>12</v>
      </c>
      <c r="C1730" s="8" t="s">
        <v>44</v>
      </c>
      <c r="D1730" s="8" t="s">
        <v>13</v>
      </c>
      <c r="E1730" s="8" t="s">
        <v>27</v>
      </c>
      <c r="F1730" s="8" t="s">
        <v>31</v>
      </c>
      <c r="G1730" s="8">
        <v>2016</v>
      </c>
      <c r="H1730" s="8">
        <v>5</v>
      </c>
      <c r="I1730" s="10">
        <v>42491</v>
      </c>
      <c r="J1730" s="11">
        <v>3649</v>
      </c>
      <c r="K1730" s="51"/>
      <c r="O1730" s="1" t="s">
        <v>12</v>
      </c>
      <c r="P1730" s="1" t="s">
        <v>44</v>
      </c>
      <c r="Q1730" s="1" t="s">
        <v>13</v>
      </c>
      <c r="R1730" s="1" t="s">
        <v>27</v>
      </c>
      <c r="S1730" s="1" t="s">
        <v>31</v>
      </c>
      <c r="T1730" s="1">
        <v>2016</v>
      </c>
      <c r="U1730" s="1">
        <v>5</v>
      </c>
      <c r="V1730" s="50">
        <v>42491</v>
      </c>
      <c r="W1730" s="4">
        <v>3320.5899999999997</v>
      </c>
      <c r="X1730" s="48">
        <v>3649</v>
      </c>
    </row>
    <row r="1731" spans="2:24" x14ac:dyDescent="0.35">
      <c r="B1731" s="8" t="s">
        <v>14</v>
      </c>
      <c r="C1731" s="8" t="s">
        <v>46</v>
      </c>
      <c r="D1731" s="8" t="s">
        <v>47</v>
      </c>
      <c r="E1731" s="8" t="s">
        <v>27</v>
      </c>
      <c r="F1731" s="8" t="s">
        <v>33</v>
      </c>
      <c r="G1731" s="8">
        <v>2016</v>
      </c>
      <c r="H1731" s="8">
        <v>5</v>
      </c>
      <c r="I1731" s="10">
        <v>42491</v>
      </c>
      <c r="J1731" s="11">
        <v>3994</v>
      </c>
      <c r="K1731" s="51"/>
      <c r="O1731" s="1" t="s">
        <v>14</v>
      </c>
      <c r="P1731" s="1" t="s">
        <v>46</v>
      </c>
      <c r="Q1731" s="1" t="s">
        <v>47</v>
      </c>
      <c r="R1731" s="1" t="s">
        <v>27</v>
      </c>
      <c r="S1731" s="1" t="s">
        <v>33</v>
      </c>
      <c r="T1731" s="1">
        <v>2016</v>
      </c>
      <c r="U1731" s="1">
        <v>5</v>
      </c>
      <c r="V1731" s="50">
        <v>42491</v>
      </c>
      <c r="W1731" s="4">
        <v>3634.5399999999995</v>
      </c>
      <c r="X1731" s="48">
        <v>3994</v>
      </c>
    </row>
    <row r="1732" spans="2:24" x14ac:dyDescent="0.35">
      <c r="B1732" s="8" t="s">
        <v>3</v>
      </c>
      <c r="C1732" s="8" t="s">
        <v>22</v>
      </c>
      <c r="D1732" s="8" t="s">
        <v>5</v>
      </c>
      <c r="E1732" s="8" t="s">
        <v>23</v>
      </c>
      <c r="F1732" s="6" t="s">
        <v>36</v>
      </c>
      <c r="G1732" s="8">
        <v>2016</v>
      </c>
      <c r="H1732" s="8">
        <v>5</v>
      </c>
      <c r="I1732" s="10">
        <v>42491</v>
      </c>
      <c r="J1732" s="11">
        <v>2233</v>
      </c>
      <c r="K1732" s="51"/>
      <c r="O1732" s="1" t="s">
        <v>3</v>
      </c>
      <c r="P1732" s="1" t="s">
        <v>22</v>
      </c>
      <c r="Q1732" s="1" t="s">
        <v>5</v>
      </c>
      <c r="R1732" s="1" t="s">
        <v>23</v>
      </c>
      <c r="S1732" t="s">
        <v>36</v>
      </c>
      <c r="T1732" s="1">
        <v>2016</v>
      </c>
      <c r="U1732" s="1">
        <v>5</v>
      </c>
      <c r="V1732" s="50">
        <v>42491</v>
      </c>
      <c r="W1732" s="4">
        <v>2099.02</v>
      </c>
      <c r="X1732" s="48">
        <v>2233</v>
      </c>
    </row>
    <row r="1733" spans="2:24" x14ac:dyDescent="0.35">
      <c r="B1733" s="8" t="s">
        <v>6</v>
      </c>
      <c r="C1733" s="8" t="s">
        <v>40</v>
      </c>
      <c r="D1733" s="8" t="s">
        <v>41</v>
      </c>
      <c r="E1733" s="8" t="s">
        <v>23</v>
      </c>
      <c r="F1733" s="6" t="s">
        <v>24</v>
      </c>
      <c r="G1733" s="8">
        <v>2016</v>
      </c>
      <c r="H1733" s="8">
        <v>5</v>
      </c>
      <c r="I1733" s="10">
        <v>42491</v>
      </c>
      <c r="J1733" s="11">
        <v>3229</v>
      </c>
      <c r="K1733" s="51"/>
      <c r="O1733" s="1" t="s">
        <v>6</v>
      </c>
      <c r="P1733" s="1" t="s">
        <v>40</v>
      </c>
      <c r="Q1733" s="1" t="s">
        <v>41</v>
      </c>
      <c r="R1733" s="1" t="s">
        <v>23</v>
      </c>
      <c r="S1733" t="s">
        <v>24</v>
      </c>
      <c r="T1733" s="1">
        <v>2016</v>
      </c>
      <c r="U1733" s="1">
        <v>5</v>
      </c>
      <c r="V1733" s="50">
        <v>42491</v>
      </c>
      <c r="W1733" s="4">
        <v>2744.65</v>
      </c>
      <c r="X1733" s="48">
        <v>3229</v>
      </c>
    </row>
    <row r="1734" spans="2:24" x14ac:dyDescent="0.35">
      <c r="B1734" s="8" t="s">
        <v>7</v>
      </c>
      <c r="C1734" s="8" t="s">
        <v>32</v>
      </c>
      <c r="D1734" s="8" t="s">
        <v>8</v>
      </c>
      <c r="E1734" s="8" t="s">
        <v>23</v>
      </c>
      <c r="F1734" s="6" t="s">
        <v>39</v>
      </c>
      <c r="G1734" s="8">
        <v>2016</v>
      </c>
      <c r="H1734" s="8">
        <v>5</v>
      </c>
      <c r="I1734" s="10">
        <v>42491</v>
      </c>
      <c r="J1734" s="11">
        <v>1642</v>
      </c>
      <c r="K1734" s="51"/>
      <c r="O1734" s="1" t="s">
        <v>7</v>
      </c>
      <c r="P1734" s="1" t="s">
        <v>32</v>
      </c>
      <c r="Q1734" s="1" t="s">
        <v>8</v>
      </c>
      <c r="R1734" s="1" t="s">
        <v>23</v>
      </c>
      <c r="S1734" t="s">
        <v>39</v>
      </c>
      <c r="T1734" s="1">
        <v>2016</v>
      </c>
      <c r="U1734" s="1">
        <v>5</v>
      </c>
      <c r="V1734" s="50">
        <v>42491</v>
      </c>
      <c r="W1734" s="4">
        <v>1510.6399999999999</v>
      </c>
      <c r="X1734" s="48">
        <v>1642</v>
      </c>
    </row>
    <row r="1735" spans="2:24" x14ac:dyDescent="0.35">
      <c r="B1735" s="8" t="s">
        <v>12</v>
      </c>
      <c r="C1735" s="8" t="s">
        <v>34</v>
      </c>
      <c r="D1735" s="8" t="s">
        <v>35</v>
      </c>
      <c r="E1735" s="9" t="s">
        <v>0</v>
      </c>
      <c r="F1735" s="9" t="s">
        <v>42</v>
      </c>
      <c r="G1735" s="8">
        <v>2016</v>
      </c>
      <c r="H1735" s="8">
        <v>5</v>
      </c>
      <c r="I1735" s="10">
        <v>42491</v>
      </c>
      <c r="J1735" s="11">
        <v>6032</v>
      </c>
      <c r="K1735" s="51"/>
      <c r="O1735" s="1" t="s">
        <v>12</v>
      </c>
      <c r="P1735" s="1" t="s">
        <v>34</v>
      </c>
      <c r="Q1735" s="1" t="s">
        <v>35</v>
      </c>
      <c r="R1735" s="2" t="s">
        <v>0</v>
      </c>
      <c r="S1735" s="2" t="s">
        <v>42</v>
      </c>
      <c r="T1735" s="1">
        <v>2016</v>
      </c>
      <c r="U1735" s="1">
        <v>5</v>
      </c>
      <c r="V1735" s="50">
        <v>42491</v>
      </c>
      <c r="W1735" s="4">
        <v>5247.84</v>
      </c>
      <c r="X1735" s="48">
        <v>6032</v>
      </c>
    </row>
    <row r="1736" spans="2:24" x14ac:dyDescent="0.35">
      <c r="B1736" s="8" t="s">
        <v>14</v>
      </c>
      <c r="C1736" s="8" t="s">
        <v>37</v>
      </c>
      <c r="D1736" s="8" t="s">
        <v>38</v>
      </c>
      <c r="E1736" s="8" t="s">
        <v>0</v>
      </c>
      <c r="F1736" s="9" t="s">
        <v>26</v>
      </c>
      <c r="G1736" s="8">
        <v>2016</v>
      </c>
      <c r="H1736" s="8">
        <v>5</v>
      </c>
      <c r="I1736" s="10">
        <v>42491</v>
      </c>
      <c r="J1736" s="11">
        <v>4061</v>
      </c>
      <c r="K1736" s="51"/>
      <c r="O1736" s="1" t="s">
        <v>14</v>
      </c>
      <c r="P1736" s="1" t="s">
        <v>37</v>
      </c>
      <c r="Q1736" s="1" t="s">
        <v>38</v>
      </c>
      <c r="R1736" s="1" t="s">
        <v>0</v>
      </c>
      <c r="S1736" s="2" t="s">
        <v>26</v>
      </c>
      <c r="T1736" s="1">
        <v>2016</v>
      </c>
      <c r="U1736" s="1">
        <v>5</v>
      </c>
      <c r="V1736" s="50">
        <v>42491</v>
      </c>
      <c r="W1736" s="4">
        <v>3695.5099999999998</v>
      </c>
      <c r="X1736" s="48">
        <v>4061</v>
      </c>
    </row>
    <row r="1737" spans="2:24" x14ac:dyDescent="0.35">
      <c r="B1737" s="8" t="s">
        <v>3</v>
      </c>
      <c r="C1737" s="8" t="s">
        <v>25</v>
      </c>
      <c r="D1737" s="8" t="s">
        <v>4</v>
      </c>
      <c r="E1737" s="8" t="s">
        <v>0</v>
      </c>
      <c r="F1737" s="6" t="s">
        <v>45</v>
      </c>
      <c r="G1737" s="8">
        <v>2016</v>
      </c>
      <c r="H1737" s="8">
        <v>5</v>
      </c>
      <c r="I1737" s="10">
        <v>42491</v>
      </c>
      <c r="J1737" s="11">
        <v>2130</v>
      </c>
      <c r="K1737" s="51"/>
      <c r="O1737" s="1" t="s">
        <v>3</v>
      </c>
      <c r="P1737" s="1" t="s">
        <v>25</v>
      </c>
      <c r="Q1737" s="1" t="s">
        <v>4</v>
      </c>
      <c r="R1737" s="1" t="s">
        <v>0</v>
      </c>
      <c r="S1737" t="s">
        <v>45</v>
      </c>
      <c r="T1737" s="1">
        <v>2016</v>
      </c>
      <c r="U1737" s="1">
        <v>5</v>
      </c>
      <c r="V1737" s="50">
        <v>42491</v>
      </c>
      <c r="W1737" s="4">
        <v>1980.8999999999999</v>
      </c>
      <c r="X1737" s="48">
        <v>2130</v>
      </c>
    </row>
    <row r="1738" spans="2:24" x14ac:dyDescent="0.35">
      <c r="B1738" s="8" t="s">
        <v>6</v>
      </c>
      <c r="C1738" s="8" t="s">
        <v>29</v>
      </c>
      <c r="D1738" s="8" t="s">
        <v>30</v>
      </c>
      <c r="E1738" s="8" t="s">
        <v>27</v>
      </c>
      <c r="F1738" s="8" t="s">
        <v>28</v>
      </c>
      <c r="G1738" s="8">
        <v>2016</v>
      </c>
      <c r="H1738" s="8">
        <v>5</v>
      </c>
      <c r="I1738" s="10">
        <v>42491</v>
      </c>
      <c r="J1738" s="11">
        <v>5014</v>
      </c>
      <c r="K1738" s="51"/>
      <c r="O1738" s="1" t="s">
        <v>6</v>
      </c>
      <c r="P1738" s="1" t="s">
        <v>29</v>
      </c>
      <c r="Q1738" s="1" t="s">
        <v>30</v>
      </c>
      <c r="R1738" s="1" t="s">
        <v>27</v>
      </c>
      <c r="S1738" s="1" t="s">
        <v>28</v>
      </c>
      <c r="T1738" s="1">
        <v>2016</v>
      </c>
      <c r="U1738" s="1">
        <v>5</v>
      </c>
      <c r="V1738" s="50">
        <v>42491</v>
      </c>
      <c r="W1738" s="4">
        <v>4362.18</v>
      </c>
      <c r="X1738" s="48">
        <v>5014</v>
      </c>
    </row>
    <row r="1739" spans="2:24" x14ac:dyDescent="0.35">
      <c r="B1739" s="8" t="s">
        <v>7</v>
      </c>
      <c r="C1739" s="8" t="s">
        <v>43</v>
      </c>
      <c r="D1739" s="8" t="s">
        <v>10</v>
      </c>
      <c r="E1739" s="8" t="s">
        <v>27</v>
      </c>
      <c r="F1739" s="8" t="s">
        <v>31</v>
      </c>
      <c r="G1739" s="8">
        <v>2016</v>
      </c>
      <c r="H1739" s="8">
        <v>5</v>
      </c>
      <c r="I1739" s="10">
        <v>42491</v>
      </c>
      <c r="J1739" s="11">
        <v>3684</v>
      </c>
      <c r="K1739" s="51"/>
      <c r="O1739" s="1" t="s">
        <v>7</v>
      </c>
      <c r="P1739" s="1" t="s">
        <v>43</v>
      </c>
      <c r="Q1739" s="1" t="s">
        <v>10</v>
      </c>
      <c r="R1739" s="1" t="s">
        <v>27</v>
      </c>
      <c r="S1739" s="1" t="s">
        <v>31</v>
      </c>
      <c r="T1739" s="1">
        <v>2016</v>
      </c>
      <c r="U1739" s="1">
        <v>5</v>
      </c>
      <c r="V1739" s="50">
        <v>42491</v>
      </c>
      <c r="W1739" s="4">
        <v>3168.2400000000002</v>
      </c>
      <c r="X1739" s="48">
        <v>3684</v>
      </c>
    </row>
    <row r="1740" spans="2:24" x14ac:dyDescent="0.35">
      <c r="B1740" s="8" t="s">
        <v>12</v>
      </c>
      <c r="C1740" s="8" t="s">
        <v>44</v>
      </c>
      <c r="D1740" s="8" t="s">
        <v>13</v>
      </c>
      <c r="E1740" s="8" t="s">
        <v>27</v>
      </c>
      <c r="F1740" s="8" t="s">
        <v>33</v>
      </c>
      <c r="G1740" s="8">
        <v>2016</v>
      </c>
      <c r="H1740" s="8">
        <v>5</v>
      </c>
      <c r="I1740" s="10">
        <v>42491</v>
      </c>
      <c r="J1740" s="11">
        <v>4098</v>
      </c>
      <c r="K1740" s="51"/>
      <c r="O1740" s="1" t="s">
        <v>12</v>
      </c>
      <c r="P1740" s="1" t="s">
        <v>44</v>
      </c>
      <c r="Q1740" s="1" t="s">
        <v>13</v>
      </c>
      <c r="R1740" s="1" t="s">
        <v>27</v>
      </c>
      <c r="S1740" s="1" t="s">
        <v>33</v>
      </c>
      <c r="T1740" s="1">
        <v>2016</v>
      </c>
      <c r="U1740" s="1">
        <v>5</v>
      </c>
      <c r="V1740" s="50">
        <v>42491</v>
      </c>
      <c r="W1740" s="4">
        <v>3729.18</v>
      </c>
      <c r="X1740" s="48">
        <v>4098</v>
      </c>
    </row>
    <row r="1741" spans="2:24" x14ac:dyDescent="0.35">
      <c r="B1741" s="8" t="s">
        <v>14</v>
      </c>
      <c r="C1741" s="8" t="s">
        <v>46</v>
      </c>
      <c r="D1741" s="8" t="s">
        <v>47</v>
      </c>
      <c r="E1741" s="8" t="s">
        <v>23</v>
      </c>
      <c r="F1741" s="6" t="s">
        <v>36</v>
      </c>
      <c r="G1741" s="8">
        <v>2016</v>
      </c>
      <c r="H1741" s="8">
        <v>5</v>
      </c>
      <c r="I1741" s="10">
        <v>42491</v>
      </c>
      <c r="J1741" s="11">
        <v>2286</v>
      </c>
      <c r="K1741" s="51"/>
      <c r="O1741" s="1" t="s">
        <v>14</v>
      </c>
      <c r="P1741" s="1" t="s">
        <v>46</v>
      </c>
      <c r="Q1741" s="1" t="s">
        <v>47</v>
      </c>
      <c r="R1741" s="1" t="s">
        <v>23</v>
      </c>
      <c r="S1741" t="s">
        <v>36</v>
      </c>
      <c r="T1741" s="1">
        <v>2016</v>
      </c>
      <c r="U1741" s="1">
        <v>5</v>
      </c>
      <c r="V1741" s="50">
        <v>42491</v>
      </c>
      <c r="W1741" s="4">
        <v>2034.5399999999997</v>
      </c>
      <c r="X1741" s="48">
        <v>2286</v>
      </c>
    </row>
    <row r="1742" spans="2:24" x14ac:dyDescent="0.35">
      <c r="B1742" s="8" t="s">
        <v>6</v>
      </c>
      <c r="C1742" s="8" t="s">
        <v>29</v>
      </c>
      <c r="D1742" s="8" t="s">
        <v>30</v>
      </c>
      <c r="E1742" s="8" t="s">
        <v>23</v>
      </c>
      <c r="F1742" s="6" t="s">
        <v>39</v>
      </c>
      <c r="G1742" s="8">
        <v>2016</v>
      </c>
      <c r="H1742" s="8">
        <v>5</v>
      </c>
      <c r="I1742" s="10">
        <v>42491</v>
      </c>
      <c r="J1742" s="11">
        <v>2656</v>
      </c>
      <c r="K1742" s="51"/>
      <c r="O1742" s="1" t="s">
        <v>6</v>
      </c>
      <c r="P1742" s="1" t="s">
        <v>29</v>
      </c>
      <c r="Q1742" s="1" t="s">
        <v>30</v>
      </c>
      <c r="R1742" s="1" t="s">
        <v>23</v>
      </c>
      <c r="S1742" t="s">
        <v>39</v>
      </c>
      <c r="T1742" s="1">
        <v>2016</v>
      </c>
      <c r="U1742" s="1">
        <v>5</v>
      </c>
      <c r="V1742" s="50">
        <v>42491</v>
      </c>
      <c r="W1742" s="4">
        <v>2390.3999999999996</v>
      </c>
      <c r="X1742" s="48">
        <v>2656</v>
      </c>
    </row>
    <row r="1743" spans="2:24" x14ac:dyDescent="0.35">
      <c r="B1743" s="8" t="s">
        <v>7</v>
      </c>
      <c r="C1743" s="8" t="s">
        <v>32</v>
      </c>
      <c r="D1743" s="8" t="s">
        <v>8</v>
      </c>
      <c r="E1743" s="8" t="s">
        <v>0</v>
      </c>
      <c r="F1743" s="6" t="s">
        <v>42</v>
      </c>
      <c r="G1743" s="8">
        <v>2016</v>
      </c>
      <c r="H1743" s="8">
        <v>5</v>
      </c>
      <c r="I1743" s="10">
        <v>42491</v>
      </c>
      <c r="J1743" s="11">
        <v>4659</v>
      </c>
      <c r="K1743" s="51"/>
      <c r="O1743" s="1" t="s">
        <v>7</v>
      </c>
      <c r="P1743" s="1" t="s">
        <v>32</v>
      </c>
      <c r="Q1743" s="1" t="s">
        <v>8</v>
      </c>
      <c r="R1743" s="1" t="s">
        <v>0</v>
      </c>
      <c r="S1743" t="s">
        <v>42</v>
      </c>
      <c r="T1743" s="1">
        <v>2016</v>
      </c>
      <c r="U1743" s="1">
        <v>5</v>
      </c>
      <c r="V1743" s="50">
        <v>42491</v>
      </c>
      <c r="W1743" s="4">
        <v>4099.9199999999992</v>
      </c>
      <c r="X1743" s="48">
        <v>4659</v>
      </c>
    </row>
    <row r="1744" spans="2:24" x14ac:dyDescent="0.35">
      <c r="B1744" s="8" t="s">
        <v>12</v>
      </c>
      <c r="C1744" s="8" t="s">
        <v>44</v>
      </c>
      <c r="D1744" s="8" t="s">
        <v>13</v>
      </c>
      <c r="E1744" s="9" t="s">
        <v>0</v>
      </c>
      <c r="F1744" s="9" t="s">
        <v>26</v>
      </c>
      <c r="G1744" s="8">
        <v>2016</v>
      </c>
      <c r="H1744" s="8">
        <v>5</v>
      </c>
      <c r="I1744" s="10">
        <v>42491</v>
      </c>
      <c r="J1744" s="11">
        <v>3828</v>
      </c>
      <c r="K1744" s="51"/>
      <c r="O1744" s="1" t="s">
        <v>12</v>
      </c>
      <c r="P1744" s="1" t="s">
        <v>44</v>
      </c>
      <c r="Q1744" s="1" t="s">
        <v>13</v>
      </c>
      <c r="R1744" s="2" t="s">
        <v>0</v>
      </c>
      <c r="S1744" s="2" t="s">
        <v>26</v>
      </c>
      <c r="T1744" s="1">
        <v>2016</v>
      </c>
      <c r="U1744" s="1">
        <v>5</v>
      </c>
      <c r="V1744" s="50">
        <v>42491</v>
      </c>
      <c r="W1744" s="4">
        <v>3368.6399999999994</v>
      </c>
      <c r="X1744" s="48">
        <v>3828</v>
      </c>
    </row>
    <row r="1745" spans="2:24" x14ac:dyDescent="0.35">
      <c r="B1745" s="8" t="s">
        <v>14</v>
      </c>
      <c r="C1745" s="8" t="s">
        <v>37</v>
      </c>
      <c r="D1745" s="8" t="s">
        <v>38</v>
      </c>
      <c r="E1745" s="8" t="s">
        <v>0</v>
      </c>
      <c r="F1745" s="9" t="s">
        <v>45</v>
      </c>
      <c r="G1745" s="8">
        <v>2016</v>
      </c>
      <c r="H1745" s="8">
        <v>5</v>
      </c>
      <c r="I1745" s="10">
        <v>42491</v>
      </c>
      <c r="J1745" s="11">
        <v>2788</v>
      </c>
      <c r="K1745" s="51"/>
      <c r="O1745" s="1" t="s">
        <v>14</v>
      </c>
      <c r="P1745" s="1" t="s">
        <v>37</v>
      </c>
      <c r="Q1745" s="1" t="s">
        <v>38</v>
      </c>
      <c r="R1745" s="1" t="s">
        <v>0</v>
      </c>
      <c r="S1745" s="2" t="s">
        <v>45</v>
      </c>
      <c r="T1745" s="1">
        <v>2016</v>
      </c>
      <c r="U1745" s="1">
        <v>5</v>
      </c>
      <c r="V1745" s="50">
        <v>42491</v>
      </c>
      <c r="W1745" s="4">
        <v>2425.5600000000004</v>
      </c>
      <c r="X1745" s="48">
        <v>2788</v>
      </c>
    </row>
    <row r="1746" spans="2:24" x14ac:dyDescent="0.35">
      <c r="B1746" s="8" t="s">
        <v>3</v>
      </c>
      <c r="C1746" s="8" t="s">
        <v>25</v>
      </c>
      <c r="D1746" s="8" t="s">
        <v>4</v>
      </c>
      <c r="E1746" s="8" t="s">
        <v>27</v>
      </c>
      <c r="F1746" s="6" t="s">
        <v>28</v>
      </c>
      <c r="G1746" s="8">
        <v>2016</v>
      </c>
      <c r="H1746" s="8">
        <v>5</v>
      </c>
      <c r="I1746" s="10">
        <v>42491</v>
      </c>
      <c r="J1746" s="11">
        <v>3344</v>
      </c>
      <c r="K1746" s="51"/>
      <c r="O1746" s="1" t="s">
        <v>3</v>
      </c>
      <c r="P1746" s="1" t="s">
        <v>25</v>
      </c>
      <c r="Q1746" s="1" t="s">
        <v>4</v>
      </c>
      <c r="R1746" s="1" t="s">
        <v>27</v>
      </c>
      <c r="S1746" t="s">
        <v>28</v>
      </c>
      <c r="T1746" s="1">
        <v>2016</v>
      </c>
      <c r="U1746" s="1">
        <v>5</v>
      </c>
      <c r="V1746" s="50">
        <v>42491</v>
      </c>
      <c r="W1746" s="4">
        <v>3009.5999999999995</v>
      </c>
      <c r="X1746" s="48">
        <v>3344</v>
      </c>
    </row>
    <row r="1747" spans="2:24" x14ac:dyDescent="0.35">
      <c r="B1747" s="8" t="s">
        <v>3</v>
      </c>
      <c r="C1747" s="8" t="s">
        <v>25</v>
      </c>
      <c r="D1747" s="8" t="s">
        <v>4</v>
      </c>
      <c r="E1747" s="8" t="s">
        <v>27</v>
      </c>
      <c r="F1747" s="8" t="s">
        <v>31</v>
      </c>
      <c r="G1747" s="8">
        <v>2016</v>
      </c>
      <c r="H1747" s="8">
        <v>5</v>
      </c>
      <c r="I1747" s="10">
        <v>42491</v>
      </c>
      <c r="J1747" s="11">
        <v>4430</v>
      </c>
      <c r="K1747" s="51"/>
      <c r="O1747" s="1" t="s">
        <v>3</v>
      </c>
      <c r="P1747" s="1" t="s">
        <v>25</v>
      </c>
      <c r="Q1747" s="1" t="s">
        <v>4</v>
      </c>
      <c r="R1747" s="1" t="s">
        <v>27</v>
      </c>
      <c r="S1747" s="1" t="s">
        <v>31</v>
      </c>
      <c r="T1747" s="1">
        <v>2016</v>
      </c>
      <c r="U1747" s="1">
        <v>5</v>
      </c>
      <c r="V1747" s="50">
        <v>42491</v>
      </c>
      <c r="W1747" s="4">
        <v>4075.5999999999995</v>
      </c>
      <c r="X1747" s="48">
        <v>4430</v>
      </c>
    </row>
    <row r="1748" spans="2:24" x14ac:dyDescent="0.35">
      <c r="B1748" s="8" t="s">
        <v>6</v>
      </c>
      <c r="C1748" s="8" t="s">
        <v>40</v>
      </c>
      <c r="D1748" s="8" t="s">
        <v>41</v>
      </c>
      <c r="E1748" s="8" t="s">
        <v>27</v>
      </c>
      <c r="F1748" s="8" t="s">
        <v>33</v>
      </c>
      <c r="G1748" s="8">
        <v>2016</v>
      </c>
      <c r="H1748" s="8">
        <v>5</v>
      </c>
      <c r="I1748" s="10">
        <v>42491</v>
      </c>
      <c r="J1748" s="11">
        <v>3433</v>
      </c>
      <c r="K1748" s="51"/>
      <c r="O1748" s="1" t="s">
        <v>6</v>
      </c>
      <c r="P1748" s="1" t="s">
        <v>40</v>
      </c>
      <c r="Q1748" s="1" t="s">
        <v>41</v>
      </c>
      <c r="R1748" s="1" t="s">
        <v>27</v>
      </c>
      <c r="S1748" s="1" t="s">
        <v>33</v>
      </c>
      <c r="T1748" s="1">
        <v>2016</v>
      </c>
      <c r="U1748" s="1">
        <v>5</v>
      </c>
      <c r="V1748" s="50">
        <v>42491</v>
      </c>
      <c r="W1748" s="4">
        <v>3089.7</v>
      </c>
      <c r="X1748" s="48">
        <v>3433</v>
      </c>
    </row>
    <row r="1749" spans="2:24" x14ac:dyDescent="0.35">
      <c r="B1749" s="8" t="s">
        <v>6</v>
      </c>
      <c r="C1749" s="8" t="s">
        <v>40</v>
      </c>
      <c r="D1749" s="8" t="s">
        <v>41</v>
      </c>
      <c r="E1749" s="8" t="s">
        <v>23</v>
      </c>
      <c r="F1749" s="8" t="s">
        <v>36</v>
      </c>
      <c r="G1749" s="8">
        <v>2016</v>
      </c>
      <c r="H1749" s="8">
        <v>5</v>
      </c>
      <c r="I1749" s="10">
        <v>42491</v>
      </c>
      <c r="J1749" s="11">
        <v>2041</v>
      </c>
      <c r="K1749" s="51"/>
      <c r="O1749" s="1" t="s">
        <v>6</v>
      </c>
      <c r="P1749" s="1" t="s">
        <v>40</v>
      </c>
      <c r="Q1749" s="1" t="s">
        <v>41</v>
      </c>
      <c r="R1749" s="1" t="s">
        <v>23</v>
      </c>
      <c r="S1749" s="1" t="s">
        <v>36</v>
      </c>
      <c r="T1749" s="1">
        <v>2016</v>
      </c>
      <c r="U1749" s="1">
        <v>5</v>
      </c>
      <c r="V1749" s="50">
        <v>42491</v>
      </c>
      <c r="W1749" s="4">
        <v>1877.7199999999998</v>
      </c>
      <c r="X1749" s="48">
        <v>2041</v>
      </c>
    </row>
    <row r="1750" spans="2:24" x14ac:dyDescent="0.35">
      <c r="B1750" s="8" t="s">
        <v>7</v>
      </c>
      <c r="C1750" s="8" t="s">
        <v>43</v>
      </c>
      <c r="D1750" s="8" t="s">
        <v>10</v>
      </c>
      <c r="E1750" s="8" t="s">
        <v>23</v>
      </c>
      <c r="F1750" s="6" t="s">
        <v>24</v>
      </c>
      <c r="G1750" s="8">
        <v>2016</v>
      </c>
      <c r="H1750" s="8">
        <v>5</v>
      </c>
      <c r="I1750" s="10">
        <v>42491</v>
      </c>
      <c r="J1750" s="11">
        <v>1901</v>
      </c>
      <c r="K1750" s="51"/>
      <c r="O1750" s="1" t="s">
        <v>7</v>
      </c>
      <c r="P1750" s="1" t="s">
        <v>43</v>
      </c>
      <c r="Q1750" s="1" t="s">
        <v>10</v>
      </c>
      <c r="R1750" s="1" t="s">
        <v>23</v>
      </c>
      <c r="S1750" t="s">
        <v>24</v>
      </c>
      <c r="T1750" s="1">
        <v>2016</v>
      </c>
      <c r="U1750" s="1">
        <v>5</v>
      </c>
      <c r="V1750" s="50">
        <v>42491</v>
      </c>
      <c r="W1750" s="4">
        <v>1786.9399999999998</v>
      </c>
      <c r="X1750" s="48">
        <v>1901</v>
      </c>
    </row>
    <row r="1751" spans="2:24" x14ac:dyDescent="0.35">
      <c r="B1751" s="8" t="s">
        <v>7</v>
      </c>
      <c r="C1751" s="8" t="s">
        <v>43</v>
      </c>
      <c r="D1751" s="8" t="s">
        <v>10</v>
      </c>
      <c r="E1751" s="8" t="s">
        <v>23</v>
      </c>
      <c r="F1751" s="6" t="s">
        <v>39</v>
      </c>
      <c r="G1751" s="8">
        <v>2016</v>
      </c>
      <c r="H1751" s="8">
        <v>5</v>
      </c>
      <c r="I1751" s="10">
        <v>42491</v>
      </c>
      <c r="J1751" s="11">
        <v>1611</v>
      </c>
      <c r="K1751" s="51"/>
      <c r="O1751" s="1" t="s">
        <v>7</v>
      </c>
      <c r="P1751" s="1" t="s">
        <v>43</v>
      </c>
      <c r="Q1751" s="1" t="s">
        <v>10</v>
      </c>
      <c r="R1751" s="1" t="s">
        <v>23</v>
      </c>
      <c r="S1751" t="s">
        <v>39</v>
      </c>
      <c r="T1751" s="1">
        <v>2016</v>
      </c>
      <c r="U1751" s="1">
        <v>5</v>
      </c>
      <c r="V1751" s="50">
        <v>42491</v>
      </c>
      <c r="W1751" s="4">
        <v>1385.46</v>
      </c>
      <c r="X1751" s="48">
        <v>1611</v>
      </c>
    </row>
    <row r="1752" spans="2:24" x14ac:dyDescent="0.35">
      <c r="B1752" s="8" t="s">
        <v>7</v>
      </c>
      <c r="C1752" s="8" t="s">
        <v>32</v>
      </c>
      <c r="D1752" s="8" t="s">
        <v>8</v>
      </c>
      <c r="E1752" s="8" t="s">
        <v>0</v>
      </c>
      <c r="F1752" s="6" t="s">
        <v>26</v>
      </c>
      <c r="G1752" s="8">
        <v>2016</v>
      </c>
      <c r="H1752" s="8">
        <v>5</v>
      </c>
      <c r="I1752" s="10">
        <v>42491</v>
      </c>
      <c r="J1752" s="11">
        <v>5450</v>
      </c>
      <c r="K1752" s="51"/>
      <c r="O1752" s="1" t="s">
        <v>7</v>
      </c>
      <c r="P1752" s="1" t="s">
        <v>32</v>
      </c>
      <c r="Q1752" s="1" t="s">
        <v>8</v>
      </c>
      <c r="R1752" s="1" t="s">
        <v>0</v>
      </c>
      <c r="S1752" t="s">
        <v>26</v>
      </c>
      <c r="T1752" s="1">
        <v>2016</v>
      </c>
      <c r="U1752" s="1">
        <v>5</v>
      </c>
      <c r="V1752" s="50">
        <v>42491</v>
      </c>
      <c r="W1752" s="4">
        <v>5014</v>
      </c>
      <c r="X1752" s="48">
        <v>5450</v>
      </c>
    </row>
    <row r="1753" spans="2:24" x14ac:dyDescent="0.35">
      <c r="B1753" s="8" t="s">
        <v>3</v>
      </c>
      <c r="C1753" s="8" t="s">
        <v>22</v>
      </c>
      <c r="D1753" s="8" t="s">
        <v>5</v>
      </c>
      <c r="E1753" s="9" t="s">
        <v>0</v>
      </c>
      <c r="F1753" s="9" t="s">
        <v>45</v>
      </c>
      <c r="G1753" s="8">
        <v>2016</v>
      </c>
      <c r="H1753" s="8">
        <v>5</v>
      </c>
      <c r="I1753" s="10">
        <v>42491</v>
      </c>
      <c r="J1753" s="11">
        <v>4482</v>
      </c>
      <c r="K1753" s="51"/>
      <c r="O1753" s="1" t="s">
        <v>3</v>
      </c>
      <c r="P1753" s="1" t="s">
        <v>22</v>
      </c>
      <c r="Q1753" s="1" t="s">
        <v>5</v>
      </c>
      <c r="R1753" s="2" t="s">
        <v>0</v>
      </c>
      <c r="S1753" s="2" t="s">
        <v>45</v>
      </c>
      <c r="T1753" s="1">
        <v>2016</v>
      </c>
      <c r="U1753" s="1">
        <v>5</v>
      </c>
      <c r="V1753" s="50">
        <v>42491</v>
      </c>
      <c r="W1753" s="4">
        <v>3854.5200000000004</v>
      </c>
      <c r="X1753" s="48">
        <v>4482</v>
      </c>
    </row>
    <row r="1754" spans="2:24" x14ac:dyDescent="0.35">
      <c r="B1754" s="8" t="s">
        <v>7</v>
      </c>
      <c r="C1754" s="8" t="s">
        <v>48</v>
      </c>
      <c r="D1754" s="8" t="s">
        <v>9</v>
      </c>
      <c r="E1754" s="8" t="s">
        <v>23</v>
      </c>
      <c r="F1754" s="9" t="s">
        <v>36</v>
      </c>
      <c r="G1754" s="8">
        <v>2016</v>
      </c>
      <c r="H1754" s="8">
        <v>5</v>
      </c>
      <c r="I1754" s="10">
        <v>42491</v>
      </c>
      <c r="J1754" s="11">
        <v>2824</v>
      </c>
      <c r="K1754" s="51"/>
      <c r="O1754" s="1" t="s">
        <v>7</v>
      </c>
      <c r="P1754" s="1" t="s">
        <v>48</v>
      </c>
      <c r="Q1754" s="1" t="s">
        <v>9</v>
      </c>
      <c r="R1754" s="1" t="s">
        <v>23</v>
      </c>
      <c r="S1754" s="2" t="s">
        <v>36</v>
      </c>
      <c r="T1754" s="1">
        <v>2016</v>
      </c>
      <c r="U1754" s="1">
        <v>5</v>
      </c>
      <c r="V1754" s="50">
        <v>42491</v>
      </c>
      <c r="W1754" s="4">
        <v>2626.3199999999997</v>
      </c>
      <c r="X1754" s="48">
        <v>2824</v>
      </c>
    </row>
    <row r="1755" spans="2:24" x14ac:dyDescent="0.35">
      <c r="B1755" s="8" t="s">
        <v>7</v>
      </c>
      <c r="C1755" s="8" t="s">
        <v>48</v>
      </c>
      <c r="D1755" s="8" t="s">
        <v>9</v>
      </c>
      <c r="E1755" s="8" t="s">
        <v>23</v>
      </c>
      <c r="F1755" s="6" t="s">
        <v>24</v>
      </c>
      <c r="G1755" s="8">
        <v>2016</v>
      </c>
      <c r="H1755" s="8">
        <v>5</v>
      </c>
      <c r="I1755" s="10">
        <v>42491</v>
      </c>
      <c r="J1755" s="11">
        <v>2332</v>
      </c>
      <c r="K1755" s="51"/>
      <c r="O1755" s="1" t="s">
        <v>7</v>
      </c>
      <c r="P1755" s="1" t="s">
        <v>48</v>
      </c>
      <c r="Q1755" s="1" t="s">
        <v>9</v>
      </c>
      <c r="R1755" s="1" t="s">
        <v>23</v>
      </c>
      <c r="S1755" t="s">
        <v>24</v>
      </c>
      <c r="T1755" s="1">
        <v>2016</v>
      </c>
      <c r="U1755" s="1">
        <v>5</v>
      </c>
      <c r="V1755" s="50">
        <v>42491</v>
      </c>
      <c r="W1755" s="4">
        <v>1982.2000000000003</v>
      </c>
      <c r="X1755" s="48">
        <v>2332</v>
      </c>
    </row>
    <row r="1756" spans="2:24" x14ac:dyDescent="0.35">
      <c r="B1756" s="8" t="s">
        <v>7</v>
      </c>
      <c r="C1756" s="8" t="s">
        <v>49</v>
      </c>
      <c r="D1756" s="8" t="s">
        <v>11</v>
      </c>
      <c r="E1756" s="8" t="s">
        <v>23</v>
      </c>
      <c r="F1756" s="8" t="s">
        <v>39</v>
      </c>
      <c r="G1756" s="8">
        <v>2016</v>
      </c>
      <c r="H1756" s="8">
        <v>5</v>
      </c>
      <c r="I1756" s="10">
        <v>42491</v>
      </c>
      <c r="J1756" s="11">
        <v>1633</v>
      </c>
      <c r="K1756" s="51"/>
      <c r="O1756" s="1" t="s">
        <v>7</v>
      </c>
      <c r="P1756" s="1" t="s">
        <v>49</v>
      </c>
      <c r="Q1756" s="1" t="s">
        <v>11</v>
      </c>
      <c r="R1756" s="1" t="s">
        <v>23</v>
      </c>
      <c r="S1756" s="1" t="s">
        <v>39</v>
      </c>
      <c r="T1756" s="1">
        <v>2016</v>
      </c>
      <c r="U1756" s="1">
        <v>5</v>
      </c>
      <c r="V1756" s="50">
        <v>42491</v>
      </c>
      <c r="W1756" s="4">
        <v>1486.0299999999997</v>
      </c>
      <c r="X1756" s="48">
        <v>1633</v>
      </c>
    </row>
    <row r="1757" spans="2:24" x14ac:dyDescent="0.35">
      <c r="B1757" s="8" t="s">
        <v>7</v>
      </c>
      <c r="C1757" s="8" t="s">
        <v>49</v>
      </c>
      <c r="D1757" s="8" t="s">
        <v>11</v>
      </c>
      <c r="E1757" s="8" t="s">
        <v>0</v>
      </c>
      <c r="F1757" s="8" t="s">
        <v>42</v>
      </c>
      <c r="G1757" s="8">
        <v>2016</v>
      </c>
      <c r="H1757" s="8">
        <v>5</v>
      </c>
      <c r="I1757" s="10">
        <v>42491</v>
      </c>
      <c r="J1757" s="11">
        <v>4449</v>
      </c>
      <c r="K1757" s="51"/>
      <c r="O1757" s="1" t="s">
        <v>7</v>
      </c>
      <c r="P1757" s="1" t="s">
        <v>49</v>
      </c>
      <c r="Q1757" s="1" t="s">
        <v>11</v>
      </c>
      <c r="R1757" s="1" t="s">
        <v>0</v>
      </c>
      <c r="S1757" s="1" t="s">
        <v>42</v>
      </c>
      <c r="T1757" s="1">
        <v>2016</v>
      </c>
      <c r="U1757" s="1">
        <v>5</v>
      </c>
      <c r="V1757" s="50">
        <v>42491</v>
      </c>
      <c r="W1757" s="4">
        <v>4004.0999999999995</v>
      </c>
      <c r="X1757" s="48">
        <v>4449</v>
      </c>
    </row>
    <row r="1758" spans="2:24" x14ac:dyDescent="0.35">
      <c r="B1758" s="8" t="s">
        <v>12</v>
      </c>
      <c r="C1758" s="8" t="s">
        <v>34</v>
      </c>
      <c r="D1758" s="8" t="s">
        <v>35</v>
      </c>
      <c r="E1758" s="8" t="s">
        <v>0</v>
      </c>
      <c r="F1758" s="8" t="s">
        <v>26</v>
      </c>
      <c r="G1758" s="8">
        <v>2016</v>
      </c>
      <c r="H1758" s="8">
        <v>5</v>
      </c>
      <c r="I1758" s="10">
        <v>42491</v>
      </c>
      <c r="J1758" s="11">
        <v>4993</v>
      </c>
      <c r="K1758" s="51"/>
      <c r="O1758" s="1" t="s">
        <v>12</v>
      </c>
      <c r="P1758" s="1" t="s">
        <v>34</v>
      </c>
      <c r="Q1758" s="1" t="s">
        <v>35</v>
      </c>
      <c r="R1758" s="1" t="s">
        <v>0</v>
      </c>
      <c r="S1758" s="1" t="s">
        <v>26</v>
      </c>
      <c r="T1758" s="1">
        <v>2016</v>
      </c>
      <c r="U1758" s="1">
        <v>5</v>
      </c>
      <c r="V1758" s="50">
        <v>42491</v>
      </c>
      <c r="W1758" s="4">
        <v>4393.8399999999992</v>
      </c>
      <c r="X1758" s="48">
        <v>4993</v>
      </c>
    </row>
    <row r="1759" spans="2:24" x14ac:dyDescent="0.35">
      <c r="B1759" s="8" t="s">
        <v>12</v>
      </c>
      <c r="C1759" s="8" t="s">
        <v>34</v>
      </c>
      <c r="D1759" s="8" t="s">
        <v>35</v>
      </c>
      <c r="E1759" s="8" t="s">
        <v>0</v>
      </c>
      <c r="F1759" s="6" t="s">
        <v>45</v>
      </c>
      <c r="G1759" s="8">
        <v>2016</v>
      </c>
      <c r="H1759" s="8">
        <v>5</v>
      </c>
      <c r="I1759" s="10">
        <v>42491</v>
      </c>
      <c r="J1759" s="11">
        <v>2239</v>
      </c>
      <c r="K1759" s="51"/>
      <c r="O1759" s="1" t="s">
        <v>12</v>
      </c>
      <c r="P1759" s="1" t="s">
        <v>34</v>
      </c>
      <c r="Q1759" s="1" t="s">
        <v>35</v>
      </c>
      <c r="R1759" s="1" t="s">
        <v>0</v>
      </c>
      <c r="S1759" t="s">
        <v>45</v>
      </c>
      <c r="T1759" s="1">
        <v>2016</v>
      </c>
      <c r="U1759" s="1">
        <v>5</v>
      </c>
      <c r="V1759" s="50">
        <v>42491</v>
      </c>
      <c r="W1759" s="4">
        <v>2104.66</v>
      </c>
      <c r="X1759" s="48">
        <v>2239</v>
      </c>
    </row>
    <row r="1760" spans="2:24" x14ac:dyDescent="0.35">
      <c r="B1760" s="8" t="s">
        <v>14</v>
      </c>
      <c r="C1760" s="8" t="s">
        <v>37</v>
      </c>
      <c r="D1760" s="8" t="s">
        <v>38</v>
      </c>
      <c r="E1760" s="8" t="s">
        <v>27</v>
      </c>
      <c r="F1760" s="6" t="s">
        <v>28</v>
      </c>
      <c r="G1760" s="8">
        <v>2016</v>
      </c>
      <c r="H1760" s="8">
        <v>5</v>
      </c>
      <c r="I1760" s="10">
        <v>42491</v>
      </c>
      <c r="J1760" s="11">
        <v>5057</v>
      </c>
      <c r="K1760" s="51"/>
      <c r="O1760" s="1" t="s">
        <v>14</v>
      </c>
      <c r="P1760" s="1" t="s">
        <v>37</v>
      </c>
      <c r="Q1760" s="1" t="s">
        <v>38</v>
      </c>
      <c r="R1760" s="1" t="s">
        <v>27</v>
      </c>
      <c r="S1760" t="s">
        <v>28</v>
      </c>
      <c r="T1760" s="1">
        <v>2016</v>
      </c>
      <c r="U1760" s="1">
        <v>5</v>
      </c>
      <c r="V1760" s="50">
        <v>42491</v>
      </c>
      <c r="W1760" s="4">
        <v>4703.0099999999993</v>
      </c>
      <c r="X1760" s="48">
        <v>5057</v>
      </c>
    </row>
    <row r="1761" spans="2:24" x14ac:dyDescent="0.35">
      <c r="B1761" s="8" t="s">
        <v>14</v>
      </c>
      <c r="C1761" s="8" t="s">
        <v>37</v>
      </c>
      <c r="D1761" s="8" t="s">
        <v>38</v>
      </c>
      <c r="E1761" s="8" t="s">
        <v>27</v>
      </c>
      <c r="F1761" s="6" t="s">
        <v>31</v>
      </c>
      <c r="G1761" s="8">
        <v>2016</v>
      </c>
      <c r="H1761" s="8">
        <v>5</v>
      </c>
      <c r="I1761" s="10">
        <v>42491</v>
      </c>
      <c r="J1761" s="11">
        <v>4829</v>
      </c>
      <c r="K1761" s="51"/>
      <c r="O1761" s="1" t="s">
        <v>14</v>
      </c>
      <c r="P1761" s="1" t="s">
        <v>37</v>
      </c>
      <c r="Q1761" s="1" t="s">
        <v>38</v>
      </c>
      <c r="R1761" s="1" t="s">
        <v>27</v>
      </c>
      <c r="S1761" t="s">
        <v>31</v>
      </c>
      <c r="T1761" s="1">
        <v>2016</v>
      </c>
      <c r="U1761" s="1">
        <v>5</v>
      </c>
      <c r="V1761" s="50">
        <v>42491</v>
      </c>
      <c r="W1761" s="4">
        <v>4490.9699999999993</v>
      </c>
      <c r="X1761" s="48">
        <v>4829</v>
      </c>
    </row>
    <row r="1762" spans="2:24" x14ac:dyDescent="0.35">
      <c r="B1762" s="8" t="s">
        <v>12</v>
      </c>
      <c r="C1762" s="8" t="s">
        <v>44</v>
      </c>
      <c r="D1762" s="8" t="s">
        <v>13</v>
      </c>
      <c r="E1762" s="9" t="s">
        <v>23</v>
      </c>
      <c r="F1762" s="9" t="s">
        <v>36</v>
      </c>
      <c r="G1762" s="8">
        <v>2016</v>
      </c>
      <c r="H1762" s="8">
        <v>5</v>
      </c>
      <c r="I1762" s="10">
        <v>42491</v>
      </c>
      <c r="J1762" s="11">
        <v>2711</v>
      </c>
      <c r="K1762" s="51"/>
      <c r="O1762" s="1" t="s">
        <v>12</v>
      </c>
      <c r="P1762" s="1" t="s">
        <v>44</v>
      </c>
      <c r="Q1762" s="1" t="s">
        <v>13</v>
      </c>
      <c r="R1762" s="2" t="s">
        <v>23</v>
      </c>
      <c r="S1762" s="2" t="s">
        <v>36</v>
      </c>
      <c r="T1762" s="1">
        <v>2016</v>
      </c>
      <c r="U1762" s="1">
        <v>5</v>
      </c>
      <c r="V1762" s="50">
        <v>42491</v>
      </c>
      <c r="W1762" s="4">
        <v>2385.6799999999998</v>
      </c>
      <c r="X1762" s="48">
        <v>2711</v>
      </c>
    </row>
    <row r="1763" spans="2:24" x14ac:dyDescent="0.35">
      <c r="B1763" s="8" t="s">
        <v>14</v>
      </c>
      <c r="C1763" s="8" t="s">
        <v>46</v>
      </c>
      <c r="D1763" s="8" t="s">
        <v>47</v>
      </c>
      <c r="E1763" s="8" t="s">
        <v>23</v>
      </c>
      <c r="F1763" s="9" t="s">
        <v>24</v>
      </c>
      <c r="G1763" s="8">
        <v>2016</v>
      </c>
      <c r="H1763" s="8">
        <v>5</v>
      </c>
      <c r="I1763" s="10">
        <v>42491</v>
      </c>
      <c r="J1763" s="11">
        <v>3175</v>
      </c>
      <c r="K1763" s="51"/>
      <c r="O1763" s="1" t="s">
        <v>14</v>
      </c>
      <c r="P1763" s="1" t="s">
        <v>46</v>
      </c>
      <c r="Q1763" s="1" t="s">
        <v>47</v>
      </c>
      <c r="R1763" s="1" t="s">
        <v>23</v>
      </c>
      <c r="S1763" s="2" t="s">
        <v>24</v>
      </c>
      <c r="T1763" s="1">
        <v>2016</v>
      </c>
      <c r="U1763" s="1">
        <v>5</v>
      </c>
      <c r="V1763" s="50">
        <v>42491</v>
      </c>
      <c r="W1763" s="4">
        <v>2921</v>
      </c>
      <c r="X1763" s="48">
        <v>3175</v>
      </c>
    </row>
    <row r="1764" spans="2:24" x14ac:dyDescent="0.35">
      <c r="B1764" s="8" t="s">
        <v>14</v>
      </c>
      <c r="C1764" s="8" t="s">
        <v>46</v>
      </c>
      <c r="D1764" s="8" t="s">
        <v>47</v>
      </c>
      <c r="E1764" s="8" t="s">
        <v>23</v>
      </c>
      <c r="F1764" s="6" t="s">
        <v>39</v>
      </c>
      <c r="G1764" s="8">
        <v>2016</v>
      </c>
      <c r="H1764" s="8">
        <v>5</v>
      </c>
      <c r="I1764" s="10">
        <v>42491</v>
      </c>
      <c r="J1764" s="11">
        <v>1633</v>
      </c>
      <c r="K1764" s="51"/>
      <c r="O1764" s="1" t="s">
        <v>14</v>
      </c>
      <c r="P1764" s="1" t="s">
        <v>46</v>
      </c>
      <c r="Q1764" s="1" t="s">
        <v>47</v>
      </c>
      <c r="R1764" s="1" t="s">
        <v>23</v>
      </c>
      <c r="S1764" t="s">
        <v>39</v>
      </c>
      <c r="T1764" s="1">
        <v>2016</v>
      </c>
      <c r="U1764" s="1">
        <v>5</v>
      </c>
      <c r="V1764" s="50">
        <v>42491</v>
      </c>
      <c r="W1764" s="4">
        <v>1437.0399999999997</v>
      </c>
      <c r="X1764" s="48">
        <v>1633</v>
      </c>
    </row>
    <row r="1765" spans="2:24" x14ac:dyDescent="0.35">
      <c r="B1765" s="8" t="s">
        <v>7</v>
      </c>
      <c r="C1765" s="8" t="s">
        <v>43</v>
      </c>
      <c r="D1765" s="8" t="s">
        <v>10</v>
      </c>
      <c r="E1765" s="8" t="s">
        <v>0</v>
      </c>
      <c r="F1765" s="8" t="s">
        <v>42</v>
      </c>
      <c r="G1765" s="8">
        <v>2016</v>
      </c>
      <c r="H1765" s="8">
        <v>5</v>
      </c>
      <c r="I1765" s="10">
        <v>42491</v>
      </c>
      <c r="J1765" s="11">
        <v>4461</v>
      </c>
      <c r="K1765" s="51"/>
      <c r="O1765" s="1" t="s">
        <v>7</v>
      </c>
      <c r="P1765" s="1" t="s">
        <v>43</v>
      </c>
      <c r="Q1765" s="1" t="s">
        <v>10</v>
      </c>
      <c r="R1765" s="1" t="s">
        <v>0</v>
      </c>
      <c r="S1765" s="1" t="s">
        <v>42</v>
      </c>
      <c r="T1765" s="1">
        <v>2016</v>
      </c>
      <c r="U1765" s="1">
        <v>5</v>
      </c>
      <c r="V1765" s="50">
        <v>42491</v>
      </c>
      <c r="W1765" s="4">
        <v>3791.8500000000004</v>
      </c>
      <c r="X1765" s="48">
        <v>4461</v>
      </c>
    </row>
    <row r="1766" spans="2:24" x14ac:dyDescent="0.35">
      <c r="B1766" s="8" t="s">
        <v>6</v>
      </c>
      <c r="C1766" s="8" t="s">
        <v>40</v>
      </c>
      <c r="D1766" s="8" t="s">
        <v>41</v>
      </c>
      <c r="E1766" s="8" t="s">
        <v>27</v>
      </c>
      <c r="F1766" s="8" t="s">
        <v>31</v>
      </c>
      <c r="G1766" s="8">
        <v>2016</v>
      </c>
      <c r="H1766" s="8">
        <v>5</v>
      </c>
      <c r="I1766" s="10">
        <v>42491</v>
      </c>
      <c r="J1766" s="11">
        <v>3060</v>
      </c>
      <c r="K1766" s="51"/>
      <c r="O1766" s="1" t="s">
        <v>6</v>
      </c>
      <c r="P1766" s="1" t="s">
        <v>40</v>
      </c>
      <c r="Q1766" s="1" t="s">
        <v>41</v>
      </c>
      <c r="R1766" s="1" t="s">
        <v>27</v>
      </c>
      <c r="S1766" s="1" t="s">
        <v>31</v>
      </c>
      <c r="T1766" s="1">
        <v>2016</v>
      </c>
      <c r="U1766" s="1">
        <v>5</v>
      </c>
      <c r="V1766" s="50">
        <v>42491</v>
      </c>
      <c r="W1766" s="4">
        <v>2692.7999999999997</v>
      </c>
      <c r="X1766" s="48">
        <v>3060</v>
      </c>
    </row>
    <row r="1767" spans="2:24" x14ac:dyDescent="0.35">
      <c r="B1767" s="8" t="s">
        <v>3</v>
      </c>
      <c r="C1767" s="8" t="s">
        <v>22</v>
      </c>
      <c r="D1767" s="8" t="s">
        <v>5</v>
      </c>
      <c r="E1767" s="8" t="s">
        <v>23</v>
      </c>
      <c r="F1767" s="8" t="s">
        <v>39</v>
      </c>
      <c r="G1767" s="8">
        <v>2016</v>
      </c>
      <c r="H1767" s="8">
        <v>5</v>
      </c>
      <c r="I1767" s="10">
        <v>42491</v>
      </c>
      <c r="J1767" s="11">
        <v>2251</v>
      </c>
      <c r="K1767" s="51"/>
      <c r="O1767" s="1" t="s">
        <v>3</v>
      </c>
      <c r="P1767" s="1" t="s">
        <v>22</v>
      </c>
      <c r="Q1767" s="1" t="s">
        <v>5</v>
      </c>
      <c r="R1767" s="1" t="s">
        <v>23</v>
      </c>
      <c r="S1767" s="1" t="s">
        <v>39</v>
      </c>
      <c r="T1767" s="1">
        <v>2016</v>
      </c>
      <c r="U1767" s="1">
        <v>5</v>
      </c>
      <c r="V1767" s="50">
        <v>42491</v>
      </c>
      <c r="W1767" s="4">
        <v>2003.3899999999999</v>
      </c>
      <c r="X1767" s="48">
        <v>2251</v>
      </c>
    </row>
    <row r="1768" spans="2:24" x14ac:dyDescent="0.35">
      <c r="B1768" s="8" t="s">
        <v>3</v>
      </c>
      <c r="C1768" s="8" t="s">
        <v>22</v>
      </c>
      <c r="D1768" s="8" t="s">
        <v>5</v>
      </c>
      <c r="E1768" s="8" t="s">
        <v>0</v>
      </c>
      <c r="F1768" s="6" t="s">
        <v>42</v>
      </c>
      <c r="G1768" s="8">
        <v>2016</v>
      </c>
      <c r="H1768" s="8">
        <v>5</v>
      </c>
      <c r="I1768" s="10">
        <v>42491</v>
      </c>
      <c r="J1768" s="11">
        <v>6169</v>
      </c>
      <c r="K1768" s="51"/>
      <c r="O1768" s="1" t="s">
        <v>3</v>
      </c>
      <c r="P1768" s="1" t="s">
        <v>22</v>
      </c>
      <c r="Q1768" s="1" t="s">
        <v>5</v>
      </c>
      <c r="R1768" s="1" t="s">
        <v>0</v>
      </c>
      <c r="S1768" t="s">
        <v>42</v>
      </c>
      <c r="T1768" s="1">
        <v>2016</v>
      </c>
      <c r="U1768" s="1">
        <v>5</v>
      </c>
      <c r="V1768" s="50">
        <v>42491</v>
      </c>
      <c r="W1768" s="4">
        <v>5490.41</v>
      </c>
      <c r="X1768" s="48">
        <v>6169</v>
      </c>
    </row>
    <row r="1769" spans="2:24" x14ac:dyDescent="0.35">
      <c r="B1769" s="8" t="s">
        <v>6</v>
      </c>
      <c r="C1769" s="8" t="s">
        <v>29</v>
      </c>
      <c r="D1769" s="8" t="s">
        <v>30</v>
      </c>
      <c r="E1769" s="8" t="s">
        <v>0</v>
      </c>
      <c r="F1769" s="6" t="s">
        <v>26</v>
      </c>
      <c r="G1769" s="8">
        <v>2016</v>
      </c>
      <c r="H1769" s="8">
        <v>5</v>
      </c>
      <c r="I1769" s="10">
        <v>42491</v>
      </c>
      <c r="J1769" s="11">
        <v>5349</v>
      </c>
      <c r="K1769" s="51"/>
      <c r="O1769" s="1" t="s">
        <v>6</v>
      </c>
      <c r="P1769" s="1" t="s">
        <v>29</v>
      </c>
      <c r="Q1769" s="1" t="s">
        <v>30</v>
      </c>
      <c r="R1769" s="1" t="s">
        <v>0</v>
      </c>
      <c r="S1769" t="s">
        <v>26</v>
      </c>
      <c r="T1769" s="1">
        <v>2016</v>
      </c>
      <c r="U1769" s="1">
        <v>5</v>
      </c>
      <c r="V1769" s="50">
        <v>42491</v>
      </c>
      <c r="W1769" s="4">
        <v>4760.6099999999997</v>
      </c>
      <c r="X1769" s="48">
        <v>5349</v>
      </c>
    </row>
    <row r="1770" spans="2:24" x14ac:dyDescent="0.35">
      <c r="B1770" s="8" t="s">
        <v>7</v>
      </c>
      <c r="C1770" s="8" t="s">
        <v>48</v>
      </c>
      <c r="D1770" s="8" t="s">
        <v>9</v>
      </c>
      <c r="E1770" s="8" t="s">
        <v>27</v>
      </c>
      <c r="F1770" s="6" t="s">
        <v>28</v>
      </c>
      <c r="G1770" s="8">
        <v>2016</v>
      </c>
      <c r="H1770" s="8">
        <v>5</v>
      </c>
      <c r="I1770" s="10">
        <v>42491</v>
      </c>
      <c r="J1770" s="11">
        <v>4562</v>
      </c>
      <c r="K1770" s="51"/>
      <c r="O1770" s="1" t="s">
        <v>7</v>
      </c>
      <c r="P1770" s="1" t="s">
        <v>48</v>
      </c>
      <c r="Q1770" s="1" t="s">
        <v>9</v>
      </c>
      <c r="R1770" s="1" t="s">
        <v>27</v>
      </c>
      <c r="S1770" t="s">
        <v>28</v>
      </c>
      <c r="T1770" s="1">
        <v>2016</v>
      </c>
      <c r="U1770" s="1">
        <v>5</v>
      </c>
      <c r="V1770" s="50">
        <v>42491</v>
      </c>
      <c r="W1770" s="4">
        <v>4288.28</v>
      </c>
      <c r="X1770" s="48">
        <v>4562</v>
      </c>
    </row>
    <row r="1771" spans="2:24" x14ac:dyDescent="0.35">
      <c r="B1771" s="8" t="s">
        <v>7</v>
      </c>
      <c r="C1771" s="8" t="s">
        <v>48</v>
      </c>
      <c r="D1771" s="8" t="s">
        <v>9</v>
      </c>
      <c r="E1771" s="9" t="s">
        <v>27</v>
      </c>
      <c r="F1771" s="9" t="s">
        <v>31</v>
      </c>
      <c r="G1771" s="8">
        <v>2016</v>
      </c>
      <c r="H1771" s="8">
        <v>5</v>
      </c>
      <c r="I1771" s="10">
        <v>42491</v>
      </c>
      <c r="J1771" s="11">
        <v>5248</v>
      </c>
      <c r="K1771" s="51"/>
      <c r="O1771" s="1" t="s">
        <v>7</v>
      </c>
      <c r="P1771" s="1" t="s">
        <v>48</v>
      </c>
      <c r="Q1771" s="1" t="s">
        <v>9</v>
      </c>
      <c r="R1771" s="2" t="s">
        <v>27</v>
      </c>
      <c r="S1771" s="2" t="s">
        <v>31</v>
      </c>
      <c r="T1771" s="1">
        <v>2016</v>
      </c>
      <c r="U1771" s="1">
        <v>5</v>
      </c>
      <c r="V1771" s="50">
        <v>42491</v>
      </c>
      <c r="W1771" s="4">
        <v>4828.16</v>
      </c>
      <c r="X1771" s="48">
        <v>5248</v>
      </c>
    </row>
    <row r="1772" spans="2:24" x14ac:dyDescent="0.35">
      <c r="B1772" s="8" t="s">
        <v>7</v>
      </c>
      <c r="C1772" s="8" t="s">
        <v>49</v>
      </c>
      <c r="D1772" s="8" t="s">
        <v>11</v>
      </c>
      <c r="E1772" s="8" t="s">
        <v>27</v>
      </c>
      <c r="F1772" s="9" t="s">
        <v>33</v>
      </c>
      <c r="G1772" s="8">
        <v>2016</v>
      </c>
      <c r="H1772" s="8">
        <v>5</v>
      </c>
      <c r="I1772" s="10">
        <v>42491</v>
      </c>
      <c r="J1772" s="11">
        <v>4082</v>
      </c>
      <c r="K1772" s="51"/>
      <c r="O1772" s="1" t="s">
        <v>7</v>
      </c>
      <c r="P1772" s="1" t="s">
        <v>49</v>
      </c>
      <c r="Q1772" s="1" t="s">
        <v>11</v>
      </c>
      <c r="R1772" s="1" t="s">
        <v>27</v>
      </c>
      <c r="S1772" s="2" t="s">
        <v>33</v>
      </c>
      <c r="T1772" s="1">
        <v>2016</v>
      </c>
      <c r="U1772" s="1">
        <v>5</v>
      </c>
      <c r="V1772" s="50">
        <v>42491</v>
      </c>
      <c r="W1772" s="4">
        <v>3632.9799999999996</v>
      </c>
      <c r="X1772" s="48">
        <v>4082</v>
      </c>
    </row>
    <row r="1773" spans="2:24" x14ac:dyDescent="0.35">
      <c r="B1773" s="8" t="s">
        <v>7</v>
      </c>
      <c r="C1773" s="8" t="s">
        <v>49</v>
      </c>
      <c r="D1773" s="8" t="s">
        <v>11</v>
      </c>
      <c r="E1773" s="8" t="s">
        <v>23</v>
      </c>
      <c r="F1773" s="6" t="s">
        <v>36</v>
      </c>
      <c r="G1773" s="8">
        <v>2016</v>
      </c>
      <c r="H1773" s="8">
        <v>5</v>
      </c>
      <c r="I1773" s="10">
        <v>42491</v>
      </c>
      <c r="J1773" s="11">
        <v>2476</v>
      </c>
      <c r="K1773" s="51"/>
      <c r="O1773" s="1" t="s">
        <v>7</v>
      </c>
      <c r="P1773" s="1" t="s">
        <v>49</v>
      </c>
      <c r="Q1773" s="1" t="s">
        <v>11</v>
      </c>
      <c r="R1773" s="1" t="s">
        <v>23</v>
      </c>
      <c r="S1773" t="s">
        <v>36</v>
      </c>
      <c r="T1773" s="1">
        <v>2016</v>
      </c>
      <c r="U1773" s="1">
        <v>5</v>
      </c>
      <c r="V1773" s="50">
        <v>42491</v>
      </c>
      <c r="W1773" s="4">
        <v>2228.3999999999996</v>
      </c>
      <c r="X1773" s="48">
        <v>2476</v>
      </c>
    </row>
    <row r="1774" spans="2:24" x14ac:dyDescent="0.35">
      <c r="B1774" s="8" t="s">
        <v>7</v>
      </c>
      <c r="C1774" s="8" t="s">
        <v>43</v>
      </c>
      <c r="D1774" s="8" t="s">
        <v>10</v>
      </c>
      <c r="E1774" s="8" t="s">
        <v>23</v>
      </c>
      <c r="F1774" s="8" t="s">
        <v>36</v>
      </c>
      <c r="G1774" s="8">
        <v>2016</v>
      </c>
      <c r="H1774" s="8">
        <v>5</v>
      </c>
      <c r="I1774" s="10">
        <v>42491</v>
      </c>
      <c r="J1774" s="11">
        <v>2392</v>
      </c>
      <c r="K1774" s="51"/>
      <c r="O1774" s="1" t="s">
        <v>7</v>
      </c>
      <c r="P1774" s="1" t="s">
        <v>43</v>
      </c>
      <c r="Q1774" s="1" t="s">
        <v>10</v>
      </c>
      <c r="R1774" s="1" t="s">
        <v>23</v>
      </c>
      <c r="S1774" s="1" t="s">
        <v>36</v>
      </c>
      <c r="T1774" s="1">
        <v>2016</v>
      </c>
      <c r="U1774" s="1">
        <v>5</v>
      </c>
      <c r="V1774" s="50">
        <v>42491</v>
      </c>
      <c r="W1774" s="4">
        <v>2152.7999999999997</v>
      </c>
      <c r="X1774" s="48">
        <v>2392</v>
      </c>
    </row>
    <row r="1775" spans="2:24" x14ac:dyDescent="0.35">
      <c r="B1775" s="8" t="s">
        <v>6</v>
      </c>
      <c r="C1775" s="8" t="s">
        <v>40</v>
      </c>
      <c r="D1775" s="8" t="s">
        <v>41</v>
      </c>
      <c r="E1775" s="8" t="s">
        <v>0</v>
      </c>
      <c r="F1775" s="8" t="s">
        <v>45</v>
      </c>
      <c r="G1775" s="8">
        <v>2016</v>
      </c>
      <c r="H1775" s="8">
        <v>5</v>
      </c>
      <c r="I1775" s="10">
        <v>42491</v>
      </c>
      <c r="J1775" s="11">
        <v>3176</v>
      </c>
      <c r="K1775" s="51"/>
      <c r="O1775" s="1" t="s">
        <v>6</v>
      </c>
      <c r="P1775" s="1" t="s">
        <v>40</v>
      </c>
      <c r="Q1775" s="1" t="s">
        <v>41</v>
      </c>
      <c r="R1775" s="1" t="s">
        <v>0</v>
      </c>
      <c r="S1775" s="1" t="s">
        <v>45</v>
      </c>
      <c r="T1775" s="1">
        <v>2016</v>
      </c>
      <c r="U1775" s="1">
        <v>5</v>
      </c>
      <c r="V1775" s="50">
        <v>42491</v>
      </c>
      <c r="W1775" s="4">
        <v>2699.6000000000004</v>
      </c>
      <c r="X1775" s="48">
        <v>3176</v>
      </c>
    </row>
    <row r="1776" spans="2:24" x14ac:dyDescent="0.35">
      <c r="B1776" s="8" t="s">
        <v>7</v>
      </c>
      <c r="C1776" s="8" t="s">
        <v>32</v>
      </c>
      <c r="D1776" s="8" t="s">
        <v>8</v>
      </c>
      <c r="E1776" s="8" t="s">
        <v>27</v>
      </c>
      <c r="F1776" s="8" t="s">
        <v>28</v>
      </c>
      <c r="G1776" s="8">
        <v>2016</v>
      </c>
      <c r="H1776" s="8">
        <v>5</v>
      </c>
      <c r="I1776" s="10">
        <v>42491</v>
      </c>
      <c r="J1776" s="11">
        <v>4234</v>
      </c>
      <c r="K1776" s="51"/>
      <c r="O1776" s="1" t="s">
        <v>7</v>
      </c>
      <c r="P1776" s="1" t="s">
        <v>32</v>
      </c>
      <c r="Q1776" s="1" t="s">
        <v>8</v>
      </c>
      <c r="R1776" s="1" t="s">
        <v>27</v>
      </c>
      <c r="S1776" s="1" t="s">
        <v>28</v>
      </c>
      <c r="T1776" s="1">
        <v>2016</v>
      </c>
      <c r="U1776" s="1">
        <v>5</v>
      </c>
      <c r="V1776" s="50">
        <v>42491</v>
      </c>
      <c r="W1776" s="4">
        <v>3852.9399999999996</v>
      </c>
      <c r="X1776" s="48">
        <v>4234</v>
      </c>
    </row>
    <row r="1777" spans="2:24" x14ac:dyDescent="0.35">
      <c r="B1777" s="8" t="s">
        <v>7</v>
      </c>
      <c r="C1777" s="8" t="s">
        <v>32</v>
      </c>
      <c r="D1777" s="8" t="s">
        <v>8</v>
      </c>
      <c r="E1777" s="8" t="s">
        <v>27</v>
      </c>
      <c r="F1777" s="6" t="s">
        <v>31</v>
      </c>
      <c r="G1777" s="8">
        <v>2016</v>
      </c>
      <c r="H1777" s="8">
        <v>5</v>
      </c>
      <c r="I1777" s="10">
        <v>42491</v>
      </c>
      <c r="J1777" s="11">
        <v>5438</v>
      </c>
      <c r="K1777" s="51"/>
      <c r="O1777" s="1" t="s">
        <v>7</v>
      </c>
      <c r="P1777" s="1" t="s">
        <v>32</v>
      </c>
      <c r="Q1777" s="1" t="s">
        <v>8</v>
      </c>
      <c r="R1777" s="1" t="s">
        <v>27</v>
      </c>
      <c r="S1777" t="s">
        <v>31</v>
      </c>
      <c r="T1777" s="1">
        <v>2016</v>
      </c>
      <c r="U1777" s="1">
        <v>5</v>
      </c>
      <c r="V1777" s="50">
        <v>42491</v>
      </c>
      <c r="W1777" s="4">
        <v>5002.96</v>
      </c>
      <c r="X1777" s="48">
        <v>5438</v>
      </c>
    </row>
    <row r="1778" spans="2:24" x14ac:dyDescent="0.35">
      <c r="B1778" s="8" t="s">
        <v>6</v>
      </c>
      <c r="C1778" s="8" t="s">
        <v>29</v>
      </c>
      <c r="D1778" s="8" t="s">
        <v>30</v>
      </c>
      <c r="E1778" s="8" t="s">
        <v>23</v>
      </c>
      <c r="F1778" s="6" t="s">
        <v>24</v>
      </c>
      <c r="G1778" s="8">
        <v>2016</v>
      </c>
      <c r="H1778" s="8">
        <v>5</v>
      </c>
      <c r="I1778" s="10">
        <v>42491</v>
      </c>
      <c r="J1778" s="11">
        <v>3153</v>
      </c>
      <c r="K1778" s="51"/>
      <c r="O1778" s="1" t="s">
        <v>6</v>
      </c>
      <c r="P1778" s="1" t="s">
        <v>29</v>
      </c>
      <c r="Q1778" s="1" t="s">
        <v>30</v>
      </c>
      <c r="R1778" s="1" t="s">
        <v>23</v>
      </c>
      <c r="S1778" t="s">
        <v>24</v>
      </c>
      <c r="T1778" s="1">
        <v>2016</v>
      </c>
      <c r="U1778" s="1">
        <v>5</v>
      </c>
      <c r="V1778" s="50">
        <v>42491</v>
      </c>
      <c r="W1778" s="4">
        <v>2774.6399999999994</v>
      </c>
      <c r="X1778" s="48">
        <v>3153</v>
      </c>
    </row>
    <row r="1779" spans="2:24" x14ac:dyDescent="0.35">
      <c r="B1779" s="8" t="s">
        <v>7</v>
      </c>
      <c r="C1779" s="8" t="s">
        <v>48</v>
      </c>
      <c r="D1779" s="8" t="s">
        <v>9</v>
      </c>
      <c r="E1779" s="8" t="s">
        <v>0</v>
      </c>
      <c r="F1779" s="6" t="s">
        <v>42</v>
      </c>
      <c r="G1779" s="8">
        <v>2016</v>
      </c>
      <c r="H1779" s="8">
        <v>5</v>
      </c>
      <c r="I1779" s="10">
        <v>42491</v>
      </c>
      <c r="J1779" s="11">
        <v>5193</v>
      </c>
      <c r="K1779" s="51"/>
      <c r="O1779" s="1" t="s">
        <v>7</v>
      </c>
      <c r="P1779" s="1" t="s">
        <v>48</v>
      </c>
      <c r="Q1779" s="1" t="s">
        <v>9</v>
      </c>
      <c r="R1779" s="1" t="s">
        <v>0</v>
      </c>
      <c r="S1779" t="s">
        <v>42</v>
      </c>
      <c r="T1779" s="1">
        <v>2016</v>
      </c>
      <c r="U1779" s="1">
        <v>5</v>
      </c>
      <c r="V1779" s="50">
        <v>42491</v>
      </c>
      <c r="W1779" s="4">
        <v>4569.8399999999992</v>
      </c>
      <c r="X1779" s="48">
        <v>5193</v>
      </c>
    </row>
    <row r="1780" spans="2:24" x14ac:dyDescent="0.35">
      <c r="B1780" s="8" t="s">
        <v>7</v>
      </c>
      <c r="C1780" s="8" t="s">
        <v>48</v>
      </c>
      <c r="D1780" s="8" t="s">
        <v>9</v>
      </c>
      <c r="E1780" s="9" t="s">
        <v>0</v>
      </c>
      <c r="F1780" s="9" t="s">
        <v>26</v>
      </c>
      <c r="G1780" s="8">
        <v>2016</v>
      </c>
      <c r="H1780" s="8">
        <v>5</v>
      </c>
      <c r="I1780" s="10">
        <v>42491</v>
      </c>
      <c r="J1780" s="11">
        <v>4774</v>
      </c>
      <c r="K1780" s="51"/>
      <c r="O1780" s="1" t="s">
        <v>7</v>
      </c>
      <c r="P1780" s="1" t="s">
        <v>48</v>
      </c>
      <c r="Q1780" s="1" t="s">
        <v>9</v>
      </c>
      <c r="R1780" s="2" t="s">
        <v>0</v>
      </c>
      <c r="S1780" s="2" t="s">
        <v>26</v>
      </c>
      <c r="T1780" s="1">
        <v>2016</v>
      </c>
      <c r="U1780" s="1">
        <v>5</v>
      </c>
      <c r="V1780" s="50">
        <v>42491</v>
      </c>
      <c r="W1780" s="4">
        <v>4439.82</v>
      </c>
      <c r="X1780" s="48">
        <v>4774</v>
      </c>
    </row>
    <row r="1781" spans="2:24" x14ac:dyDescent="0.35">
      <c r="B1781" s="8" t="s">
        <v>7</v>
      </c>
      <c r="C1781" s="8" t="s">
        <v>49</v>
      </c>
      <c r="D1781" s="8" t="s">
        <v>11</v>
      </c>
      <c r="E1781" s="8" t="s">
        <v>0</v>
      </c>
      <c r="F1781" s="9" t="s">
        <v>45</v>
      </c>
      <c r="G1781" s="8">
        <v>2016</v>
      </c>
      <c r="H1781" s="8">
        <v>5</v>
      </c>
      <c r="I1781" s="10">
        <v>42491</v>
      </c>
      <c r="J1781" s="11">
        <v>3641</v>
      </c>
      <c r="K1781" s="51"/>
      <c r="O1781" s="1" t="s">
        <v>7</v>
      </c>
      <c r="P1781" s="1" t="s">
        <v>49</v>
      </c>
      <c r="Q1781" s="1" t="s">
        <v>11</v>
      </c>
      <c r="R1781" s="1" t="s">
        <v>0</v>
      </c>
      <c r="S1781" s="2" t="s">
        <v>45</v>
      </c>
      <c r="T1781" s="1">
        <v>2016</v>
      </c>
      <c r="U1781" s="1">
        <v>5</v>
      </c>
      <c r="V1781" s="50">
        <v>42491</v>
      </c>
      <c r="W1781" s="4">
        <v>3167.6700000000005</v>
      </c>
      <c r="X1781" s="48">
        <v>3641</v>
      </c>
    </row>
    <row r="1782" spans="2:24" x14ac:dyDescent="0.35">
      <c r="B1782" s="8" t="s">
        <v>7</v>
      </c>
      <c r="C1782" s="8" t="s">
        <v>49</v>
      </c>
      <c r="D1782" s="8" t="s">
        <v>11</v>
      </c>
      <c r="E1782" s="8" t="s">
        <v>27</v>
      </c>
      <c r="F1782" s="6" t="s">
        <v>28</v>
      </c>
      <c r="G1782" s="8">
        <v>2016</v>
      </c>
      <c r="H1782" s="8">
        <v>5</v>
      </c>
      <c r="I1782" s="10">
        <v>42491</v>
      </c>
      <c r="J1782" s="11">
        <v>3737</v>
      </c>
      <c r="K1782" s="51"/>
      <c r="O1782" s="1" t="s">
        <v>7</v>
      </c>
      <c r="P1782" s="1" t="s">
        <v>49</v>
      </c>
      <c r="Q1782" s="1" t="s">
        <v>11</v>
      </c>
      <c r="R1782" s="1" t="s">
        <v>27</v>
      </c>
      <c r="S1782" t="s">
        <v>28</v>
      </c>
      <c r="T1782" s="1">
        <v>2016</v>
      </c>
      <c r="U1782" s="1">
        <v>5</v>
      </c>
      <c r="V1782" s="50">
        <v>42491</v>
      </c>
      <c r="W1782" s="4">
        <v>3438.04</v>
      </c>
      <c r="X1782" s="48">
        <v>3737</v>
      </c>
    </row>
    <row r="1783" spans="2:24" x14ac:dyDescent="0.35">
      <c r="B1783" s="8" t="s">
        <v>12</v>
      </c>
      <c r="C1783" s="8" t="s">
        <v>34</v>
      </c>
      <c r="D1783" s="8" t="s">
        <v>35</v>
      </c>
      <c r="E1783" s="8" t="s">
        <v>27</v>
      </c>
      <c r="F1783" s="8" t="s">
        <v>31</v>
      </c>
      <c r="G1783" s="8">
        <v>2016</v>
      </c>
      <c r="H1783" s="8">
        <v>5</v>
      </c>
      <c r="I1783" s="10">
        <v>42491</v>
      </c>
      <c r="J1783" s="11">
        <v>3340</v>
      </c>
      <c r="K1783" s="51"/>
      <c r="O1783" s="1" t="s">
        <v>12</v>
      </c>
      <c r="P1783" s="1" t="s">
        <v>34</v>
      </c>
      <c r="Q1783" s="1" t="s">
        <v>35</v>
      </c>
      <c r="R1783" s="1" t="s">
        <v>27</v>
      </c>
      <c r="S1783" s="1" t="s">
        <v>31</v>
      </c>
      <c r="T1783" s="1">
        <v>2016</v>
      </c>
      <c r="U1783" s="1">
        <v>5</v>
      </c>
      <c r="V1783" s="50">
        <v>42491</v>
      </c>
      <c r="W1783" s="4">
        <v>3106.2</v>
      </c>
      <c r="X1783" s="48">
        <v>3340</v>
      </c>
    </row>
    <row r="1784" spans="2:24" x14ac:dyDescent="0.35">
      <c r="B1784" s="8" t="s">
        <v>12</v>
      </c>
      <c r="C1784" s="8" t="s">
        <v>34</v>
      </c>
      <c r="D1784" s="8" t="s">
        <v>35</v>
      </c>
      <c r="E1784" s="8" t="s">
        <v>27</v>
      </c>
      <c r="F1784" s="8" t="s">
        <v>33</v>
      </c>
      <c r="G1784" s="8">
        <v>2016</v>
      </c>
      <c r="H1784" s="8">
        <v>5</v>
      </c>
      <c r="I1784" s="10">
        <v>42491</v>
      </c>
      <c r="J1784" s="11">
        <v>3431</v>
      </c>
      <c r="K1784" s="51"/>
      <c r="O1784" s="1" t="s">
        <v>12</v>
      </c>
      <c r="P1784" s="1" t="s">
        <v>34</v>
      </c>
      <c r="Q1784" s="1" t="s">
        <v>35</v>
      </c>
      <c r="R1784" s="1" t="s">
        <v>27</v>
      </c>
      <c r="S1784" s="1" t="s">
        <v>33</v>
      </c>
      <c r="T1784" s="1">
        <v>2016</v>
      </c>
      <c r="U1784" s="1">
        <v>5</v>
      </c>
      <c r="V1784" s="50">
        <v>42491</v>
      </c>
      <c r="W1784" s="4">
        <v>3225.14</v>
      </c>
      <c r="X1784" s="48">
        <v>3431</v>
      </c>
    </row>
    <row r="1785" spans="2:24" x14ac:dyDescent="0.35">
      <c r="B1785" s="8" t="s">
        <v>14</v>
      </c>
      <c r="C1785" s="8" t="s">
        <v>37</v>
      </c>
      <c r="D1785" s="8" t="s">
        <v>38</v>
      </c>
      <c r="E1785" s="8" t="s">
        <v>23</v>
      </c>
      <c r="F1785" s="8" t="s">
        <v>36</v>
      </c>
      <c r="G1785" s="8">
        <v>2016</v>
      </c>
      <c r="H1785" s="8">
        <v>5</v>
      </c>
      <c r="I1785" s="10">
        <v>42491</v>
      </c>
      <c r="J1785" s="11">
        <v>2656</v>
      </c>
      <c r="K1785" s="51"/>
      <c r="O1785" s="1" t="s">
        <v>14</v>
      </c>
      <c r="P1785" s="1" t="s">
        <v>37</v>
      </c>
      <c r="Q1785" s="1" t="s">
        <v>38</v>
      </c>
      <c r="R1785" s="1" t="s">
        <v>23</v>
      </c>
      <c r="S1785" s="1" t="s">
        <v>36</v>
      </c>
      <c r="T1785" s="1">
        <v>2016</v>
      </c>
      <c r="U1785" s="1">
        <v>5</v>
      </c>
      <c r="V1785" s="50">
        <v>42491</v>
      </c>
      <c r="W1785" s="4">
        <v>2496.64</v>
      </c>
      <c r="X1785" s="48">
        <v>2656</v>
      </c>
    </row>
    <row r="1786" spans="2:24" x14ac:dyDescent="0.35">
      <c r="B1786" s="8" t="s">
        <v>12</v>
      </c>
      <c r="C1786" s="8" t="s">
        <v>44</v>
      </c>
      <c r="D1786" s="8" t="s">
        <v>13</v>
      </c>
      <c r="E1786" s="8" t="s">
        <v>23</v>
      </c>
      <c r="F1786" s="6" t="s">
        <v>39</v>
      </c>
      <c r="G1786" s="8">
        <v>2016</v>
      </c>
      <c r="H1786" s="8">
        <v>5</v>
      </c>
      <c r="I1786" s="10">
        <v>42491</v>
      </c>
      <c r="J1786" s="11">
        <v>1738</v>
      </c>
      <c r="K1786" s="51"/>
      <c r="O1786" s="1" t="s">
        <v>12</v>
      </c>
      <c r="P1786" s="1" t="s">
        <v>44</v>
      </c>
      <c r="Q1786" s="1" t="s">
        <v>13</v>
      </c>
      <c r="R1786" s="1" t="s">
        <v>23</v>
      </c>
      <c r="S1786" t="s">
        <v>39</v>
      </c>
      <c r="T1786" s="1">
        <v>2016</v>
      </c>
      <c r="U1786" s="1">
        <v>5</v>
      </c>
      <c r="V1786" s="50">
        <v>42491</v>
      </c>
      <c r="W1786" s="4">
        <v>1477.3000000000002</v>
      </c>
      <c r="X1786" s="48">
        <v>1738</v>
      </c>
    </row>
    <row r="1787" spans="2:24" x14ac:dyDescent="0.35">
      <c r="B1787" s="8" t="s">
        <v>12</v>
      </c>
      <c r="C1787" s="8" t="s">
        <v>44</v>
      </c>
      <c r="D1787" s="8" t="s">
        <v>13</v>
      </c>
      <c r="E1787" s="8" t="s">
        <v>0</v>
      </c>
      <c r="F1787" s="6" t="s">
        <v>42</v>
      </c>
      <c r="G1787" s="8">
        <v>2016</v>
      </c>
      <c r="H1787" s="8">
        <v>5</v>
      </c>
      <c r="I1787" s="10">
        <v>42491</v>
      </c>
      <c r="J1787" s="11">
        <v>6897</v>
      </c>
      <c r="K1787" s="51"/>
      <c r="O1787" s="1" t="s">
        <v>12</v>
      </c>
      <c r="P1787" s="1" t="s">
        <v>44</v>
      </c>
      <c r="Q1787" s="1" t="s">
        <v>13</v>
      </c>
      <c r="R1787" s="1" t="s">
        <v>0</v>
      </c>
      <c r="S1787" t="s">
        <v>42</v>
      </c>
      <c r="T1787" s="1">
        <v>2016</v>
      </c>
      <c r="U1787" s="1">
        <v>5</v>
      </c>
      <c r="V1787" s="50">
        <v>42491</v>
      </c>
      <c r="W1787" s="4">
        <v>6207.2999999999993</v>
      </c>
      <c r="X1787" s="48">
        <v>6897</v>
      </c>
    </row>
    <row r="1788" spans="2:24" x14ac:dyDescent="0.35">
      <c r="B1788" s="8" t="s">
        <v>14</v>
      </c>
      <c r="C1788" s="8" t="s">
        <v>46</v>
      </c>
      <c r="D1788" s="8" t="s">
        <v>47</v>
      </c>
      <c r="E1788" s="8" t="s">
        <v>0</v>
      </c>
      <c r="F1788" s="6" t="s">
        <v>26</v>
      </c>
      <c r="G1788" s="8">
        <v>2016</v>
      </c>
      <c r="H1788" s="8">
        <v>5</v>
      </c>
      <c r="I1788" s="10">
        <v>42491</v>
      </c>
      <c r="J1788" s="11">
        <v>2917</v>
      </c>
      <c r="K1788" s="51"/>
      <c r="O1788" s="1" t="s">
        <v>14</v>
      </c>
      <c r="P1788" s="1" t="s">
        <v>46</v>
      </c>
      <c r="Q1788" s="1" t="s">
        <v>47</v>
      </c>
      <c r="R1788" s="1" t="s">
        <v>0</v>
      </c>
      <c r="S1788" t="s">
        <v>26</v>
      </c>
      <c r="T1788" s="1">
        <v>2016</v>
      </c>
      <c r="U1788" s="1">
        <v>5</v>
      </c>
      <c r="V1788" s="50">
        <v>42491</v>
      </c>
      <c r="W1788" s="4">
        <v>2537.7900000000004</v>
      </c>
      <c r="X1788" s="48">
        <v>2917</v>
      </c>
    </row>
    <row r="1789" spans="2:24" x14ac:dyDescent="0.35">
      <c r="B1789" s="8" t="s">
        <v>14</v>
      </c>
      <c r="C1789" s="8" t="s">
        <v>46</v>
      </c>
      <c r="D1789" s="8" t="s">
        <v>47</v>
      </c>
      <c r="E1789" s="9" t="s">
        <v>0</v>
      </c>
      <c r="F1789" s="9" t="s">
        <v>45</v>
      </c>
      <c r="G1789" s="8">
        <v>2016</v>
      </c>
      <c r="H1789" s="8">
        <v>5</v>
      </c>
      <c r="I1789" s="10">
        <v>42491</v>
      </c>
      <c r="J1789" s="11">
        <v>3234</v>
      </c>
      <c r="K1789" s="51"/>
      <c r="O1789" s="1" t="s">
        <v>14</v>
      </c>
      <c r="P1789" s="1" t="s">
        <v>46</v>
      </c>
      <c r="Q1789" s="1" t="s">
        <v>47</v>
      </c>
      <c r="R1789" s="2" t="s">
        <v>0</v>
      </c>
      <c r="S1789" s="2" t="s">
        <v>45</v>
      </c>
      <c r="T1789" s="1">
        <v>2016</v>
      </c>
      <c r="U1789" s="1">
        <v>5</v>
      </c>
      <c r="V1789" s="50">
        <v>42491</v>
      </c>
      <c r="W1789" s="4">
        <v>2975.2799999999997</v>
      </c>
      <c r="X1789" s="48">
        <v>3234</v>
      </c>
    </row>
    <row r="1790" spans="2:24" x14ac:dyDescent="0.35">
      <c r="B1790" s="8" t="s">
        <v>3</v>
      </c>
      <c r="C1790" s="8" t="s">
        <v>25</v>
      </c>
      <c r="D1790" s="8" t="s">
        <v>4</v>
      </c>
      <c r="E1790" s="8" t="s">
        <v>27</v>
      </c>
      <c r="F1790" s="9" t="s">
        <v>33</v>
      </c>
      <c r="G1790" s="8">
        <v>2016</v>
      </c>
      <c r="H1790" s="8">
        <v>5</v>
      </c>
      <c r="I1790" s="10">
        <v>42491</v>
      </c>
      <c r="J1790" s="11">
        <v>3336</v>
      </c>
      <c r="K1790" s="51"/>
      <c r="O1790" s="1" t="s">
        <v>3</v>
      </c>
      <c r="P1790" s="1" t="s">
        <v>25</v>
      </c>
      <c r="Q1790" s="1" t="s">
        <v>4</v>
      </c>
      <c r="R1790" s="1" t="s">
        <v>27</v>
      </c>
      <c r="S1790" s="2" t="s">
        <v>33</v>
      </c>
      <c r="T1790" s="1">
        <v>2016</v>
      </c>
      <c r="U1790" s="1">
        <v>5</v>
      </c>
      <c r="V1790" s="50">
        <v>42491</v>
      </c>
      <c r="W1790" s="4">
        <v>2868.9600000000005</v>
      </c>
      <c r="X1790" s="48">
        <v>3336</v>
      </c>
    </row>
    <row r="1791" spans="2:24" x14ac:dyDescent="0.35">
      <c r="B1791" s="8" t="s">
        <v>3</v>
      </c>
      <c r="C1791" s="8" t="s">
        <v>25</v>
      </c>
      <c r="D1791" s="8" t="s">
        <v>4</v>
      </c>
      <c r="E1791" s="8" t="s">
        <v>23</v>
      </c>
      <c r="F1791" s="6" t="s">
        <v>36</v>
      </c>
      <c r="G1791" s="8">
        <v>2016</v>
      </c>
      <c r="H1791" s="8">
        <v>5</v>
      </c>
      <c r="I1791" s="10">
        <v>42491</v>
      </c>
      <c r="J1791" s="11">
        <v>1891</v>
      </c>
      <c r="K1791" s="51"/>
      <c r="O1791" s="1" t="s">
        <v>3</v>
      </c>
      <c r="P1791" s="1" t="s">
        <v>25</v>
      </c>
      <c r="Q1791" s="1" t="s">
        <v>4</v>
      </c>
      <c r="R1791" s="1" t="s">
        <v>23</v>
      </c>
      <c r="S1791" t="s">
        <v>36</v>
      </c>
      <c r="T1791" s="1">
        <v>2016</v>
      </c>
      <c r="U1791" s="1">
        <v>5</v>
      </c>
      <c r="V1791" s="50">
        <v>42491</v>
      </c>
      <c r="W1791" s="4">
        <v>1607.3500000000001</v>
      </c>
      <c r="X1791" s="48">
        <v>1891</v>
      </c>
    </row>
    <row r="1792" spans="2:24" x14ac:dyDescent="0.35">
      <c r="B1792" s="8" t="s">
        <v>6</v>
      </c>
      <c r="C1792" s="8" t="s">
        <v>40</v>
      </c>
      <c r="D1792" s="8" t="s">
        <v>41</v>
      </c>
      <c r="E1792" s="8" t="s">
        <v>23</v>
      </c>
      <c r="F1792" s="8" t="s">
        <v>39</v>
      </c>
      <c r="G1792" s="8">
        <v>2016</v>
      </c>
      <c r="H1792" s="8">
        <v>5</v>
      </c>
      <c r="I1792" s="10">
        <v>42491</v>
      </c>
      <c r="J1792" s="11">
        <v>2484</v>
      </c>
      <c r="K1792" s="51"/>
      <c r="O1792" s="1" t="s">
        <v>6</v>
      </c>
      <c r="P1792" s="1" t="s">
        <v>40</v>
      </c>
      <c r="Q1792" s="1" t="s">
        <v>41</v>
      </c>
      <c r="R1792" s="1" t="s">
        <v>23</v>
      </c>
      <c r="S1792" s="1" t="s">
        <v>39</v>
      </c>
      <c r="T1792" s="1">
        <v>2016</v>
      </c>
      <c r="U1792" s="1">
        <v>5</v>
      </c>
      <c r="V1792" s="50">
        <v>42491</v>
      </c>
      <c r="W1792" s="4">
        <v>2260.4399999999996</v>
      </c>
      <c r="X1792" s="48">
        <v>2484</v>
      </c>
    </row>
    <row r="1793" spans="2:24" x14ac:dyDescent="0.35">
      <c r="B1793" s="8" t="s">
        <v>7</v>
      </c>
      <c r="C1793" s="8" t="s">
        <v>48</v>
      </c>
      <c r="D1793" s="8" t="s">
        <v>9</v>
      </c>
      <c r="E1793" s="8" t="s">
        <v>0</v>
      </c>
      <c r="F1793" s="8" t="s">
        <v>45</v>
      </c>
      <c r="G1793" s="8">
        <v>2016</v>
      </c>
      <c r="H1793" s="8">
        <v>5</v>
      </c>
      <c r="I1793" s="10">
        <v>42491</v>
      </c>
      <c r="J1793" s="11">
        <v>3873</v>
      </c>
      <c r="K1793" s="51"/>
      <c r="O1793" s="1" t="s">
        <v>7</v>
      </c>
      <c r="P1793" s="1" t="s">
        <v>48</v>
      </c>
      <c r="Q1793" s="1" t="s">
        <v>9</v>
      </c>
      <c r="R1793" s="1" t="s">
        <v>0</v>
      </c>
      <c r="S1793" s="1" t="s">
        <v>45</v>
      </c>
      <c r="T1793" s="1">
        <v>2016</v>
      </c>
      <c r="U1793" s="1">
        <v>5</v>
      </c>
      <c r="V1793" s="50">
        <v>42491</v>
      </c>
      <c r="W1793" s="4">
        <v>3330.7800000000007</v>
      </c>
      <c r="X1793" s="48">
        <v>3873</v>
      </c>
    </row>
    <row r="1794" spans="2:24" x14ac:dyDescent="0.35">
      <c r="B1794" s="8" t="s">
        <v>7</v>
      </c>
      <c r="C1794" s="8" t="s">
        <v>49</v>
      </c>
      <c r="D1794" s="8" t="s">
        <v>11</v>
      </c>
      <c r="E1794" s="8" t="s">
        <v>27</v>
      </c>
      <c r="F1794" s="8" t="s">
        <v>31</v>
      </c>
      <c r="G1794" s="8">
        <v>2016</v>
      </c>
      <c r="H1794" s="8">
        <v>5</v>
      </c>
      <c r="I1794" s="10">
        <v>42491</v>
      </c>
      <c r="J1794" s="11">
        <v>4419</v>
      </c>
      <c r="K1794" s="51"/>
      <c r="O1794" s="1" t="s">
        <v>7</v>
      </c>
      <c r="P1794" s="1" t="s">
        <v>49</v>
      </c>
      <c r="Q1794" s="1" t="s">
        <v>11</v>
      </c>
      <c r="R1794" s="1" t="s">
        <v>27</v>
      </c>
      <c r="S1794" s="1" t="s">
        <v>31</v>
      </c>
      <c r="T1794" s="1">
        <v>2016</v>
      </c>
      <c r="U1794" s="1">
        <v>5</v>
      </c>
      <c r="V1794" s="50">
        <v>42491</v>
      </c>
      <c r="W1794" s="4">
        <v>4109.67</v>
      </c>
      <c r="X1794" s="48">
        <v>4419</v>
      </c>
    </row>
    <row r="1795" spans="2:24" x14ac:dyDescent="0.35">
      <c r="B1795" s="8" t="s">
        <v>7</v>
      </c>
      <c r="C1795" s="8" t="s">
        <v>43</v>
      </c>
      <c r="D1795" s="8" t="s">
        <v>10</v>
      </c>
      <c r="E1795" s="8" t="s">
        <v>27</v>
      </c>
      <c r="F1795" s="6" t="s">
        <v>33</v>
      </c>
      <c r="G1795" s="8">
        <v>2016</v>
      </c>
      <c r="H1795" s="8">
        <v>5</v>
      </c>
      <c r="I1795" s="10">
        <v>42491</v>
      </c>
      <c r="J1795" s="11">
        <v>3685</v>
      </c>
      <c r="K1795" s="51"/>
      <c r="O1795" s="1" t="s">
        <v>7</v>
      </c>
      <c r="P1795" s="1" t="s">
        <v>43</v>
      </c>
      <c r="Q1795" s="1" t="s">
        <v>10</v>
      </c>
      <c r="R1795" s="1" t="s">
        <v>27</v>
      </c>
      <c r="S1795" t="s">
        <v>33</v>
      </c>
      <c r="T1795" s="1">
        <v>2016</v>
      </c>
      <c r="U1795" s="1">
        <v>5</v>
      </c>
      <c r="V1795" s="50">
        <v>42491</v>
      </c>
      <c r="W1795" s="4">
        <v>3463.8999999999996</v>
      </c>
      <c r="X1795" s="48">
        <v>3685</v>
      </c>
    </row>
    <row r="1796" spans="2:24" x14ac:dyDescent="0.35">
      <c r="B1796" s="8" t="s">
        <v>7</v>
      </c>
      <c r="C1796" s="8" t="s">
        <v>32</v>
      </c>
      <c r="D1796" s="8" t="s">
        <v>8</v>
      </c>
      <c r="E1796" s="8" t="s">
        <v>0</v>
      </c>
      <c r="F1796" s="6" t="s">
        <v>45</v>
      </c>
      <c r="G1796" s="8">
        <v>2016</v>
      </c>
      <c r="H1796" s="8">
        <v>5</v>
      </c>
      <c r="I1796" s="10">
        <v>42491</v>
      </c>
      <c r="J1796" s="11">
        <v>2399</v>
      </c>
      <c r="K1796" s="51"/>
      <c r="O1796" s="1" t="s">
        <v>7</v>
      </c>
      <c r="P1796" s="1" t="s">
        <v>32</v>
      </c>
      <c r="Q1796" s="1" t="s">
        <v>8</v>
      </c>
      <c r="R1796" s="1" t="s">
        <v>0</v>
      </c>
      <c r="S1796" t="s">
        <v>45</v>
      </c>
      <c r="T1796" s="1">
        <v>2016</v>
      </c>
      <c r="U1796" s="1">
        <v>5</v>
      </c>
      <c r="V1796" s="50">
        <v>42491</v>
      </c>
      <c r="W1796" s="4">
        <v>2231.0699999999997</v>
      </c>
      <c r="X1796" s="48">
        <v>2399</v>
      </c>
    </row>
    <row r="1797" spans="2:24" x14ac:dyDescent="0.35">
      <c r="B1797" s="8" t="s">
        <v>7</v>
      </c>
      <c r="C1797" s="8" t="s">
        <v>48</v>
      </c>
      <c r="D1797" s="8" t="s">
        <v>9</v>
      </c>
      <c r="E1797" s="8" t="s">
        <v>23</v>
      </c>
      <c r="F1797" s="6" t="s">
        <v>39</v>
      </c>
      <c r="G1797" s="8">
        <v>2016</v>
      </c>
      <c r="H1797" s="8">
        <v>5</v>
      </c>
      <c r="I1797" s="10">
        <v>42491</v>
      </c>
      <c r="J1797" s="11">
        <v>2803</v>
      </c>
      <c r="K1797" s="51"/>
      <c r="O1797" s="1" t="s">
        <v>7</v>
      </c>
      <c r="P1797" s="1" t="s">
        <v>48</v>
      </c>
      <c r="Q1797" s="1" t="s">
        <v>9</v>
      </c>
      <c r="R1797" s="1" t="s">
        <v>23</v>
      </c>
      <c r="S1797" t="s">
        <v>39</v>
      </c>
      <c r="T1797" s="1">
        <v>2016</v>
      </c>
      <c r="U1797" s="1">
        <v>5</v>
      </c>
      <c r="V1797" s="50">
        <v>42491</v>
      </c>
      <c r="W1797" s="4">
        <v>2522.6999999999998</v>
      </c>
      <c r="X1797" s="48">
        <v>2803</v>
      </c>
    </row>
    <row r="1798" spans="2:24" x14ac:dyDescent="0.35">
      <c r="B1798" s="8" t="s">
        <v>7</v>
      </c>
      <c r="C1798" s="8" t="s">
        <v>49</v>
      </c>
      <c r="D1798" s="8" t="s">
        <v>11</v>
      </c>
      <c r="E1798" s="9" t="s">
        <v>0</v>
      </c>
      <c r="F1798" s="9" t="s">
        <v>26</v>
      </c>
      <c r="G1798" s="8">
        <v>2016</v>
      </c>
      <c r="H1798" s="8">
        <v>5</v>
      </c>
      <c r="I1798" s="10">
        <v>42491</v>
      </c>
      <c r="J1798" s="11">
        <v>2676</v>
      </c>
      <c r="K1798" s="51"/>
      <c r="O1798" s="1" t="s">
        <v>7</v>
      </c>
      <c r="P1798" s="1" t="s">
        <v>49</v>
      </c>
      <c r="Q1798" s="1" t="s">
        <v>11</v>
      </c>
      <c r="R1798" s="2" t="s">
        <v>0</v>
      </c>
      <c r="S1798" s="2" t="s">
        <v>26</v>
      </c>
      <c r="T1798" s="1">
        <v>2016</v>
      </c>
      <c r="U1798" s="1">
        <v>5</v>
      </c>
      <c r="V1798" s="50">
        <v>42491</v>
      </c>
      <c r="W1798" s="4">
        <v>2328.1200000000003</v>
      </c>
      <c r="X1798" s="48">
        <v>2676</v>
      </c>
    </row>
    <row r="1799" spans="2:24" x14ac:dyDescent="0.35">
      <c r="B1799" s="8" t="s">
        <v>12</v>
      </c>
      <c r="C1799" s="8" t="s">
        <v>34</v>
      </c>
      <c r="D1799" s="8" t="s">
        <v>35</v>
      </c>
      <c r="E1799" s="8" t="s">
        <v>27</v>
      </c>
      <c r="F1799" s="9" t="s">
        <v>28</v>
      </c>
      <c r="G1799" s="8">
        <v>2016</v>
      </c>
      <c r="H1799" s="8">
        <v>5</v>
      </c>
      <c r="I1799" s="10">
        <v>42491</v>
      </c>
      <c r="J1799" s="11">
        <v>3493</v>
      </c>
      <c r="K1799" s="51"/>
      <c r="O1799" s="1" t="s">
        <v>12</v>
      </c>
      <c r="P1799" s="1" t="s">
        <v>34</v>
      </c>
      <c r="Q1799" s="1" t="s">
        <v>35</v>
      </c>
      <c r="R1799" s="1" t="s">
        <v>27</v>
      </c>
      <c r="S1799" s="2" t="s">
        <v>28</v>
      </c>
      <c r="T1799" s="1">
        <v>2016</v>
      </c>
      <c r="U1799" s="1">
        <v>5</v>
      </c>
      <c r="V1799" s="50">
        <v>42491</v>
      </c>
      <c r="W1799" s="4">
        <v>3108.7699999999995</v>
      </c>
      <c r="X1799" s="48">
        <v>3493</v>
      </c>
    </row>
    <row r="1800" spans="2:24" x14ac:dyDescent="0.35">
      <c r="B1800" s="8" t="s">
        <v>14</v>
      </c>
      <c r="C1800" s="8" t="s">
        <v>37</v>
      </c>
      <c r="D1800" s="8" t="s">
        <v>38</v>
      </c>
      <c r="E1800" s="8" t="s">
        <v>27</v>
      </c>
      <c r="F1800" s="6" t="s">
        <v>33</v>
      </c>
      <c r="G1800" s="8">
        <v>2016</v>
      </c>
      <c r="H1800" s="8">
        <v>5</v>
      </c>
      <c r="I1800" s="10">
        <v>42491</v>
      </c>
      <c r="J1800" s="11">
        <v>2964</v>
      </c>
      <c r="K1800" s="51"/>
      <c r="O1800" s="1" t="s">
        <v>14</v>
      </c>
      <c r="P1800" s="1" t="s">
        <v>37</v>
      </c>
      <c r="Q1800" s="1" t="s">
        <v>38</v>
      </c>
      <c r="R1800" s="1" t="s">
        <v>27</v>
      </c>
      <c r="S1800" t="s">
        <v>33</v>
      </c>
      <c r="T1800" s="1">
        <v>2016</v>
      </c>
      <c r="U1800" s="1">
        <v>5</v>
      </c>
      <c r="V1800" s="50">
        <v>42491</v>
      </c>
      <c r="W1800" s="4">
        <v>2608.3199999999997</v>
      </c>
      <c r="X1800" s="48">
        <v>2964</v>
      </c>
    </row>
    <row r="1801" spans="2:24" x14ac:dyDescent="0.35">
      <c r="B1801" s="8" t="s">
        <v>12</v>
      </c>
      <c r="C1801" s="8" t="s">
        <v>44</v>
      </c>
      <c r="D1801" s="8" t="s">
        <v>13</v>
      </c>
      <c r="E1801" s="8" t="s">
        <v>23</v>
      </c>
      <c r="F1801" s="8" t="s">
        <v>24</v>
      </c>
      <c r="G1801" s="8">
        <v>2016</v>
      </c>
      <c r="H1801" s="8">
        <v>5</v>
      </c>
      <c r="I1801" s="10">
        <v>42491</v>
      </c>
      <c r="J1801" s="11">
        <v>2699</v>
      </c>
      <c r="K1801" s="51"/>
      <c r="O1801" s="1" t="s">
        <v>12</v>
      </c>
      <c r="P1801" s="1" t="s">
        <v>44</v>
      </c>
      <c r="Q1801" s="1" t="s">
        <v>13</v>
      </c>
      <c r="R1801" s="1" t="s">
        <v>23</v>
      </c>
      <c r="S1801" s="1" t="s">
        <v>24</v>
      </c>
      <c r="T1801" s="1">
        <v>2016</v>
      </c>
      <c r="U1801" s="1">
        <v>5</v>
      </c>
      <c r="V1801" s="50">
        <v>42491</v>
      </c>
      <c r="W1801" s="4">
        <v>2294.15</v>
      </c>
      <c r="X1801" s="48">
        <v>2699</v>
      </c>
    </row>
    <row r="1802" spans="2:24" x14ac:dyDescent="0.35">
      <c r="B1802" s="8" t="s">
        <v>14</v>
      </c>
      <c r="C1802" s="8" t="s">
        <v>46</v>
      </c>
      <c r="D1802" s="8" t="s">
        <v>47</v>
      </c>
      <c r="E1802" s="8" t="s">
        <v>0</v>
      </c>
      <c r="F1802" s="8" t="s">
        <v>42</v>
      </c>
      <c r="G1802" s="8">
        <v>2016</v>
      </c>
      <c r="H1802" s="8">
        <v>5</v>
      </c>
      <c r="I1802" s="10">
        <v>42491</v>
      </c>
      <c r="J1802" s="11">
        <v>4414</v>
      </c>
      <c r="K1802" s="51"/>
      <c r="O1802" s="1" t="s">
        <v>14</v>
      </c>
      <c r="P1802" s="1" t="s">
        <v>46</v>
      </c>
      <c r="Q1802" s="1" t="s">
        <v>47</v>
      </c>
      <c r="R1802" s="1" t="s">
        <v>0</v>
      </c>
      <c r="S1802" s="1" t="s">
        <v>42</v>
      </c>
      <c r="T1802" s="1">
        <v>2016</v>
      </c>
      <c r="U1802" s="1">
        <v>5</v>
      </c>
      <c r="V1802" s="50">
        <v>42491</v>
      </c>
      <c r="W1802" s="4">
        <v>3751.9000000000005</v>
      </c>
      <c r="X1802" s="48">
        <v>4414</v>
      </c>
    </row>
    <row r="1803" spans="2:24" x14ac:dyDescent="0.35">
      <c r="B1803" s="8" t="s">
        <v>7</v>
      </c>
      <c r="C1803" s="8" t="s">
        <v>48</v>
      </c>
      <c r="D1803" s="8" t="s">
        <v>9</v>
      </c>
      <c r="E1803" s="8" t="s">
        <v>27</v>
      </c>
      <c r="F1803" s="8" t="s">
        <v>33</v>
      </c>
      <c r="G1803" s="8">
        <v>2016</v>
      </c>
      <c r="H1803" s="8">
        <v>5</v>
      </c>
      <c r="I1803" s="10">
        <v>42491</v>
      </c>
      <c r="J1803" s="11">
        <v>2814</v>
      </c>
      <c r="K1803" s="51"/>
      <c r="O1803" s="1" t="s">
        <v>7</v>
      </c>
      <c r="P1803" s="1" t="s">
        <v>48</v>
      </c>
      <c r="Q1803" s="1" t="s">
        <v>9</v>
      </c>
      <c r="R1803" s="1" t="s">
        <v>27</v>
      </c>
      <c r="S1803" s="1" t="s">
        <v>33</v>
      </c>
      <c r="T1803" s="1">
        <v>2016</v>
      </c>
      <c r="U1803" s="1">
        <v>5</v>
      </c>
      <c r="V1803" s="50">
        <v>42491</v>
      </c>
      <c r="W1803" s="4">
        <v>2560.7399999999998</v>
      </c>
      <c r="X1803" s="48">
        <v>2814</v>
      </c>
    </row>
    <row r="1804" spans="2:24" x14ac:dyDescent="0.35">
      <c r="B1804" s="8" t="s">
        <v>7</v>
      </c>
      <c r="C1804" s="8" t="s">
        <v>49</v>
      </c>
      <c r="D1804" s="8" t="s">
        <v>11</v>
      </c>
      <c r="E1804" s="8" t="s">
        <v>23</v>
      </c>
      <c r="F1804" s="6" t="s">
        <v>24</v>
      </c>
      <c r="G1804" s="8">
        <v>2016</v>
      </c>
      <c r="H1804" s="8">
        <v>5</v>
      </c>
      <c r="I1804" s="10">
        <v>42491</v>
      </c>
      <c r="J1804" s="11">
        <v>2664</v>
      </c>
      <c r="K1804" s="51"/>
      <c r="O1804" s="1" t="s">
        <v>7</v>
      </c>
      <c r="P1804" s="1" t="s">
        <v>49</v>
      </c>
      <c r="Q1804" s="1" t="s">
        <v>11</v>
      </c>
      <c r="R1804" s="1" t="s">
        <v>23</v>
      </c>
      <c r="S1804" t="s">
        <v>24</v>
      </c>
      <c r="T1804" s="1">
        <v>2016</v>
      </c>
      <c r="U1804" s="1">
        <v>5</v>
      </c>
      <c r="V1804" s="50">
        <v>42491</v>
      </c>
      <c r="W1804" s="4">
        <v>2370.9599999999996</v>
      </c>
      <c r="X1804" s="48">
        <v>2664</v>
      </c>
    </row>
    <row r="1805" spans="2:24" x14ac:dyDescent="0.35">
      <c r="B1805" s="8" t="s">
        <v>3</v>
      </c>
      <c r="C1805" s="8" t="s">
        <v>22</v>
      </c>
      <c r="D1805" s="8" t="s">
        <v>5</v>
      </c>
      <c r="E1805" s="8" t="s">
        <v>23</v>
      </c>
      <c r="F1805" s="6" t="s">
        <v>24</v>
      </c>
      <c r="G1805" s="8">
        <v>2016</v>
      </c>
      <c r="H1805" s="8">
        <v>6</v>
      </c>
      <c r="I1805" s="10">
        <v>42522</v>
      </c>
      <c r="J1805" s="11">
        <v>1711</v>
      </c>
      <c r="K1805" s="51"/>
      <c r="O1805" s="1" t="s">
        <v>3</v>
      </c>
      <c r="P1805" s="1" t="s">
        <v>22</v>
      </c>
      <c r="Q1805" s="1" t="s">
        <v>5</v>
      </c>
      <c r="R1805" s="1" t="s">
        <v>23</v>
      </c>
      <c r="S1805" t="s">
        <v>24</v>
      </c>
      <c r="T1805" s="1">
        <v>2016</v>
      </c>
      <c r="U1805" s="1">
        <v>6</v>
      </c>
      <c r="V1805" s="50">
        <v>42522</v>
      </c>
      <c r="W1805" s="4">
        <v>1522.7899999999997</v>
      </c>
      <c r="X1805" s="48">
        <v>1711</v>
      </c>
    </row>
    <row r="1806" spans="2:24" x14ac:dyDescent="0.35">
      <c r="B1806" s="8" t="s">
        <v>3</v>
      </c>
      <c r="C1806" s="8" t="s">
        <v>25</v>
      </c>
      <c r="D1806" s="8" t="s">
        <v>4</v>
      </c>
      <c r="E1806" s="8" t="s">
        <v>23</v>
      </c>
      <c r="F1806" s="6" t="s">
        <v>24</v>
      </c>
      <c r="G1806" s="8">
        <v>2016</v>
      </c>
      <c r="H1806" s="8">
        <v>6</v>
      </c>
      <c r="I1806" s="10">
        <v>42522</v>
      </c>
      <c r="J1806" s="11">
        <v>1892</v>
      </c>
      <c r="K1806" s="51"/>
      <c r="O1806" s="1" t="s">
        <v>3</v>
      </c>
      <c r="P1806" s="1" t="s">
        <v>25</v>
      </c>
      <c r="Q1806" s="1" t="s">
        <v>4</v>
      </c>
      <c r="R1806" s="1" t="s">
        <v>23</v>
      </c>
      <c r="S1806" t="s">
        <v>24</v>
      </c>
      <c r="T1806" s="1">
        <v>2016</v>
      </c>
      <c r="U1806" s="1">
        <v>6</v>
      </c>
      <c r="V1806" s="50">
        <v>42522</v>
      </c>
      <c r="W1806" s="4">
        <v>1608.2000000000003</v>
      </c>
      <c r="X1806" s="48">
        <v>1892</v>
      </c>
    </row>
    <row r="1807" spans="2:24" x14ac:dyDescent="0.35">
      <c r="B1807" s="8" t="s">
        <v>3</v>
      </c>
      <c r="C1807" s="8" t="s">
        <v>25</v>
      </c>
      <c r="D1807" s="8" t="s">
        <v>4</v>
      </c>
      <c r="E1807" s="9" t="s">
        <v>0</v>
      </c>
      <c r="F1807" s="9" t="s">
        <v>26</v>
      </c>
      <c r="G1807" s="8">
        <v>2016</v>
      </c>
      <c r="H1807" s="8">
        <v>6</v>
      </c>
      <c r="I1807" s="10">
        <v>42522</v>
      </c>
      <c r="J1807" s="11">
        <v>4641</v>
      </c>
      <c r="K1807" s="51"/>
      <c r="O1807" s="1" t="s">
        <v>3</v>
      </c>
      <c r="P1807" s="1" t="s">
        <v>25</v>
      </c>
      <c r="Q1807" s="1" t="s">
        <v>4</v>
      </c>
      <c r="R1807" s="2" t="s">
        <v>0</v>
      </c>
      <c r="S1807" s="2" t="s">
        <v>26</v>
      </c>
      <c r="T1807" s="1">
        <v>2016</v>
      </c>
      <c r="U1807" s="1">
        <v>6</v>
      </c>
      <c r="V1807" s="50">
        <v>42522</v>
      </c>
      <c r="W1807" s="4">
        <v>4269.7199999999993</v>
      </c>
      <c r="X1807" s="48">
        <v>4641</v>
      </c>
    </row>
    <row r="1808" spans="2:24" x14ac:dyDescent="0.35">
      <c r="B1808" s="8" t="s">
        <v>3</v>
      </c>
      <c r="C1808" s="8" t="s">
        <v>22</v>
      </c>
      <c r="D1808" s="8" t="s">
        <v>5</v>
      </c>
      <c r="E1808" s="8" t="s">
        <v>0</v>
      </c>
      <c r="F1808" s="9" t="s">
        <v>26</v>
      </c>
      <c r="G1808" s="8">
        <v>2016</v>
      </c>
      <c r="H1808" s="8">
        <v>6</v>
      </c>
      <c r="I1808" s="10">
        <v>42522</v>
      </c>
      <c r="J1808" s="11">
        <v>3044</v>
      </c>
      <c r="K1808" s="51"/>
      <c r="O1808" s="1" t="s">
        <v>3</v>
      </c>
      <c r="P1808" s="1" t="s">
        <v>22</v>
      </c>
      <c r="Q1808" s="1" t="s">
        <v>5</v>
      </c>
      <c r="R1808" s="1" t="s">
        <v>0</v>
      </c>
      <c r="S1808" s="2" t="s">
        <v>26</v>
      </c>
      <c r="T1808" s="1">
        <v>2016</v>
      </c>
      <c r="U1808" s="1">
        <v>6</v>
      </c>
      <c r="V1808" s="50">
        <v>42522</v>
      </c>
      <c r="W1808" s="4">
        <v>2709.16</v>
      </c>
      <c r="X1808" s="48">
        <v>3044</v>
      </c>
    </row>
    <row r="1809" spans="2:24" x14ac:dyDescent="0.35">
      <c r="B1809" s="8" t="s">
        <v>3</v>
      </c>
      <c r="C1809" s="8" t="s">
        <v>22</v>
      </c>
      <c r="D1809" s="8" t="s">
        <v>5</v>
      </c>
      <c r="E1809" s="8" t="s">
        <v>27</v>
      </c>
      <c r="F1809" s="6" t="s">
        <v>28</v>
      </c>
      <c r="G1809" s="8">
        <v>2016</v>
      </c>
      <c r="H1809" s="8">
        <v>6</v>
      </c>
      <c r="I1809" s="10">
        <v>42522</v>
      </c>
      <c r="J1809" s="11">
        <v>3485</v>
      </c>
      <c r="K1809" s="51"/>
      <c r="O1809" s="1" t="s">
        <v>3</v>
      </c>
      <c r="P1809" s="1" t="s">
        <v>22</v>
      </c>
      <c r="Q1809" s="1" t="s">
        <v>5</v>
      </c>
      <c r="R1809" s="1" t="s">
        <v>27</v>
      </c>
      <c r="S1809" t="s">
        <v>28</v>
      </c>
      <c r="T1809" s="1">
        <v>2016</v>
      </c>
      <c r="U1809" s="1">
        <v>6</v>
      </c>
      <c r="V1809" s="50">
        <v>42522</v>
      </c>
      <c r="W1809" s="4">
        <v>3206.2</v>
      </c>
      <c r="X1809" s="48">
        <v>3485</v>
      </c>
    </row>
    <row r="1810" spans="2:24" x14ac:dyDescent="0.35">
      <c r="B1810" s="8" t="s">
        <v>6</v>
      </c>
      <c r="C1810" s="8" t="s">
        <v>29</v>
      </c>
      <c r="D1810" s="8" t="s">
        <v>30</v>
      </c>
      <c r="E1810" s="8" t="s">
        <v>27</v>
      </c>
      <c r="F1810" s="8" t="s">
        <v>31</v>
      </c>
      <c r="G1810" s="8">
        <v>2016</v>
      </c>
      <c r="H1810" s="8">
        <v>6</v>
      </c>
      <c r="I1810" s="10">
        <v>42522</v>
      </c>
      <c r="J1810" s="11">
        <v>5428</v>
      </c>
      <c r="K1810" s="51"/>
      <c r="O1810" s="1" t="s">
        <v>6</v>
      </c>
      <c r="P1810" s="1" t="s">
        <v>29</v>
      </c>
      <c r="Q1810" s="1" t="s">
        <v>30</v>
      </c>
      <c r="R1810" s="1" t="s">
        <v>27</v>
      </c>
      <c r="S1810" s="1" t="s">
        <v>31</v>
      </c>
      <c r="T1810" s="1">
        <v>2016</v>
      </c>
      <c r="U1810" s="1">
        <v>6</v>
      </c>
      <c r="V1810" s="50">
        <v>42522</v>
      </c>
      <c r="W1810" s="4">
        <v>4885.2</v>
      </c>
      <c r="X1810" s="48">
        <v>5428</v>
      </c>
    </row>
    <row r="1811" spans="2:24" x14ac:dyDescent="0.35">
      <c r="B1811" s="8" t="s">
        <v>7</v>
      </c>
      <c r="C1811" s="8" t="s">
        <v>32</v>
      </c>
      <c r="D1811" s="8" t="s">
        <v>8</v>
      </c>
      <c r="E1811" s="8" t="s">
        <v>27</v>
      </c>
      <c r="F1811" s="8" t="s">
        <v>33</v>
      </c>
      <c r="G1811" s="8">
        <v>2016</v>
      </c>
      <c r="H1811" s="8">
        <v>6</v>
      </c>
      <c r="I1811" s="10">
        <v>42522</v>
      </c>
      <c r="J1811" s="11">
        <v>3686</v>
      </c>
      <c r="K1811" s="51"/>
      <c r="O1811" s="1" t="s">
        <v>7</v>
      </c>
      <c r="P1811" s="1" t="s">
        <v>32</v>
      </c>
      <c r="Q1811" s="1" t="s">
        <v>8</v>
      </c>
      <c r="R1811" s="1" t="s">
        <v>27</v>
      </c>
      <c r="S1811" s="1" t="s">
        <v>33</v>
      </c>
      <c r="T1811" s="1">
        <v>2016</v>
      </c>
      <c r="U1811" s="1">
        <v>6</v>
      </c>
      <c r="V1811" s="50">
        <v>42522</v>
      </c>
      <c r="W1811" s="4">
        <v>3169.9600000000005</v>
      </c>
      <c r="X1811" s="48">
        <v>3686</v>
      </c>
    </row>
    <row r="1812" spans="2:24" x14ac:dyDescent="0.35">
      <c r="B1812" s="8" t="s">
        <v>12</v>
      </c>
      <c r="C1812" s="8" t="s">
        <v>34</v>
      </c>
      <c r="D1812" s="8" t="s">
        <v>35</v>
      </c>
      <c r="E1812" s="8" t="s">
        <v>23</v>
      </c>
      <c r="F1812" s="8" t="s">
        <v>36</v>
      </c>
      <c r="G1812" s="8">
        <v>2016</v>
      </c>
      <c r="H1812" s="8">
        <v>6</v>
      </c>
      <c r="I1812" s="10">
        <v>42522</v>
      </c>
      <c r="J1812" s="11">
        <v>2299</v>
      </c>
      <c r="K1812" s="51"/>
      <c r="O1812" s="1" t="s">
        <v>12</v>
      </c>
      <c r="P1812" s="1" t="s">
        <v>34</v>
      </c>
      <c r="Q1812" s="1" t="s">
        <v>35</v>
      </c>
      <c r="R1812" s="1" t="s">
        <v>23</v>
      </c>
      <c r="S1812" s="1" t="s">
        <v>36</v>
      </c>
      <c r="T1812" s="1">
        <v>2016</v>
      </c>
      <c r="U1812" s="1">
        <v>6</v>
      </c>
      <c r="V1812" s="50">
        <v>42522</v>
      </c>
      <c r="W1812" s="4">
        <v>1977.1400000000003</v>
      </c>
      <c r="X1812" s="48">
        <v>2299</v>
      </c>
    </row>
    <row r="1813" spans="2:24" x14ac:dyDescent="0.35">
      <c r="B1813" s="8" t="s">
        <v>14</v>
      </c>
      <c r="C1813" s="8" t="s">
        <v>37</v>
      </c>
      <c r="D1813" s="8" t="s">
        <v>38</v>
      </c>
      <c r="E1813" s="8" t="s">
        <v>23</v>
      </c>
      <c r="F1813" s="6" t="s">
        <v>24</v>
      </c>
      <c r="G1813" s="8">
        <v>2016</v>
      </c>
      <c r="H1813" s="8">
        <v>6</v>
      </c>
      <c r="I1813" s="10">
        <v>42522</v>
      </c>
      <c r="J1813" s="11">
        <v>2883</v>
      </c>
      <c r="K1813" s="51"/>
      <c r="O1813" s="1" t="s">
        <v>14</v>
      </c>
      <c r="P1813" s="1" t="s">
        <v>37</v>
      </c>
      <c r="Q1813" s="1" t="s">
        <v>38</v>
      </c>
      <c r="R1813" s="1" t="s">
        <v>23</v>
      </c>
      <c r="S1813" t="s">
        <v>24</v>
      </c>
      <c r="T1813" s="1">
        <v>2016</v>
      </c>
      <c r="U1813" s="1">
        <v>6</v>
      </c>
      <c r="V1813" s="50">
        <v>42522</v>
      </c>
      <c r="W1813" s="4">
        <v>2681.1899999999996</v>
      </c>
      <c r="X1813" s="48">
        <v>2883</v>
      </c>
    </row>
    <row r="1814" spans="2:24" x14ac:dyDescent="0.35">
      <c r="B1814" s="8" t="s">
        <v>3</v>
      </c>
      <c r="C1814" s="8" t="s">
        <v>25</v>
      </c>
      <c r="D1814" s="8" t="s">
        <v>4</v>
      </c>
      <c r="E1814" s="8" t="s">
        <v>23</v>
      </c>
      <c r="F1814" s="6" t="s">
        <v>39</v>
      </c>
      <c r="G1814" s="8">
        <v>2016</v>
      </c>
      <c r="H1814" s="8">
        <v>6</v>
      </c>
      <c r="I1814" s="10">
        <v>42522</v>
      </c>
      <c r="J1814" s="11">
        <v>1525</v>
      </c>
      <c r="K1814" s="51"/>
      <c r="O1814" s="1" t="s">
        <v>3</v>
      </c>
      <c r="P1814" s="1" t="s">
        <v>25</v>
      </c>
      <c r="Q1814" s="1" t="s">
        <v>4</v>
      </c>
      <c r="R1814" s="1" t="s">
        <v>23</v>
      </c>
      <c r="S1814" t="s">
        <v>39</v>
      </c>
      <c r="T1814" s="1">
        <v>2016</v>
      </c>
      <c r="U1814" s="1">
        <v>6</v>
      </c>
      <c r="V1814" s="50">
        <v>42522</v>
      </c>
      <c r="W1814" s="4">
        <v>1433.5</v>
      </c>
      <c r="X1814" s="48">
        <v>1525</v>
      </c>
    </row>
    <row r="1815" spans="2:24" x14ac:dyDescent="0.35">
      <c r="B1815" s="8" t="s">
        <v>6</v>
      </c>
      <c r="C1815" s="8" t="s">
        <v>40</v>
      </c>
      <c r="D1815" s="8" t="s">
        <v>41</v>
      </c>
      <c r="E1815" s="8" t="s">
        <v>0</v>
      </c>
      <c r="F1815" s="6" t="s">
        <v>42</v>
      </c>
      <c r="G1815" s="8">
        <v>2016</v>
      </c>
      <c r="H1815" s="8">
        <v>6</v>
      </c>
      <c r="I1815" s="10">
        <v>42522</v>
      </c>
      <c r="J1815" s="11">
        <v>4718</v>
      </c>
      <c r="K1815" s="51"/>
      <c r="O1815" s="1" t="s">
        <v>6</v>
      </c>
      <c r="P1815" s="1" t="s">
        <v>40</v>
      </c>
      <c r="Q1815" s="1" t="s">
        <v>41</v>
      </c>
      <c r="R1815" s="1" t="s">
        <v>0</v>
      </c>
      <c r="S1815" t="s">
        <v>42</v>
      </c>
      <c r="T1815" s="1">
        <v>2016</v>
      </c>
      <c r="U1815" s="1">
        <v>6</v>
      </c>
      <c r="V1815" s="50">
        <v>42522</v>
      </c>
      <c r="W1815" s="4">
        <v>4104.6600000000008</v>
      </c>
      <c r="X1815" s="48">
        <v>4718</v>
      </c>
    </row>
    <row r="1816" spans="2:24" x14ac:dyDescent="0.35">
      <c r="B1816" s="8" t="s">
        <v>7</v>
      </c>
      <c r="C1816" s="8" t="s">
        <v>43</v>
      </c>
      <c r="D1816" s="8" t="s">
        <v>10</v>
      </c>
      <c r="E1816" s="9" t="s">
        <v>0</v>
      </c>
      <c r="F1816" s="9" t="s">
        <v>26</v>
      </c>
      <c r="G1816" s="8">
        <v>2016</v>
      </c>
      <c r="H1816" s="8">
        <v>6</v>
      </c>
      <c r="I1816" s="10">
        <v>42522</v>
      </c>
      <c r="J1816" s="11">
        <v>4422</v>
      </c>
      <c r="K1816" s="51"/>
      <c r="O1816" s="1" t="s">
        <v>7</v>
      </c>
      <c r="P1816" s="1" t="s">
        <v>43</v>
      </c>
      <c r="Q1816" s="1" t="s">
        <v>10</v>
      </c>
      <c r="R1816" s="2" t="s">
        <v>0</v>
      </c>
      <c r="S1816" s="2" t="s">
        <v>26</v>
      </c>
      <c r="T1816" s="1">
        <v>2016</v>
      </c>
      <c r="U1816" s="1">
        <v>6</v>
      </c>
      <c r="V1816" s="50">
        <v>42522</v>
      </c>
      <c r="W1816" s="4">
        <v>4112.46</v>
      </c>
      <c r="X1816" s="48">
        <v>4422</v>
      </c>
    </row>
    <row r="1817" spans="2:24" x14ac:dyDescent="0.35">
      <c r="B1817" s="8" t="s">
        <v>12</v>
      </c>
      <c r="C1817" s="8" t="s">
        <v>44</v>
      </c>
      <c r="D1817" s="8" t="s">
        <v>13</v>
      </c>
      <c r="E1817" s="8" t="s">
        <v>0</v>
      </c>
      <c r="F1817" s="9" t="s">
        <v>45</v>
      </c>
      <c r="G1817" s="8">
        <v>2016</v>
      </c>
      <c r="H1817" s="8">
        <v>6</v>
      </c>
      <c r="I1817" s="10">
        <v>42522</v>
      </c>
      <c r="J1817" s="11">
        <v>2134</v>
      </c>
      <c r="K1817" s="51"/>
      <c r="O1817" s="1" t="s">
        <v>12</v>
      </c>
      <c r="P1817" s="1" t="s">
        <v>44</v>
      </c>
      <c r="Q1817" s="1" t="s">
        <v>13</v>
      </c>
      <c r="R1817" s="1" t="s">
        <v>0</v>
      </c>
      <c r="S1817" s="2" t="s">
        <v>45</v>
      </c>
      <c r="T1817" s="1">
        <v>2016</v>
      </c>
      <c r="U1817" s="1">
        <v>6</v>
      </c>
      <c r="V1817" s="50">
        <v>42522</v>
      </c>
      <c r="W1817" s="4">
        <v>1856.5800000000002</v>
      </c>
      <c r="X1817" s="48">
        <v>2134</v>
      </c>
    </row>
    <row r="1818" spans="2:24" x14ac:dyDescent="0.35">
      <c r="B1818" s="8" t="s">
        <v>14</v>
      </c>
      <c r="C1818" s="8" t="s">
        <v>46</v>
      </c>
      <c r="D1818" s="8" t="s">
        <v>47</v>
      </c>
      <c r="E1818" s="8" t="s">
        <v>27</v>
      </c>
      <c r="F1818" s="6" t="s">
        <v>28</v>
      </c>
      <c r="G1818" s="8">
        <v>2016</v>
      </c>
      <c r="H1818" s="8">
        <v>6</v>
      </c>
      <c r="I1818" s="10">
        <v>42522</v>
      </c>
      <c r="J1818" s="11">
        <v>4218</v>
      </c>
      <c r="K1818" s="51"/>
      <c r="O1818" s="1" t="s">
        <v>14</v>
      </c>
      <c r="P1818" s="1" t="s">
        <v>46</v>
      </c>
      <c r="Q1818" s="1" t="s">
        <v>47</v>
      </c>
      <c r="R1818" s="1" t="s">
        <v>27</v>
      </c>
      <c r="S1818" t="s">
        <v>28</v>
      </c>
      <c r="T1818" s="1">
        <v>2016</v>
      </c>
      <c r="U1818" s="1">
        <v>6</v>
      </c>
      <c r="V1818" s="50">
        <v>42522</v>
      </c>
      <c r="W1818" s="4">
        <v>3711.8399999999997</v>
      </c>
      <c r="X1818" s="48">
        <v>4218</v>
      </c>
    </row>
    <row r="1819" spans="2:24" x14ac:dyDescent="0.35">
      <c r="B1819" s="8" t="s">
        <v>3</v>
      </c>
      <c r="C1819" s="8" t="s">
        <v>22</v>
      </c>
      <c r="D1819" s="8" t="s">
        <v>5</v>
      </c>
      <c r="E1819" s="8" t="s">
        <v>27</v>
      </c>
      <c r="F1819" s="8" t="s">
        <v>31</v>
      </c>
      <c r="G1819" s="8">
        <v>2016</v>
      </c>
      <c r="H1819" s="8">
        <v>6</v>
      </c>
      <c r="I1819" s="10">
        <v>42522</v>
      </c>
      <c r="J1819" s="11">
        <v>4891</v>
      </c>
      <c r="K1819" s="51"/>
      <c r="O1819" s="1" t="s">
        <v>3</v>
      </c>
      <c r="P1819" s="1" t="s">
        <v>22</v>
      </c>
      <c r="Q1819" s="1" t="s">
        <v>5</v>
      </c>
      <c r="R1819" s="1" t="s">
        <v>27</v>
      </c>
      <c r="S1819" s="1" t="s">
        <v>31</v>
      </c>
      <c r="T1819" s="1">
        <v>2016</v>
      </c>
      <c r="U1819" s="1">
        <v>6</v>
      </c>
      <c r="V1819" s="50">
        <v>42522</v>
      </c>
      <c r="W1819" s="4">
        <v>4304.08</v>
      </c>
      <c r="X1819" s="48">
        <v>4891</v>
      </c>
    </row>
    <row r="1820" spans="2:24" x14ac:dyDescent="0.35">
      <c r="B1820" s="8" t="s">
        <v>6</v>
      </c>
      <c r="C1820" s="8" t="s">
        <v>29</v>
      </c>
      <c r="D1820" s="8" t="s">
        <v>30</v>
      </c>
      <c r="E1820" s="8" t="s">
        <v>27</v>
      </c>
      <c r="F1820" s="8" t="s">
        <v>33</v>
      </c>
      <c r="G1820" s="8">
        <v>2016</v>
      </c>
      <c r="H1820" s="8">
        <v>6</v>
      </c>
      <c r="I1820" s="10">
        <v>42522</v>
      </c>
      <c r="J1820" s="11">
        <v>3458</v>
      </c>
      <c r="K1820" s="51"/>
      <c r="O1820" s="1" t="s">
        <v>6</v>
      </c>
      <c r="P1820" s="1" t="s">
        <v>29</v>
      </c>
      <c r="Q1820" s="1" t="s">
        <v>30</v>
      </c>
      <c r="R1820" s="1" t="s">
        <v>27</v>
      </c>
      <c r="S1820" s="1" t="s">
        <v>33</v>
      </c>
      <c r="T1820" s="1">
        <v>2016</v>
      </c>
      <c r="U1820" s="1">
        <v>6</v>
      </c>
      <c r="V1820" s="50">
        <v>42522</v>
      </c>
      <c r="W1820" s="4">
        <v>2939.3</v>
      </c>
      <c r="X1820" s="48">
        <v>3458</v>
      </c>
    </row>
    <row r="1821" spans="2:24" x14ac:dyDescent="0.35">
      <c r="B1821" s="8" t="s">
        <v>7</v>
      </c>
      <c r="C1821" s="8" t="s">
        <v>32</v>
      </c>
      <c r="D1821" s="8" t="s">
        <v>8</v>
      </c>
      <c r="E1821" s="8" t="s">
        <v>23</v>
      </c>
      <c r="F1821" s="8" t="s">
        <v>36</v>
      </c>
      <c r="G1821" s="8">
        <v>2016</v>
      </c>
      <c r="H1821" s="8">
        <v>6</v>
      </c>
      <c r="I1821" s="10">
        <v>42522</v>
      </c>
      <c r="J1821" s="11">
        <v>2573</v>
      </c>
      <c r="K1821" s="51"/>
      <c r="O1821" s="1" t="s">
        <v>7</v>
      </c>
      <c r="P1821" s="1" t="s">
        <v>32</v>
      </c>
      <c r="Q1821" s="1" t="s">
        <v>8</v>
      </c>
      <c r="R1821" s="1" t="s">
        <v>23</v>
      </c>
      <c r="S1821" s="1" t="s">
        <v>36</v>
      </c>
      <c r="T1821" s="1">
        <v>2016</v>
      </c>
      <c r="U1821" s="1">
        <v>6</v>
      </c>
      <c r="V1821" s="50">
        <v>42522</v>
      </c>
      <c r="W1821" s="4">
        <v>2367.16</v>
      </c>
      <c r="X1821" s="48">
        <v>2573</v>
      </c>
    </row>
    <row r="1822" spans="2:24" x14ac:dyDescent="0.35">
      <c r="B1822" s="8" t="s">
        <v>12</v>
      </c>
      <c r="C1822" s="8" t="s">
        <v>34</v>
      </c>
      <c r="D1822" s="8" t="s">
        <v>35</v>
      </c>
      <c r="E1822" s="8" t="s">
        <v>23</v>
      </c>
      <c r="F1822" s="6" t="s">
        <v>24</v>
      </c>
      <c r="G1822" s="8">
        <v>2016</v>
      </c>
      <c r="H1822" s="8">
        <v>6</v>
      </c>
      <c r="I1822" s="10">
        <v>42522</v>
      </c>
      <c r="J1822" s="11">
        <v>1859</v>
      </c>
      <c r="K1822" s="51"/>
      <c r="O1822" s="1" t="s">
        <v>12</v>
      </c>
      <c r="P1822" s="1" t="s">
        <v>34</v>
      </c>
      <c r="Q1822" s="1" t="s">
        <v>35</v>
      </c>
      <c r="R1822" s="1" t="s">
        <v>23</v>
      </c>
      <c r="S1822" t="s">
        <v>24</v>
      </c>
      <c r="T1822" s="1">
        <v>2016</v>
      </c>
      <c r="U1822" s="1">
        <v>6</v>
      </c>
      <c r="V1822" s="50">
        <v>42522</v>
      </c>
      <c r="W1822" s="4">
        <v>1747.4599999999998</v>
      </c>
      <c r="X1822" s="48">
        <v>1859</v>
      </c>
    </row>
    <row r="1823" spans="2:24" x14ac:dyDescent="0.35">
      <c r="B1823" s="8" t="s">
        <v>14</v>
      </c>
      <c r="C1823" s="8" t="s">
        <v>37</v>
      </c>
      <c r="D1823" s="8" t="s">
        <v>38</v>
      </c>
      <c r="E1823" s="8" t="s">
        <v>23</v>
      </c>
      <c r="F1823" s="6" t="s">
        <v>39</v>
      </c>
      <c r="G1823" s="8">
        <v>2016</v>
      </c>
      <c r="H1823" s="8">
        <v>6</v>
      </c>
      <c r="I1823" s="10">
        <v>42522</v>
      </c>
      <c r="J1823" s="11">
        <v>1669</v>
      </c>
      <c r="K1823" s="51"/>
      <c r="O1823" s="1" t="s">
        <v>14</v>
      </c>
      <c r="P1823" s="1" t="s">
        <v>37</v>
      </c>
      <c r="Q1823" s="1" t="s">
        <v>38</v>
      </c>
      <c r="R1823" s="1" t="s">
        <v>23</v>
      </c>
      <c r="S1823" t="s">
        <v>39</v>
      </c>
      <c r="T1823" s="1">
        <v>2016</v>
      </c>
      <c r="U1823" s="1">
        <v>6</v>
      </c>
      <c r="V1823" s="50">
        <v>42522</v>
      </c>
      <c r="W1823" s="4">
        <v>1435.3400000000001</v>
      </c>
      <c r="X1823" s="48">
        <v>1669</v>
      </c>
    </row>
    <row r="1824" spans="2:24" x14ac:dyDescent="0.35">
      <c r="B1824" s="8" t="s">
        <v>3</v>
      </c>
      <c r="C1824" s="8" t="s">
        <v>25</v>
      </c>
      <c r="D1824" s="8" t="s">
        <v>4</v>
      </c>
      <c r="E1824" s="8" t="s">
        <v>0</v>
      </c>
      <c r="F1824" s="6" t="s">
        <v>42</v>
      </c>
      <c r="G1824" s="8">
        <v>2016</v>
      </c>
      <c r="H1824" s="8">
        <v>6</v>
      </c>
      <c r="I1824" s="10">
        <v>42522</v>
      </c>
      <c r="J1824" s="11">
        <v>5275</v>
      </c>
      <c r="K1824" s="51"/>
      <c r="O1824" s="1" t="s">
        <v>3</v>
      </c>
      <c r="P1824" s="1" t="s">
        <v>25</v>
      </c>
      <c r="Q1824" s="1" t="s">
        <v>4</v>
      </c>
      <c r="R1824" s="1" t="s">
        <v>0</v>
      </c>
      <c r="S1824" t="s">
        <v>42</v>
      </c>
      <c r="T1824" s="1">
        <v>2016</v>
      </c>
      <c r="U1824" s="1">
        <v>6</v>
      </c>
      <c r="V1824" s="50">
        <v>42522</v>
      </c>
      <c r="W1824" s="4">
        <v>4853</v>
      </c>
      <c r="X1824" s="48">
        <v>5275</v>
      </c>
    </row>
    <row r="1825" spans="2:24" x14ac:dyDescent="0.35">
      <c r="B1825" s="8" t="s">
        <v>6</v>
      </c>
      <c r="C1825" s="8" t="s">
        <v>40</v>
      </c>
      <c r="D1825" s="8" t="s">
        <v>41</v>
      </c>
      <c r="E1825" s="9" t="s">
        <v>0</v>
      </c>
      <c r="F1825" s="9" t="s">
        <v>26</v>
      </c>
      <c r="G1825" s="8">
        <v>2016</v>
      </c>
      <c r="H1825" s="8">
        <v>6</v>
      </c>
      <c r="I1825" s="10">
        <v>42522</v>
      </c>
      <c r="J1825" s="11">
        <v>4374</v>
      </c>
      <c r="K1825" s="51"/>
      <c r="O1825" s="1" t="s">
        <v>6</v>
      </c>
      <c r="P1825" s="1" t="s">
        <v>40</v>
      </c>
      <c r="Q1825" s="1" t="s">
        <v>41</v>
      </c>
      <c r="R1825" s="2" t="s">
        <v>0</v>
      </c>
      <c r="S1825" s="2" t="s">
        <v>26</v>
      </c>
      <c r="T1825" s="1">
        <v>2016</v>
      </c>
      <c r="U1825" s="1">
        <v>6</v>
      </c>
      <c r="V1825" s="50">
        <v>42522</v>
      </c>
      <c r="W1825" s="4">
        <v>3936.5999999999995</v>
      </c>
      <c r="X1825" s="48">
        <v>4374</v>
      </c>
    </row>
    <row r="1826" spans="2:24" x14ac:dyDescent="0.35">
      <c r="B1826" s="8" t="s">
        <v>7</v>
      </c>
      <c r="C1826" s="8" t="s">
        <v>43</v>
      </c>
      <c r="D1826" s="8" t="s">
        <v>10</v>
      </c>
      <c r="E1826" s="8" t="s">
        <v>0</v>
      </c>
      <c r="F1826" s="9" t="s">
        <v>45</v>
      </c>
      <c r="G1826" s="8">
        <v>2016</v>
      </c>
      <c r="H1826" s="8">
        <v>6</v>
      </c>
      <c r="I1826" s="10">
        <v>42522</v>
      </c>
      <c r="J1826" s="11">
        <v>4111</v>
      </c>
      <c r="K1826" s="51"/>
      <c r="O1826" s="1" t="s">
        <v>7</v>
      </c>
      <c r="P1826" s="1" t="s">
        <v>43</v>
      </c>
      <c r="Q1826" s="1" t="s">
        <v>10</v>
      </c>
      <c r="R1826" s="1" t="s">
        <v>0</v>
      </c>
      <c r="S1826" s="2" t="s">
        <v>45</v>
      </c>
      <c r="T1826" s="1">
        <v>2016</v>
      </c>
      <c r="U1826" s="1">
        <v>6</v>
      </c>
      <c r="V1826" s="50">
        <v>42522</v>
      </c>
      <c r="W1826" s="4">
        <v>3782.12</v>
      </c>
      <c r="X1826" s="48">
        <v>4111</v>
      </c>
    </row>
    <row r="1827" spans="2:24" x14ac:dyDescent="0.35">
      <c r="B1827" s="8" t="s">
        <v>12</v>
      </c>
      <c r="C1827" s="8" t="s">
        <v>44</v>
      </c>
      <c r="D1827" s="8" t="s">
        <v>13</v>
      </c>
      <c r="E1827" s="8" t="s">
        <v>27</v>
      </c>
      <c r="F1827" s="6" t="s">
        <v>28</v>
      </c>
      <c r="G1827" s="8">
        <v>2016</v>
      </c>
      <c r="H1827" s="8">
        <v>6</v>
      </c>
      <c r="I1827" s="10">
        <v>42522</v>
      </c>
      <c r="J1827" s="11">
        <v>3904</v>
      </c>
      <c r="K1827" s="51"/>
      <c r="O1827" s="1" t="s">
        <v>12</v>
      </c>
      <c r="P1827" s="1" t="s">
        <v>44</v>
      </c>
      <c r="Q1827" s="1" t="s">
        <v>13</v>
      </c>
      <c r="R1827" s="1" t="s">
        <v>27</v>
      </c>
      <c r="S1827" t="s">
        <v>28</v>
      </c>
      <c r="T1827" s="1">
        <v>2016</v>
      </c>
      <c r="U1827" s="1">
        <v>6</v>
      </c>
      <c r="V1827" s="50">
        <v>42522</v>
      </c>
      <c r="W1827" s="4">
        <v>3552.64</v>
      </c>
      <c r="X1827" s="48">
        <v>3904</v>
      </c>
    </row>
    <row r="1828" spans="2:24" x14ac:dyDescent="0.35">
      <c r="B1828" s="8" t="s">
        <v>14</v>
      </c>
      <c r="C1828" s="8" t="s">
        <v>46</v>
      </c>
      <c r="D1828" s="8" t="s">
        <v>47</v>
      </c>
      <c r="E1828" s="8" t="s">
        <v>27</v>
      </c>
      <c r="F1828" s="8" t="s">
        <v>31</v>
      </c>
      <c r="G1828" s="8">
        <v>2016</v>
      </c>
      <c r="H1828" s="8">
        <v>6</v>
      </c>
      <c r="I1828" s="10">
        <v>42522</v>
      </c>
      <c r="J1828" s="11">
        <v>5573</v>
      </c>
      <c r="K1828" s="51"/>
      <c r="O1828" s="1" t="s">
        <v>14</v>
      </c>
      <c r="P1828" s="1" t="s">
        <v>46</v>
      </c>
      <c r="Q1828" s="1" t="s">
        <v>47</v>
      </c>
      <c r="R1828" s="1" t="s">
        <v>27</v>
      </c>
      <c r="S1828" s="1" t="s">
        <v>31</v>
      </c>
      <c r="T1828" s="1">
        <v>2016</v>
      </c>
      <c r="U1828" s="1">
        <v>6</v>
      </c>
      <c r="V1828" s="50">
        <v>42522</v>
      </c>
      <c r="W1828" s="4">
        <v>4792.7800000000007</v>
      </c>
      <c r="X1828" s="48">
        <v>5573</v>
      </c>
    </row>
    <row r="1829" spans="2:24" x14ac:dyDescent="0.35">
      <c r="B1829" s="8" t="s">
        <v>3</v>
      </c>
      <c r="C1829" s="8" t="s">
        <v>22</v>
      </c>
      <c r="D1829" s="8" t="s">
        <v>5</v>
      </c>
      <c r="E1829" s="8" t="s">
        <v>27</v>
      </c>
      <c r="F1829" s="8" t="s">
        <v>33</v>
      </c>
      <c r="G1829" s="8">
        <v>2016</v>
      </c>
      <c r="H1829" s="8">
        <v>6</v>
      </c>
      <c r="I1829" s="10">
        <v>42522</v>
      </c>
      <c r="J1829" s="11">
        <v>3555</v>
      </c>
      <c r="K1829" s="51"/>
      <c r="O1829" s="1" t="s">
        <v>3</v>
      </c>
      <c r="P1829" s="1" t="s">
        <v>22</v>
      </c>
      <c r="Q1829" s="1" t="s">
        <v>5</v>
      </c>
      <c r="R1829" s="1" t="s">
        <v>27</v>
      </c>
      <c r="S1829" s="1" t="s">
        <v>33</v>
      </c>
      <c r="T1829" s="1">
        <v>2016</v>
      </c>
      <c r="U1829" s="1">
        <v>6</v>
      </c>
      <c r="V1829" s="50">
        <v>42522</v>
      </c>
      <c r="W1829" s="4">
        <v>3021.7500000000005</v>
      </c>
      <c r="X1829" s="48">
        <v>3555</v>
      </c>
    </row>
    <row r="1830" spans="2:24" x14ac:dyDescent="0.35">
      <c r="B1830" s="8" t="s">
        <v>6</v>
      </c>
      <c r="C1830" s="8" t="s">
        <v>29</v>
      </c>
      <c r="D1830" s="8" t="s">
        <v>30</v>
      </c>
      <c r="E1830" s="8" t="s">
        <v>23</v>
      </c>
      <c r="F1830" s="8" t="s">
        <v>36</v>
      </c>
      <c r="G1830" s="8">
        <v>2016</v>
      </c>
      <c r="H1830" s="8">
        <v>6</v>
      </c>
      <c r="I1830" s="10">
        <v>42522</v>
      </c>
      <c r="J1830" s="11">
        <v>2581</v>
      </c>
      <c r="K1830" s="51"/>
      <c r="O1830" s="1" t="s">
        <v>6</v>
      </c>
      <c r="P1830" s="1" t="s">
        <v>29</v>
      </c>
      <c r="Q1830" s="1" t="s">
        <v>30</v>
      </c>
      <c r="R1830" s="1" t="s">
        <v>23</v>
      </c>
      <c r="S1830" s="1" t="s">
        <v>36</v>
      </c>
      <c r="T1830" s="1">
        <v>2016</v>
      </c>
      <c r="U1830" s="1">
        <v>6</v>
      </c>
      <c r="V1830" s="50">
        <v>42522</v>
      </c>
      <c r="W1830" s="4">
        <v>2374.52</v>
      </c>
      <c r="X1830" s="48">
        <v>2581</v>
      </c>
    </row>
    <row r="1831" spans="2:24" x14ac:dyDescent="0.35">
      <c r="B1831" s="8" t="s">
        <v>7</v>
      </c>
      <c r="C1831" s="8" t="s">
        <v>32</v>
      </c>
      <c r="D1831" s="8" t="s">
        <v>8</v>
      </c>
      <c r="E1831" s="8" t="s">
        <v>23</v>
      </c>
      <c r="F1831" s="6" t="s">
        <v>24</v>
      </c>
      <c r="G1831" s="8">
        <v>2016</v>
      </c>
      <c r="H1831" s="8">
        <v>6</v>
      </c>
      <c r="I1831" s="10">
        <v>42522</v>
      </c>
      <c r="J1831" s="11">
        <v>1819</v>
      </c>
      <c r="K1831" s="51"/>
      <c r="O1831" s="1" t="s">
        <v>7</v>
      </c>
      <c r="P1831" s="1" t="s">
        <v>32</v>
      </c>
      <c r="Q1831" s="1" t="s">
        <v>8</v>
      </c>
      <c r="R1831" s="1" t="s">
        <v>23</v>
      </c>
      <c r="S1831" t="s">
        <v>24</v>
      </c>
      <c r="T1831" s="1">
        <v>2016</v>
      </c>
      <c r="U1831" s="1">
        <v>6</v>
      </c>
      <c r="V1831" s="50">
        <v>42522</v>
      </c>
      <c r="W1831" s="4">
        <v>1691.6699999999998</v>
      </c>
      <c r="X1831" s="48">
        <v>1819</v>
      </c>
    </row>
    <row r="1832" spans="2:24" x14ac:dyDescent="0.35">
      <c r="B1832" s="8" t="s">
        <v>12</v>
      </c>
      <c r="C1832" s="8" t="s">
        <v>34</v>
      </c>
      <c r="D1832" s="8" t="s">
        <v>35</v>
      </c>
      <c r="E1832" s="8" t="s">
        <v>23</v>
      </c>
      <c r="F1832" s="6" t="s">
        <v>39</v>
      </c>
      <c r="G1832" s="8">
        <v>2016</v>
      </c>
      <c r="H1832" s="8">
        <v>6</v>
      </c>
      <c r="I1832" s="10">
        <v>42522</v>
      </c>
      <c r="J1832" s="11">
        <v>2291</v>
      </c>
      <c r="K1832" s="51"/>
      <c r="O1832" s="1" t="s">
        <v>12</v>
      </c>
      <c r="P1832" s="1" t="s">
        <v>34</v>
      </c>
      <c r="Q1832" s="1" t="s">
        <v>35</v>
      </c>
      <c r="R1832" s="1" t="s">
        <v>23</v>
      </c>
      <c r="S1832" t="s">
        <v>39</v>
      </c>
      <c r="T1832" s="1">
        <v>2016</v>
      </c>
      <c r="U1832" s="1">
        <v>6</v>
      </c>
      <c r="V1832" s="50">
        <v>42522</v>
      </c>
      <c r="W1832" s="4">
        <v>2038.9899999999998</v>
      </c>
      <c r="X1832" s="48">
        <v>2291</v>
      </c>
    </row>
    <row r="1833" spans="2:24" x14ac:dyDescent="0.35">
      <c r="B1833" s="8" t="s">
        <v>14</v>
      </c>
      <c r="C1833" s="8" t="s">
        <v>37</v>
      </c>
      <c r="D1833" s="8" t="s">
        <v>38</v>
      </c>
      <c r="E1833" s="8" t="s">
        <v>0</v>
      </c>
      <c r="F1833" s="6" t="s">
        <v>42</v>
      </c>
      <c r="G1833" s="8">
        <v>2016</v>
      </c>
      <c r="H1833" s="8">
        <v>6</v>
      </c>
      <c r="I1833" s="10">
        <v>42522</v>
      </c>
      <c r="J1833" s="11">
        <v>5260</v>
      </c>
      <c r="K1833" s="51"/>
      <c r="O1833" s="1" t="s">
        <v>14</v>
      </c>
      <c r="P1833" s="1" t="s">
        <v>37</v>
      </c>
      <c r="Q1833" s="1" t="s">
        <v>38</v>
      </c>
      <c r="R1833" s="1" t="s">
        <v>0</v>
      </c>
      <c r="S1833" t="s">
        <v>42</v>
      </c>
      <c r="T1833" s="1">
        <v>2016</v>
      </c>
      <c r="U1833" s="1">
        <v>6</v>
      </c>
      <c r="V1833" s="50">
        <v>42522</v>
      </c>
      <c r="W1833" s="4">
        <v>4839.2</v>
      </c>
      <c r="X1833" s="48">
        <v>5260</v>
      </c>
    </row>
    <row r="1834" spans="2:24" x14ac:dyDescent="0.35">
      <c r="B1834" s="8" t="s">
        <v>6</v>
      </c>
      <c r="C1834" s="8" t="s">
        <v>29</v>
      </c>
      <c r="D1834" s="8" t="s">
        <v>30</v>
      </c>
      <c r="E1834" s="9" t="s">
        <v>0</v>
      </c>
      <c r="F1834" s="9" t="s">
        <v>45</v>
      </c>
      <c r="G1834" s="8">
        <v>2016</v>
      </c>
      <c r="H1834" s="8">
        <v>6</v>
      </c>
      <c r="I1834" s="10">
        <v>42522</v>
      </c>
      <c r="J1834" s="11">
        <v>3655</v>
      </c>
      <c r="K1834" s="51"/>
      <c r="O1834" s="1" t="s">
        <v>6</v>
      </c>
      <c r="P1834" s="1" t="s">
        <v>29</v>
      </c>
      <c r="Q1834" s="1" t="s">
        <v>30</v>
      </c>
      <c r="R1834" s="2" t="s">
        <v>0</v>
      </c>
      <c r="S1834" s="2" t="s">
        <v>45</v>
      </c>
      <c r="T1834" s="1">
        <v>2016</v>
      </c>
      <c r="U1834" s="1">
        <v>6</v>
      </c>
      <c r="V1834" s="50">
        <v>42522</v>
      </c>
      <c r="W1834" s="4">
        <v>3143.3</v>
      </c>
      <c r="X1834" s="48">
        <v>3655</v>
      </c>
    </row>
    <row r="1835" spans="2:24" x14ac:dyDescent="0.35">
      <c r="B1835" s="8" t="s">
        <v>7</v>
      </c>
      <c r="C1835" s="8" t="s">
        <v>43</v>
      </c>
      <c r="D1835" s="8" t="s">
        <v>10</v>
      </c>
      <c r="E1835" s="8" t="s">
        <v>27</v>
      </c>
      <c r="F1835" s="9" t="s">
        <v>28</v>
      </c>
      <c r="G1835" s="8">
        <v>2016</v>
      </c>
      <c r="H1835" s="8">
        <v>6</v>
      </c>
      <c r="I1835" s="10">
        <v>42522</v>
      </c>
      <c r="J1835" s="11">
        <v>3768</v>
      </c>
      <c r="K1835" s="51"/>
      <c r="O1835" s="1" t="s">
        <v>7</v>
      </c>
      <c r="P1835" s="1" t="s">
        <v>43</v>
      </c>
      <c r="Q1835" s="1" t="s">
        <v>10</v>
      </c>
      <c r="R1835" s="1" t="s">
        <v>27</v>
      </c>
      <c r="S1835" s="2" t="s">
        <v>28</v>
      </c>
      <c r="T1835" s="1">
        <v>2016</v>
      </c>
      <c r="U1835" s="1">
        <v>6</v>
      </c>
      <c r="V1835" s="50">
        <v>42522</v>
      </c>
      <c r="W1835" s="4">
        <v>3391.2</v>
      </c>
      <c r="X1835" s="48">
        <v>3768</v>
      </c>
    </row>
    <row r="1836" spans="2:24" x14ac:dyDescent="0.35">
      <c r="B1836" s="8" t="s">
        <v>12</v>
      </c>
      <c r="C1836" s="8" t="s">
        <v>44</v>
      </c>
      <c r="D1836" s="8" t="s">
        <v>13</v>
      </c>
      <c r="E1836" s="8" t="s">
        <v>27</v>
      </c>
      <c r="F1836" s="6" t="s">
        <v>31</v>
      </c>
      <c r="G1836" s="8">
        <v>2016</v>
      </c>
      <c r="H1836" s="8">
        <v>6</v>
      </c>
      <c r="I1836" s="10">
        <v>42522</v>
      </c>
      <c r="J1836" s="11">
        <v>5283</v>
      </c>
      <c r="K1836" s="51"/>
      <c r="O1836" s="1" t="s">
        <v>12</v>
      </c>
      <c r="P1836" s="1" t="s">
        <v>44</v>
      </c>
      <c r="Q1836" s="1" t="s">
        <v>13</v>
      </c>
      <c r="R1836" s="1" t="s">
        <v>27</v>
      </c>
      <c r="S1836" t="s">
        <v>31</v>
      </c>
      <c r="T1836" s="1">
        <v>2016</v>
      </c>
      <c r="U1836" s="1">
        <v>6</v>
      </c>
      <c r="V1836" s="50">
        <v>42522</v>
      </c>
      <c r="W1836" s="4">
        <v>4754.7</v>
      </c>
      <c r="X1836" s="48">
        <v>5283</v>
      </c>
    </row>
    <row r="1837" spans="2:24" x14ac:dyDescent="0.35">
      <c r="B1837" s="8" t="s">
        <v>14</v>
      </c>
      <c r="C1837" s="8" t="s">
        <v>46</v>
      </c>
      <c r="D1837" s="8" t="s">
        <v>47</v>
      </c>
      <c r="E1837" s="8" t="s">
        <v>27</v>
      </c>
      <c r="F1837" s="8" t="s">
        <v>33</v>
      </c>
      <c r="G1837" s="8">
        <v>2016</v>
      </c>
      <c r="H1837" s="8">
        <v>6</v>
      </c>
      <c r="I1837" s="10">
        <v>42522</v>
      </c>
      <c r="J1837" s="11">
        <v>3824</v>
      </c>
      <c r="K1837" s="51"/>
      <c r="O1837" s="1" t="s">
        <v>14</v>
      </c>
      <c r="P1837" s="1" t="s">
        <v>46</v>
      </c>
      <c r="Q1837" s="1" t="s">
        <v>47</v>
      </c>
      <c r="R1837" s="1" t="s">
        <v>27</v>
      </c>
      <c r="S1837" s="1" t="s">
        <v>33</v>
      </c>
      <c r="T1837" s="1">
        <v>2016</v>
      </c>
      <c r="U1837" s="1">
        <v>6</v>
      </c>
      <c r="V1837" s="50">
        <v>42522</v>
      </c>
      <c r="W1837" s="4">
        <v>3403.3599999999997</v>
      </c>
      <c r="X1837" s="48">
        <v>3824</v>
      </c>
    </row>
    <row r="1838" spans="2:24" x14ac:dyDescent="0.35">
      <c r="B1838" s="8" t="s">
        <v>3</v>
      </c>
      <c r="C1838" s="8" t="s">
        <v>22</v>
      </c>
      <c r="D1838" s="8" t="s">
        <v>5</v>
      </c>
      <c r="E1838" s="8" t="s">
        <v>23</v>
      </c>
      <c r="F1838" s="8" t="s">
        <v>36</v>
      </c>
      <c r="G1838" s="8">
        <v>2016</v>
      </c>
      <c r="H1838" s="8">
        <v>6</v>
      </c>
      <c r="I1838" s="10">
        <v>42522</v>
      </c>
      <c r="J1838" s="11">
        <v>1797</v>
      </c>
      <c r="K1838" s="51"/>
      <c r="O1838" s="1" t="s">
        <v>3</v>
      </c>
      <c r="P1838" s="1" t="s">
        <v>22</v>
      </c>
      <c r="Q1838" s="1" t="s">
        <v>5</v>
      </c>
      <c r="R1838" s="1" t="s">
        <v>23</v>
      </c>
      <c r="S1838" s="1" t="s">
        <v>36</v>
      </c>
      <c r="T1838" s="1">
        <v>2016</v>
      </c>
      <c r="U1838" s="1">
        <v>6</v>
      </c>
      <c r="V1838" s="50">
        <v>42522</v>
      </c>
      <c r="W1838" s="4">
        <v>1653.2399999999998</v>
      </c>
      <c r="X1838" s="48">
        <v>1797</v>
      </c>
    </row>
    <row r="1839" spans="2:24" x14ac:dyDescent="0.35">
      <c r="B1839" s="8" t="s">
        <v>6</v>
      </c>
      <c r="C1839" s="8" t="s">
        <v>40</v>
      </c>
      <c r="D1839" s="8" t="s">
        <v>41</v>
      </c>
      <c r="E1839" s="8" t="s">
        <v>23</v>
      </c>
      <c r="F1839" s="8" t="s">
        <v>24</v>
      </c>
      <c r="G1839" s="8">
        <v>2016</v>
      </c>
      <c r="H1839" s="8">
        <v>6</v>
      </c>
      <c r="I1839" s="10">
        <v>42522</v>
      </c>
      <c r="J1839" s="11">
        <v>2560</v>
      </c>
      <c r="K1839" s="51"/>
      <c r="O1839" s="1" t="s">
        <v>6</v>
      </c>
      <c r="P1839" s="1" t="s">
        <v>40</v>
      </c>
      <c r="Q1839" s="1" t="s">
        <v>41</v>
      </c>
      <c r="R1839" s="1" t="s">
        <v>23</v>
      </c>
      <c r="S1839" s="1" t="s">
        <v>24</v>
      </c>
      <c r="T1839" s="1">
        <v>2016</v>
      </c>
      <c r="U1839" s="1">
        <v>6</v>
      </c>
      <c r="V1839" s="50">
        <v>42522</v>
      </c>
      <c r="W1839" s="4">
        <v>2355.1999999999998</v>
      </c>
      <c r="X1839" s="48">
        <v>2560</v>
      </c>
    </row>
    <row r="1840" spans="2:24" x14ac:dyDescent="0.35">
      <c r="B1840" s="8" t="s">
        <v>7</v>
      </c>
      <c r="C1840" s="8" t="s">
        <v>32</v>
      </c>
      <c r="D1840" s="8" t="s">
        <v>8</v>
      </c>
      <c r="E1840" s="8" t="s">
        <v>23</v>
      </c>
      <c r="F1840" s="6" t="s">
        <v>39</v>
      </c>
      <c r="G1840" s="8">
        <v>2016</v>
      </c>
      <c r="H1840" s="8">
        <v>6</v>
      </c>
      <c r="I1840" s="10">
        <v>42522</v>
      </c>
      <c r="J1840" s="11">
        <v>1496</v>
      </c>
      <c r="K1840" s="51"/>
      <c r="O1840" s="1" t="s">
        <v>7</v>
      </c>
      <c r="P1840" s="1" t="s">
        <v>32</v>
      </c>
      <c r="Q1840" s="1" t="s">
        <v>8</v>
      </c>
      <c r="R1840" s="1" t="s">
        <v>23</v>
      </c>
      <c r="S1840" t="s">
        <v>39</v>
      </c>
      <c r="T1840" s="1">
        <v>2016</v>
      </c>
      <c r="U1840" s="1">
        <v>6</v>
      </c>
      <c r="V1840" s="50">
        <v>42522</v>
      </c>
      <c r="W1840" s="4">
        <v>1376.32</v>
      </c>
      <c r="X1840" s="48">
        <v>1496</v>
      </c>
    </row>
    <row r="1841" spans="2:24" x14ac:dyDescent="0.35">
      <c r="B1841" s="8" t="s">
        <v>12</v>
      </c>
      <c r="C1841" s="8" t="s">
        <v>34</v>
      </c>
      <c r="D1841" s="8" t="s">
        <v>35</v>
      </c>
      <c r="E1841" s="8" t="s">
        <v>0</v>
      </c>
      <c r="F1841" s="6" t="s">
        <v>42</v>
      </c>
      <c r="G1841" s="8">
        <v>2016</v>
      </c>
      <c r="H1841" s="8">
        <v>6</v>
      </c>
      <c r="I1841" s="10">
        <v>42522</v>
      </c>
      <c r="J1841" s="11">
        <v>6126</v>
      </c>
      <c r="K1841" s="51"/>
      <c r="O1841" s="1" t="s">
        <v>12</v>
      </c>
      <c r="P1841" s="1" t="s">
        <v>34</v>
      </c>
      <c r="Q1841" s="1" t="s">
        <v>35</v>
      </c>
      <c r="R1841" s="1" t="s">
        <v>0</v>
      </c>
      <c r="S1841" t="s">
        <v>42</v>
      </c>
      <c r="T1841" s="1">
        <v>2016</v>
      </c>
      <c r="U1841" s="1">
        <v>6</v>
      </c>
      <c r="V1841" s="50">
        <v>42522</v>
      </c>
      <c r="W1841" s="4">
        <v>5268.3600000000006</v>
      </c>
      <c r="X1841" s="48">
        <v>6126</v>
      </c>
    </row>
    <row r="1842" spans="2:24" x14ac:dyDescent="0.35">
      <c r="B1842" s="8" t="s">
        <v>14</v>
      </c>
      <c r="C1842" s="8" t="s">
        <v>37</v>
      </c>
      <c r="D1842" s="8" t="s">
        <v>38</v>
      </c>
      <c r="E1842" s="8" t="s">
        <v>0</v>
      </c>
      <c r="F1842" s="6" t="s">
        <v>26</v>
      </c>
      <c r="G1842" s="8">
        <v>2016</v>
      </c>
      <c r="H1842" s="8">
        <v>6</v>
      </c>
      <c r="I1842" s="10">
        <v>42522</v>
      </c>
      <c r="J1842" s="11">
        <v>4298</v>
      </c>
      <c r="K1842" s="51"/>
      <c r="O1842" s="1" t="s">
        <v>14</v>
      </c>
      <c r="P1842" s="1" t="s">
        <v>37</v>
      </c>
      <c r="Q1842" s="1" t="s">
        <v>38</v>
      </c>
      <c r="R1842" s="1" t="s">
        <v>0</v>
      </c>
      <c r="S1842" t="s">
        <v>26</v>
      </c>
      <c r="T1842" s="1">
        <v>2016</v>
      </c>
      <c r="U1842" s="1">
        <v>6</v>
      </c>
      <c r="V1842" s="50">
        <v>42522</v>
      </c>
      <c r="W1842" s="4">
        <v>3997.14</v>
      </c>
      <c r="X1842" s="48">
        <v>4298</v>
      </c>
    </row>
    <row r="1843" spans="2:24" x14ac:dyDescent="0.35">
      <c r="B1843" s="8" t="s">
        <v>3</v>
      </c>
      <c r="C1843" s="8" t="s">
        <v>25</v>
      </c>
      <c r="D1843" s="8" t="s">
        <v>4</v>
      </c>
      <c r="E1843" s="9" t="s">
        <v>0</v>
      </c>
      <c r="F1843" s="9" t="s">
        <v>45</v>
      </c>
      <c r="G1843" s="8">
        <v>2016</v>
      </c>
      <c r="H1843" s="8">
        <v>6</v>
      </c>
      <c r="I1843" s="10">
        <v>42522</v>
      </c>
      <c r="J1843" s="11">
        <v>4303</v>
      </c>
      <c r="K1843" s="51"/>
      <c r="O1843" s="1" t="s">
        <v>3</v>
      </c>
      <c r="P1843" s="1" t="s">
        <v>25</v>
      </c>
      <c r="Q1843" s="1" t="s">
        <v>4</v>
      </c>
      <c r="R1843" s="2" t="s">
        <v>0</v>
      </c>
      <c r="S1843" s="2" t="s">
        <v>45</v>
      </c>
      <c r="T1843" s="1">
        <v>2016</v>
      </c>
      <c r="U1843" s="1">
        <v>6</v>
      </c>
      <c r="V1843" s="50">
        <v>42522</v>
      </c>
      <c r="W1843" s="4">
        <v>3829.6699999999996</v>
      </c>
      <c r="X1843" s="48">
        <v>4303</v>
      </c>
    </row>
    <row r="1844" spans="2:24" x14ac:dyDescent="0.35">
      <c r="B1844" s="8" t="s">
        <v>6</v>
      </c>
      <c r="C1844" s="8" t="s">
        <v>29</v>
      </c>
      <c r="D1844" s="8" t="s">
        <v>30</v>
      </c>
      <c r="E1844" s="8" t="s">
        <v>27</v>
      </c>
      <c r="F1844" s="9" t="s">
        <v>28</v>
      </c>
      <c r="G1844" s="8">
        <v>2016</v>
      </c>
      <c r="H1844" s="8">
        <v>6</v>
      </c>
      <c r="I1844" s="10">
        <v>42522</v>
      </c>
      <c r="J1844" s="11">
        <v>3616</v>
      </c>
      <c r="K1844" s="51"/>
      <c r="O1844" s="1" t="s">
        <v>6</v>
      </c>
      <c r="P1844" s="1" t="s">
        <v>29</v>
      </c>
      <c r="Q1844" s="1" t="s">
        <v>30</v>
      </c>
      <c r="R1844" s="1" t="s">
        <v>27</v>
      </c>
      <c r="S1844" s="2" t="s">
        <v>28</v>
      </c>
      <c r="T1844" s="1">
        <v>2016</v>
      </c>
      <c r="U1844" s="1">
        <v>6</v>
      </c>
      <c r="V1844" s="50">
        <v>42522</v>
      </c>
      <c r="W1844" s="4">
        <v>3182.0799999999995</v>
      </c>
      <c r="X1844" s="48">
        <v>3616</v>
      </c>
    </row>
    <row r="1845" spans="2:24" x14ac:dyDescent="0.35">
      <c r="B1845" s="8" t="s">
        <v>7</v>
      </c>
      <c r="C1845" s="8" t="s">
        <v>43</v>
      </c>
      <c r="D1845" s="8" t="s">
        <v>10</v>
      </c>
      <c r="E1845" s="8" t="s">
        <v>27</v>
      </c>
      <c r="F1845" s="6" t="s">
        <v>31</v>
      </c>
      <c r="G1845" s="8">
        <v>2016</v>
      </c>
      <c r="H1845" s="8">
        <v>6</v>
      </c>
      <c r="I1845" s="10">
        <v>42522</v>
      </c>
      <c r="J1845" s="11">
        <v>4048</v>
      </c>
      <c r="K1845" s="51"/>
      <c r="O1845" s="1" t="s">
        <v>7</v>
      </c>
      <c r="P1845" s="1" t="s">
        <v>43</v>
      </c>
      <c r="Q1845" s="1" t="s">
        <v>10</v>
      </c>
      <c r="R1845" s="1" t="s">
        <v>27</v>
      </c>
      <c r="S1845" t="s">
        <v>31</v>
      </c>
      <c r="T1845" s="1">
        <v>2016</v>
      </c>
      <c r="U1845" s="1">
        <v>6</v>
      </c>
      <c r="V1845" s="50">
        <v>42522</v>
      </c>
      <c r="W1845" s="4">
        <v>3643.2</v>
      </c>
      <c r="X1845" s="48">
        <v>4048</v>
      </c>
    </row>
    <row r="1846" spans="2:24" x14ac:dyDescent="0.35">
      <c r="B1846" s="8" t="s">
        <v>12</v>
      </c>
      <c r="C1846" s="8" t="s">
        <v>44</v>
      </c>
      <c r="D1846" s="8" t="s">
        <v>13</v>
      </c>
      <c r="E1846" s="8" t="s">
        <v>27</v>
      </c>
      <c r="F1846" s="8" t="s">
        <v>33</v>
      </c>
      <c r="G1846" s="8">
        <v>2016</v>
      </c>
      <c r="H1846" s="8">
        <v>6</v>
      </c>
      <c r="I1846" s="10">
        <v>42522</v>
      </c>
      <c r="J1846" s="11">
        <v>3400</v>
      </c>
      <c r="K1846" s="51"/>
      <c r="O1846" s="1" t="s">
        <v>12</v>
      </c>
      <c r="P1846" s="1" t="s">
        <v>44</v>
      </c>
      <c r="Q1846" s="1" t="s">
        <v>13</v>
      </c>
      <c r="R1846" s="1" t="s">
        <v>27</v>
      </c>
      <c r="S1846" s="1" t="s">
        <v>33</v>
      </c>
      <c r="T1846" s="1">
        <v>2016</v>
      </c>
      <c r="U1846" s="1">
        <v>6</v>
      </c>
      <c r="V1846" s="50">
        <v>42522</v>
      </c>
      <c r="W1846" s="4">
        <v>3162</v>
      </c>
      <c r="X1846" s="48">
        <v>3400</v>
      </c>
    </row>
    <row r="1847" spans="2:24" x14ac:dyDescent="0.35">
      <c r="B1847" s="8" t="s">
        <v>14</v>
      </c>
      <c r="C1847" s="8" t="s">
        <v>46</v>
      </c>
      <c r="D1847" s="8" t="s">
        <v>47</v>
      </c>
      <c r="E1847" s="8" t="s">
        <v>23</v>
      </c>
      <c r="F1847" s="8" t="s">
        <v>36</v>
      </c>
      <c r="G1847" s="8">
        <v>2016</v>
      </c>
      <c r="H1847" s="8">
        <v>6</v>
      </c>
      <c r="I1847" s="10">
        <v>42522</v>
      </c>
      <c r="J1847" s="11">
        <v>2384</v>
      </c>
      <c r="K1847" s="51"/>
      <c r="O1847" s="1" t="s">
        <v>14</v>
      </c>
      <c r="P1847" s="1" t="s">
        <v>46</v>
      </c>
      <c r="Q1847" s="1" t="s">
        <v>47</v>
      </c>
      <c r="R1847" s="1" t="s">
        <v>23</v>
      </c>
      <c r="S1847" s="1" t="s">
        <v>36</v>
      </c>
      <c r="T1847" s="1">
        <v>2016</v>
      </c>
      <c r="U1847" s="1">
        <v>6</v>
      </c>
      <c r="V1847" s="50">
        <v>42522</v>
      </c>
      <c r="W1847" s="4">
        <v>2217.12</v>
      </c>
      <c r="X1847" s="48">
        <v>2384</v>
      </c>
    </row>
    <row r="1848" spans="2:24" x14ac:dyDescent="0.35">
      <c r="B1848" s="8" t="s">
        <v>6</v>
      </c>
      <c r="C1848" s="8" t="s">
        <v>29</v>
      </c>
      <c r="D1848" s="8" t="s">
        <v>30</v>
      </c>
      <c r="E1848" s="8" t="s">
        <v>23</v>
      </c>
      <c r="F1848" s="8" t="s">
        <v>39</v>
      </c>
      <c r="G1848" s="8">
        <v>2016</v>
      </c>
      <c r="H1848" s="8">
        <v>6</v>
      </c>
      <c r="I1848" s="10">
        <v>42522</v>
      </c>
      <c r="J1848" s="11">
        <v>1770</v>
      </c>
      <c r="K1848" s="51"/>
      <c r="O1848" s="1" t="s">
        <v>6</v>
      </c>
      <c r="P1848" s="1" t="s">
        <v>29</v>
      </c>
      <c r="Q1848" s="1" t="s">
        <v>30</v>
      </c>
      <c r="R1848" s="1" t="s">
        <v>23</v>
      </c>
      <c r="S1848" s="1" t="s">
        <v>39</v>
      </c>
      <c r="T1848" s="1">
        <v>2016</v>
      </c>
      <c r="U1848" s="1">
        <v>6</v>
      </c>
      <c r="V1848" s="50">
        <v>42522</v>
      </c>
      <c r="W1848" s="4">
        <v>1557.6</v>
      </c>
      <c r="X1848" s="48">
        <v>1770</v>
      </c>
    </row>
    <row r="1849" spans="2:24" x14ac:dyDescent="0.35">
      <c r="B1849" s="8" t="s">
        <v>7</v>
      </c>
      <c r="C1849" s="8" t="s">
        <v>32</v>
      </c>
      <c r="D1849" s="8" t="s">
        <v>8</v>
      </c>
      <c r="E1849" s="8" t="s">
        <v>0</v>
      </c>
      <c r="F1849" s="6" t="s">
        <v>42</v>
      </c>
      <c r="G1849" s="8">
        <v>2016</v>
      </c>
      <c r="H1849" s="8">
        <v>6</v>
      </c>
      <c r="I1849" s="10">
        <v>42522</v>
      </c>
      <c r="J1849" s="11">
        <v>5689</v>
      </c>
      <c r="K1849" s="51"/>
      <c r="O1849" s="1" t="s">
        <v>7</v>
      </c>
      <c r="P1849" s="1" t="s">
        <v>32</v>
      </c>
      <c r="Q1849" s="1" t="s">
        <v>8</v>
      </c>
      <c r="R1849" s="1" t="s">
        <v>0</v>
      </c>
      <c r="S1849" t="s">
        <v>42</v>
      </c>
      <c r="T1849" s="1">
        <v>2016</v>
      </c>
      <c r="U1849" s="1">
        <v>6</v>
      </c>
      <c r="V1849" s="50">
        <v>42522</v>
      </c>
      <c r="W1849" s="4">
        <v>5063.2099999999991</v>
      </c>
      <c r="X1849" s="48">
        <v>5689</v>
      </c>
    </row>
    <row r="1850" spans="2:24" x14ac:dyDescent="0.35">
      <c r="B1850" s="8" t="s">
        <v>12</v>
      </c>
      <c r="C1850" s="8" t="s">
        <v>44</v>
      </c>
      <c r="D1850" s="8" t="s">
        <v>13</v>
      </c>
      <c r="E1850" s="8" t="s">
        <v>0</v>
      </c>
      <c r="F1850" s="6" t="s">
        <v>26</v>
      </c>
      <c r="G1850" s="8">
        <v>2016</v>
      </c>
      <c r="H1850" s="8">
        <v>6</v>
      </c>
      <c r="I1850" s="10">
        <v>42522</v>
      </c>
      <c r="J1850" s="11">
        <v>4784</v>
      </c>
      <c r="K1850" s="51"/>
      <c r="O1850" s="1" t="s">
        <v>12</v>
      </c>
      <c r="P1850" s="1" t="s">
        <v>44</v>
      </c>
      <c r="Q1850" s="1" t="s">
        <v>13</v>
      </c>
      <c r="R1850" s="1" t="s">
        <v>0</v>
      </c>
      <c r="S1850" t="s">
        <v>26</v>
      </c>
      <c r="T1850" s="1">
        <v>2016</v>
      </c>
      <c r="U1850" s="1">
        <v>6</v>
      </c>
      <c r="V1850" s="50">
        <v>42522</v>
      </c>
      <c r="W1850" s="4">
        <v>4496.96</v>
      </c>
      <c r="X1850" s="48">
        <v>4784</v>
      </c>
    </row>
    <row r="1851" spans="2:24" x14ac:dyDescent="0.35">
      <c r="B1851" s="8" t="s">
        <v>14</v>
      </c>
      <c r="C1851" s="8" t="s">
        <v>37</v>
      </c>
      <c r="D1851" s="8" t="s">
        <v>38</v>
      </c>
      <c r="E1851" s="8" t="s">
        <v>0</v>
      </c>
      <c r="F1851" s="6" t="s">
        <v>45</v>
      </c>
      <c r="G1851" s="8">
        <v>2016</v>
      </c>
      <c r="H1851" s="8">
        <v>6</v>
      </c>
      <c r="I1851" s="10">
        <v>42522</v>
      </c>
      <c r="J1851" s="11">
        <v>2379</v>
      </c>
      <c r="K1851" s="51"/>
      <c r="O1851" s="1" t="s">
        <v>14</v>
      </c>
      <c r="P1851" s="1" t="s">
        <v>37</v>
      </c>
      <c r="Q1851" s="1" t="s">
        <v>38</v>
      </c>
      <c r="R1851" s="1" t="s">
        <v>0</v>
      </c>
      <c r="S1851" t="s">
        <v>45</v>
      </c>
      <c r="T1851" s="1">
        <v>2016</v>
      </c>
      <c r="U1851" s="1">
        <v>6</v>
      </c>
      <c r="V1851" s="50">
        <v>42522</v>
      </c>
      <c r="W1851" s="4">
        <v>2093.5199999999995</v>
      </c>
      <c r="X1851" s="48">
        <v>2379</v>
      </c>
    </row>
    <row r="1852" spans="2:24" x14ac:dyDescent="0.35">
      <c r="B1852" s="8" t="s">
        <v>3</v>
      </c>
      <c r="C1852" s="8" t="s">
        <v>25</v>
      </c>
      <c r="D1852" s="8" t="s">
        <v>4</v>
      </c>
      <c r="E1852" s="9" t="s">
        <v>27</v>
      </c>
      <c r="F1852" s="9" t="s">
        <v>28</v>
      </c>
      <c r="G1852" s="8">
        <v>2016</v>
      </c>
      <c r="H1852" s="8">
        <v>6</v>
      </c>
      <c r="I1852" s="10">
        <v>42522</v>
      </c>
      <c r="J1852" s="11">
        <v>4743</v>
      </c>
      <c r="K1852" s="51"/>
      <c r="O1852" s="1" t="s">
        <v>3</v>
      </c>
      <c r="P1852" s="1" t="s">
        <v>25</v>
      </c>
      <c r="Q1852" s="1" t="s">
        <v>4</v>
      </c>
      <c r="R1852" s="2" t="s">
        <v>27</v>
      </c>
      <c r="S1852" s="2" t="s">
        <v>28</v>
      </c>
      <c r="T1852" s="1">
        <v>2016</v>
      </c>
      <c r="U1852" s="1">
        <v>6</v>
      </c>
      <c r="V1852" s="50">
        <v>42522</v>
      </c>
      <c r="W1852" s="4">
        <v>4410.99</v>
      </c>
      <c r="X1852" s="48">
        <v>4743</v>
      </c>
    </row>
    <row r="1853" spans="2:24" x14ac:dyDescent="0.35">
      <c r="B1853" s="8" t="s">
        <v>3</v>
      </c>
      <c r="C1853" s="8" t="s">
        <v>25</v>
      </c>
      <c r="D1853" s="8" t="s">
        <v>4</v>
      </c>
      <c r="E1853" s="8" t="s">
        <v>27</v>
      </c>
      <c r="F1853" s="9" t="s">
        <v>31</v>
      </c>
      <c r="G1853" s="8">
        <v>2016</v>
      </c>
      <c r="H1853" s="8">
        <v>6</v>
      </c>
      <c r="I1853" s="10">
        <v>42522</v>
      </c>
      <c r="J1853" s="11">
        <v>4789</v>
      </c>
      <c r="K1853" s="51"/>
      <c r="O1853" s="1" t="s">
        <v>3</v>
      </c>
      <c r="P1853" s="1" t="s">
        <v>25</v>
      </c>
      <c r="Q1853" s="1" t="s">
        <v>4</v>
      </c>
      <c r="R1853" s="1" t="s">
        <v>27</v>
      </c>
      <c r="S1853" s="2" t="s">
        <v>31</v>
      </c>
      <c r="T1853" s="1">
        <v>2016</v>
      </c>
      <c r="U1853" s="1">
        <v>6</v>
      </c>
      <c r="V1853" s="50">
        <v>42522</v>
      </c>
      <c r="W1853" s="4">
        <v>4214.32</v>
      </c>
      <c r="X1853" s="48">
        <v>4789</v>
      </c>
    </row>
    <row r="1854" spans="2:24" x14ac:dyDescent="0.35">
      <c r="B1854" s="8" t="s">
        <v>6</v>
      </c>
      <c r="C1854" s="8" t="s">
        <v>40</v>
      </c>
      <c r="D1854" s="8" t="s">
        <v>41</v>
      </c>
      <c r="E1854" s="8" t="s">
        <v>27</v>
      </c>
      <c r="F1854" s="6" t="s">
        <v>33</v>
      </c>
      <c r="G1854" s="8">
        <v>2016</v>
      </c>
      <c r="H1854" s="8">
        <v>6</v>
      </c>
      <c r="I1854" s="10">
        <v>42522</v>
      </c>
      <c r="J1854" s="11">
        <v>3834</v>
      </c>
      <c r="K1854" s="51"/>
      <c r="O1854" s="1" t="s">
        <v>6</v>
      </c>
      <c r="P1854" s="1" t="s">
        <v>40</v>
      </c>
      <c r="Q1854" s="1" t="s">
        <v>41</v>
      </c>
      <c r="R1854" s="1" t="s">
        <v>27</v>
      </c>
      <c r="S1854" t="s">
        <v>33</v>
      </c>
      <c r="T1854" s="1">
        <v>2016</v>
      </c>
      <c r="U1854" s="1">
        <v>6</v>
      </c>
      <c r="V1854" s="50">
        <v>42522</v>
      </c>
      <c r="W1854" s="4">
        <v>3603.96</v>
      </c>
      <c r="X1854" s="48">
        <v>3834</v>
      </c>
    </row>
    <row r="1855" spans="2:24" x14ac:dyDescent="0.35">
      <c r="B1855" s="8" t="s">
        <v>6</v>
      </c>
      <c r="C1855" s="8" t="s">
        <v>40</v>
      </c>
      <c r="D1855" s="8" t="s">
        <v>41</v>
      </c>
      <c r="E1855" s="8" t="s">
        <v>23</v>
      </c>
      <c r="F1855" s="8" t="s">
        <v>36</v>
      </c>
      <c r="G1855" s="8">
        <v>2016</v>
      </c>
      <c r="H1855" s="8">
        <v>6</v>
      </c>
      <c r="I1855" s="10">
        <v>42522</v>
      </c>
      <c r="J1855" s="11">
        <v>1851</v>
      </c>
      <c r="K1855" s="51"/>
      <c r="O1855" s="1" t="s">
        <v>6</v>
      </c>
      <c r="P1855" s="1" t="s">
        <v>40</v>
      </c>
      <c r="Q1855" s="1" t="s">
        <v>41</v>
      </c>
      <c r="R1855" s="1" t="s">
        <v>23</v>
      </c>
      <c r="S1855" s="1" t="s">
        <v>36</v>
      </c>
      <c r="T1855" s="1">
        <v>2016</v>
      </c>
      <c r="U1855" s="1">
        <v>6</v>
      </c>
      <c r="V1855" s="50">
        <v>42522</v>
      </c>
      <c r="W1855" s="4">
        <v>1721.4299999999998</v>
      </c>
      <c r="X1855" s="48">
        <v>1851</v>
      </c>
    </row>
    <row r="1856" spans="2:24" x14ac:dyDescent="0.35">
      <c r="B1856" s="8" t="s">
        <v>7</v>
      </c>
      <c r="C1856" s="8" t="s">
        <v>43</v>
      </c>
      <c r="D1856" s="8" t="s">
        <v>10</v>
      </c>
      <c r="E1856" s="8" t="s">
        <v>23</v>
      </c>
      <c r="F1856" s="8" t="s">
        <v>24</v>
      </c>
      <c r="G1856" s="8">
        <v>2016</v>
      </c>
      <c r="H1856" s="8">
        <v>6</v>
      </c>
      <c r="I1856" s="10">
        <v>42522</v>
      </c>
      <c r="J1856" s="11">
        <v>2083</v>
      </c>
      <c r="K1856" s="51"/>
      <c r="O1856" s="1" t="s">
        <v>7</v>
      </c>
      <c r="P1856" s="1" t="s">
        <v>43</v>
      </c>
      <c r="Q1856" s="1" t="s">
        <v>10</v>
      </c>
      <c r="R1856" s="1" t="s">
        <v>23</v>
      </c>
      <c r="S1856" s="1" t="s">
        <v>24</v>
      </c>
      <c r="T1856" s="1">
        <v>2016</v>
      </c>
      <c r="U1856" s="1">
        <v>6</v>
      </c>
      <c r="V1856" s="50">
        <v>42522</v>
      </c>
      <c r="W1856" s="4">
        <v>1791.38</v>
      </c>
      <c r="X1856" s="48">
        <v>2083</v>
      </c>
    </row>
    <row r="1857" spans="2:24" x14ac:dyDescent="0.35">
      <c r="B1857" s="8" t="s">
        <v>7</v>
      </c>
      <c r="C1857" s="8" t="s">
        <v>43</v>
      </c>
      <c r="D1857" s="8" t="s">
        <v>10</v>
      </c>
      <c r="E1857" s="8" t="s">
        <v>23</v>
      </c>
      <c r="F1857" s="8" t="s">
        <v>39</v>
      </c>
      <c r="G1857" s="8">
        <v>2016</v>
      </c>
      <c r="H1857" s="8">
        <v>6</v>
      </c>
      <c r="I1857" s="10">
        <v>42522</v>
      </c>
      <c r="J1857" s="11">
        <v>2186</v>
      </c>
      <c r="K1857" s="51"/>
      <c r="O1857" s="1" t="s">
        <v>7</v>
      </c>
      <c r="P1857" s="1" t="s">
        <v>43</v>
      </c>
      <c r="Q1857" s="1" t="s">
        <v>10</v>
      </c>
      <c r="R1857" s="1" t="s">
        <v>23</v>
      </c>
      <c r="S1857" s="1" t="s">
        <v>39</v>
      </c>
      <c r="T1857" s="1">
        <v>2016</v>
      </c>
      <c r="U1857" s="1">
        <v>6</v>
      </c>
      <c r="V1857" s="50">
        <v>42522</v>
      </c>
      <c r="W1857" s="4">
        <v>1901.8200000000002</v>
      </c>
      <c r="X1857" s="48">
        <v>2186</v>
      </c>
    </row>
    <row r="1858" spans="2:24" x14ac:dyDescent="0.35">
      <c r="B1858" s="8" t="s">
        <v>7</v>
      </c>
      <c r="C1858" s="8" t="s">
        <v>32</v>
      </c>
      <c r="D1858" s="8" t="s">
        <v>8</v>
      </c>
      <c r="E1858" s="8" t="s">
        <v>0</v>
      </c>
      <c r="F1858" s="6" t="s">
        <v>26</v>
      </c>
      <c r="G1858" s="8">
        <v>2016</v>
      </c>
      <c r="H1858" s="8">
        <v>6</v>
      </c>
      <c r="I1858" s="10">
        <v>42522</v>
      </c>
      <c r="J1858" s="11">
        <v>4350</v>
      </c>
      <c r="K1858" s="51"/>
      <c r="O1858" s="1" t="s">
        <v>7</v>
      </c>
      <c r="P1858" s="1" t="s">
        <v>32</v>
      </c>
      <c r="Q1858" s="1" t="s">
        <v>8</v>
      </c>
      <c r="R1858" s="1" t="s">
        <v>0</v>
      </c>
      <c r="S1858" t="s">
        <v>26</v>
      </c>
      <c r="T1858" s="1">
        <v>2016</v>
      </c>
      <c r="U1858" s="1">
        <v>6</v>
      </c>
      <c r="V1858" s="50">
        <v>42522</v>
      </c>
      <c r="W1858" s="4">
        <v>3958.4999999999995</v>
      </c>
      <c r="X1858" s="48">
        <v>4350</v>
      </c>
    </row>
    <row r="1859" spans="2:24" x14ac:dyDescent="0.35">
      <c r="B1859" s="8" t="s">
        <v>3</v>
      </c>
      <c r="C1859" s="8" t="s">
        <v>22</v>
      </c>
      <c r="D1859" s="8" t="s">
        <v>5</v>
      </c>
      <c r="E1859" s="8" t="s">
        <v>0</v>
      </c>
      <c r="F1859" s="6" t="s">
        <v>45</v>
      </c>
      <c r="G1859" s="8">
        <v>2016</v>
      </c>
      <c r="H1859" s="8">
        <v>6</v>
      </c>
      <c r="I1859" s="10">
        <v>42522</v>
      </c>
      <c r="J1859" s="11">
        <v>4648</v>
      </c>
      <c r="K1859" s="51"/>
      <c r="O1859" s="1" t="s">
        <v>3</v>
      </c>
      <c r="P1859" s="1" t="s">
        <v>22</v>
      </c>
      <c r="Q1859" s="1" t="s">
        <v>5</v>
      </c>
      <c r="R1859" s="1" t="s">
        <v>0</v>
      </c>
      <c r="S1859" t="s">
        <v>45</v>
      </c>
      <c r="T1859" s="1">
        <v>2016</v>
      </c>
      <c r="U1859" s="1">
        <v>6</v>
      </c>
      <c r="V1859" s="50">
        <v>42522</v>
      </c>
      <c r="W1859" s="4">
        <v>4043.76</v>
      </c>
      <c r="X1859" s="48">
        <v>4648</v>
      </c>
    </row>
    <row r="1860" spans="2:24" x14ac:dyDescent="0.35">
      <c r="B1860" s="8" t="s">
        <v>7</v>
      </c>
      <c r="C1860" s="8" t="s">
        <v>48</v>
      </c>
      <c r="D1860" s="8" t="s">
        <v>9</v>
      </c>
      <c r="E1860" s="8" t="s">
        <v>23</v>
      </c>
      <c r="F1860" s="6" t="s">
        <v>36</v>
      </c>
      <c r="G1860" s="8">
        <v>2016</v>
      </c>
      <c r="H1860" s="8">
        <v>6</v>
      </c>
      <c r="I1860" s="10">
        <v>42522</v>
      </c>
      <c r="J1860" s="11">
        <v>1640</v>
      </c>
      <c r="K1860" s="51"/>
      <c r="O1860" s="1" t="s">
        <v>7</v>
      </c>
      <c r="P1860" s="1" t="s">
        <v>48</v>
      </c>
      <c r="Q1860" s="1" t="s">
        <v>9</v>
      </c>
      <c r="R1860" s="1" t="s">
        <v>23</v>
      </c>
      <c r="S1860" t="s">
        <v>36</v>
      </c>
      <c r="T1860" s="1">
        <v>2016</v>
      </c>
      <c r="U1860" s="1">
        <v>6</v>
      </c>
      <c r="V1860" s="50">
        <v>42522</v>
      </c>
      <c r="W1860" s="4">
        <v>1475.9999999999998</v>
      </c>
      <c r="X1860" s="48">
        <v>1640</v>
      </c>
    </row>
    <row r="1861" spans="2:24" x14ac:dyDescent="0.35">
      <c r="B1861" s="8" t="s">
        <v>7</v>
      </c>
      <c r="C1861" s="8" t="s">
        <v>48</v>
      </c>
      <c r="D1861" s="8" t="s">
        <v>9</v>
      </c>
      <c r="E1861" s="9" t="s">
        <v>23</v>
      </c>
      <c r="F1861" s="9" t="s">
        <v>24</v>
      </c>
      <c r="G1861" s="8">
        <v>2016</v>
      </c>
      <c r="H1861" s="8">
        <v>6</v>
      </c>
      <c r="I1861" s="10">
        <v>42522</v>
      </c>
      <c r="J1861" s="11">
        <v>3015</v>
      </c>
      <c r="K1861" s="51"/>
      <c r="O1861" s="1" t="s">
        <v>7</v>
      </c>
      <c r="P1861" s="1" t="s">
        <v>48</v>
      </c>
      <c r="Q1861" s="1" t="s">
        <v>9</v>
      </c>
      <c r="R1861" s="2" t="s">
        <v>23</v>
      </c>
      <c r="S1861" s="2" t="s">
        <v>24</v>
      </c>
      <c r="T1861" s="1">
        <v>2016</v>
      </c>
      <c r="U1861" s="1">
        <v>6</v>
      </c>
      <c r="V1861" s="50">
        <v>42522</v>
      </c>
      <c r="W1861" s="4">
        <v>2592.9000000000005</v>
      </c>
      <c r="X1861" s="48">
        <v>3015</v>
      </c>
    </row>
    <row r="1862" spans="2:24" x14ac:dyDescent="0.35">
      <c r="B1862" s="8" t="s">
        <v>7</v>
      </c>
      <c r="C1862" s="8" t="s">
        <v>49</v>
      </c>
      <c r="D1862" s="8" t="s">
        <v>11</v>
      </c>
      <c r="E1862" s="8" t="s">
        <v>23</v>
      </c>
      <c r="F1862" s="9" t="s">
        <v>39</v>
      </c>
      <c r="G1862" s="8">
        <v>2016</v>
      </c>
      <c r="H1862" s="8">
        <v>6</v>
      </c>
      <c r="I1862" s="10">
        <v>42522</v>
      </c>
      <c r="J1862" s="11">
        <v>2458</v>
      </c>
      <c r="K1862" s="51"/>
      <c r="O1862" s="1" t="s">
        <v>7</v>
      </c>
      <c r="P1862" s="1" t="s">
        <v>49</v>
      </c>
      <c r="Q1862" s="1" t="s">
        <v>11</v>
      </c>
      <c r="R1862" s="1" t="s">
        <v>23</v>
      </c>
      <c r="S1862" s="2" t="s">
        <v>39</v>
      </c>
      <c r="T1862" s="1">
        <v>2016</v>
      </c>
      <c r="U1862" s="1">
        <v>6</v>
      </c>
      <c r="V1862" s="50">
        <v>42522</v>
      </c>
      <c r="W1862" s="4">
        <v>2163.04</v>
      </c>
      <c r="X1862" s="48">
        <v>2458</v>
      </c>
    </row>
    <row r="1863" spans="2:24" x14ac:dyDescent="0.35">
      <c r="B1863" s="8" t="s">
        <v>7</v>
      </c>
      <c r="C1863" s="8" t="s">
        <v>49</v>
      </c>
      <c r="D1863" s="8" t="s">
        <v>11</v>
      </c>
      <c r="E1863" s="8" t="s">
        <v>0</v>
      </c>
      <c r="F1863" s="6" t="s">
        <v>42</v>
      </c>
      <c r="G1863" s="8">
        <v>2016</v>
      </c>
      <c r="H1863" s="8">
        <v>6</v>
      </c>
      <c r="I1863" s="10">
        <v>42522</v>
      </c>
      <c r="J1863" s="11">
        <v>5988</v>
      </c>
      <c r="K1863" s="51"/>
      <c r="O1863" s="1" t="s">
        <v>7</v>
      </c>
      <c r="P1863" s="1" t="s">
        <v>49</v>
      </c>
      <c r="Q1863" s="1" t="s">
        <v>11</v>
      </c>
      <c r="R1863" s="1" t="s">
        <v>0</v>
      </c>
      <c r="S1863" t="s">
        <v>42</v>
      </c>
      <c r="T1863" s="1">
        <v>2016</v>
      </c>
      <c r="U1863" s="1">
        <v>6</v>
      </c>
      <c r="V1863" s="50">
        <v>42522</v>
      </c>
      <c r="W1863" s="4">
        <v>5628.7199999999993</v>
      </c>
      <c r="X1863" s="48">
        <v>5988</v>
      </c>
    </row>
    <row r="1864" spans="2:24" x14ac:dyDescent="0.35">
      <c r="B1864" s="8" t="s">
        <v>12</v>
      </c>
      <c r="C1864" s="8" t="s">
        <v>34</v>
      </c>
      <c r="D1864" s="8" t="s">
        <v>35</v>
      </c>
      <c r="E1864" s="8" t="s">
        <v>0</v>
      </c>
      <c r="F1864" s="8" t="s">
        <v>26</v>
      </c>
      <c r="G1864" s="8">
        <v>2016</v>
      </c>
      <c r="H1864" s="8">
        <v>6</v>
      </c>
      <c r="I1864" s="10">
        <v>42522</v>
      </c>
      <c r="J1864" s="11">
        <v>4010</v>
      </c>
      <c r="K1864" s="51"/>
      <c r="O1864" s="1" t="s">
        <v>12</v>
      </c>
      <c r="P1864" s="1" t="s">
        <v>34</v>
      </c>
      <c r="Q1864" s="1" t="s">
        <v>35</v>
      </c>
      <c r="R1864" s="1" t="s">
        <v>0</v>
      </c>
      <c r="S1864" s="1" t="s">
        <v>26</v>
      </c>
      <c r="T1864" s="1">
        <v>2016</v>
      </c>
      <c r="U1864" s="1">
        <v>6</v>
      </c>
      <c r="V1864" s="50">
        <v>42522</v>
      </c>
      <c r="W1864" s="4">
        <v>3568.8999999999996</v>
      </c>
      <c r="X1864" s="48">
        <v>4010</v>
      </c>
    </row>
    <row r="1865" spans="2:24" x14ac:dyDescent="0.35">
      <c r="B1865" s="8" t="s">
        <v>12</v>
      </c>
      <c r="C1865" s="8" t="s">
        <v>34</v>
      </c>
      <c r="D1865" s="8" t="s">
        <v>35</v>
      </c>
      <c r="E1865" s="8" t="s">
        <v>0</v>
      </c>
      <c r="F1865" s="8" t="s">
        <v>45</v>
      </c>
      <c r="G1865" s="8">
        <v>2016</v>
      </c>
      <c r="H1865" s="8">
        <v>6</v>
      </c>
      <c r="I1865" s="10">
        <v>42522</v>
      </c>
      <c r="J1865" s="11">
        <v>4929</v>
      </c>
      <c r="K1865" s="51"/>
      <c r="O1865" s="1" t="s">
        <v>12</v>
      </c>
      <c r="P1865" s="1" t="s">
        <v>34</v>
      </c>
      <c r="Q1865" s="1" t="s">
        <v>35</v>
      </c>
      <c r="R1865" s="1" t="s">
        <v>0</v>
      </c>
      <c r="S1865" s="1" t="s">
        <v>45</v>
      </c>
      <c r="T1865" s="1">
        <v>2016</v>
      </c>
      <c r="U1865" s="1">
        <v>6</v>
      </c>
      <c r="V1865" s="50">
        <v>42522</v>
      </c>
      <c r="W1865" s="4">
        <v>4386.8099999999995</v>
      </c>
      <c r="X1865" s="48">
        <v>4929</v>
      </c>
    </row>
    <row r="1866" spans="2:24" x14ac:dyDescent="0.35">
      <c r="B1866" s="8" t="s">
        <v>14</v>
      </c>
      <c r="C1866" s="8" t="s">
        <v>37</v>
      </c>
      <c r="D1866" s="8" t="s">
        <v>38</v>
      </c>
      <c r="E1866" s="8" t="s">
        <v>27</v>
      </c>
      <c r="F1866" s="8" t="s">
        <v>28</v>
      </c>
      <c r="G1866" s="8">
        <v>2016</v>
      </c>
      <c r="H1866" s="8">
        <v>6</v>
      </c>
      <c r="I1866" s="10">
        <v>42522</v>
      </c>
      <c r="J1866" s="11">
        <v>4933</v>
      </c>
      <c r="K1866" s="51"/>
      <c r="O1866" s="1" t="s">
        <v>14</v>
      </c>
      <c r="P1866" s="1" t="s">
        <v>37</v>
      </c>
      <c r="Q1866" s="1" t="s">
        <v>38</v>
      </c>
      <c r="R1866" s="1" t="s">
        <v>27</v>
      </c>
      <c r="S1866" s="1" t="s">
        <v>28</v>
      </c>
      <c r="T1866" s="1">
        <v>2016</v>
      </c>
      <c r="U1866" s="1">
        <v>6</v>
      </c>
      <c r="V1866" s="50">
        <v>42522</v>
      </c>
      <c r="W1866" s="4">
        <v>4193.05</v>
      </c>
      <c r="X1866" s="48">
        <v>4933</v>
      </c>
    </row>
    <row r="1867" spans="2:24" x14ac:dyDescent="0.35">
      <c r="B1867" s="8" t="s">
        <v>14</v>
      </c>
      <c r="C1867" s="8" t="s">
        <v>37</v>
      </c>
      <c r="D1867" s="8" t="s">
        <v>38</v>
      </c>
      <c r="E1867" s="8" t="s">
        <v>27</v>
      </c>
      <c r="F1867" s="6" t="s">
        <v>31</v>
      </c>
      <c r="G1867" s="8">
        <v>2016</v>
      </c>
      <c r="H1867" s="8">
        <v>6</v>
      </c>
      <c r="I1867" s="10">
        <v>42522</v>
      </c>
      <c r="J1867" s="11">
        <v>2685</v>
      </c>
      <c r="K1867" s="51"/>
      <c r="O1867" s="1" t="s">
        <v>14</v>
      </c>
      <c r="P1867" s="1" t="s">
        <v>37</v>
      </c>
      <c r="Q1867" s="1" t="s">
        <v>38</v>
      </c>
      <c r="R1867" s="1" t="s">
        <v>27</v>
      </c>
      <c r="S1867" t="s">
        <v>31</v>
      </c>
      <c r="T1867" s="1">
        <v>2016</v>
      </c>
      <c r="U1867" s="1">
        <v>6</v>
      </c>
      <c r="V1867" s="50">
        <v>42522</v>
      </c>
      <c r="W1867" s="4">
        <v>2282.25</v>
      </c>
      <c r="X1867" s="48">
        <v>2685</v>
      </c>
    </row>
    <row r="1868" spans="2:24" x14ac:dyDescent="0.35">
      <c r="B1868" s="8" t="s">
        <v>12</v>
      </c>
      <c r="C1868" s="8" t="s">
        <v>44</v>
      </c>
      <c r="D1868" s="8" t="s">
        <v>13</v>
      </c>
      <c r="E1868" s="8" t="s">
        <v>23</v>
      </c>
      <c r="F1868" s="6" t="s">
        <v>36</v>
      </c>
      <c r="G1868" s="8">
        <v>2016</v>
      </c>
      <c r="H1868" s="8">
        <v>6</v>
      </c>
      <c r="I1868" s="10">
        <v>42522</v>
      </c>
      <c r="J1868" s="11">
        <v>2747</v>
      </c>
      <c r="K1868" s="51"/>
      <c r="O1868" s="1" t="s">
        <v>12</v>
      </c>
      <c r="P1868" s="1" t="s">
        <v>44</v>
      </c>
      <c r="Q1868" s="1" t="s">
        <v>13</v>
      </c>
      <c r="R1868" s="1" t="s">
        <v>23</v>
      </c>
      <c r="S1868" t="s">
        <v>36</v>
      </c>
      <c r="T1868" s="1">
        <v>2016</v>
      </c>
      <c r="U1868" s="1">
        <v>6</v>
      </c>
      <c r="V1868" s="50">
        <v>42522</v>
      </c>
      <c r="W1868" s="4">
        <v>2417.3599999999997</v>
      </c>
      <c r="X1868" s="48">
        <v>2747</v>
      </c>
    </row>
    <row r="1869" spans="2:24" x14ac:dyDescent="0.35">
      <c r="B1869" s="8" t="s">
        <v>14</v>
      </c>
      <c r="C1869" s="8" t="s">
        <v>46</v>
      </c>
      <c r="D1869" s="8" t="s">
        <v>47</v>
      </c>
      <c r="E1869" s="8" t="s">
        <v>23</v>
      </c>
      <c r="F1869" s="6" t="s">
        <v>24</v>
      </c>
      <c r="G1869" s="8">
        <v>2016</v>
      </c>
      <c r="H1869" s="8">
        <v>6</v>
      </c>
      <c r="I1869" s="10">
        <v>42522</v>
      </c>
      <c r="J1869" s="11">
        <v>2817</v>
      </c>
      <c r="K1869" s="51"/>
      <c r="O1869" s="1" t="s">
        <v>14</v>
      </c>
      <c r="P1869" s="1" t="s">
        <v>46</v>
      </c>
      <c r="Q1869" s="1" t="s">
        <v>47</v>
      </c>
      <c r="R1869" s="1" t="s">
        <v>23</v>
      </c>
      <c r="S1869" t="s">
        <v>24</v>
      </c>
      <c r="T1869" s="1">
        <v>2016</v>
      </c>
      <c r="U1869" s="1">
        <v>6</v>
      </c>
      <c r="V1869" s="50">
        <v>42522</v>
      </c>
      <c r="W1869" s="4">
        <v>2591.64</v>
      </c>
      <c r="X1869" s="48">
        <v>2817</v>
      </c>
    </row>
    <row r="1870" spans="2:24" x14ac:dyDescent="0.35">
      <c r="B1870" s="8" t="s">
        <v>14</v>
      </c>
      <c r="C1870" s="8" t="s">
        <v>46</v>
      </c>
      <c r="D1870" s="8" t="s">
        <v>47</v>
      </c>
      <c r="E1870" s="9" t="s">
        <v>23</v>
      </c>
      <c r="F1870" s="9" t="s">
        <v>39</v>
      </c>
      <c r="G1870" s="8">
        <v>2016</v>
      </c>
      <c r="H1870" s="8">
        <v>6</v>
      </c>
      <c r="I1870" s="10">
        <v>42522</v>
      </c>
      <c r="J1870" s="11">
        <v>2720</v>
      </c>
      <c r="K1870" s="51"/>
      <c r="O1870" s="1" t="s">
        <v>14</v>
      </c>
      <c r="P1870" s="1" t="s">
        <v>46</v>
      </c>
      <c r="Q1870" s="1" t="s">
        <v>47</v>
      </c>
      <c r="R1870" s="2" t="s">
        <v>23</v>
      </c>
      <c r="S1870" s="2" t="s">
        <v>39</v>
      </c>
      <c r="T1870" s="1">
        <v>2016</v>
      </c>
      <c r="U1870" s="1">
        <v>6</v>
      </c>
      <c r="V1870" s="50">
        <v>42522</v>
      </c>
      <c r="W1870" s="4">
        <v>2393.5999999999995</v>
      </c>
      <c r="X1870" s="48">
        <v>2720</v>
      </c>
    </row>
    <row r="1871" spans="2:24" x14ac:dyDescent="0.35">
      <c r="B1871" s="8" t="s">
        <v>7</v>
      </c>
      <c r="C1871" s="8" t="s">
        <v>43</v>
      </c>
      <c r="D1871" s="8" t="s">
        <v>10</v>
      </c>
      <c r="E1871" s="8" t="s">
        <v>0</v>
      </c>
      <c r="F1871" s="9" t="s">
        <v>42</v>
      </c>
      <c r="G1871" s="8">
        <v>2016</v>
      </c>
      <c r="H1871" s="8">
        <v>6</v>
      </c>
      <c r="I1871" s="10">
        <v>42522</v>
      </c>
      <c r="J1871" s="11">
        <v>6984</v>
      </c>
      <c r="K1871" s="51"/>
      <c r="O1871" s="1" t="s">
        <v>7</v>
      </c>
      <c r="P1871" s="1" t="s">
        <v>43</v>
      </c>
      <c r="Q1871" s="1" t="s">
        <v>10</v>
      </c>
      <c r="R1871" s="1" t="s">
        <v>0</v>
      </c>
      <c r="S1871" s="2" t="s">
        <v>42</v>
      </c>
      <c r="T1871" s="1">
        <v>2016</v>
      </c>
      <c r="U1871" s="1">
        <v>6</v>
      </c>
      <c r="V1871" s="50">
        <v>42522</v>
      </c>
      <c r="W1871" s="4">
        <v>6145.9199999999992</v>
      </c>
      <c r="X1871" s="48">
        <v>6984</v>
      </c>
    </row>
    <row r="1872" spans="2:24" x14ac:dyDescent="0.35">
      <c r="B1872" s="8" t="s">
        <v>6</v>
      </c>
      <c r="C1872" s="8" t="s">
        <v>40</v>
      </c>
      <c r="D1872" s="8" t="s">
        <v>41</v>
      </c>
      <c r="E1872" s="8" t="s">
        <v>27</v>
      </c>
      <c r="F1872" s="6" t="s">
        <v>31</v>
      </c>
      <c r="G1872" s="8">
        <v>2016</v>
      </c>
      <c r="H1872" s="8">
        <v>6</v>
      </c>
      <c r="I1872" s="10">
        <v>42522</v>
      </c>
      <c r="J1872" s="11">
        <v>3841</v>
      </c>
      <c r="K1872" s="51"/>
      <c r="O1872" s="1" t="s">
        <v>6</v>
      </c>
      <c r="P1872" s="1" t="s">
        <v>40</v>
      </c>
      <c r="Q1872" s="1" t="s">
        <v>41</v>
      </c>
      <c r="R1872" s="1" t="s">
        <v>27</v>
      </c>
      <c r="S1872" t="s">
        <v>31</v>
      </c>
      <c r="T1872" s="1">
        <v>2016</v>
      </c>
      <c r="U1872" s="1">
        <v>6</v>
      </c>
      <c r="V1872" s="50">
        <v>42522</v>
      </c>
      <c r="W1872" s="4">
        <v>3572.1299999999997</v>
      </c>
      <c r="X1872" s="48">
        <v>3841</v>
      </c>
    </row>
    <row r="1873" spans="2:24" x14ac:dyDescent="0.35">
      <c r="B1873" s="8" t="s">
        <v>3</v>
      </c>
      <c r="C1873" s="8" t="s">
        <v>22</v>
      </c>
      <c r="D1873" s="8" t="s">
        <v>5</v>
      </c>
      <c r="E1873" s="8" t="s">
        <v>23</v>
      </c>
      <c r="F1873" s="8" t="s">
        <v>39</v>
      </c>
      <c r="G1873" s="8">
        <v>2016</v>
      </c>
      <c r="H1873" s="8">
        <v>6</v>
      </c>
      <c r="I1873" s="10">
        <v>42522</v>
      </c>
      <c r="J1873" s="11">
        <v>2319</v>
      </c>
      <c r="K1873" s="51"/>
      <c r="O1873" s="1" t="s">
        <v>3</v>
      </c>
      <c r="P1873" s="1" t="s">
        <v>22</v>
      </c>
      <c r="Q1873" s="1" t="s">
        <v>5</v>
      </c>
      <c r="R1873" s="1" t="s">
        <v>23</v>
      </c>
      <c r="S1873" s="1" t="s">
        <v>39</v>
      </c>
      <c r="T1873" s="1">
        <v>2016</v>
      </c>
      <c r="U1873" s="1">
        <v>6</v>
      </c>
      <c r="V1873" s="50">
        <v>42522</v>
      </c>
      <c r="W1873" s="4">
        <v>2110.29</v>
      </c>
      <c r="X1873" s="48">
        <v>2319</v>
      </c>
    </row>
    <row r="1874" spans="2:24" x14ac:dyDescent="0.35">
      <c r="B1874" s="8" t="s">
        <v>3</v>
      </c>
      <c r="C1874" s="8" t="s">
        <v>22</v>
      </c>
      <c r="D1874" s="8" t="s">
        <v>5</v>
      </c>
      <c r="E1874" s="8" t="s">
        <v>0</v>
      </c>
      <c r="F1874" s="8" t="s">
        <v>42</v>
      </c>
      <c r="G1874" s="8">
        <v>2016</v>
      </c>
      <c r="H1874" s="8">
        <v>6</v>
      </c>
      <c r="I1874" s="10">
        <v>42522</v>
      </c>
      <c r="J1874" s="11">
        <v>6942</v>
      </c>
      <c r="K1874" s="51"/>
      <c r="O1874" s="1" t="s">
        <v>3</v>
      </c>
      <c r="P1874" s="1" t="s">
        <v>22</v>
      </c>
      <c r="Q1874" s="1" t="s">
        <v>5</v>
      </c>
      <c r="R1874" s="1" t="s">
        <v>0</v>
      </c>
      <c r="S1874" s="1" t="s">
        <v>42</v>
      </c>
      <c r="T1874" s="1">
        <v>2016</v>
      </c>
      <c r="U1874" s="1">
        <v>6</v>
      </c>
      <c r="V1874" s="50">
        <v>42522</v>
      </c>
      <c r="W1874" s="4">
        <v>6386.6399999999994</v>
      </c>
      <c r="X1874" s="48">
        <v>6942</v>
      </c>
    </row>
    <row r="1875" spans="2:24" x14ac:dyDescent="0.35">
      <c r="B1875" s="8" t="s">
        <v>6</v>
      </c>
      <c r="C1875" s="8" t="s">
        <v>29</v>
      </c>
      <c r="D1875" s="8" t="s">
        <v>30</v>
      </c>
      <c r="E1875" s="8" t="s">
        <v>0</v>
      </c>
      <c r="F1875" s="8" t="s">
        <v>26</v>
      </c>
      <c r="G1875" s="8">
        <v>2016</v>
      </c>
      <c r="H1875" s="8">
        <v>6</v>
      </c>
      <c r="I1875" s="10">
        <v>42522</v>
      </c>
      <c r="J1875" s="11">
        <v>3079</v>
      </c>
      <c r="K1875" s="51"/>
      <c r="O1875" s="1" t="s">
        <v>6</v>
      </c>
      <c r="P1875" s="1" t="s">
        <v>29</v>
      </c>
      <c r="Q1875" s="1" t="s">
        <v>30</v>
      </c>
      <c r="R1875" s="1" t="s">
        <v>0</v>
      </c>
      <c r="S1875" s="1" t="s">
        <v>26</v>
      </c>
      <c r="T1875" s="1">
        <v>2016</v>
      </c>
      <c r="U1875" s="1">
        <v>6</v>
      </c>
      <c r="V1875" s="50">
        <v>42522</v>
      </c>
      <c r="W1875" s="4">
        <v>2801.89</v>
      </c>
      <c r="X1875" s="48">
        <v>3079</v>
      </c>
    </row>
    <row r="1876" spans="2:24" x14ac:dyDescent="0.35">
      <c r="B1876" s="8" t="s">
        <v>7</v>
      </c>
      <c r="C1876" s="8" t="s">
        <v>48</v>
      </c>
      <c r="D1876" s="8" t="s">
        <v>9</v>
      </c>
      <c r="E1876" s="8" t="s">
        <v>27</v>
      </c>
      <c r="F1876" s="6" t="s">
        <v>28</v>
      </c>
      <c r="G1876" s="8">
        <v>2016</v>
      </c>
      <c r="H1876" s="8">
        <v>6</v>
      </c>
      <c r="I1876" s="10">
        <v>42522</v>
      </c>
      <c r="J1876" s="11">
        <v>3643</v>
      </c>
      <c r="K1876" s="51"/>
      <c r="O1876" s="1" t="s">
        <v>7</v>
      </c>
      <c r="P1876" s="1" t="s">
        <v>48</v>
      </c>
      <c r="Q1876" s="1" t="s">
        <v>9</v>
      </c>
      <c r="R1876" s="1" t="s">
        <v>27</v>
      </c>
      <c r="S1876" t="s">
        <v>28</v>
      </c>
      <c r="T1876" s="1">
        <v>2016</v>
      </c>
      <c r="U1876" s="1">
        <v>6</v>
      </c>
      <c r="V1876" s="50">
        <v>42522</v>
      </c>
      <c r="W1876" s="4">
        <v>3132.9800000000005</v>
      </c>
      <c r="X1876" s="48">
        <v>3643</v>
      </c>
    </row>
    <row r="1877" spans="2:24" x14ac:dyDescent="0.35">
      <c r="B1877" s="8" t="s">
        <v>7</v>
      </c>
      <c r="C1877" s="8" t="s">
        <v>48</v>
      </c>
      <c r="D1877" s="8" t="s">
        <v>9</v>
      </c>
      <c r="E1877" s="8" t="s">
        <v>27</v>
      </c>
      <c r="F1877" s="6" t="s">
        <v>31</v>
      </c>
      <c r="G1877" s="8">
        <v>2016</v>
      </c>
      <c r="H1877" s="8">
        <v>6</v>
      </c>
      <c r="I1877" s="10">
        <v>42522</v>
      </c>
      <c r="J1877" s="11">
        <v>5330</v>
      </c>
      <c r="K1877" s="51"/>
      <c r="O1877" s="1" t="s">
        <v>7</v>
      </c>
      <c r="P1877" s="1" t="s">
        <v>48</v>
      </c>
      <c r="Q1877" s="1" t="s">
        <v>9</v>
      </c>
      <c r="R1877" s="1" t="s">
        <v>27</v>
      </c>
      <c r="S1877" t="s">
        <v>31</v>
      </c>
      <c r="T1877" s="1">
        <v>2016</v>
      </c>
      <c r="U1877" s="1">
        <v>6</v>
      </c>
      <c r="V1877" s="50">
        <v>42522</v>
      </c>
      <c r="W1877" s="4">
        <v>5010.2</v>
      </c>
      <c r="X1877" s="48">
        <v>5330</v>
      </c>
    </row>
    <row r="1878" spans="2:24" x14ac:dyDescent="0.35">
      <c r="B1878" s="8" t="s">
        <v>7</v>
      </c>
      <c r="C1878" s="8" t="s">
        <v>49</v>
      </c>
      <c r="D1878" s="8" t="s">
        <v>11</v>
      </c>
      <c r="E1878" s="8" t="s">
        <v>27</v>
      </c>
      <c r="F1878" s="6" t="s">
        <v>33</v>
      </c>
      <c r="G1878" s="8">
        <v>2016</v>
      </c>
      <c r="H1878" s="8">
        <v>6</v>
      </c>
      <c r="I1878" s="10">
        <v>42522</v>
      </c>
      <c r="J1878" s="11">
        <v>2856</v>
      </c>
      <c r="K1878" s="51"/>
      <c r="O1878" s="1" t="s">
        <v>7</v>
      </c>
      <c r="P1878" s="1" t="s">
        <v>49</v>
      </c>
      <c r="Q1878" s="1" t="s">
        <v>11</v>
      </c>
      <c r="R1878" s="1" t="s">
        <v>27</v>
      </c>
      <c r="S1878" t="s">
        <v>33</v>
      </c>
      <c r="T1878" s="1">
        <v>2016</v>
      </c>
      <c r="U1878" s="1">
        <v>6</v>
      </c>
      <c r="V1878" s="50">
        <v>42522</v>
      </c>
      <c r="W1878" s="4">
        <v>2598.9599999999996</v>
      </c>
      <c r="X1878" s="48">
        <v>2856</v>
      </c>
    </row>
    <row r="1879" spans="2:24" x14ac:dyDescent="0.35">
      <c r="B1879" s="8" t="s">
        <v>7</v>
      </c>
      <c r="C1879" s="8" t="s">
        <v>49</v>
      </c>
      <c r="D1879" s="8" t="s">
        <v>11</v>
      </c>
      <c r="E1879" s="9" t="s">
        <v>23</v>
      </c>
      <c r="F1879" s="9" t="s">
        <v>36</v>
      </c>
      <c r="G1879" s="8">
        <v>2016</v>
      </c>
      <c r="H1879" s="8">
        <v>6</v>
      </c>
      <c r="I1879" s="10">
        <v>42522</v>
      </c>
      <c r="J1879" s="11">
        <v>2162</v>
      </c>
      <c r="K1879" s="51"/>
      <c r="O1879" s="1" t="s">
        <v>7</v>
      </c>
      <c r="P1879" s="1" t="s">
        <v>49</v>
      </c>
      <c r="Q1879" s="1" t="s">
        <v>11</v>
      </c>
      <c r="R1879" s="2" t="s">
        <v>23</v>
      </c>
      <c r="S1879" s="2" t="s">
        <v>36</v>
      </c>
      <c r="T1879" s="1">
        <v>2016</v>
      </c>
      <c r="U1879" s="1">
        <v>6</v>
      </c>
      <c r="V1879" s="50">
        <v>42522</v>
      </c>
      <c r="W1879" s="4">
        <v>1859.3200000000002</v>
      </c>
      <c r="X1879" s="48">
        <v>2162</v>
      </c>
    </row>
    <row r="1880" spans="2:24" x14ac:dyDescent="0.35">
      <c r="B1880" s="8" t="s">
        <v>7</v>
      </c>
      <c r="C1880" s="8" t="s">
        <v>43</v>
      </c>
      <c r="D1880" s="8" t="s">
        <v>10</v>
      </c>
      <c r="E1880" s="8" t="s">
        <v>23</v>
      </c>
      <c r="F1880" s="9" t="s">
        <v>36</v>
      </c>
      <c r="G1880" s="8">
        <v>2016</v>
      </c>
      <c r="H1880" s="8">
        <v>6</v>
      </c>
      <c r="I1880" s="10">
        <v>42522</v>
      </c>
      <c r="J1880" s="11">
        <v>2149</v>
      </c>
      <c r="K1880" s="51"/>
      <c r="O1880" s="1" t="s">
        <v>7</v>
      </c>
      <c r="P1880" s="1" t="s">
        <v>43</v>
      </c>
      <c r="Q1880" s="1" t="s">
        <v>10</v>
      </c>
      <c r="R1880" s="1" t="s">
        <v>23</v>
      </c>
      <c r="S1880" s="2" t="s">
        <v>36</v>
      </c>
      <c r="T1880" s="1">
        <v>2016</v>
      </c>
      <c r="U1880" s="1">
        <v>6</v>
      </c>
      <c r="V1880" s="50">
        <v>42522</v>
      </c>
      <c r="W1880" s="4">
        <v>1848.1400000000003</v>
      </c>
      <c r="X1880" s="48">
        <v>2149</v>
      </c>
    </row>
    <row r="1881" spans="2:24" x14ac:dyDescent="0.35">
      <c r="B1881" s="8" t="s">
        <v>6</v>
      </c>
      <c r="C1881" s="8" t="s">
        <v>40</v>
      </c>
      <c r="D1881" s="8" t="s">
        <v>41</v>
      </c>
      <c r="E1881" s="8" t="s">
        <v>0</v>
      </c>
      <c r="F1881" s="6" t="s">
        <v>45</v>
      </c>
      <c r="G1881" s="8">
        <v>2016</v>
      </c>
      <c r="H1881" s="8">
        <v>6</v>
      </c>
      <c r="I1881" s="10">
        <v>42522</v>
      </c>
      <c r="J1881" s="11">
        <v>2780</v>
      </c>
      <c r="K1881" s="51"/>
      <c r="O1881" s="1" t="s">
        <v>6</v>
      </c>
      <c r="P1881" s="1" t="s">
        <v>40</v>
      </c>
      <c r="Q1881" s="1" t="s">
        <v>41</v>
      </c>
      <c r="R1881" s="1" t="s">
        <v>0</v>
      </c>
      <c r="S1881" t="s">
        <v>45</v>
      </c>
      <c r="T1881" s="1">
        <v>2016</v>
      </c>
      <c r="U1881" s="1">
        <v>6</v>
      </c>
      <c r="V1881" s="50">
        <v>42522</v>
      </c>
      <c r="W1881" s="4">
        <v>2474.1999999999998</v>
      </c>
      <c r="X1881" s="48">
        <v>2780</v>
      </c>
    </row>
    <row r="1882" spans="2:24" x14ac:dyDescent="0.35">
      <c r="B1882" s="8" t="s">
        <v>7</v>
      </c>
      <c r="C1882" s="8" t="s">
        <v>32</v>
      </c>
      <c r="D1882" s="8" t="s">
        <v>8</v>
      </c>
      <c r="E1882" s="8" t="s">
        <v>27</v>
      </c>
      <c r="F1882" s="8" t="s">
        <v>28</v>
      </c>
      <c r="G1882" s="8">
        <v>2016</v>
      </c>
      <c r="H1882" s="8">
        <v>6</v>
      </c>
      <c r="I1882" s="10">
        <v>42522</v>
      </c>
      <c r="J1882" s="11">
        <v>3250</v>
      </c>
      <c r="K1882" s="51"/>
      <c r="O1882" s="1" t="s">
        <v>7</v>
      </c>
      <c r="P1882" s="1" t="s">
        <v>32</v>
      </c>
      <c r="Q1882" s="1" t="s">
        <v>8</v>
      </c>
      <c r="R1882" s="1" t="s">
        <v>27</v>
      </c>
      <c r="S1882" s="1" t="s">
        <v>28</v>
      </c>
      <c r="T1882" s="1">
        <v>2016</v>
      </c>
      <c r="U1882" s="1">
        <v>6</v>
      </c>
      <c r="V1882" s="50">
        <v>42522</v>
      </c>
      <c r="W1882" s="4">
        <v>3055</v>
      </c>
      <c r="X1882" s="48">
        <v>3250</v>
      </c>
    </row>
    <row r="1883" spans="2:24" x14ac:dyDescent="0.35">
      <c r="B1883" s="8" t="s">
        <v>7</v>
      </c>
      <c r="C1883" s="8" t="s">
        <v>32</v>
      </c>
      <c r="D1883" s="8" t="s">
        <v>8</v>
      </c>
      <c r="E1883" s="8" t="s">
        <v>27</v>
      </c>
      <c r="F1883" s="8" t="s">
        <v>31</v>
      </c>
      <c r="G1883" s="8">
        <v>2016</v>
      </c>
      <c r="H1883" s="8">
        <v>6</v>
      </c>
      <c r="I1883" s="10">
        <v>42522</v>
      </c>
      <c r="J1883" s="11">
        <v>3133</v>
      </c>
      <c r="K1883" s="51"/>
      <c r="O1883" s="1" t="s">
        <v>7</v>
      </c>
      <c r="P1883" s="1" t="s">
        <v>32</v>
      </c>
      <c r="Q1883" s="1" t="s">
        <v>8</v>
      </c>
      <c r="R1883" s="1" t="s">
        <v>27</v>
      </c>
      <c r="S1883" s="1" t="s">
        <v>31</v>
      </c>
      <c r="T1883" s="1">
        <v>2016</v>
      </c>
      <c r="U1883" s="1">
        <v>6</v>
      </c>
      <c r="V1883" s="50">
        <v>42522</v>
      </c>
      <c r="W1883" s="4">
        <v>2913.6899999999996</v>
      </c>
      <c r="X1883" s="48">
        <v>3133</v>
      </c>
    </row>
    <row r="1884" spans="2:24" x14ac:dyDescent="0.35">
      <c r="B1884" s="8" t="s">
        <v>6</v>
      </c>
      <c r="C1884" s="8" t="s">
        <v>29</v>
      </c>
      <c r="D1884" s="8" t="s">
        <v>30</v>
      </c>
      <c r="E1884" s="8" t="s">
        <v>23</v>
      </c>
      <c r="F1884" s="8" t="s">
        <v>24</v>
      </c>
      <c r="G1884" s="8">
        <v>2016</v>
      </c>
      <c r="H1884" s="8">
        <v>6</v>
      </c>
      <c r="I1884" s="10">
        <v>42522</v>
      </c>
      <c r="J1884" s="11">
        <v>2139</v>
      </c>
      <c r="K1884" s="51"/>
      <c r="O1884" s="1" t="s">
        <v>6</v>
      </c>
      <c r="P1884" s="1" t="s">
        <v>29</v>
      </c>
      <c r="Q1884" s="1" t="s">
        <v>30</v>
      </c>
      <c r="R1884" s="1" t="s">
        <v>23</v>
      </c>
      <c r="S1884" s="1" t="s">
        <v>24</v>
      </c>
      <c r="T1884" s="1">
        <v>2016</v>
      </c>
      <c r="U1884" s="1">
        <v>6</v>
      </c>
      <c r="V1884" s="50">
        <v>42522</v>
      </c>
      <c r="W1884" s="4">
        <v>1818.15</v>
      </c>
      <c r="X1884" s="48">
        <v>2139</v>
      </c>
    </row>
    <row r="1885" spans="2:24" x14ac:dyDescent="0.35">
      <c r="B1885" s="8" t="s">
        <v>7</v>
      </c>
      <c r="C1885" s="8" t="s">
        <v>48</v>
      </c>
      <c r="D1885" s="8" t="s">
        <v>9</v>
      </c>
      <c r="E1885" s="8" t="s">
        <v>0</v>
      </c>
      <c r="F1885" s="6" t="s">
        <v>42</v>
      </c>
      <c r="G1885" s="8">
        <v>2016</v>
      </c>
      <c r="H1885" s="8">
        <v>6</v>
      </c>
      <c r="I1885" s="10">
        <v>42522</v>
      </c>
      <c r="J1885" s="11">
        <v>6218</v>
      </c>
      <c r="K1885" s="51"/>
      <c r="O1885" s="1" t="s">
        <v>7</v>
      </c>
      <c r="P1885" s="1" t="s">
        <v>48</v>
      </c>
      <c r="Q1885" s="1" t="s">
        <v>9</v>
      </c>
      <c r="R1885" s="1" t="s">
        <v>0</v>
      </c>
      <c r="S1885" t="s">
        <v>42</v>
      </c>
      <c r="T1885" s="1">
        <v>2016</v>
      </c>
      <c r="U1885" s="1">
        <v>6</v>
      </c>
      <c r="V1885" s="50">
        <v>42522</v>
      </c>
      <c r="W1885" s="4">
        <v>5285.3</v>
      </c>
      <c r="X1885" s="48">
        <v>6218</v>
      </c>
    </row>
    <row r="1886" spans="2:24" x14ac:dyDescent="0.35">
      <c r="B1886" s="8" t="s">
        <v>7</v>
      </c>
      <c r="C1886" s="8" t="s">
        <v>48</v>
      </c>
      <c r="D1886" s="8" t="s">
        <v>9</v>
      </c>
      <c r="E1886" s="8" t="s">
        <v>0</v>
      </c>
      <c r="F1886" s="6" t="s">
        <v>26</v>
      </c>
      <c r="G1886" s="8">
        <v>2016</v>
      </c>
      <c r="H1886" s="8">
        <v>6</v>
      </c>
      <c r="I1886" s="10">
        <v>42522</v>
      </c>
      <c r="J1886" s="11">
        <v>4133</v>
      </c>
      <c r="K1886" s="51"/>
      <c r="O1886" s="1" t="s">
        <v>7</v>
      </c>
      <c r="P1886" s="1" t="s">
        <v>48</v>
      </c>
      <c r="Q1886" s="1" t="s">
        <v>9</v>
      </c>
      <c r="R1886" s="1" t="s">
        <v>0</v>
      </c>
      <c r="S1886" t="s">
        <v>26</v>
      </c>
      <c r="T1886" s="1">
        <v>2016</v>
      </c>
      <c r="U1886" s="1">
        <v>6</v>
      </c>
      <c r="V1886" s="50">
        <v>42522</v>
      </c>
      <c r="W1886" s="4">
        <v>3513.05</v>
      </c>
      <c r="X1886" s="48">
        <v>4133</v>
      </c>
    </row>
    <row r="1887" spans="2:24" x14ac:dyDescent="0.35">
      <c r="B1887" s="8" t="s">
        <v>7</v>
      </c>
      <c r="C1887" s="8" t="s">
        <v>49</v>
      </c>
      <c r="D1887" s="8" t="s">
        <v>11</v>
      </c>
      <c r="E1887" s="8" t="s">
        <v>0</v>
      </c>
      <c r="F1887" s="6" t="s">
        <v>45</v>
      </c>
      <c r="G1887" s="8">
        <v>2016</v>
      </c>
      <c r="H1887" s="8">
        <v>6</v>
      </c>
      <c r="I1887" s="10">
        <v>42522</v>
      </c>
      <c r="J1887" s="11">
        <v>4016</v>
      </c>
      <c r="K1887" s="51"/>
      <c r="O1887" s="1" t="s">
        <v>7</v>
      </c>
      <c r="P1887" s="1" t="s">
        <v>49</v>
      </c>
      <c r="Q1887" s="1" t="s">
        <v>11</v>
      </c>
      <c r="R1887" s="1" t="s">
        <v>0</v>
      </c>
      <c r="S1887" t="s">
        <v>45</v>
      </c>
      <c r="T1887" s="1">
        <v>2016</v>
      </c>
      <c r="U1887" s="1">
        <v>6</v>
      </c>
      <c r="V1887" s="50">
        <v>42522</v>
      </c>
      <c r="W1887" s="4">
        <v>3734.8799999999997</v>
      </c>
      <c r="X1887" s="48">
        <v>4016</v>
      </c>
    </row>
    <row r="1888" spans="2:24" x14ac:dyDescent="0.35">
      <c r="B1888" s="8" t="s">
        <v>7</v>
      </c>
      <c r="C1888" s="8" t="s">
        <v>49</v>
      </c>
      <c r="D1888" s="8" t="s">
        <v>11</v>
      </c>
      <c r="E1888" s="9" t="s">
        <v>27</v>
      </c>
      <c r="F1888" s="9" t="s">
        <v>28</v>
      </c>
      <c r="G1888" s="8">
        <v>2016</v>
      </c>
      <c r="H1888" s="8">
        <v>6</v>
      </c>
      <c r="I1888" s="10">
        <v>42522</v>
      </c>
      <c r="J1888" s="11">
        <v>4134</v>
      </c>
      <c r="K1888" s="51"/>
      <c r="O1888" s="1" t="s">
        <v>7</v>
      </c>
      <c r="P1888" s="1" t="s">
        <v>49</v>
      </c>
      <c r="Q1888" s="1" t="s">
        <v>11</v>
      </c>
      <c r="R1888" s="2" t="s">
        <v>27</v>
      </c>
      <c r="S1888" s="2" t="s">
        <v>28</v>
      </c>
      <c r="T1888" s="1">
        <v>2016</v>
      </c>
      <c r="U1888" s="1">
        <v>6</v>
      </c>
      <c r="V1888" s="50">
        <v>42522</v>
      </c>
      <c r="W1888" s="4">
        <v>3844.62</v>
      </c>
      <c r="X1888" s="48">
        <v>4134</v>
      </c>
    </row>
    <row r="1889" spans="2:24" x14ac:dyDescent="0.35">
      <c r="B1889" s="8" t="s">
        <v>12</v>
      </c>
      <c r="C1889" s="8" t="s">
        <v>34</v>
      </c>
      <c r="D1889" s="8" t="s">
        <v>35</v>
      </c>
      <c r="E1889" s="8" t="s">
        <v>27</v>
      </c>
      <c r="F1889" s="9" t="s">
        <v>31</v>
      </c>
      <c r="G1889" s="8">
        <v>2016</v>
      </c>
      <c r="H1889" s="8">
        <v>6</v>
      </c>
      <c r="I1889" s="10">
        <v>42522</v>
      </c>
      <c r="J1889" s="11">
        <v>3264</v>
      </c>
      <c r="K1889" s="51"/>
      <c r="O1889" s="1" t="s">
        <v>12</v>
      </c>
      <c r="P1889" s="1" t="s">
        <v>34</v>
      </c>
      <c r="Q1889" s="1" t="s">
        <v>35</v>
      </c>
      <c r="R1889" s="1" t="s">
        <v>27</v>
      </c>
      <c r="S1889" s="2" t="s">
        <v>31</v>
      </c>
      <c r="T1889" s="1">
        <v>2016</v>
      </c>
      <c r="U1889" s="1">
        <v>6</v>
      </c>
      <c r="V1889" s="50">
        <v>42522</v>
      </c>
      <c r="W1889" s="4">
        <v>3035.52</v>
      </c>
      <c r="X1889" s="48">
        <v>3264</v>
      </c>
    </row>
    <row r="1890" spans="2:24" x14ac:dyDescent="0.35">
      <c r="B1890" s="8" t="s">
        <v>12</v>
      </c>
      <c r="C1890" s="8" t="s">
        <v>34</v>
      </c>
      <c r="D1890" s="8" t="s">
        <v>35</v>
      </c>
      <c r="E1890" s="8" t="s">
        <v>27</v>
      </c>
      <c r="F1890" s="6" t="s">
        <v>33</v>
      </c>
      <c r="G1890" s="8">
        <v>2016</v>
      </c>
      <c r="H1890" s="8">
        <v>6</v>
      </c>
      <c r="I1890" s="10">
        <v>42522</v>
      </c>
      <c r="J1890" s="11">
        <v>4087</v>
      </c>
      <c r="K1890" s="51"/>
      <c r="O1890" s="1" t="s">
        <v>12</v>
      </c>
      <c r="P1890" s="1" t="s">
        <v>34</v>
      </c>
      <c r="Q1890" s="1" t="s">
        <v>35</v>
      </c>
      <c r="R1890" s="1" t="s">
        <v>27</v>
      </c>
      <c r="S1890" t="s">
        <v>33</v>
      </c>
      <c r="T1890" s="1">
        <v>2016</v>
      </c>
      <c r="U1890" s="1">
        <v>6</v>
      </c>
      <c r="V1890" s="50">
        <v>42522</v>
      </c>
      <c r="W1890" s="4">
        <v>3678.2999999999997</v>
      </c>
      <c r="X1890" s="48">
        <v>4087</v>
      </c>
    </row>
    <row r="1891" spans="2:24" x14ac:dyDescent="0.35">
      <c r="B1891" s="8" t="s">
        <v>14</v>
      </c>
      <c r="C1891" s="8" t="s">
        <v>37</v>
      </c>
      <c r="D1891" s="8" t="s">
        <v>38</v>
      </c>
      <c r="E1891" s="8" t="s">
        <v>23</v>
      </c>
      <c r="F1891" s="8" t="s">
        <v>36</v>
      </c>
      <c r="G1891" s="8">
        <v>2016</v>
      </c>
      <c r="H1891" s="8">
        <v>6</v>
      </c>
      <c r="I1891" s="10">
        <v>42522</v>
      </c>
      <c r="J1891" s="11">
        <v>1866</v>
      </c>
      <c r="K1891" s="51"/>
      <c r="O1891" s="1" t="s">
        <v>14</v>
      </c>
      <c r="P1891" s="1" t="s">
        <v>37</v>
      </c>
      <c r="Q1891" s="1" t="s">
        <v>38</v>
      </c>
      <c r="R1891" s="1" t="s">
        <v>23</v>
      </c>
      <c r="S1891" s="1" t="s">
        <v>36</v>
      </c>
      <c r="T1891" s="1">
        <v>2016</v>
      </c>
      <c r="U1891" s="1">
        <v>6</v>
      </c>
      <c r="V1891" s="50">
        <v>42522</v>
      </c>
      <c r="W1891" s="4">
        <v>1660.7399999999998</v>
      </c>
      <c r="X1891" s="48">
        <v>1866</v>
      </c>
    </row>
    <row r="1892" spans="2:24" x14ac:dyDescent="0.35">
      <c r="B1892" s="8" t="s">
        <v>12</v>
      </c>
      <c r="C1892" s="8" t="s">
        <v>44</v>
      </c>
      <c r="D1892" s="8" t="s">
        <v>13</v>
      </c>
      <c r="E1892" s="8" t="s">
        <v>23</v>
      </c>
      <c r="F1892" s="8" t="s">
        <v>39</v>
      </c>
      <c r="G1892" s="8">
        <v>2016</v>
      </c>
      <c r="H1892" s="8">
        <v>6</v>
      </c>
      <c r="I1892" s="10">
        <v>42522</v>
      </c>
      <c r="J1892" s="11">
        <v>2773</v>
      </c>
      <c r="K1892" s="51"/>
      <c r="O1892" s="1" t="s">
        <v>12</v>
      </c>
      <c r="P1892" s="1" t="s">
        <v>44</v>
      </c>
      <c r="Q1892" s="1" t="s">
        <v>13</v>
      </c>
      <c r="R1892" s="1" t="s">
        <v>23</v>
      </c>
      <c r="S1892" s="1" t="s">
        <v>39</v>
      </c>
      <c r="T1892" s="1">
        <v>2016</v>
      </c>
      <c r="U1892" s="1">
        <v>6</v>
      </c>
      <c r="V1892" s="50">
        <v>42522</v>
      </c>
      <c r="W1892" s="4">
        <v>2495.6999999999998</v>
      </c>
      <c r="X1892" s="48">
        <v>2773</v>
      </c>
    </row>
    <row r="1893" spans="2:24" x14ac:dyDescent="0.35">
      <c r="B1893" s="8" t="s">
        <v>12</v>
      </c>
      <c r="C1893" s="8" t="s">
        <v>44</v>
      </c>
      <c r="D1893" s="8" t="s">
        <v>13</v>
      </c>
      <c r="E1893" s="8" t="s">
        <v>0</v>
      </c>
      <c r="F1893" s="8" t="s">
        <v>42</v>
      </c>
      <c r="G1893" s="8">
        <v>2016</v>
      </c>
      <c r="H1893" s="8">
        <v>6</v>
      </c>
      <c r="I1893" s="10">
        <v>42522</v>
      </c>
      <c r="J1893" s="11">
        <v>5743</v>
      </c>
      <c r="K1893" s="51"/>
      <c r="O1893" s="1" t="s">
        <v>12</v>
      </c>
      <c r="P1893" s="1" t="s">
        <v>44</v>
      </c>
      <c r="Q1893" s="1" t="s">
        <v>13</v>
      </c>
      <c r="R1893" s="1" t="s">
        <v>0</v>
      </c>
      <c r="S1893" s="1" t="s">
        <v>42</v>
      </c>
      <c r="T1893" s="1">
        <v>2016</v>
      </c>
      <c r="U1893" s="1">
        <v>6</v>
      </c>
      <c r="V1893" s="50">
        <v>42522</v>
      </c>
      <c r="W1893" s="4">
        <v>5111.2699999999995</v>
      </c>
      <c r="X1893" s="48">
        <v>5743</v>
      </c>
    </row>
    <row r="1894" spans="2:24" x14ac:dyDescent="0.35">
      <c r="B1894" s="8" t="s">
        <v>14</v>
      </c>
      <c r="C1894" s="8" t="s">
        <v>46</v>
      </c>
      <c r="D1894" s="8" t="s">
        <v>47</v>
      </c>
      <c r="E1894" s="8" t="s">
        <v>0</v>
      </c>
      <c r="F1894" s="6" t="s">
        <v>26</v>
      </c>
      <c r="G1894" s="8">
        <v>2016</v>
      </c>
      <c r="H1894" s="8">
        <v>6</v>
      </c>
      <c r="I1894" s="10">
        <v>42522</v>
      </c>
      <c r="J1894" s="11">
        <v>4511</v>
      </c>
      <c r="K1894" s="51"/>
      <c r="O1894" s="1" t="s">
        <v>14</v>
      </c>
      <c r="P1894" s="1" t="s">
        <v>46</v>
      </c>
      <c r="Q1894" s="1" t="s">
        <v>47</v>
      </c>
      <c r="R1894" s="1" t="s">
        <v>0</v>
      </c>
      <c r="S1894" t="s">
        <v>26</v>
      </c>
      <c r="T1894" s="1">
        <v>2016</v>
      </c>
      <c r="U1894" s="1">
        <v>6</v>
      </c>
      <c r="V1894" s="50">
        <v>42522</v>
      </c>
      <c r="W1894" s="4">
        <v>4105.0099999999993</v>
      </c>
      <c r="X1894" s="48">
        <v>4511</v>
      </c>
    </row>
    <row r="1895" spans="2:24" x14ac:dyDescent="0.35">
      <c r="B1895" s="8" t="s">
        <v>14</v>
      </c>
      <c r="C1895" s="8" t="s">
        <v>46</v>
      </c>
      <c r="D1895" s="8" t="s">
        <v>47</v>
      </c>
      <c r="E1895" s="8" t="s">
        <v>0</v>
      </c>
      <c r="F1895" s="6" t="s">
        <v>45</v>
      </c>
      <c r="G1895" s="8">
        <v>2016</v>
      </c>
      <c r="H1895" s="8">
        <v>6</v>
      </c>
      <c r="I1895" s="10">
        <v>42522</v>
      </c>
      <c r="J1895" s="11">
        <v>3126</v>
      </c>
      <c r="K1895" s="51"/>
      <c r="O1895" s="1" t="s">
        <v>14</v>
      </c>
      <c r="P1895" s="1" t="s">
        <v>46</v>
      </c>
      <c r="Q1895" s="1" t="s">
        <v>47</v>
      </c>
      <c r="R1895" s="1" t="s">
        <v>0</v>
      </c>
      <c r="S1895" t="s">
        <v>45</v>
      </c>
      <c r="T1895" s="1">
        <v>2016</v>
      </c>
      <c r="U1895" s="1">
        <v>6</v>
      </c>
      <c r="V1895" s="50">
        <v>42522</v>
      </c>
      <c r="W1895" s="4">
        <v>2813.3999999999996</v>
      </c>
      <c r="X1895" s="48">
        <v>3126</v>
      </c>
    </row>
    <row r="1896" spans="2:24" x14ac:dyDescent="0.35">
      <c r="B1896" s="8" t="s">
        <v>3</v>
      </c>
      <c r="C1896" s="8" t="s">
        <v>25</v>
      </c>
      <c r="D1896" s="8" t="s">
        <v>4</v>
      </c>
      <c r="E1896" s="8" t="s">
        <v>27</v>
      </c>
      <c r="F1896" s="6" t="s">
        <v>33</v>
      </c>
      <c r="G1896" s="8">
        <v>2016</v>
      </c>
      <c r="H1896" s="8">
        <v>6</v>
      </c>
      <c r="I1896" s="10">
        <v>42522</v>
      </c>
      <c r="J1896" s="11">
        <v>2915</v>
      </c>
      <c r="K1896" s="51"/>
      <c r="O1896" s="1" t="s">
        <v>3</v>
      </c>
      <c r="P1896" s="1" t="s">
        <v>25</v>
      </c>
      <c r="Q1896" s="1" t="s">
        <v>4</v>
      </c>
      <c r="R1896" s="1" t="s">
        <v>27</v>
      </c>
      <c r="S1896" t="s">
        <v>33</v>
      </c>
      <c r="T1896" s="1">
        <v>2016</v>
      </c>
      <c r="U1896" s="1">
        <v>6</v>
      </c>
      <c r="V1896" s="50">
        <v>42522</v>
      </c>
      <c r="W1896" s="4">
        <v>2710.95</v>
      </c>
      <c r="X1896" s="48">
        <v>2915</v>
      </c>
    </row>
    <row r="1897" spans="2:24" x14ac:dyDescent="0.35">
      <c r="B1897" s="8" t="s">
        <v>3</v>
      </c>
      <c r="C1897" s="8" t="s">
        <v>25</v>
      </c>
      <c r="D1897" s="8" t="s">
        <v>4</v>
      </c>
      <c r="E1897" s="9" t="s">
        <v>23</v>
      </c>
      <c r="F1897" s="9" t="s">
        <v>36</v>
      </c>
      <c r="G1897" s="8">
        <v>2016</v>
      </c>
      <c r="H1897" s="8">
        <v>6</v>
      </c>
      <c r="I1897" s="10">
        <v>42522</v>
      </c>
      <c r="J1897" s="11">
        <v>2327</v>
      </c>
      <c r="K1897" s="51"/>
      <c r="O1897" s="1" t="s">
        <v>3</v>
      </c>
      <c r="P1897" s="1" t="s">
        <v>25</v>
      </c>
      <c r="Q1897" s="1" t="s">
        <v>4</v>
      </c>
      <c r="R1897" s="2" t="s">
        <v>23</v>
      </c>
      <c r="S1897" s="2" t="s">
        <v>36</v>
      </c>
      <c r="T1897" s="1">
        <v>2016</v>
      </c>
      <c r="U1897" s="1">
        <v>6</v>
      </c>
      <c r="V1897" s="50">
        <v>42522</v>
      </c>
      <c r="W1897" s="4">
        <v>2164.1099999999997</v>
      </c>
      <c r="X1897" s="48">
        <v>2327</v>
      </c>
    </row>
    <row r="1898" spans="2:24" x14ac:dyDescent="0.35">
      <c r="B1898" s="8" t="s">
        <v>6</v>
      </c>
      <c r="C1898" s="8" t="s">
        <v>40</v>
      </c>
      <c r="D1898" s="8" t="s">
        <v>41</v>
      </c>
      <c r="E1898" s="8" t="s">
        <v>23</v>
      </c>
      <c r="F1898" s="9" t="s">
        <v>39</v>
      </c>
      <c r="G1898" s="8">
        <v>2016</v>
      </c>
      <c r="H1898" s="8">
        <v>6</v>
      </c>
      <c r="I1898" s="10">
        <v>42522</v>
      </c>
      <c r="J1898" s="11">
        <v>1784</v>
      </c>
      <c r="K1898" s="51"/>
      <c r="O1898" s="1" t="s">
        <v>6</v>
      </c>
      <c r="P1898" s="1" t="s">
        <v>40</v>
      </c>
      <c r="Q1898" s="1" t="s">
        <v>41</v>
      </c>
      <c r="R1898" s="1" t="s">
        <v>23</v>
      </c>
      <c r="S1898" s="2" t="s">
        <v>39</v>
      </c>
      <c r="T1898" s="1">
        <v>2016</v>
      </c>
      <c r="U1898" s="1">
        <v>6</v>
      </c>
      <c r="V1898" s="50">
        <v>42522</v>
      </c>
      <c r="W1898" s="4">
        <v>1641.2799999999997</v>
      </c>
      <c r="X1898" s="48">
        <v>1784</v>
      </c>
    </row>
    <row r="1899" spans="2:24" x14ac:dyDescent="0.35">
      <c r="B1899" s="8" t="s">
        <v>7</v>
      </c>
      <c r="C1899" s="8" t="s">
        <v>48</v>
      </c>
      <c r="D1899" s="8" t="s">
        <v>9</v>
      </c>
      <c r="E1899" s="8" t="s">
        <v>0</v>
      </c>
      <c r="F1899" s="6" t="s">
        <v>45</v>
      </c>
      <c r="G1899" s="8">
        <v>2016</v>
      </c>
      <c r="H1899" s="8">
        <v>6</v>
      </c>
      <c r="I1899" s="10">
        <v>42522</v>
      </c>
      <c r="J1899" s="11">
        <v>2420</v>
      </c>
      <c r="K1899" s="51"/>
      <c r="O1899" s="1" t="s">
        <v>7</v>
      </c>
      <c r="P1899" s="1" t="s">
        <v>48</v>
      </c>
      <c r="Q1899" s="1" t="s">
        <v>9</v>
      </c>
      <c r="R1899" s="1" t="s">
        <v>0</v>
      </c>
      <c r="S1899" t="s">
        <v>45</v>
      </c>
      <c r="T1899" s="1">
        <v>2016</v>
      </c>
      <c r="U1899" s="1">
        <v>6</v>
      </c>
      <c r="V1899" s="50">
        <v>42522</v>
      </c>
      <c r="W1899" s="4">
        <v>2274.7999999999997</v>
      </c>
      <c r="X1899" s="48">
        <v>2420</v>
      </c>
    </row>
    <row r="1900" spans="2:24" x14ac:dyDescent="0.35">
      <c r="B1900" s="8" t="s">
        <v>7</v>
      </c>
      <c r="C1900" s="8" t="s">
        <v>49</v>
      </c>
      <c r="D1900" s="8" t="s">
        <v>11</v>
      </c>
      <c r="E1900" s="8" t="s">
        <v>27</v>
      </c>
      <c r="F1900" s="8" t="s">
        <v>31</v>
      </c>
      <c r="G1900" s="8">
        <v>2016</v>
      </c>
      <c r="H1900" s="8">
        <v>6</v>
      </c>
      <c r="I1900" s="10">
        <v>42522</v>
      </c>
      <c r="J1900" s="11">
        <v>3775</v>
      </c>
      <c r="K1900" s="51"/>
      <c r="O1900" s="1" t="s">
        <v>7</v>
      </c>
      <c r="P1900" s="1" t="s">
        <v>49</v>
      </c>
      <c r="Q1900" s="1" t="s">
        <v>11</v>
      </c>
      <c r="R1900" s="1" t="s">
        <v>27</v>
      </c>
      <c r="S1900" s="1" t="s">
        <v>31</v>
      </c>
      <c r="T1900" s="1">
        <v>2016</v>
      </c>
      <c r="U1900" s="1">
        <v>6</v>
      </c>
      <c r="V1900" s="50">
        <v>42522</v>
      </c>
      <c r="W1900" s="4">
        <v>3246.5000000000005</v>
      </c>
      <c r="X1900" s="48">
        <v>3775</v>
      </c>
    </row>
    <row r="1901" spans="2:24" x14ac:dyDescent="0.35">
      <c r="B1901" s="8" t="s">
        <v>7</v>
      </c>
      <c r="C1901" s="8" t="s">
        <v>43</v>
      </c>
      <c r="D1901" s="8" t="s">
        <v>10</v>
      </c>
      <c r="E1901" s="8" t="s">
        <v>27</v>
      </c>
      <c r="F1901" s="8" t="s">
        <v>33</v>
      </c>
      <c r="G1901" s="8">
        <v>2016</v>
      </c>
      <c r="H1901" s="8">
        <v>6</v>
      </c>
      <c r="I1901" s="10">
        <v>42522</v>
      </c>
      <c r="J1901" s="11">
        <v>3044</v>
      </c>
      <c r="K1901" s="51"/>
      <c r="O1901" s="1" t="s">
        <v>7</v>
      </c>
      <c r="P1901" s="1" t="s">
        <v>43</v>
      </c>
      <c r="Q1901" s="1" t="s">
        <v>10</v>
      </c>
      <c r="R1901" s="1" t="s">
        <v>27</v>
      </c>
      <c r="S1901" s="1" t="s">
        <v>33</v>
      </c>
      <c r="T1901" s="1">
        <v>2016</v>
      </c>
      <c r="U1901" s="1">
        <v>6</v>
      </c>
      <c r="V1901" s="50">
        <v>42522</v>
      </c>
      <c r="W1901" s="4">
        <v>2587.4</v>
      </c>
      <c r="X1901" s="48">
        <v>3044</v>
      </c>
    </row>
    <row r="1902" spans="2:24" x14ac:dyDescent="0.35">
      <c r="B1902" s="8" t="s">
        <v>7</v>
      </c>
      <c r="C1902" s="8" t="s">
        <v>32</v>
      </c>
      <c r="D1902" s="8" t="s">
        <v>8</v>
      </c>
      <c r="E1902" s="8" t="s">
        <v>0</v>
      </c>
      <c r="F1902" s="8" t="s">
        <v>45</v>
      </c>
      <c r="G1902" s="8">
        <v>2016</v>
      </c>
      <c r="H1902" s="8">
        <v>6</v>
      </c>
      <c r="I1902" s="10">
        <v>42522</v>
      </c>
      <c r="J1902" s="11">
        <v>2686</v>
      </c>
      <c r="K1902" s="51"/>
      <c r="O1902" s="1" t="s">
        <v>7</v>
      </c>
      <c r="P1902" s="1" t="s">
        <v>32</v>
      </c>
      <c r="Q1902" s="1" t="s">
        <v>8</v>
      </c>
      <c r="R1902" s="1" t="s">
        <v>0</v>
      </c>
      <c r="S1902" s="1" t="s">
        <v>45</v>
      </c>
      <c r="T1902" s="1">
        <v>2016</v>
      </c>
      <c r="U1902" s="1">
        <v>6</v>
      </c>
      <c r="V1902" s="50">
        <v>42522</v>
      </c>
      <c r="W1902" s="4">
        <v>2283.1000000000004</v>
      </c>
      <c r="X1902" s="48">
        <v>2686</v>
      </c>
    </row>
    <row r="1903" spans="2:24" x14ac:dyDescent="0.35">
      <c r="B1903" s="8" t="s">
        <v>7</v>
      </c>
      <c r="C1903" s="8" t="s">
        <v>48</v>
      </c>
      <c r="D1903" s="8" t="s">
        <v>9</v>
      </c>
      <c r="E1903" s="8" t="s">
        <v>23</v>
      </c>
      <c r="F1903" s="6" t="s">
        <v>39</v>
      </c>
      <c r="G1903" s="8">
        <v>2016</v>
      </c>
      <c r="H1903" s="8">
        <v>6</v>
      </c>
      <c r="I1903" s="10">
        <v>42522</v>
      </c>
      <c r="J1903" s="11">
        <v>1918</v>
      </c>
      <c r="K1903" s="51"/>
      <c r="O1903" s="1" t="s">
        <v>7</v>
      </c>
      <c r="P1903" s="1" t="s">
        <v>48</v>
      </c>
      <c r="Q1903" s="1" t="s">
        <v>9</v>
      </c>
      <c r="R1903" s="1" t="s">
        <v>23</v>
      </c>
      <c r="S1903" t="s">
        <v>39</v>
      </c>
      <c r="T1903" s="1">
        <v>2016</v>
      </c>
      <c r="U1903" s="1">
        <v>6</v>
      </c>
      <c r="V1903" s="50">
        <v>42522</v>
      </c>
      <c r="W1903" s="4">
        <v>1745.3799999999999</v>
      </c>
      <c r="X1903" s="48">
        <v>1918</v>
      </c>
    </row>
    <row r="1904" spans="2:24" x14ac:dyDescent="0.35">
      <c r="B1904" s="8" t="s">
        <v>7</v>
      </c>
      <c r="C1904" s="8" t="s">
        <v>49</v>
      </c>
      <c r="D1904" s="8" t="s">
        <v>11</v>
      </c>
      <c r="E1904" s="8" t="s">
        <v>0</v>
      </c>
      <c r="F1904" s="6" t="s">
        <v>26</v>
      </c>
      <c r="G1904" s="8">
        <v>2016</v>
      </c>
      <c r="H1904" s="8">
        <v>6</v>
      </c>
      <c r="I1904" s="10">
        <v>42522</v>
      </c>
      <c r="J1904" s="11">
        <v>5108</v>
      </c>
      <c r="K1904" s="51"/>
      <c r="O1904" s="1" t="s">
        <v>7</v>
      </c>
      <c r="P1904" s="1" t="s">
        <v>49</v>
      </c>
      <c r="Q1904" s="1" t="s">
        <v>11</v>
      </c>
      <c r="R1904" s="1" t="s">
        <v>0</v>
      </c>
      <c r="S1904" t="s">
        <v>26</v>
      </c>
      <c r="T1904" s="1">
        <v>2016</v>
      </c>
      <c r="U1904" s="1">
        <v>6</v>
      </c>
      <c r="V1904" s="50">
        <v>42522</v>
      </c>
      <c r="W1904" s="4">
        <v>4801.5199999999995</v>
      </c>
      <c r="X1904" s="48">
        <v>5108</v>
      </c>
    </row>
    <row r="1905" spans="2:24" x14ac:dyDescent="0.35">
      <c r="B1905" s="8" t="s">
        <v>12</v>
      </c>
      <c r="C1905" s="8" t="s">
        <v>34</v>
      </c>
      <c r="D1905" s="8" t="s">
        <v>35</v>
      </c>
      <c r="E1905" s="8" t="s">
        <v>27</v>
      </c>
      <c r="F1905" s="6" t="s">
        <v>28</v>
      </c>
      <c r="G1905" s="8">
        <v>2016</v>
      </c>
      <c r="H1905" s="8">
        <v>6</v>
      </c>
      <c r="I1905" s="10">
        <v>42522</v>
      </c>
      <c r="J1905" s="11">
        <v>3716</v>
      </c>
      <c r="K1905" s="51"/>
      <c r="O1905" s="1" t="s">
        <v>12</v>
      </c>
      <c r="P1905" s="1" t="s">
        <v>34</v>
      </c>
      <c r="Q1905" s="1" t="s">
        <v>35</v>
      </c>
      <c r="R1905" s="1" t="s">
        <v>27</v>
      </c>
      <c r="S1905" t="s">
        <v>28</v>
      </c>
      <c r="T1905" s="1">
        <v>2016</v>
      </c>
      <c r="U1905" s="1">
        <v>6</v>
      </c>
      <c r="V1905" s="50">
        <v>42522</v>
      </c>
      <c r="W1905" s="4">
        <v>3455.8799999999997</v>
      </c>
      <c r="X1905" s="48">
        <v>3716</v>
      </c>
    </row>
    <row r="1906" spans="2:24" x14ac:dyDescent="0.35">
      <c r="B1906" s="8" t="s">
        <v>14</v>
      </c>
      <c r="C1906" s="8" t="s">
        <v>37</v>
      </c>
      <c r="D1906" s="8" t="s">
        <v>38</v>
      </c>
      <c r="E1906" s="9" t="s">
        <v>27</v>
      </c>
      <c r="F1906" s="9" t="s">
        <v>33</v>
      </c>
      <c r="G1906" s="8">
        <v>2016</v>
      </c>
      <c r="H1906" s="8">
        <v>6</v>
      </c>
      <c r="I1906" s="10">
        <v>42522</v>
      </c>
      <c r="J1906" s="11">
        <v>2923</v>
      </c>
      <c r="K1906" s="51"/>
      <c r="O1906" s="1" t="s">
        <v>14</v>
      </c>
      <c r="P1906" s="1" t="s">
        <v>37</v>
      </c>
      <c r="Q1906" s="1" t="s">
        <v>38</v>
      </c>
      <c r="R1906" s="2" t="s">
        <v>27</v>
      </c>
      <c r="S1906" s="2" t="s">
        <v>33</v>
      </c>
      <c r="T1906" s="1">
        <v>2016</v>
      </c>
      <c r="U1906" s="1">
        <v>6</v>
      </c>
      <c r="V1906" s="50">
        <v>42522</v>
      </c>
      <c r="W1906" s="4">
        <v>2601.4699999999998</v>
      </c>
      <c r="X1906" s="48">
        <v>2923</v>
      </c>
    </row>
    <row r="1907" spans="2:24" x14ac:dyDescent="0.35">
      <c r="B1907" s="8" t="s">
        <v>12</v>
      </c>
      <c r="C1907" s="8" t="s">
        <v>44</v>
      </c>
      <c r="D1907" s="8" t="s">
        <v>13</v>
      </c>
      <c r="E1907" s="8" t="s">
        <v>23</v>
      </c>
      <c r="F1907" s="9" t="s">
        <v>24</v>
      </c>
      <c r="G1907" s="8">
        <v>2016</v>
      </c>
      <c r="H1907" s="8">
        <v>6</v>
      </c>
      <c r="I1907" s="10">
        <v>42522</v>
      </c>
      <c r="J1907" s="11">
        <v>1702</v>
      </c>
      <c r="K1907" s="51"/>
      <c r="O1907" s="1" t="s">
        <v>12</v>
      </c>
      <c r="P1907" s="1" t="s">
        <v>44</v>
      </c>
      <c r="Q1907" s="1" t="s">
        <v>13</v>
      </c>
      <c r="R1907" s="1" t="s">
        <v>23</v>
      </c>
      <c r="S1907" s="2" t="s">
        <v>24</v>
      </c>
      <c r="T1907" s="1">
        <v>2016</v>
      </c>
      <c r="U1907" s="1">
        <v>6</v>
      </c>
      <c r="V1907" s="50">
        <v>42522</v>
      </c>
      <c r="W1907" s="4">
        <v>1497.7599999999998</v>
      </c>
      <c r="X1907" s="48">
        <v>1702</v>
      </c>
    </row>
    <row r="1908" spans="2:24" x14ac:dyDescent="0.35">
      <c r="B1908" s="8" t="s">
        <v>14</v>
      </c>
      <c r="C1908" s="8" t="s">
        <v>46</v>
      </c>
      <c r="D1908" s="8" t="s">
        <v>47</v>
      </c>
      <c r="E1908" s="8" t="s">
        <v>0</v>
      </c>
      <c r="F1908" s="6" t="s">
        <v>42</v>
      </c>
      <c r="G1908" s="8">
        <v>2016</v>
      </c>
      <c r="H1908" s="8">
        <v>6</v>
      </c>
      <c r="I1908" s="10">
        <v>42522</v>
      </c>
      <c r="J1908" s="11">
        <v>4617</v>
      </c>
      <c r="K1908" s="51"/>
      <c r="O1908" s="1" t="s">
        <v>14</v>
      </c>
      <c r="P1908" s="1" t="s">
        <v>46</v>
      </c>
      <c r="Q1908" s="1" t="s">
        <v>47</v>
      </c>
      <c r="R1908" s="1" t="s">
        <v>0</v>
      </c>
      <c r="S1908" t="s">
        <v>42</v>
      </c>
      <c r="T1908" s="1">
        <v>2016</v>
      </c>
      <c r="U1908" s="1">
        <v>6</v>
      </c>
      <c r="V1908" s="50">
        <v>42522</v>
      </c>
      <c r="W1908" s="4">
        <v>4109.1299999999992</v>
      </c>
      <c r="X1908" s="48">
        <v>4617</v>
      </c>
    </row>
    <row r="1909" spans="2:24" x14ac:dyDescent="0.35">
      <c r="B1909" s="8" t="s">
        <v>7</v>
      </c>
      <c r="C1909" s="8" t="s">
        <v>48</v>
      </c>
      <c r="D1909" s="8" t="s">
        <v>9</v>
      </c>
      <c r="E1909" s="8" t="s">
        <v>27</v>
      </c>
      <c r="F1909" s="8" t="s">
        <v>33</v>
      </c>
      <c r="G1909" s="8">
        <v>2016</v>
      </c>
      <c r="H1909" s="8">
        <v>6</v>
      </c>
      <c r="I1909" s="10">
        <v>42522</v>
      </c>
      <c r="J1909" s="11">
        <v>3991</v>
      </c>
      <c r="K1909" s="51"/>
      <c r="O1909" s="1" t="s">
        <v>7</v>
      </c>
      <c r="P1909" s="1" t="s">
        <v>48</v>
      </c>
      <c r="Q1909" s="1" t="s">
        <v>9</v>
      </c>
      <c r="R1909" s="1" t="s">
        <v>27</v>
      </c>
      <c r="S1909" s="1" t="s">
        <v>33</v>
      </c>
      <c r="T1909" s="1">
        <v>2016</v>
      </c>
      <c r="U1909" s="1">
        <v>6</v>
      </c>
      <c r="V1909" s="50">
        <v>42522</v>
      </c>
      <c r="W1909" s="4">
        <v>3512.0799999999995</v>
      </c>
      <c r="X1909" s="48">
        <v>3991</v>
      </c>
    </row>
    <row r="1910" spans="2:24" x14ac:dyDescent="0.35">
      <c r="B1910" s="8" t="s">
        <v>7</v>
      </c>
      <c r="C1910" s="8" t="s">
        <v>49</v>
      </c>
      <c r="D1910" s="8" t="s">
        <v>11</v>
      </c>
      <c r="E1910" s="8" t="s">
        <v>23</v>
      </c>
      <c r="F1910" s="8" t="s">
        <v>24</v>
      </c>
      <c r="G1910" s="8">
        <v>2016</v>
      </c>
      <c r="H1910" s="8">
        <v>6</v>
      </c>
      <c r="I1910" s="10">
        <v>42522</v>
      </c>
      <c r="J1910" s="11">
        <v>2330</v>
      </c>
      <c r="K1910" s="51"/>
      <c r="O1910" s="1" t="s">
        <v>7</v>
      </c>
      <c r="P1910" s="1" t="s">
        <v>49</v>
      </c>
      <c r="Q1910" s="1" t="s">
        <v>11</v>
      </c>
      <c r="R1910" s="1" t="s">
        <v>23</v>
      </c>
      <c r="S1910" s="1" t="s">
        <v>24</v>
      </c>
      <c r="T1910" s="1">
        <v>2016</v>
      </c>
      <c r="U1910" s="1">
        <v>6</v>
      </c>
      <c r="V1910" s="50">
        <v>42522</v>
      </c>
      <c r="W1910" s="4">
        <v>2050.3999999999996</v>
      </c>
      <c r="X1910" s="48">
        <v>2330</v>
      </c>
    </row>
    <row r="1911" spans="2:24" x14ac:dyDescent="0.35">
      <c r="B1911" s="8" t="s">
        <v>3</v>
      </c>
      <c r="C1911" s="8" t="s">
        <v>22</v>
      </c>
      <c r="D1911" s="8" t="s">
        <v>5</v>
      </c>
      <c r="E1911" s="8" t="s">
        <v>23</v>
      </c>
      <c r="F1911" s="8" t="s">
        <v>24</v>
      </c>
      <c r="G1911" s="8">
        <v>2016</v>
      </c>
      <c r="H1911" s="8">
        <v>7</v>
      </c>
      <c r="I1911" s="10">
        <v>42552</v>
      </c>
      <c r="J1911" s="11">
        <v>1718</v>
      </c>
      <c r="K1911" s="51"/>
      <c r="O1911" s="1" t="s">
        <v>3</v>
      </c>
      <c r="P1911" s="1" t="s">
        <v>22</v>
      </c>
      <c r="Q1911" s="1" t="s">
        <v>5</v>
      </c>
      <c r="R1911" s="1" t="s">
        <v>23</v>
      </c>
      <c r="S1911" s="1" t="s">
        <v>24</v>
      </c>
      <c r="T1911" s="1">
        <v>2016</v>
      </c>
      <c r="U1911" s="1">
        <v>7</v>
      </c>
      <c r="V1911" s="50">
        <v>42552</v>
      </c>
      <c r="W1911" s="4">
        <v>1580.56</v>
      </c>
      <c r="X1911" s="48">
        <v>1718</v>
      </c>
    </row>
    <row r="1912" spans="2:24" x14ac:dyDescent="0.35">
      <c r="B1912" s="8" t="s">
        <v>3</v>
      </c>
      <c r="C1912" s="8" t="s">
        <v>25</v>
      </c>
      <c r="D1912" s="8" t="s">
        <v>4</v>
      </c>
      <c r="E1912" s="8" t="s">
        <v>23</v>
      </c>
      <c r="F1912" s="6" t="s">
        <v>24</v>
      </c>
      <c r="G1912" s="8">
        <v>2016</v>
      </c>
      <c r="H1912" s="8">
        <v>7</v>
      </c>
      <c r="I1912" s="10">
        <v>42552</v>
      </c>
      <c r="J1912" s="11">
        <v>2150</v>
      </c>
      <c r="K1912" s="51"/>
      <c r="O1912" s="1" t="s">
        <v>3</v>
      </c>
      <c r="P1912" s="1" t="s">
        <v>25</v>
      </c>
      <c r="Q1912" s="1" t="s">
        <v>4</v>
      </c>
      <c r="R1912" s="1" t="s">
        <v>23</v>
      </c>
      <c r="S1912" t="s">
        <v>24</v>
      </c>
      <c r="T1912" s="1">
        <v>2016</v>
      </c>
      <c r="U1912" s="1">
        <v>7</v>
      </c>
      <c r="V1912" s="50">
        <v>42552</v>
      </c>
      <c r="W1912" s="4">
        <v>1999.4999999999998</v>
      </c>
      <c r="X1912" s="48">
        <v>2150</v>
      </c>
    </row>
    <row r="1913" spans="2:24" x14ac:dyDescent="0.35">
      <c r="B1913" s="8" t="s">
        <v>3</v>
      </c>
      <c r="C1913" s="8" t="s">
        <v>25</v>
      </c>
      <c r="D1913" s="8" t="s">
        <v>4</v>
      </c>
      <c r="E1913" s="8" t="s">
        <v>0</v>
      </c>
      <c r="F1913" s="6" t="s">
        <v>26</v>
      </c>
      <c r="G1913" s="8">
        <v>2016</v>
      </c>
      <c r="H1913" s="8">
        <v>7</v>
      </c>
      <c r="I1913" s="10">
        <v>42552</v>
      </c>
      <c r="J1913" s="11">
        <v>3435</v>
      </c>
      <c r="K1913" s="51"/>
      <c r="O1913" s="1" t="s">
        <v>3</v>
      </c>
      <c r="P1913" s="1" t="s">
        <v>25</v>
      </c>
      <c r="Q1913" s="1" t="s">
        <v>4</v>
      </c>
      <c r="R1913" s="1" t="s">
        <v>0</v>
      </c>
      <c r="S1913" t="s">
        <v>26</v>
      </c>
      <c r="T1913" s="1">
        <v>2016</v>
      </c>
      <c r="U1913" s="1">
        <v>7</v>
      </c>
      <c r="V1913" s="50">
        <v>42552</v>
      </c>
      <c r="W1913" s="4">
        <v>3057.1499999999996</v>
      </c>
      <c r="X1913" s="48">
        <v>3435</v>
      </c>
    </row>
    <row r="1914" spans="2:24" x14ac:dyDescent="0.35">
      <c r="B1914" s="8" t="s">
        <v>3</v>
      </c>
      <c r="C1914" s="8" t="s">
        <v>22</v>
      </c>
      <c r="D1914" s="8" t="s">
        <v>5</v>
      </c>
      <c r="E1914" s="8" t="s">
        <v>0</v>
      </c>
      <c r="F1914" s="6" t="s">
        <v>26</v>
      </c>
      <c r="G1914" s="8">
        <v>2016</v>
      </c>
      <c r="H1914" s="8">
        <v>7</v>
      </c>
      <c r="I1914" s="10">
        <v>42552</v>
      </c>
      <c r="J1914" s="11">
        <v>4922</v>
      </c>
      <c r="K1914" s="51"/>
      <c r="O1914" s="1" t="s">
        <v>3</v>
      </c>
      <c r="P1914" s="1" t="s">
        <v>22</v>
      </c>
      <c r="Q1914" s="1" t="s">
        <v>5</v>
      </c>
      <c r="R1914" s="1" t="s">
        <v>0</v>
      </c>
      <c r="S1914" t="s">
        <v>26</v>
      </c>
      <c r="T1914" s="1">
        <v>2016</v>
      </c>
      <c r="U1914" s="1">
        <v>7</v>
      </c>
      <c r="V1914" s="50">
        <v>42552</v>
      </c>
      <c r="W1914" s="4">
        <v>4331.3599999999997</v>
      </c>
      <c r="X1914" s="48">
        <v>4922</v>
      </c>
    </row>
    <row r="1915" spans="2:24" x14ac:dyDescent="0.35">
      <c r="B1915" s="8" t="s">
        <v>3</v>
      </c>
      <c r="C1915" s="8" t="s">
        <v>22</v>
      </c>
      <c r="D1915" s="8" t="s">
        <v>5</v>
      </c>
      <c r="E1915" s="9" t="s">
        <v>27</v>
      </c>
      <c r="F1915" s="9" t="s">
        <v>28</v>
      </c>
      <c r="G1915" s="8">
        <v>2016</v>
      </c>
      <c r="H1915" s="8">
        <v>7</v>
      </c>
      <c r="I1915" s="10">
        <v>42552</v>
      </c>
      <c r="J1915" s="11">
        <v>5020</v>
      </c>
      <c r="K1915" s="51"/>
      <c r="O1915" s="1" t="s">
        <v>3</v>
      </c>
      <c r="P1915" s="1" t="s">
        <v>22</v>
      </c>
      <c r="Q1915" s="1" t="s">
        <v>5</v>
      </c>
      <c r="R1915" s="2" t="s">
        <v>27</v>
      </c>
      <c r="S1915" s="2" t="s">
        <v>28</v>
      </c>
      <c r="T1915" s="1">
        <v>2016</v>
      </c>
      <c r="U1915" s="1">
        <v>7</v>
      </c>
      <c r="V1915" s="50">
        <v>42552</v>
      </c>
      <c r="W1915" s="4">
        <v>4317.2000000000007</v>
      </c>
      <c r="X1915" s="48">
        <v>5020</v>
      </c>
    </row>
    <row r="1916" spans="2:24" x14ac:dyDescent="0.35">
      <c r="B1916" s="8" t="s">
        <v>6</v>
      </c>
      <c r="C1916" s="8" t="s">
        <v>29</v>
      </c>
      <c r="D1916" s="8" t="s">
        <v>30</v>
      </c>
      <c r="E1916" s="8" t="s">
        <v>27</v>
      </c>
      <c r="F1916" s="9" t="s">
        <v>31</v>
      </c>
      <c r="G1916" s="8">
        <v>2016</v>
      </c>
      <c r="H1916" s="8">
        <v>7</v>
      </c>
      <c r="I1916" s="10">
        <v>42552</v>
      </c>
      <c r="J1916" s="11">
        <v>4072</v>
      </c>
      <c r="K1916" s="51"/>
      <c r="O1916" s="1" t="s">
        <v>6</v>
      </c>
      <c r="P1916" s="1" t="s">
        <v>29</v>
      </c>
      <c r="Q1916" s="1" t="s">
        <v>30</v>
      </c>
      <c r="R1916" s="1" t="s">
        <v>27</v>
      </c>
      <c r="S1916" s="2" t="s">
        <v>31</v>
      </c>
      <c r="T1916" s="1">
        <v>2016</v>
      </c>
      <c r="U1916" s="1">
        <v>7</v>
      </c>
      <c r="V1916" s="50">
        <v>42552</v>
      </c>
      <c r="W1916" s="4">
        <v>3746.24</v>
      </c>
      <c r="X1916" s="48">
        <v>4072</v>
      </c>
    </row>
    <row r="1917" spans="2:24" x14ac:dyDescent="0.35">
      <c r="B1917" s="8" t="s">
        <v>7</v>
      </c>
      <c r="C1917" s="8" t="s">
        <v>32</v>
      </c>
      <c r="D1917" s="8" t="s">
        <v>8</v>
      </c>
      <c r="E1917" s="8" t="s">
        <v>27</v>
      </c>
      <c r="F1917" s="6" t="s">
        <v>33</v>
      </c>
      <c r="G1917" s="8">
        <v>2016</v>
      </c>
      <c r="H1917" s="8">
        <v>7</v>
      </c>
      <c r="I1917" s="10">
        <v>42552</v>
      </c>
      <c r="J1917" s="11">
        <v>3311</v>
      </c>
      <c r="K1917" s="51"/>
      <c r="O1917" s="1" t="s">
        <v>7</v>
      </c>
      <c r="P1917" s="1" t="s">
        <v>32</v>
      </c>
      <c r="Q1917" s="1" t="s">
        <v>8</v>
      </c>
      <c r="R1917" s="1" t="s">
        <v>27</v>
      </c>
      <c r="S1917" t="s">
        <v>33</v>
      </c>
      <c r="T1917" s="1">
        <v>2016</v>
      </c>
      <c r="U1917" s="1">
        <v>7</v>
      </c>
      <c r="V1917" s="50">
        <v>42552</v>
      </c>
      <c r="W1917" s="4">
        <v>2946.7899999999995</v>
      </c>
      <c r="X1917" s="48">
        <v>3311</v>
      </c>
    </row>
    <row r="1918" spans="2:24" x14ac:dyDescent="0.35">
      <c r="B1918" s="8" t="s">
        <v>12</v>
      </c>
      <c r="C1918" s="8" t="s">
        <v>34</v>
      </c>
      <c r="D1918" s="8" t="s">
        <v>35</v>
      </c>
      <c r="E1918" s="8" t="s">
        <v>23</v>
      </c>
      <c r="F1918" s="8" t="s">
        <v>36</v>
      </c>
      <c r="G1918" s="8">
        <v>2016</v>
      </c>
      <c r="H1918" s="8">
        <v>7</v>
      </c>
      <c r="I1918" s="10">
        <v>42552</v>
      </c>
      <c r="J1918" s="11">
        <v>1757</v>
      </c>
      <c r="K1918" s="51"/>
      <c r="O1918" s="1" t="s">
        <v>12</v>
      </c>
      <c r="P1918" s="1" t="s">
        <v>34</v>
      </c>
      <c r="Q1918" s="1" t="s">
        <v>35</v>
      </c>
      <c r="R1918" s="1" t="s">
        <v>23</v>
      </c>
      <c r="S1918" s="1" t="s">
        <v>36</v>
      </c>
      <c r="T1918" s="1">
        <v>2016</v>
      </c>
      <c r="U1918" s="1">
        <v>7</v>
      </c>
      <c r="V1918" s="50">
        <v>42552</v>
      </c>
      <c r="W1918" s="4">
        <v>1634.01</v>
      </c>
      <c r="X1918" s="48">
        <v>1757</v>
      </c>
    </row>
    <row r="1919" spans="2:24" x14ac:dyDescent="0.35">
      <c r="B1919" s="8" t="s">
        <v>14</v>
      </c>
      <c r="C1919" s="8" t="s">
        <v>37</v>
      </c>
      <c r="D1919" s="8" t="s">
        <v>38</v>
      </c>
      <c r="E1919" s="8" t="s">
        <v>23</v>
      </c>
      <c r="F1919" s="8" t="s">
        <v>24</v>
      </c>
      <c r="G1919" s="8">
        <v>2016</v>
      </c>
      <c r="H1919" s="8">
        <v>7</v>
      </c>
      <c r="I1919" s="10">
        <v>42552</v>
      </c>
      <c r="J1919" s="11">
        <v>3392</v>
      </c>
      <c r="K1919" s="51"/>
      <c r="O1919" s="1" t="s">
        <v>14</v>
      </c>
      <c r="P1919" s="1" t="s">
        <v>37</v>
      </c>
      <c r="Q1919" s="1" t="s">
        <v>38</v>
      </c>
      <c r="R1919" s="1" t="s">
        <v>23</v>
      </c>
      <c r="S1919" s="1" t="s">
        <v>24</v>
      </c>
      <c r="T1919" s="1">
        <v>2016</v>
      </c>
      <c r="U1919" s="1">
        <v>7</v>
      </c>
      <c r="V1919" s="50">
        <v>42552</v>
      </c>
      <c r="W1919" s="4">
        <v>3120.64</v>
      </c>
      <c r="X1919" s="48">
        <v>3392</v>
      </c>
    </row>
    <row r="1920" spans="2:24" x14ac:dyDescent="0.35">
      <c r="B1920" s="8" t="s">
        <v>3</v>
      </c>
      <c r="C1920" s="8" t="s">
        <v>25</v>
      </c>
      <c r="D1920" s="8" t="s">
        <v>4</v>
      </c>
      <c r="E1920" s="8" t="s">
        <v>23</v>
      </c>
      <c r="F1920" s="8" t="s">
        <v>39</v>
      </c>
      <c r="G1920" s="8">
        <v>2016</v>
      </c>
      <c r="H1920" s="8">
        <v>7</v>
      </c>
      <c r="I1920" s="10">
        <v>42552</v>
      </c>
      <c r="J1920" s="11">
        <v>1972</v>
      </c>
      <c r="K1920" s="51"/>
      <c r="O1920" s="1" t="s">
        <v>3</v>
      </c>
      <c r="P1920" s="1" t="s">
        <v>25</v>
      </c>
      <c r="Q1920" s="1" t="s">
        <v>4</v>
      </c>
      <c r="R1920" s="1" t="s">
        <v>23</v>
      </c>
      <c r="S1920" s="1" t="s">
        <v>39</v>
      </c>
      <c r="T1920" s="1">
        <v>2016</v>
      </c>
      <c r="U1920" s="1">
        <v>7</v>
      </c>
      <c r="V1920" s="50">
        <v>42552</v>
      </c>
      <c r="W1920" s="4">
        <v>1833.9599999999998</v>
      </c>
      <c r="X1920" s="48">
        <v>1972</v>
      </c>
    </row>
    <row r="1921" spans="2:24" x14ac:dyDescent="0.35">
      <c r="B1921" s="8" t="s">
        <v>6</v>
      </c>
      <c r="C1921" s="8" t="s">
        <v>40</v>
      </c>
      <c r="D1921" s="8" t="s">
        <v>41</v>
      </c>
      <c r="E1921" s="8" t="s">
        <v>0</v>
      </c>
      <c r="F1921" s="6" t="s">
        <v>42</v>
      </c>
      <c r="G1921" s="8">
        <v>2016</v>
      </c>
      <c r="H1921" s="8">
        <v>7</v>
      </c>
      <c r="I1921" s="10">
        <v>42552</v>
      </c>
      <c r="J1921" s="11">
        <v>5482</v>
      </c>
      <c r="K1921" s="51"/>
      <c r="O1921" s="1" t="s">
        <v>6</v>
      </c>
      <c r="P1921" s="1" t="s">
        <v>40</v>
      </c>
      <c r="Q1921" s="1" t="s">
        <v>41</v>
      </c>
      <c r="R1921" s="1" t="s">
        <v>0</v>
      </c>
      <c r="S1921" t="s">
        <v>42</v>
      </c>
      <c r="T1921" s="1">
        <v>2016</v>
      </c>
      <c r="U1921" s="1">
        <v>7</v>
      </c>
      <c r="V1921" s="50">
        <v>42552</v>
      </c>
      <c r="W1921" s="4">
        <v>4659.7000000000007</v>
      </c>
      <c r="X1921" s="48">
        <v>5482</v>
      </c>
    </row>
    <row r="1922" spans="2:24" x14ac:dyDescent="0.35">
      <c r="B1922" s="8" t="s">
        <v>7</v>
      </c>
      <c r="C1922" s="8" t="s">
        <v>43</v>
      </c>
      <c r="D1922" s="8" t="s">
        <v>10</v>
      </c>
      <c r="E1922" s="8" t="s">
        <v>0</v>
      </c>
      <c r="F1922" s="6" t="s">
        <v>26</v>
      </c>
      <c r="G1922" s="8">
        <v>2016</v>
      </c>
      <c r="H1922" s="8">
        <v>7</v>
      </c>
      <c r="I1922" s="10">
        <v>42552</v>
      </c>
      <c r="J1922" s="11">
        <v>4619</v>
      </c>
      <c r="K1922" s="51"/>
      <c r="O1922" s="1" t="s">
        <v>7</v>
      </c>
      <c r="P1922" s="1" t="s">
        <v>43</v>
      </c>
      <c r="Q1922" s="1" t="s">
        <v>10</v>
      </c>
      <c r="R1922" s="1" t="s">
        <v>0</v>
      </c>
      <c r="S1922" t="s">
        <v>26</v>
      </c>
      <c r="T1922" s="1">
        <v>2016</v>
      </c>
      <c r="U1922" s="1">
        <v>7</v>
      </c>
      <c r="V1922" s="50">
        <v>42552</v>
      </c>
      <c r="W1922" s="4">
        <v>4249.4799999999996</v>
      </c>
      <c r="X1922" s="48">
        <v>4619</v>
      </c>
    </row>
    <row r="1923" spans="2:24" x14ac:dyDescent="0.35">
      <c r="B1923" s="8" t="s">
        <v>12</v>
      </c>
      <c r="C1923" s="8" t="s">
        <v>44</v>
      </c>
      <c r="D1923" s="8" t="s">
        <v>13</v>
      </c>
      <c r="E1923" s="8" t="s">
        <v>0</v>
      </c>
      <c r="F1923" s="6" t="s">
        <v>45</v>
      </c>
      <c r="G1923" s="8">
        <v>2016</v>
      </c>
      <c r="H1923" s="8">
        <v>7</v>
      </c>
      <c r="I1923" s="10">
        <v>42552</v>
      </c>
      <c r="J1923" s="11">
        <v>4874</v>
      </c>
      <c r="K1923" s="51"/>
      <c r="O1923" s="1" t="s">
        <v>12</v>
      </c>
      <c r="P1923" s="1" t="s">
        <v>44</v>
      </c>
      <c r="Q1923" s="1" t="s">
        <v>13</v>
      </c>
      <c r="R1923" s="1" t="s">
        <v>0</v>
      </c>
      <c r="S1923" t="s">
        <v>45</v>
      </c>
      <c r="T1923" s="1">
        <v>2016</v>
      </c>
      <c r="U1923" s="1">
        <v>7</v>
      </c>
      <c r="V1923" s="50">
        <v>42552</v>
      </c>
      <c r="W1923" s="4">
        <v>4337.8599999999997</v>
      </c>
      <c r="X1923" s="48">
        <v>4874</v>
      </c>
    </row>
    <row r="1924" spans="2:24" x14ac:dyDescent="0.35">
      <c r="B1924" s="8" t="s">
        <v>14</v>
      </c>
      <c r="C1924" s="8" t="s">
        <v>46</v>
      </c>
      <c r="D1924" s="8" t="s">
        <v>47</v>
      </c>
      <c r="E1924" s="9" t="s">
        <v>27</v>
      </c>
      <c r="F1924" s="9" t="s">
        <v>28</v>
      </c>
      <c r="G1924" s="8">
        <v>2016</v>
      </c>
      <c r="H1924" s="8">
        <v>7</v>
      </c>
      <c r="I1924" s="10">
        <v>42552</v>
      </c>
      <c r="J1924" s="11">
        <v>4846</v>
      </c>
      <c r="K1924" s="51"/>
      <c r="O1924" s="1" t="s">
        <v>14</v>
      </c>
      <c r="P1924" s="1" t="s">
        <v>46</v>
      </c>
      <c r="Q1924" s="1" t="s">
        <v>47</v>
      </c>
      <c r="R1924" s="2" t="s">
        <v>27</v>
      </c>
      <c r="S1924" s="2" t="s">
        <v>28</v>
      </c>
      <c r="T1924" s="1">
        <v>2016</v>
      </c>
      <c r="U1924" s="1">
        <v>7</v>
      </c>
      <c r="V1924" s="50">
        <v>42552</v>
      </c>
      <c r="W1924" s="4">
        <v>4555.24</v>
      </c>
      <c r="X1924" s="48">
        <v>4846</v>
      </c>
    </row>
    <row r="1925" spans="2:24" x14ac:dyDescent="0.35">
      <c r="B1925" s="8" t="s">
        <v>3</v>
      </c>
      <c r="C1925" s="8" t="s">
        <v>22</v>
      </c>
      <c r="D1925" s="8" t="s">
        <v>5</v>
      </c>
      <c r="E1925" s="8" t="s">
        <v>27</v>
      </c>
      <c r="F1925" s="9" t="s">
        <v>31</v>
      </c>
      <c r="G1925" s="8">
        <v>2016</v>
      </c>
      <c r="H1925" s="8">
        <v>7</v>
      </c>
      <c r="I1925" s="10">
        <v>42552</v>
      </c>
      <c r="J1925" s="11">
        <v>3838</v>
      </c>
      <c r="K1925" s="51"/>
      <c r="O1925" s="1" t="s">
        <v>3</v>
      </c>
      <c r="P1925" s="1" t="s">
        <v>22</v>
      </c>
      <c r="Q1925" s="1" t="s">
        <v>5</v>
      </c>
      <c r="R1925" s="1" t="s">
        <v>27</v>
      </c>
      <c r="S1925" s="2" t="s">
        <v>31</v>
      </c>
      <c r="T1925" s="1">
        <v>2016</v>
      </c>
      <c r="U1925" s="1">
        <v>7</v>
      </c>
      <c r="V1925" s="50">
        <v>42552</v>
      </c>
      <c r="W1925" s="4">
        <v>3300.6800000000003</v>
      </c>
      <c r="X1925" s="48">
        <v>3838</v>
      </c>
    </row>
    <row r="1926" spans="2:24" x14ac:dyDescent="0.35">
      <c r="B1926" s="8" t="s">
        <v>6</v>
      </c>
      <c r="C1926" s="8" t="s">
        <v>29</v>
      </c>
      <c r="D1926" s="8" t="s">
        <v>30</v>
      </c>
      <c r="E1926" s="8" t="s">
        <v>27</v>
      </c>
      <c r="F1926" s="6" t="s">
        <v>33</v>
      </c>
      <c r="G1926" s="8">
        <v>2016</v>
      </c>
      <c r="H1926" s="8">
        <v>7</v>
      </c>
      <c r="I1926" s="10">
        <v>42552</v>
      </c>
      <c r="J1926" s="11">
        <v>3012</v>
      </c>
      <c r="K1926" s="51"/>
      <c r="O1926" s="1" t="s">
        <v>6</v>
      </c>
      <c r="P1926" s="1" t="s">
        <v>29</v>
      </c>
      <c r="Q1926" s="1" t="s">
        <v>30</v>
      </c>
      <c r="R1926" s="1" t="s">
        <v>27</v>
      </c>
      <c r="S1926" t="s">
        <v>33</v>
      </c>
      <c r="T1926" s="1">
        <v>2016</v>
      </c>
      <c r="U1926" s="1">
        <v>7</v>
      </c>
      <c r="V1926" s="50">
        <v>42552</v>
      </c>
      <c r="W1926" s="4">
        <v>2831.2799999999997</v>
      </c>
      <c r="X1926" s="48">
        <v>3012</v>
      </c>
    </row>
    <row r="1927" spans="2:24" x14ac:dyDescent="0.35">
      <c r="B1927" s="8" t="s">
        <v>7</v>
      </c>
      <c r="C1927" s="8" t="s">
        <v>32</v>
      </c>
      <c r="D1927" s="8" t="s">
        <v>8</v>
      </c>
      <c r="E1927" s="8" t="s">
        <v>23</v>
      </c>
      <c r="F1927" s="8" t="s">
        <v>36</v>
      </c>
      <c r="G1927" s="8">
        <v>2016</v>
      </c>
      <c r="H1927" s="8">
        <v>7</v>
      </c>
      <c r="I1927" s="10">
        <v>42552</v>
      </c>
      <c r="J1927" s="11">
        <v>2630</v>
      </c>
      <c r="K1927" s="51"/>
      <c r="O1927" s="1" t="s">
        <v>7</v>
      </c>
      <c r="P1927" s="1" t="s">
        <v>32</v>
      </c>
      <c r="Q1927" s="1" t="s">
        <v>8</v>
      </c>
      <c r="R1927" s="1" t="s">
        <v>23</v>
      </c>
      <c r="S1927" s="1" t="s">
        <v>36</v>
      </c>
      <c r="T1927" s="1">
        <v>2016</v>
      </c>
      <c r="U1927" s="1">
        <v>7</v>
      </c>
      <c r="V1927" s="50">
        <v>42552</v>
      </c>
      <c r="W1927" s="4">
        <v>2393.2999999999997</v>
      </c>
      <c r="X1927" s="48">
        <v>2630</v>
      </c>
    </row>
    <row r="1928" spans="2:24" x14ac:dyDescent="0.35">
      <c r="B1928" s="8" t="s">
        <v>12</v>
      </c>
      <c r="C1928" s="8" t="s">
        <v>34</v>
      </c>
      <c r="D1928" s="8" t="s">
        <v>35</v>
      </c>
      <c r="E1928" s="8" t="s">
        <v>23</v>
      </c>
      <c r="F1928" s="8" t="s">
        <v>24</v>
      </c>
      <c r="G1928" s="8">
        <v>2016</v>
      </c>
      <c r="H1928" s="8">
        <v>7</v>
      </c>
      <c r="I1928" s="10">
        <v>42552</v>
      </c>
      <c r="J1928" s="11">
        <v>1556</v>
      </c>
      <c r="K1928" s="51"/>
      <c r="O1928" s="1" t="s">
        <v>12</v>
      </c>
      <c r="P1928" s="1" t="s">
        <v>34</v>
      </c>
      <c r="Q1928" s="1" t="s">
        <v>35</v>
      </c>
      <c r="R1928" s="1" t="s">
        <v>23</v>
      </c>
      <c r="S1928" s="1" t="s">
        <v>24</v>
      </c>
      <c r="T1928" s="1">
        <v>2016</v>
      </c>
      <c r="U1928" s="1">
        <v>7</v>
      </c>
      <c r="V1928" s="50">
        <v>42552</v>
      </c>
      <c r="W1928" s="4">
        <v>1384.84</v>
      </c>
      <c r="X1928" s="48">
        <v>1556</v>
      </c>
    </row>
    <row r="1929" spans="2:24" x14ac:dyDescent="0.35">
      <c r="B1929" s="8" t="s">
        <v>14</v>
      </c>
      <c r="C1929" s="8" t="s">
        <v>37</v>
      </c>
      <c r="D1929" s="8" t="s">
        <v>38</v>
      </c>
      <c r="E1929" s="8" t="s">
        <v>23</v>
      </c>
      <c r="F1929" s="8" t="s">
        <v>39</v>
      </c>
      <c r="G1929" s="8">
        <v>2016</v>
      </c>
      <c r="H1929" s="8">
        <v>7</v>
      </c>
      <c r="I1929" s="10">
        <v>42552</v>
      </c>
      <c r="J1929" s="11">
        <v>1729</v>
      </c>
      <c r="K1929" s="51"/>
      <c r="O1929" s="1" t="s">
        <v>14</v>
      </c>
      <c r="P1929" s="1" t="s">
        <v>37</v>
      </c>
      <c r="Q1929" s="1" t="s">
        <v>38</v>
      </c>
      <c r="R1929" s="1" t="s">
        <v>23</v>
      </c>
      <c r="S1929" s="1" t="s">
        <v>39</v>
      </c>
      <c r="T1929" s="1">
        <v>2016</v>
      </c>
      <c r="U1929" s="1">
        <v>7</v>
      </c>
      <c r="V1929" s="50">
        <v>42552</v>
      </c>
      <c r="W1929" s="4">
        <v>1556.1</v>
      </c>
      <c r="X1929" s="48">
        <v>1729</v>
      </c>
    </row>
    <row r="1930" spans="2:24" x14ac:dyDescent="0.35">
      <c r="B1930" s="8" t="s">
        <v>3</v>
      </c>
      <c r="C1930" s="8" t="s">
        <v>25</v>
      </c>
      <c r="D1930" s="8" t="s">
        <v>4</v>
      </c>
      <c r="E1930" s="8" t="s">
        <v>0</v>
      </c>
      <c r="F1930" s="6" t="s">
        <v>42</v>
      </c>
      <c r="G1930" s="8">
        <v>2016</v>
      </c>
      <c r="H1930" s="8">
        <v>7</v>
      </c>
      <c r="I1930" s="10">
        <v>42552</v>
      </c>
      <c r="J1930" s="11">
        <v>5942</v>
      </c>
      <c r="K1930" s="51"/>
      <c r="O1930" s="1" t="s">
        <v>3</v>
      </c>
      <c r="P1930" s="1" t="s">
        <v>25</v>
      </c>
      <c r="Q1930" s="1" t="s">
        <v>4</v>
      </c>
      <c r="R1930" s="1" t="s">
        <v>0</v>
      </c>
      <c r="S1930" t="s">
        <v>42</v>
      </c>
      <c r="T1930" s="1">
        <v>2016</v>
      </c>
      <c r="U1930" s="1">
        <v>7</v>
      </c>
      <c r="V1930" s="50">
        <v>42552</v>
      </c>
      <c r="W1930" s="4">
        <v>5288.3799999999992</v>
      </c>
      <c r="X1930" s="48">
        <v>5942</v>
      </c>
    </row>
    <row r="1931" spans="2:24" x14ac:dyDescent="0.35">
      <c r="B1931" s="8" t="s">
        <v>6</v>
      </c>
      <c r="C1931" s="8" t="s">
        <v>40</v>
      </c>
      <c r="D1931" s="8" t="s">
        <v>41</v>
      </c>
      <c r="E1931" s="8" t="s">
        <v>0</v>
      </c>
      <c r="F1931" s="6" t="s">
        <v>26</v>
      </c>
      <c r="G1931" s="8">
        <v>2016</v>
      </c>
      <c r="H1931" s="8">
        <v>7</v>
      </c>
      <c r="I1931" s="10">
        <v>42552</v>
      </c>
      <c r="J1931" s="11">
        <v>3554</v>
      </c>
      <c r="K1931" s="51"/>
      <c r="O1931" s="1" t="s">
        <v>6</v>
      </c>
      <c r="P1931" s="1" t="s">
        <v>40</v>
      </c>
      <c r="Q1931" s="1" t="s">
        <v>41</v>
      </c>
      <c r="R1931" s="1" t="s">
        <v>0</v>
      </c>
      <c r="S1931" t="s">
        <v>26</v>
      </c>
      <c r="T1931" s="1">
        <v>2016</v>
      </c>
      <c r="U1931" s="1">
        <v>7</v>
      </c>
      <c r="V1931" s="50">
        <v>42552</v>
      </c>
      <c r="W1931" s="4">
        <v>3056.4400000000005</v>
      </c>
      <c r="X1931" s="48">
        <v>3554</v>
      </c>
    </row>
    <row r="1932" spans="2:24" x14ac:dyDescent="0.35">
      <c r="B1932" s="8" t="s">
        <v>7</v>
      </c>
      <c r="C1932" s="8" t="s">
        <v>43</v>
      </c>
      <c r="D1932" s="8" t="s">
        <v>10</v>
      </c>
      <c r="E1932" s="8" t="s">
        <v>0</v>
      </c>
      <c r="F1932" s="6" t="s">
        <v>45</v>
      </c>
      <c r="G1932" s="8">
        <v>2016</v>
      </c>
      <c r="H1932" s="8">
        <v>7</v>
      </c>
      <c r="I1932" s="10">
        <v>42552</v>
      </c>
      <c r="J1932" s="11">
        <v>4833</v>
      </c>
      <c r="K1932" s="51"/>
      <c r="O1932" s="1" t="s">
        <v>7</v>
      </c>
      <c r="P1932" s="1" t="s">
        <v>43</v>
      </c>
      <c r="Q1932" s="1" t="s">
        <v>10</v>
      </c>
      <c r="R1932" s="1" t="s">
        <v>0</v>
      </c>
      <c r="S1932" t="s">
        <v>45</v>
      </c>
      <c r="T1932" s="1">
        <v>2016</v>
      </c>
      <c r="U1932" s="1">
        <v>7</v>
      </c>
      <c r="V1932" s="50">
        <v>42552</v>
      </c>
      <c r="W1932" s="4">
        <v>4494.6899999999996</v>
      </c>
      <c r="X1932" s="48">
        <v>4833</v>
      </c>
    </row>
    <row r="1933" spans="2:24" x14ac:dyDescent="0.35">
      <c r="B1933" s="8" t="s">
        <v>12</v>
      </c>
      <c r="C1933" s="8" t="s">
        <v>44</v>
      </c>
      <c r="D1933" s="8" t="s">
        <v>13</v>
      </c>
      <c r="E1933" s="9" t="s">
        <v>27</v>
      </c>
      <c r="F1933" s="9" t="s">
        <v>28</v>
      </c>
      <c r="G1933" s="8">
        <v>2016</v>
      </c>
      <c r="H1933" s="8">
        <v>7</v>
      </c>
      <c r="I1933" s="10">
        <v>42552</v>
      </c>
      <c r="J1933" s="11">
        <v>4557</v>
      </c>
      <c r="K1933" s="51"/>
      <c r="O1933" s="1" t="s">
        <v>12</v>
      </c>
      <c r="P1933" s="1" t="s">
        <v>44</v>
      </c>
      <c r="Q1933" s="1" t="s">
        <v>13</v>
      </c>
      <c r="R1933" s="2" t="s">
        <v>27</v>
      </c>
      <c r="S1933" s="2" t="s">
        <v>28</v>
      </c>
      <c r="T1933" s="1">
        <v>2016</v>
      </c>
      <c r="U1933" s="1">
        <v>7</v>
      </c>
      <c r="V1933" s="50">
        <v>42552</v>
      </c>
      <c r="W1933" s="4">
        <v>4146.87</v>
      </c>
      <c r="X1933" s="48">
        <v>4557</v>
      </c>
    </row>
    <row r="1934" spans="2:24" x14ac:dyDescent="0.35">
      <c r="B1934" s="8" t="s">
        <v>14</v>
      </c>
      <c r="C1934" s="8" t="s">
        <v>46</v>
      </c>
      <c r="D1934" s="8" t="s">
        <v>47</v>
      </c>
      <c r="E1934" s="8" t="s">
        <v>27</v>
      </c>
      <c r="F1934" s="9" t="s">
        <v>31</v>
      </c>
      <c r="G1934" s="8">
        <v>2016</v>
      </c>
      <c r="H1934" s="8">
        <v>7</v>
      </c>
      <c r="I1934" s="10">
        <v>42552</v>
      </c>
      <c r="J1934" s="11">
        <v>3574</v>
      </c>
      <c r="K1934" s="51"/>
      <c r="O1934" s="1" t="s">
        <v>14</v>
      </c>
      <c r="P1934" s="1" t="s">
        <v>46</v>
      </c>
      <c r="Q1934" s="1" t="s">
        <v>47</v>
      </c>
      <c r="R1934" s="1" t="s">
        <v>27</v>
      </c>
      <c r="S1934" s="2" t="s">
        <v>31</v>
      </c>
      <c r="T1934" s="1">
        <v>2016</v>
      </c>
      <c r="U1934" s="1">
        <v>7</v>
      </c>
      <c r="V1934" s="50">
        <v>42552</v>
      </c>
      <c r="W1934" s="4">
        <v>3109.3800000000006</v>
      </c>
      <c r="X1934" s="48">
        <v>3574</v>
      </c>
    </row>
    <row r="1935" spans="2:24" x14ac:dyDescent="0.35">
      <c r="B1935" s="8" t="s">
        <v>3</v>
      </c>
      <c r="C1935" s="8" t="s">
        <v>22</v>
      </c>
      <c r="D1935" s="8" t="s">
        <v>5</v>
      </c>
      <c r="E1935" s="8" t="s">
        <v>27</v>
      </c>
      <c r="F1935" s="6" t="s">
        <v>33</v>
      </c>
      <c r="G1935" s="8">
        <v>2016</v>
      </c>
      <c r="H1935" s="8">
        <v>7</v>
      </c>
      <c r="I1935" s="10">
        <v>42552</v>
      </c>
      <c r="J1935" s="11">
        <v>3108</v>
      </c>
      <c r="K1935" s="51"/>
      <c r="O1935" s="1" t="s">
        <v>3</v>
      </c>
      <c r="P1935" s="1" t="s">
        <v>22</v>
      </c>
      <c r="Q1935" s="1" t="s">
        <v>5</v>
      </c>
      <c r="R1935" s="1" t="s">
        <v>27</v>
      </c>
      <c r="S1935" t="s">
        <v>33</v>
      </c>
      <c r="T1935" s="1">
        <v>2016</v>
      </c>
      <c r="U1935" s="1">
        <v>7</v>
      </c>
      <c r="V1935" s="50">
        <v>42552</v>
      </c>
      <c r="W1935" s="4">
        <v>2672.88</v>
      </c>
      <c r="X1935" s="48">
        <v>3108</v>
      </c>
    </row>
    <row r="1936" spans="2:24" x14ac:dyDescent="0.35">
      <c r="B1936" s="8" t="s">
        <v>6</v>
      </c>
      <c r="C1936" s="8" t="s">
        <v>29</v>
      </c>
      <c r="D1936" s="8" t="s">
        <v>30</v>
      </c>
      <c r="E1936" s="8" t="s">
        <v>23</v>
      </c>
      <c r="F1936" s="8" t="s">
        <v>36</v>
      </c>
      <c r="G1936" s="8">
        <v>2016</v>
      </c>
      <c r="H1936" s="8">
        <v>7</v>
      </c>
      <c r="I1936" s="10">
        <v>42552</v>
      </c>
      <c r="J1936" s="11">
        <v>1909</v>
      </c>
      <c r="K1936" s="51"/>
      <c r="O1936" s="1" t="s">
        <v>6</v>
      </c>
      <c r="P1936" s="1" t="s">
        <v>29</v>
      </c>
      <c r="Q1936" s="1" t="s">
        <v>30</v>
      </c>
      <c r="R1936" s="1" t="s">
        <v>23</v>
      </c>
      <c r="S1936" s="1" t="s">
        <v>36</v>
      </c>
      <c r="T1936" s="1">
        <v>2016</v>
      </c>
      <c r="U1936" s="1">
        <v>7</v>
      </c>
      <c r="V1936" s="50">
        <v>42552</v>
      </c>
      <c r="W1936" s="4">
        <v>1756.2799999999997</v>
      </c>
      <c r="X1936" s="48">
        <v>1909</v>
      </c>
    </row>
    <row r="1937" spans="2:24" x14ac:dyDescent="0.35">
      <c r="B1937" s="8" t="s">
        <v>7</v>
      </c>
      <c r="C1937" s="8" t="s">
        <v>32</v>
      </c>
      <c r="D1937" s="8" t="s">
        <v>8</v>
      </c>
      <c r="E1937" s="8" t="s">
        <v>23</v>
      </c>
      <c r="F1937" s="8" t="s">
        <v>24</v>
      </c>
      <c r="G1937" s="8">
        <v>2016</v>
      </c>
      <c r="H1937" s="8">
        <v>7</v>
      </c>
      <c r="I1937" s="10">
        <v>42552</v>
      </c>
      <c r="J1937" s="11">
        <v>2351</v>
      </c>
      <c r="K1937" s="51"/>
      <c r="O1937" s="1" t="s">
        <v>7</v>
      </c>
      <c r="P1937" s="1" t="s">
        <v>32</v>
      </c>
      <c r="Q1937" s="1" t="s">
        <v>8</v>
      </c>
      <c r="R1937" s="1" t="s">
        <v>23</v>
      </c>
      <c r="S1937" s="1" t="s">
        <v>24</v>
      </c>
      <c r="T1937" s="1">
        <v>2016</v>
      </c>
      <c r="U1937" s="1">
        <v>7</v>
      </c>
      <c r="V1937" s="50">
        <v>42552</v>
      </c>
      <c r="W1937" s="4">
        <v>2209.94</v>
      </c>
      <c r="X1937" s="48">
        <v>2351</v>
      </c>
    </row>
    <row r="1938" spans="2:24" x14ac:dyDescent="0.35">
      <c r="B1938" s="8" t="s">
        <v>12</v>
      </c>
      <c r="C1938" s="8" t="s">
        <v>34</v>
      </c>
      <c r="D1938" s="8" t="s">
        <v>35</v>
      </c>
      <c r="E1938" s="8" t="s">
        <v>23</v>
      </c>
      <c r="F1938" s="8" t="s">
        <v>39</v>
      </c>
      <c r="G1938" s="8">
        <v>2016</v>
      </c>
      <c r="H1938" s="8">
        <v>7</v>
      </c>
      <c r="I1938" s="10">
        <v>42552</v>
      </c>
      <c r="J1938" s="11">
        <v>1631</v>
      </c>
      <c r="K1938" s="51"/>
      <c r="O1938" s="1" t="s">
        <v>12</v>
      </c>
      <c r="P1938" s="1" t="s">
        <v>34</v>
      </c>
      <c r="Q1938" s="1" t="s">
        <v>35</v>
      </c>
      <c r="R1938" s="1" t="s">
        <v>23</v>
      </c>
      <c r="S1938" s="1" t="s">
        <v>39</v>
      </c>
      <c r="T1938" s="1">
        <v>2016</v>
      </c>
      <c r="U1938" s="1">
        <v>7</v>
      </c>
      <c r="V1938" s="50">
        <v>42552</v>
      </c>
      <c r="W1938" s="4">
        <v>1516.83</v>
      </c>
      <c r="X1938" s="48">
        <v>1631</v>
      </c>
    </row>
    <row r="1939" spans="2:24" x14ac:dyDescent="0.35">
      <c r="B1939" s="8" t="s">
        <v>14</v>
      </c>
      <c r="C1939" s="8" t="s">
        <v>37</v>
      </c>
      <c r="D1939" s="8" t="s">
        <v>38</v>
      </c>
      <c r="E1939" s="8" t="s">
        <v>0</v>
      </c>
      <c r="F1939" s="6" t="s">
        <v>42</v>
      </c>
      <c r="G1939" s="8">
        <v>2016</v>
      </c>
      <c r="H1939" s="8">
        <v>7</v>
      </c>
      <c r="I1939" s="10">
        <v>42552</v>
      </c>
      <c r="J1939" s="11">
        <v>5302</v>
      </c>
      <c r="K1939" s="51"/>
      <c r="O1939" s="1" t="s">
        <v>14</v>
      </c>
      <c r="P1939" s="1" t="s">
        <v>37</v>
      </c>
      <c r="Q1939" s="1" t="s">
        <v>38</v>
      </c>
      <c r="R1939" s="1" t="s">
        <v>0</v>
      </c>
      <c r="S1939" t="s">
        <v>42</v>
      </c>
      <c r="T1939" s="1">
        <v>2016</v>
      </c>
      <c r="U1939" s="1">
        <v>7</v>
      </c>
      <c r="V1939" s="50">
        <v>42552</v>
      </c>
      <c r="W1939" s="4">
        <v>4612.7400000000007</v>
      </c>
      <c r="X1939" s="48">
        <v>5302</v>
      </c>
    </row>
    <row r="1940" spans="2:24" x14ac:dyDescent="0.35">
      <c r="B1940" s="8" t="s">
        <v>6</v>
      </c>
      <c r="C1940" s="8" t="s">
        <v>29</v>
      </c>
      <c r="D1940" s="8" t="s">
        <v>30</v>
      </c>
      <c r="E1940" s="8" t="s">
        <v>0</v>
      </c>
      <c r="F1940" s="6" t="s">
        <v>45</v>
      </c>
      <c r="G1940" s="8">
        <v>2016</v>
      </c>
      <c r="H1940" s="8">
        <v>7</v>
      </c>
      <c r="I1940" s="10">
        <v>42552</v>
      </c>
      <c r="J1940" s="11">
        <v>4023</v>
      </c>
      <c r="K1940" s="51"/>
      <c r="O1940" s="1" t="s">
        <v>6</v>
      </c>
      <c r="P1940" s="1" t="s">
        <v>29</v>
      </c>
      <c r="Q1940" s="1" t="s">
        <v>30</v>
      </c>
      <c r="R1940" s="1" t="s">
        <v>0</v>
      </c>
      <c r="S1940" t="s">
        <v>45</v>
      </c>
      <c r="T1940" s="1">
        <v>2016</v>
      </c>
      <c r="U1940" s="1">
        <v>7</v>
      </c>
      <c r="V1940" s="50">
        <v>42552</v>
      </c>
      <c r="W1940" s="4">
        <v>3580.47</v>
      </c>
      <c r="X1940" s="48">
        <v>4023</v>
      </c>
    </row>
    <row r="1941" spans="2:24" x14ac:dyDescent="0.35">
      <c r="B1941" s="8" t="s">
        <v>7</v>
      </c>
      <c r="C1941" s="8" t="s">
        <v>43</v>
      </c>
      <c r="D1941" s="8" t="s">
        <v>10</v>
      </c>
      <c r="E1941" s="8" t="s">
        <v>27</v>
      </c>
      <c r="F1941" s="6" t="s">
        <v>28</v>
      </c>
      <c r="G1941" s="8">
        <v>2016</v>
      </c>
      <c r="H1941" s="8">
        <v>7</v>
      </c>
      <c r="I1941" s="10">
        <v>42552</v>
      </c>
      <c r="J1941" s="11">
        <v>4657</v>
      </c>
      <c r="K1941" s="51"/>
      <c r="O1941" s="1" t="s">
        <v>7</v>
      </c>
      <c r="P1941" s="1" t="s">
        <v>43</v>
      </c>
      <c r="Q1941" s="1" t="s">
        <v>10</v>
      </c>
      <c r="R1941" s="1" t="s">
        <v>27</v>
      </c>
      <c r="S1941" t="s">
        <v>28</v>
      </c>
      <c r="T1941" s="1">
        <v>2016</v>
      </c>
      <c r="U1941" s="1">
        <v>7</v>
      </c>
      <c r="V1941" s="50">
        <v>42552</v>
      </c>
      <c r="W1941" s="4">
        <v>4005.0200000000004</v>
      </c>
      <c r="X1941" s="48">
        <v>4657</v>
      </c>
    </row>
    <row r="1942" spans="2:24" x14ac:dyDescent="0.35">
      <c r="B1942" s="8" t="s">
        <v>12</v>
      </c>
      <c r="C1942" s="8" t="s">
        <v>44</v>
      </c>
      <c r="D1942" s="8" t="s">
        <v>13</v>
      </c>
      <c r="E1942" s="9" t="s">
        <v>27</v>
      </c>
      <c r="F1942" s="9" t="s">
        <v>31</v>
      </c>
      <c r="G1942" s="8">
        <v>2016</v>
      </c>
      <c r="H1942" s="8">
        <v>7</v>
      </c>
      <c r="I1942" s="10">
        <v>42552</v>
      </c>
      <c r="J1942" s="11">
        <v>4836</v>
      </c>
      <c r="K1942" s="51"/>
      <c r="O1942" s="1" t="s">
        <v>12</v>
      </c>
      <c r="P1942" s="1" t="s">
        <v>44</v>
      </c>
      <c r="Q1942" s="1" t="s">
        <v>13</v>
      </c>
      <c r="R1942" s="2" t="s">
        <v>27</v>
      </c>
      <c r="S1942" s="2" t="s">
        <v>31</v>
      </c>
      <c r="T1942" s="1">
        <v>2016</v>
      </c>
      <c r="U1942" s="1">
        <v>7</v>
      </c>
      <c r="V1942" s="50">
        <v>42552</v>
      </c>
      <c r="W1942" s="4">
        <v>4110.6000000000004</v>
      </c>
      <c r="X1942" s="48">
        <v>4836</v>
      </c>
    </row>
    <row r="1943" spans="2:24" x14ac:dyDescent="0.35">
      <c r="B1943" s="8" t="s">
        <v>14</v>
      </c>
      <c r="C1943" s="8" t="s">
        <v>46</v>
      </c>
      <c r="D1943" s="8" t="s">
        <v>47</v>
      </c>
      <c r="E1943" s="8" t="s">
        <v>27</v>
      </c>
      <c r="F1943" s="9" t="s">
        <v>33</v>
      </c>
      <c r="G1943" s="8">
        <v>2016</v>
      </c>
      <c r="H1943" s="8">
        <v>7</v>
      </c>
      <c r="I1943" s="10">
        <v>42552</v>
      </c>
      <c r="J1943" s="11">
        <v>3992</v>
      </c>
      <c r="K1943" s="51"/>
      <c r="O1943" s="1" t="s">
        <v>14</v>
      </c>
      <c r="P1943" s="1" t="s">
        <v>46</v>
      </c>
      <c r="Q1943" s="1" t="s">
        <v>47</v>
      </c>
      <c r="R1943" s="1" t="s">
        <v>27</v>
      </c>
      <c r="S1943" s="2" t="s">
        <v>33</v>
      </c>
      <c r="T1943" s="1">
        <v>2016</v>
      </c>
      <c r="U1943" s="1">
        <v>7</v>
      </c>
      <c r="V1943" s="50">
        <v>42552</v>
      </c>
      <c r="W1943" s="4">
        <v>3632.72</v>
      </c>
      <c r="X1943" s="48">
        <v>3992</v>
      </c>
    </row>
    <row r="1944" spans="2:24" x14ac:dyDescent="0.35">
      <c r="B1944" s="8" t="s">
        <v>3</v>
      </c>
      <c r="C1944" s="8" t="s">
        <v>22</v>
      </c>
      <c r="D1944" s="8" t="s">
        <v>5</v>
      </c>
      <c r="E1944" s="8" t="s">
        <v>23</v>
      </c>
      <c r="F1944" s="6" t="s">
        <v>36</v>
      </c>
      <c r="G1944" s="8">
        <v>2016</v>
      </c>
      <c r="H1944" s="8">
        <v>7</v>
      </c>
      <c r="I1944" s="10">
        <v>42552</v>
      </c>
      <c r="J1944" s="11">
        <v>2953</v>
      </c>
      <c r="K1944" s="51"/>
      <c r="O1944" s="1" t="s">
        <v>3</v>
      </c>
      <c r="P1944" s="1" t="s">
        <v>22</v>
      </c>
      <c r="Q1944" s="1" t="s">
        <v>5</v>
      </c>
      <c r="R1944" s="1" t="s">
        <v>23</v>
      </c>
      <c r="S1944" t="s">
        <v>36</v>
      </c>
      <c r="T1944" s="1">
        <v>2016</v>
      </c>
      <c r="U1944" s="1">
        <v>7</v>
      </c>
      <c r="V1944" s="50">
        <v>42552</v>
      </c>
      <c r="W1944" s="4">
        <v>2628.1699999999996</v>
      </c>
      <c r="X1944" s="48">
        <v>2953</v>
      </c>
    </row>
    <row r="1945" spans="2:24" x14ac:dyDescent="0.35">
      <c r="B1945" s="8" t="s">
        <v>6</v>
      </c>
      <c r="C1945" s="8" t="s">
        <v>40</v>
      </c>
      <c r="D1945" s="8" t="s">
        <v>41</v>
      </c>
      <c r="E1945" s="8" t="s">
        <v>23</v>
      </c>
      <c r="F1945" s="8" t="s">
        <v>24</v>
      </c>
      <c r="G1945" s="8">
        <v>2016</v>
      </c>
      <c r="H1945" s="8">
        <v>7</v>
      </c>
      <c r="I1945" s="10">
        <v>42552</v>
      </c>
      <c r="J1945" s="11">
        <v>2041</v>
      </c>
      <c r="K1945" s="51"/>
      <c r="O1945" s="1" t="s">
        <v>6</v>
      </c>
      <c r="P1945" s="1" t="s">
        <v>40</v>
      </c>
      <c r="Q1945" s="1" t="s">
        <v>41</v>
      </c>
      <c r="R1945" s="1" t="s">
        <v>23</v>
      </c>
      <c r="S1945" s="1" t="s">
        <v>24</v>
      </c>
      <c r="T1945" s="1">
        <v>2016</v>
      </c>
      <c r="U1945" s="1">
        <v>7</v>
      </c>
      <c r="V1945" s="50">
        <v>42552</v>
      </c>
      <c r="W1945" s="4">
        <v>1898.1299999999999</v>
      </c>
      <c r="X1945" s="48">
        <v>2041</v>
      </c>
    </row>
    <row r="1946" spans="2:24" x14ac:dyDescent="0.35">
      <c r="B1946" s="8" t="s">
        <v>7</v>
      </c>
      <c r="C1946" s="8" t="s">
        <v>32</v>
      </c>
      <c r="D1946" s="8" t="s">
        <v>8</v>
      </c>
      <c r="E1946" s="8" t="s">
        <v>23</v>
      </c>
      <c r="F1946" s="8" t="s">
        <v>39</v>
      </c>
      <c r="G1946" s="8">
        <v>2016</v>
      </c>
      <c r="H1946" s="8">
        <v>7</v>
      </c>
      <c r="I1946" s="10">
        <v>42552</v>
      </c>
      <c r="J1946" s="11">
        <v>2470</v>
      </c>
      <c r="K1946" s="51"/>
      <c r="O1946" s="1" t="s">
        <v>7</v>
      </c>
      <c r="P1946" s="1" t="s">
        <v>32</v>
      </c>
      <c r="Q1946" s="1" t="s">
        <v>8</v>
      </c>
      <c r="R1946" s="1" t="s">
        <v>23</v>
      </c>
      <c r="S1946" s="1" t="s">
        <v>39</v>
      </c>
      <c r="T1946" s="1">
        <v>2016</v>
      </c>
      <c r="U1946" s="1">
        <v>7</v>
      </c>
      <c r="V1946" s="50">
        <v>42552</v>
      </c>
      <c r="W1946" s="4">
        <v>2198.2999999999997</v>
      </c>
      <c r="X1946" s="48">
        <v>2470</v>
      </c>
    </row>
    <row r="1947" spans="2:24" x14ac:dyDescent="0.35">
      <c r="B1947" s="8" t="s">
        <v>12</v>
      </c>
      <c r="C1947" s="8" t="s">
        <v>34</v>
      </c>
      <c r="D1947" s="8" t="s">
        <v>35</v>
      </c>
      <c r="E1947" s="8" t="s">
        <v>0</v>
      </c>
      <c r="F1947" s="8" t="s">
        <v>42</v>
      </c>
      <c r="G1947" s="8">
        <v>2016</v>
      </c>
      <c r="H1947" s="8">
        <v>7</v>
      </c>
      <c r="I1947" s="10">
        <v>42552</v>
      </c>
      <c r="J1947" s="11">
        <v>5152</v>
      </c>
      <c r="K1947" s="51"/>
      <c r="O1947" s="1" t="s">
        <v>12</v>
      </c>
      <c r="P1947" s="1" t="s">
        <v>34</v>
      </c>
      <c r="Q1947" s="1" t="s">
        <v>35</v>
      </c>
      <c r="R1947" s="1" t="s">
        <v>0</v>
      </c>
      <c r="S1947" s="1" t="s">
        <v>42</v>
      </c>
      <c r="T1947" s="1">
        <v>2016</v>
      </c>
      <c r="U1947" s="1">
        <v>7</v>
      </c>
      <c r="V1947" s="50">
        <v>42552</v>
      </c>
      <c r="W1947" s="4">
        <v>4585.28</v>
      </c>
      <c r="X1947" s="48">
        <v>5152</v>
      </c>
    </row>
    <row r="1948" spans="2:24" x14ac:dyDescent="0.35">
      <c r="B1948" s="8" t="s">
        <v>14</v>
      </c>
      <c r="C1948" s="8" t="s">
        <v>37</v>
      </c>
      <c r="D1948" s="8" t="s">
        <v>38</v>
      </c>
      <c r="E1948" s="8" t="s">
        <v>0</v>
      </c>
      <c r="F1948" s="6" t="s">
        <v>26</v>
      </c>
      <c r="G1948" s="8">
        <v>2016</v>
      </c>
      <c r="H1948" s="8">
        <v>7</v>
      </c>
      <c r="I1948" s="10">
        <v>42552</v>
      </c>
      <c r="J1948" s="11">
        <v>3721</v>
      </c>
      <c r="K1948" s="51"/>
      <c r="O1948" s="1" t="s">
        <v>14</v>
      </c>
      <c r="P1948" s="1" t="s">
        <v>37</v>
      </c>
      <c r="Q1948" s="1" t="s">
        <v>38</v>
      </c>
      <c r="R1948" s="1" t="s">
        <v>0</v>
      </c>
      <c r="S1948" t="s">
        <v>26</v>
      </c>
      <c r="T1948" s="1">
        <v>2016</v>
      </c>
      <c r="U1948" s="1">
        <v>7</v>
      </c>
      <c r="V1948" s="50">
        <v>42552</v>
      </c>
      <c r="W1948" s="4">
        <v>3497.74</v>
      </c>
      <c r="X1948" s="48">
        <v>3721</v>
      </c>
    </row>
    <row r="1949" spans="2:24" x14ac:dyDescent="0.35">
      <c r="B1949" s="8" t="s">
        <v>3</v>
      </c>
      <c r="C1949" s="8" t="s">
        <v>25</v>
      </c>
      <c r="D1949" s="8" t="s">
        <v>4</v>
      </c>
      <c r="E1949" s="8" t="s">
        <v>0</v>
      </c>
      <c r="F1949" s="6" t="s">
        <v>45</v>
      </c>
      <c r="G1949" s="8">
        <v>2016</v>
      </c>
      <c r="H1949" s="8">
        <v>7</v>
      </c>
      <c r="I1949" s="10">
        <v>42552</v>
      </c>
      <c r="J1949" s="11">
        <v>2131</v>
      </c>
      <c r="K1949" s="51"/>
      <c r="O1949" s="1" t="s">
        <v>3</v>
      </c>
      <c r="P1949" s="1" t="s">
        <v>25</v>
      </c>
      <c r="Q1949" s="1" t="s">
        <v>4</v>
      </c>
      <c r="R1949" s="1" t="s">
        <v>0</v>
      </c>
      <c r="S1949" t="s">
        <v>45</v>
      </c>
      <c r="T1949" s="1">
        <v>2016</v>
      </c>
      <c r="U1949" s="1">
        <v>7</v>
      </c>
      <c r="V1949" s="50">
        <v>42552</v>
      </c>
      <c r="W1949" s="4">
        <v>1960.5199999999998</v>
      </c>
      <c r="X1949" s="48">
        <v>2131</v>
      </c>
    </row>
    <row r="1950" spans="2:24" x14ac:dyDescent="0.35">
      <c r="B1950" s="8" t="s">
        <v>6</v>
      </c>
      <c r="C1950" s="8" t="s">
        <v>29</v>
      </c>
      <c r="D1950" s="8" t="s">
        <v>30</v>
      </c>
      <c r="E1950" s="8" t="s">
        <v>27</v>
      </c>
      <c r="F1950" s="6" t="s">
        <v>28</v>
      </c>
      <c r="G1950" s="8">
        <v>2016</v>
      </c>
      <c r="H1950" s="8">
        <v>7</v>
      </c>
      <c r="I1950" s="10">
        <v>42552</v>
      </c>
      <c r="J1950" s="11">
        <v>4949</v>
      </c>
      <c r="K1950" s="51"/>
      <c r="O1950" s="1" t="s">
        <v>6</v>
      </c>
      <c r="P1950" s="1" t="s">
        <v>29</v>
      </c>
      <c r="Q1950" s="1" t="s">
        <v>30</v>
      </c>
      <c r="R1950" s="1" t="s">
        <v>27</v>
      </c>
      <c r="S1950" t="s">
        <v>28</v>
      </c>
      <c r="T1950" s="1">
        <v>2016</v>
      </c>
      <c r="U1950" s="1">
        <v>7</v>
      </c>
      <c r="V1950" s="50">
        <v>42552</v>
      </c>
      <c r="W1950" s="4">
        <v>4355.119999999999</v>
      </c>
      <c r="X1950" s="48">
        <v>4949</v>
      </c>
    </row>
    <row r="1951" spans="2:24" x14ac:dyDescent="0.35">
      <c r="B1951" s="8" t="s">
        <v>7</v>
      </c>
      <c r="C1951" s="8" t="s">
        <v>43</v>
      </c>
      <c r="D1951" s="8" t="s">
        <v>10</v>
      </c>
      <c r="E1951" s="9" t="s">
        <v>27</v>
      </c>
      <c r="F1951" s="9" t="s">
        <v>31</v>
      </c>
      <c r="G1951" s="8">
        <v>2016</v>
      </c>
      <c r="H1951" s="8">
        <v>7</v>
      </c>
      <c r="I1951" s="10">
        <v>42552</v>
      </c>
      <c r="J1951" s="11">
        <v>4969</v>
      </c>
      <c r="K1951" s="51"/>
      <c r="O1951" s="1" t="s">
        <v>7</v>
      </c>
      <c r="P1951" s="1" t="s">
        <v>43</v>
      </c>
      <c r="Q1951" s="1" t="s">
        <v>10</v>
      </c>
      <c r="R1951" s="2" t="s">
        <v>27</v>
      </c>
      <c r="S1951" s="2" t="s">
        <v>31</v>
      </c>
      <c r="T1951" s="1">
        <v>2016</v>
      </c>
      <c r="U1951" s="1">
        <v>7</v>
      </c>
      <c r="V1951" s="50">
        <v>42552</v>
      </c>
      <c r="W1951" s="4">
        <v>4521.79</v>
      </c>
      <c r="X1951" s="48">
        <v>4969</v>
      </c>
    </row>
    <row r="1952" spans="2:24" x14ac:dyDescent="0.35">
      <c r="B1952" s="8" t="s">
        <v>12</v>
      </c>
      <c r="C1952" s="8" t="s">
        <v>44</v>
      </c>
      <c r="D1952" s="8" t="s">
        <v>13</v>
      </c>
      <c r="E1952" s="8" t="s">
        <v>27</v>
      </c>
      <c r="F1952" s="9" t="s">
        <v>33</v>
      </c>
      <c r="G1952" s="8">
        <v>2016</v>
      </c>
      <c r="H1952" s="8">
        <v>7</v>
      </c>
      <c r="I1952" s="10">
        <v>42552</v>
      </c>
      <c r="J1952" s="11">
        <v>3117</v>
      </c>
      <c r="K1952" s="51"/>
      <c r="O1952" s="1" t="s">
        <v>12</v>
      </c>
      <c r="P1952" s="1" t="s">
        <v>44</v>
      </c>
      <c r="Q1952" s="1" t="s">
        <v>13</v>
      </c>
      <c r="R1952" s="1" t="s">
        <v>27</v>
      </c>
      <c r="S1952" s="2" t="s">
        <v>33</v>
      </c>
      <c r="T1952" s="1">
        <v>2016</v>
      </c>
      <c r="U1952" s="1">
        <v>7</v>
      </c>
      <c r="V1952" s="50">
        <v>42552</v>
      </c>
      <c r="W1952" s="4">
        <v>2711.7900000000004</v>
      </c>
      <c r="X1952" s="48">
        <v>3117</v>
      </c>
    </row>
    <row r="1953" spans="2:24" x14ac:dyDescent="0.35">
      <c r="B1953" s="8" t="s">
        <v>14</v>
      </c>
      <c r="C1953" s="8" t="s">
        <v>46</v>
      </c>
      <c r="D1953" s="8" t="s">
        <v>47</v>
      </c>
      <c r="E1953" s="8" t="s">
        <v>23</v>
      </c>
      <c r="F1953" s="6" t="s">
        <v>36</v>
      </c>
      <c r="G1953" s="8">
        <v>2016</v>
      </c>
      <c r="H1953" s="8">
        <v>7</v>
      </c>
      <c r="I1953" s="10">
        <v>42552</v>
      </c>
      <c r="J1953" s="11">
        <v>1664</v>
      </c>
      <c r="K1953" s="51"/>
      <c r="O1953" s="1" t="s">
        <v>14</v>
      </c>
      <c r="P1953" s="1" t="s">
        <v>46</v>
      </c>
      <c r="Q1953" s="1" t="s">
        <v>47</v>
      </c>
      <c r="R1953" s="1" t="s">
        <v>23</v>
      </c>
      <c r="S1953" t="s">
        <v>36</v>
      </c>
      <c r="T1953" s="1">
        <v>2016</v>
      </c>
      <c r="U1953" s="1">
        <v>7</v>
      </c>
      <c r="V1953" s="50">
        <v>42552</v>
      </c>
      <c r="W1953" s="4">
        <v>1414.4</v>
      </c>
      <c r="X1953" s="48">
        <v>1664</v>
      </c>
    </row>
    <row r="1954" spans="2:24" x14ac:dyDescent="0.35">
      <c r="B1954" s="8" t="s">
        <v>6</v>
      </c>
      <c r="C1954" s="8" t="s">
        <v>29</v>
      </c>
      <c r="D1954" s="8" t="s">
        <v>30</v>
      </c>
      <c r="E1954" s="8" t="s">
        <v>23</v>
      </c>
      <c r="F1954" s="8" t="s">
        <v>39</v>
      </c>
      <c r="G1954" s="8">
        <v>2016</v>
      </c>
      <c r="H1954" s="8">
        <v>7</v>
      </c>
      <c r="I1954" s="10">
        <v>42552</v>
      </c>
      <c r="J1954" s="11">
        <v>2708</v>
      </c>
      <c r="K1954" s="51"/>
      <c r="O1954" s="1" t="s">
        <v>6</v>
      </c>
      <c r="P1954" s="1" t="s">
        <v>29</v>
      </c>
      <c r="Q1954" s="1" t="s">
        <v>30</v>
      </c>
      <c r="R1954" s="1" t="s">
        <v>23</v>
      </c>
      <c r="S1954" s="1" t="s">
        <v>39</v>
      </c>
      <c r="T1954" s="1">
        <v>2016</v>
      </c>
      <c r="U1954" s="1">
        <v>7</v>
      </c>
      <c r="V1954" s="50">
        <v>42552</v>
      </c>
      <c r="W1954" s="4">
        <v>2355.96</v>
      </c>
      <c r="X1954" s="48">
        <v>2708</v>
      </c>
    </row>
    <row r="1955" spans="2:24" x14ac:dyDescent="0.35">
      <c r="B1955" s="8" t="s">
        <v>7</v>
      </c>
      <c r="C1955" s="8" t="s">
        <v>32</v>
      </c>
      <c r="D1955" s="8" t="s">
        <v>8</v>
      </c>
      <c r="E1955" s="8" t="s">
        <v>0</v>
      </c>
      <c r="F1955" s="8" t="s">
        <v>42</v>
      </c>
      <c r="G1955" s="8">
        <v>2016</v>
      </c>
      <c r="H1955" s="8">
        <v>7</v>
      </c>
      <c r="I1955" s="10">
        <v>42552</v>
      </c>
      <c r="J1955" s="11">
        <v>5713</v>
      </c>
      <c r="K1955" s="51"/>
      <c r="O1955" s="1" t="s">
        <v>7</v>
      </c>
      <c r="P1955" s="1" t="s">
        <v>32</v>
      </c>
      <c r="Q1955" s="1" t="s">
        <v>8</v>
      </c>
      <c r="R1955" s="1" t="s">
        <v>0</v>
      </c>
      <c r="S1955" s="1" t="s">
        <v>42</v>
      </c>
      <c r="T1955" s="1">
        <v>2016</v>
      </c>
      <c r="U1955" s="1">
        <v>7</v>
      </c>
      <c r="V1955" s="50">
        <v>42552</v>
      </c>
      <c r="W1955" s="4">
        <v>4970.3100000000004</v>
      </c>
      <c r="X1955" s="48">
        <v>5713</v>
      </c>
    </row>
    <row r="1956" spans="2:24" x14ac:dyDescent="0.35">
      <c r="B1956" s="8" t="s">
        <v>12</v>
      </c>
      <c r="C1956" s="8" t="s">
        <v>44</v>
      </c>
      <c r="D1956" s="8" t="s">
        <v>13</v>
      </c>
      <c r="E1956" s="8" t="s">
        <v>0</v>
      </c>
      <c r="F1956" s="8" t="s">
        <v>26</v>
      </c>
      <c r="G1956" s="8">
        <v>2016</v>
      </c>
      <c r="H1956" s="8">
        <v>7</v>
      </c>
      <c r="I1956" s="10">
        <v>42552</v>
      </c>
      <c r="J1956" s="11">
        <v>4593</v>
      </c>
      <c r="K1956" s="51"/>
      <c r="O1956" s="1" t="s">
        <v>12</v>
      </c>
      <c r="P1956" s="1" t="s">
        <v>44</v>
      </c>
      <c r="Q1956" s="1" t="s">
        <v>13</v>
      </c>
      <c r="R1956" s="1" t="s">
        <v>0</v>
      </c>
      <c r="S1956" s="1" t="s">
        <v>26</v>
      </c>
      <c r="T1956" s="1">
        <v>2016</v>
      </c>
      <c r="U1956" s="1">
        <v>7</v>
      </c>
      <c r="V1956" s="50">
        <v>42552</v>
      </c>
      <c r="W1956" s="4">
        <v>3949.9800000000005</v>
      </c>
      <c r="X1956" s="48">
        <v>4593</v>
      </c>
    </row>
    <row r="1957" spans="2:24" x14ac:dyDescent="0.35">
      <c r="B1957" s="8" t="s">
        <v>14</v>
      </c>
      <c r="C1957" s="8" t="s">
        <v>37</v>
      </c>
      <c r="D1957" s="8" t="s">
        <v>38</v>
      </c>
      <c r="E1957" s="8" t="s">
        <v>0</v>
      </c>
      <c r="F1957" s="6" t="s">
        <v>45</v>
      </c>
      <c r="G1957" s="8">
        <v>2016</v>
      </c>
      <c r="H1957" s="8">
        <v>7</v>
      </c>
      <c r="I1957" s="10">
        <v>42552</v>
      </c>
      <c r="J1957" s="11">
        <v>2945</v>
      </c>
      <c r="K1957" s="51"/>
      <c r="O1957" s="1" t="s">
        <v>14</v>
      </c>
      <c r="P1957" s="1" t="s">
        <v>37</v>
      </c>
      <c r="Q1957" s="1" t="s">
        <v>38</v>
      </c>
      <c r="R1957" s="1" t="s">
        <v>0</v>
      </c>
      <c r="S1957" t="s">
        <v>45</v>
      </c>
      <c r="T1957" s="1">
        <v>2016</v>
      </c>
      <c r="U1957" s="1">
        <v>7</v>
      </c>
      <c r="V1957" s="50">
        <v>42552</v>
      </c>
      <c r="W1957" s="4">
        <v>2591.5999999999995</v>
      </c>
      <c r="X1957" s="48">
        <v>2945</v>
      </c>
    </row>
    <row r="1958" spans="2:24" x14ac:dyDescent="0.35">
      <c r="B1958" s="8" t="s">
        <v>3</v>
      </c>
      <c r="C1958" s="8" t="s">
        <v>25</v>
      </c>
      <c r="D1958" s="8" t="s">
        <v>4</v>
      </c>
      <c r="E1958" s="8" t="s">
        <v>27</v>
      </c>
      <c r="F1958" s="6" t="s">
        <v>28</v>
      </c>
      <c r="G1958" s="8">
        <v>2016</v>
      </c>
      <c r="H1958" s="8">
        <v>7</v>
      </c>
      <c r="I1958" s="10">
        <v>42552</v>
      </c>
      <c r="J1958" s="11">
        <v>4123</v>
      </c>
      <c r="K1958" s="51"/>
      <c r="O1958" s="1" t="s">
        <v>3</v>
      </c>
      <c r="P1958" s="1" t="s">
        <v>25</v>
      </c>
      <c r="Q1958" s="1" t="s">
        <v>4</v>
      </c>
      <c r="R1958" s="1" t="s">
        <v>27</v>
      </c>
      <c r="S1958" t="s">
        <v>28</v>
      </c>
      <c r="T1958" s="1">
        <v>2016</v>
      </c>
      <c r="U1958" s="1">
        <v>7</v>
      </c>
      <c r="V1958" s="50">
        <v>42552</v>
      </c>
      <c r="W1958" s="4">
        <v>3587.01</v>
      </c>
      <c r="X1958" s="48">
        <v>4123</v>
      </c>
    </row>
    <row r="1959" spans="2:24" x14ac:dyDescent="0.35">
      <c r="B1959" s="8" t="s">
        <v>3</v>
      </c>
      <c r="C1959" s="8" t="s">
        <v>25</v>
      </c>
      <c r="D1959" s="8" t="s">
        <v>4</v>
      </c>
      <c r="E1959" s="8" t="s">
        <v>27</v>
      </c>
      <c r="F1959" s="6" t="s">
        <v>31</v>
      </c>
      <c r="G1959" s="8">
        <v>2016</v>
      </c>
      <c r="H1959" s="8">
        <v>7</v>
      </c>
      <c r="I1959" s="10">
        <v>42552</v>
      </c>
      <c r="J1959" s="11">
        <v>4922</v>
      </c>
      <c r="K1959" s="51"/>
      <c r="O1959" s="1" t="s">
        <v>3</v>
      </c>
      <c r="P1959" s="1" t="s">
        <v>25</v>
      </c>
      <c r="Q1959" s="1" t="s">
        <v>4</v>
      </c>
      <c r="R1959" s="1" t="s">
        <v>27</v>
      </c>
      <c r="S1959" t="s">
        <v>31</v>
      </c>
      <c r="T1959" s="1">
        <v>2016</v>
      </c>
      <c r="U1959" s="1">
        <v>7</v>
      </c>
      <c r="V1959" s="50">
        <v>42552</v>
      </c>
      <c r="W1959" s="4">
        <v>4183.7000000000007</v>
      </c>
      <c r="X1959" s="48">
        <v>4922</v>
      </c>
    </row>
    <row r="1960" spans="2:24" x14ac:dyDescent="0.35">
      <c r="B1960" s="8" t="s">
        <v>6</v>
      </c>
      <c r="C1960" s="8" t="s">
        <v>40</v>
      </c>
      <c r="D1960" s="8" t="s">
        <v>41</v>
      </c>
      <c r="E1960" s="9" t="s">
        <v>27</v>
      </c>
      <c r="F1960" s="9" t="s">
        <v>33</v>
      </c>
      <c r="G1960" s="8">
        <v>2016</v>
      </c>
      <c r="H1960" s="8">
        <v>7</v>
      </c>
      <c r="I1960" s="10">
        <v>42552</v>
      </c>
      <c r="J1960" s="11">
        <v>3853</v>
      </c>
      <c r="K1960" s="51"/>
      <c r="O1960" s="1" t="s">
        <v>6</v>
      </c>
      <c r="P1960" s="1" t="s">
        <v>40</v>
      </c>
      <c r="Q1960" s="1" t="s">
        <v>41</v>
      </c>
      <c r="R1960" s="2" t="s">
        <v>27</v>
      </c>
      <c r="S1960" s="2" t="s">
        <v>33</v>
      </c>
      <c r="T1960" s="1">
        <v>2016</v>
      </c>
      <c r="U1960" s="1">
        <v>7</v>
      </c>
      <c r="V1960" s="50">
        <v>42552</v>
      </c>
      <c r="W1960" s="4">
        <v>3390.6399999999994</v>
      </c>
      <c r="X1960" s="48">
        <v>3853</v>
      </c>
    </row>
    <row r="1961" spans="2:24" x14ac:dyDescent="0.35">
      <c r="B1961" s="8" t="s">
        <v>6</v>
      </c>
      <c r="C1961" s="8" t="s">
        <v>40</v>
      </c>
      <c r="D1961" s="8" t="s">
        <v>41</v>
      </c>
      <c r="E1961" s="8" t="s">
        <v>23</v>
      </c>
      <c r="F1961" s="9" t="s">
        <v>36</v>
      </c>
      <c r="G1961" s="8">
        <v>2016</v>
      </c>
      <c r="H1961" s="8">
        <v>7</v>
      </c>
      <c r="I1961" s="10">
        <v>42552</v>
      </c>
      <c r="J1961" s="11">
        <v>2673</v>
      </c>
      <c r="K1961" s="51"/>
      <c r="O1961" s="1" t="s">
        <v>6</v>
      </c>
      <c r="P1961" s="1" t="s">
        <v>40</v>
      </c>
      <c r="Q1961" s="1" t="s">
        <v>41</v>
      </c>
      <c r="R1961" s="1" t="s">
        <v>23</v>
      </c>
      <c r="S1961" s="2" t="s">
        <v>36</v>
      </c>
      <c r="T1961" s="1">
        <v>2016</v>
      </c>
      <c r="U1961" s="1">
        <v>7</v>
      </c>
      <c r="V1961" s="50">
        <v>42552</v>
      </c>
      <c r="W1961" s="4">
        <v>2298.7800000000002</v>
      </c>
      <c r="X1961" s="48">
        <v>2673</v>
      </c>
    </row>
    <row r="1962" spans="2:24" x14ac:dyDescent="0.35">
      <c r="B1962" s="8" t="s">
        <v>7</v>
      </c>
      <c r="C1962" s="8" t="s">
        <v>43</v>
      </c>
      <c r="D1962" s="8" t="s">
        <v>10</v>
      </c>
      <c r="E1962" s="8" t="s">
        <v>23</v>
      </c>
      <c r="F1962" s="6" t="s">
        <v>24</v>
      </c>
      <c r="G1962" s="8">
        <v>2016</v>
      </c>
      <c r="H1962" s="8">
        <v>7</v>
      </c>
      <c r="I1962" s="10">
        <v>42552</v>
      </c>
      <c r="J1962" s="11">
        <v>1733</v>
      </c>
      <c r="K1962" s="51"/>
      <c r="O1962" s="1" t="s">
        <v>7</v>
      </c>
      <c r="P1962" s="1" t="s">
        <v>43</v>
      </c>
      <c r="Q1962" s="1" t="s">
        <v>10</v>
      </c>
      <c r="R1962" s="1" t="s">
        <v>23</v>
      </c>
      <c r="S1962" t="s">
        <v>24</v>
      </c>
      <c r="T1962" s="1">
        <v>2016</v>
      </c>
      <c r="U1962" s="1">
        <v>7</v>
      </c>
      <c r="V1962" s="50">
        <v>42552</v>
      </c>
      <c r="W1962" s="4">
        <v>1525.0399999999997</v>
      </c>
      <c r="X1962" s="48">
        <v>1733</v>
      </c>
    </row>
    <row r="1963" spans="2:24" x14ac:dyDescent="0.35">
      <c r="B1963" s="8" t="s">
        <v>7</v>
      </c>
      <c r="C1963" s="8" t="s">
        <v>43</v>
      </c>
      <c r="D1963" s="8" t="s">
        <v>10</v>
      </c>
      <c r="E1963" s="8" t="s">
        <v>23</v>
      </c>
      <c r="F1963" s="8" t="s">
        <v>39</v>
      </c>
      <c r="G1963" s="8">
        <v>2016</v>
      </c>
      <c r="H1963" s="8">
        <v>7</v>
      </c>
      <c r="I1963" s="10">
        <v>42552</v>
      </c>
      <c r="J1963" s="11">
        <v>1484</v>
      </c>
      <c r="K1963" s="51"/>
      <c r="O1963" s="1" t="s">
        <v>7</v>
      </c>
      <c r="P1963" s="1" t="s">
        <v>43</v>
      </c>
      <c r="Q1963" s="1" t="s">
        <v>10</v>
      </c>
      <c r="R1963" s="1" t="s">
        <v>23</v>
      </c>
      <c r="S1963" s="1" t="s">
        <v>39</v>
      </c>
      <c r="T1963" s="1">
        <v>2016</v>
      </c>
      <c r="U1963" s="1">
        <v>7</v>
      </c>
      <c r="V1963" s="50">
        <v>42552</v>
      </c>
      <c r="W1963" s="4">
        <v>1335.6</v>
      </c>
      <c r="X1963" s="48">
        <v>1484</v>
      </c>
    </row>
    <row r="1964" spans="2:24" x14ac:dyDescent="0.35">
      <c r="B1964" s="8" t="s">
        <v>7</v>
      </c>
      <c r="C1964" s="8" t="s">
        <v>32</v>
      </c>
      <c r="D1964" s="8" t="s">
        <v>8</v>
      </c>
      <c r="E1964" s="8" t="s">
        <v>0</v>
      </c>
      <c r="F1964" s="8" t="s">
        <v>26</v>
      </c>
      <c r="G1964" s="8">
        <v>2016</v>
      </c>
      <c r="H1964" s="8">
        <v>7</v>
      </c>
      <c r="I1964" s="10">
        <v>42552</v>
      </c>
      <c r="J1964" s="11">
        <v>4584</v>
      </c>
      <c r="K1964" s="51"/>
      <c r="O1964" s="1" t="s">
        <v>7</v>
      </c>
      <c r="P1964" s="1" t="s">
        <v>32</v>
      </c>
      <c r="Q1964" s="1" t="s">
        <v>8</v>
      </c>
      <c r="R1964" s="1" t="s">
        <v>0</v>
      </c>
      <c r="S1964" s="1" t="s">
        <v>26</v>
      </c>
      <c r="T1964" s="1">
        <v>2016</v>
      </c>
      <c r="U1964" s="1">
        <v>7</v>
      </c>
      <c r="V1964" s="50">
        <v>42552</v>
      </c>
      <c r="W1964" s="4">
        <v>3988.0800000000004</v>
      </c>
      <c r="X1964" s="48">
        <v>4584</v>
      </c>
    </row>
    <row r="1965" spans="2:24" x14ac:dyDescent="0.35">
      <c r="B1965" s="8" t="s">
        <v>3</v>
      </c>
      <c r="C1965" s="8" t="s">
        <v>22</v>
      </c>
      <c r="D1965" s="8" t="s">
        <v>5</v>
      </c>
      <c r="E1965" s="8" t="s">
        <v>0</v>
      </c>
      <c r="F1965" s="8" t="s">
        <v>45</v>
      </c>
      <c r="G1965" s="8">
        <v>2016</v>
      </c>
      <c r="H1965" s="8">
        <v>7</v>
      </c>
      <c r="I1965" s="10">
        <v>42552</v>
      </c>
      <c r="J1965" s="11">
        <v>4605</v>
      </c>
      <c r="K1965" s="51"/>
      <c r="O1965" s="1" t="s">
        <v>3</v>
      </c>
      <c r="P1965" s="1" t="s">
        <v>22</v>
      </c>
      <c r="Q1965" s="1" t="s">
        <v>5</v>
      </c>
      <c r="R1965" s="1" t="s">
        <v>0</v>
      </c>
      <c r="S1965" s="1" t="s">
        <v>45</v>
      </c>
      <c r="T1965" s="1">
        <v>2016</v>
      </c>
      <c r="U1965" s="1">
        <v>7</v>
      </c>
      <c r="V1965" s="50">
        <v>42552</v>
      </c>
      <c r="W1965" s="4">
        <v>3960.3</v>
      </c>
      <c r="X1965" s="48">
        <v>4605</v>
      </c>
    </row>
    <row r="1966" spans="2:24" x14ac:dyDescent="0.35">
      <c r="B1966" s="8" t="s">
        <v>7</v>
      </c>
      <c r="C1966" s="8" t="s">
        <v>48</v>
      </c>
      <c r="D1966" s="8" t="s">
        <v>9</v>
      </c>
      <c r="E1966" s="8" t="s">
        <v>23</v>
      </c>
      <c r="F1966" s="6" t="s">
        <v>36</v>
      </c>
      <c r="G1966" s="8">
        <v>2016</v>
      </c>
      <c r="H1966" s="8">
        <v>7</v>
      </c>
      <c r="I1966" s="10">
        <v>42552</v>
      </c>
      <c r="J1966" s="11">
        <v>2636</v>
      </c>
      <c r="K1966" s="51"/>
      <c r="O1966" s="1" t="s">
        <v>7</v>
      </c>
      <c r="P1966" s="1" t="s">
        <v>48</v>
      </c>
      <c r="Q1966" s="1" t="s">
        <v>9</v>
      </c>
      <c r="R1966" s="1" t="s">
        <v>23</v>
      </c>
      <c r="S1966" t="s">
        <v>36</v>
      </c>
      <c r="T1966" s="1">
        <v>2016</v>
      </c>
      <c r="U1966" s="1">
        <v>7</v>
      </c>
      <c r="V1966" s="50">
        <v>42552</v>
      </c>
      <c r="W1966" s="4">
        <v>2319.6799999999998</v>
      </c>
      <c r="X1966" s="48">
        <v>2636</v>
      </c>
    </row>
    <row r="1967" spans="2:24" x14ac:dyDescent="0.35">
      <c r="B1967" s="8" t="s">
        <v>7</v>
      </c>
      <c r="C1967" s="8" t="s">
        <v>48</v>
      </c>
      <c r="D1967" s="8" t="s">
        <v>9</v>
      </c>
      <c r="E1967" s="8" t="s">
        <v>23</v>
      </c>
      <c r="F1967" s="6" t="s">
        <v>24</v>
      </c>
      <c r="G1967" s="8">
        <v>2016</v>
      </c>
      <c r="H1967" s="8">
        <v>7</v>
      </c>
      <c r="I1967" s="10">
        <v>42552</v>
      </c>
      <c r="J1967" s="11">
        <v>2169</v>
      </c>
      <c r="K1967" s="51"/>
      <c r="O1967" s="1" t="s">
        <v>7</v>
      </c>
      <c r="P1967" s="1" t="s">
        <v>48</v>
      </c>
      <c r="Q1967" s="1" t="s">
        <v>9</v>
      </c>
      <c r="R1967" s="1" t="s">
        <v>23</v>
      </c>
      <c r="S1967" t="s">
        <v>24</v>
      </c>
      <c r="T1967" s="1">
        <v>2016</v>
      </c>
      <c r="U1967" s="1">
        <v>7</v>
      </c>
      <c r="V1967" s="50">
        <v>42552</v>
      </c>
      <c r="W1967" s="4">
        <v>1865.3400000000001</v>
      </c>
      <c r="X1967" s="48">
        <v>2169</v>
      </c>
    </row>
    <row r="1968" spans="2:24" x14ac:dyDescent="0.35">
      <c r="B1968" s="8" t="s">
        <v>7</v>
      </c>
      <c r="C1968" s="8" t="s">
        <v>49</v>
      </c>
      <c r="D1968" s="8" t="s">
        <v>11</v>
      </c>
      <c r="E1968" s="8" t="s">
        <v>23</v>
      </c>
      <c r="F1968" s="6" t="s">
        <v>39</v>
      </c>
      <c r="G1968" s="8">
        <v>2016</v>
      </c>
      <c r="H1968" s="8">
        <v>7</v>
      </c>
      <c r="I1968" s="10">
        <v>42552</v>
      </c>
      <c r="J1968" s="11">
        <v>2659</v>
      </c>
      <c r="K1968" s="51"/>
      <c r="O1968" s="1" t="s">
        <v>7</v>
      </c>
      <c r="P1968" s="1" t="s">
        <v>49</v>
      </c>
      <c r="Q1968" s="1" t="s">
        <v>11</v>
      </c>
      <c r="R1968" s="1" t="s">
        <v>23</v>
      </c>
      <c r="S1968" t="s">
        <v>39</v>
      </c>
      <c r="T1968" s="1">
        <v>2016</v>
      </c>
      <c r="U1968" s="1">
        <v>7</v>
      </c>
      <c r="V1968" s="50">
        <v>42552</v>
      </c>
      <c r="W1968" s="4">
        <v>2393.1</v>
      </c>
      <c r="X1968" s="48">
        <v>2659</v>
      </c>
    </row>
    <row r="1969" spans="2:24" x14ac:dyDescent="0.35">
      <c r="B1969" s="8" t="s">
        <v>7</v>
      </c>
      <c r="C1969" s="8" t="s">
        <v>49</v>
      </c>
      <c r="D1969" s="8" t="s">
        <v>11</v>
      </c>
      <c r="E1969" s="9" t="s">
        <v>0</v>
      </c>
      <c r="F1969" s="9" t="s">
        <v>42</v>
      </c>
      <c r="G1969" s="8">
        <v>2016</v>
      </c>
      <c r="H1969" s="8">
        <v>7</v>
      </c>
      <c r="I1969" s="10">
        <v>42552</v>
      </c>
      <c r="J1969" s="11">
        <v>5020</v>
      </c>
      <c r="K1969" s="51"/>
      <c r="O1969" s="1" t="s">
        <v>7</v>
      </c>
      <c r="P1969" s="1" t="s">
        <v>49</v>
      </c>
      <c r="Q1969" s="1" t="s">
        <v>11</v>
      </c>
      <c r="R1969" s="2" t="s">
        <v>0</v>
      </c>
      <c r="S1969" s="2" t="s">
        <v>42</v>
      </c>
      <c r="T1969" s="1">
        <v>2016</v>
      </c>
      <c r="U1969" s="1">
        <v>7</v>
      </c>
      <c r="V1969" s="50">
        <v>42552</v>
      </c>
      <c r="W1969" s="4">
        <v>4668.5999999999995</v>
      </c>
      <c r="X1969" s="48">
        <v>5020</v>
      </c>
    </row>
    <row r="1970" spans="2:24" x14ac:dyDescent="0.35">
      <c r="B1970" s="8" t="s">
        <v>12</v>
      </c>
      <c r="C1970" s="8" t="s">
        <v>34</v>
      </c>
      <c r="D1970" s="8" t="s">
        <v>35</v>
      </c>
      <c r="E1970" s="8" t="s">
        <v>0</v>
      </c>
      <c r="F1970" s="9" t="s">
        <v>26</v>
      </c>
      <c r="G1970" s="8">
        <v>2016</v>
      </c>
      <c r="H1970" s="8">
        <v>7</v>
      </c>
      <c r="I1970" s="10">
        <v>42552</v>
      </c>
      <c r="J1970" s="11">
        <v>5242</v>
      </c>
      <c r="K1970" s="51"/>
      <c r="O1970" s="1" t="s">
        <v>12</v>
      </c>
      <c r="P1970" s="1" t="s">
        <v>34</v>
      </c>
      <c r="Q1970" s="1" t="s">
        <v>35</v>
      </c>
      <c r="R1970" s="1" t="s">
        <v>0</v>
      </c>
      <c r="S1970" s="2" t="s">
        <v>26</v>
      </c>
      <c r="T1970" s="1">
        <v>2016</v>
      </c>
      <c r="U1970" s="1">
        <v>7</v>
      </c>
      <c r="V1970" s="50">
        <v>42552</v>
      </c>
      <c r="W1970" s="4">
        <v>4560.5400000000009</v>
      </c>
      <c r="X1970" s="48">
        <v>5242</v>
      </c>
    </row>
    <row r="1971" spans="2:24" x14ac:dyDescent="0.35">
      <c r="B1971" s="8" t="s">
        <v>12</v>
      </c>
      <c r="C1971" s="8" t="s">
        <v>34</v>
      </c>
      <c r="D1971" s="8" t="s">
        <v>35</v>
      </c>
      <c r="E1971" s="8" t="s">
        <v>0</v>
      </c>
      <c r="F1971" s="6" t="s">
        <v>45</v>
      </c>
      <c r="G1971" s="8">
        <v>2016</v>
      </c>
      <c r="H1971" s="8">
        <v>7</v>
      </c>
      <c r="I1971" s="10">
        <v>42552</v>
      </c>
      <c r="J1971" s="11">
        <v>2149</v>
      </c>
      <c r="K1971" s="51"/>
      <c r="O1971" s="1" t="s">
        <v>12</v>
      </c>
      <c r="P1971" s="1" t="s">
        <v>34</v>
      </c>
      <c r="Q1971" s="1" t="s">
        <v>35</v>
      </c>
      <c r="R1971" s="1" t="s">
        <v>0</v>
      </c>
      <c r="S1971" t="s">
        <v>45</v>
      </c>
      <c r="T1971" s="1">
        <v>2016</v>
      </c>
      <c r="U1971" s="1">
        <v>7</v>
      </c>
      <c r="V1971" s="50">
        <v>42552</v>
      </c>
      <c r="W1971" s="4">
        <v>1998.57</v>
      </c>
      <c r="X1971" s="48">
        <v>2149</v>
      </c>
    </row>
    <row r="1972" spans="2:24" x14ac:dyDescent="0.35">
      <c r="B1972" s="8" t="s">
        <v>14</v>
      </c>
      <c r="C1972" s="8" t="s">
        <v>37</v>
      </c>
      <c r="D1972" s="8" t="s">
        <v>38</v>
      </c>
      <c r="E1972" s="8" t="s">
        <v>27</v>
      </c>
      <c r="F1972" s="8" t="s">
        <v>28</v>
      </c>
      <c r="G1972" s="8">
        <v>2016</v>
      </c>
      <c r="H1972" s="8">
        <v>7</v>
      </c>
      <c r="I1972" s="10">
        <v>42552</v>
      </c>
      <c r="J1972" s="11">
        <v>3671</v>
      </c>
      <c r="K1972" s="51"/>
      <c r="O1972" s="1" t="s">
        <v>14</v>
      </c>
      <c r="P1972" s="1" t="s">
        <v>37</v>
      </c>
      <c r="Q1972" s="1" t="s">
        <v>38</v>
      </c>
      <c r="R1972" s="1" t="s">
        <v>27</v>
      </c>
      <c r="S1972" s="1" t="s">
        <v>28</v>
      </c>
      <c r="T1972" s="1">
        <v>2016</v>
      </c>
      <c r="U1972" s="1">
        <v>7</v>
      </c>
      <c r="V1972" s="50">
        <v>42552</v>
      </c>
      <c r="W1972" s="4">
        <v>3157.0600000000004</v>
      </c>
      <c r="X1972" s="48">
        <v>3671</v>
      </c>
    </row>
    <row r="1973" spans="2:24" x14ac:dyDescent="0.35">
      <c r="B1973" s="8" t="s">
        <v>14</v>
      </c>
      <c r="C1973" s="8" t="s">
        <v>37</v>
      </c>
      <c r="D1973" s="8" t="s">
        <v>38</v>
      </c>
      <c r="E1973" s="8" t="s">
        <v>27</v>
      </c>
      <c r="F1973" s="8" t="s">
        <v>31</v>
      </c>
      <c r="G1973" s="8">
        <v>2016</v>
      </c>
      <c r="H1973" s="8">
        <v>7</v>
      </c>
      <c r="I1973" s="10">
        <v>42552</v>
      </c>
      <c r="J1973" s="11">
        <v>2703</v>
      </c>
      <c r="K1973" s="51"/>
      <c r="O1973" s="1" t="s">
        <v>14</v>
      </c>
      <c r="P1973" s="1" t="s">
        <v>37</v>
      </c>
      <c r="Q1973" s="1" t="s">
        <v>38</v>
      </c>
      <c r="R1973" s="1" t="s">
        <v>27</v>
      </c>
      <c r="S1973" s="1" t="s">
        <v>31</v>
      </c>
      <c r="T1973" s="1">
        <v>2016</v>
      </c>
      <c r="U1973" s="1">
        <v>7</v>
      </c>
      <c r="V1973" s="50">
        <v>42552</v>
      </c>
      <c r="W1973" s="4">
        <v>2540.8199999999997</v>
      </c>
      <c r="X1973" s="48">
        <v>2703</v>
      </c>
    </row>
    <row r="1974" spans="2:24" x14ac:dyDescent="0.35">
      <c r="B1974" s="8" t="s">
        <v>12</v>
      </c>
      <c r="C1974" s="8" t="s">
        <v>44</v>
      </c>
      <c r="D1974" s="8" t="s">
        <v>13</v>
      </c>
      <c r="E1974" s="8" t="s">
        <v>23</v>
      </c>
      <c r="F1974" s="8" t="s">
        <v>36</v>
      </c>
      <c r="G1974" s="8">
        <v>2016</v>
      </c>
      <c r="H1974" s="8">
        <v>7</v>
      </c>
      <c r="I1974" s="10">
        <v>42552</v>
      </c>
      <c r="J1974" s="11">
        <v>2101</v>
      </c>
      <c r="K1974" s="51"/>
      <c r="O1974" s="1" t="s">
        <v>12</v>
      </c>
      <c r="P1974" s="1" t="s">
        <v>44</v>
      </c>
      <c r="Q1974" s="1" t="s">
        <v>13</v>
      </c>
      <c r="R1974" s="1" t="s">
        <v>23</v>
      </c>
      <c r="S1974" s="1" t="s">
        <v>36</v>
      </c>
      <c r="T1974" s="1">
        <v>2016</v>
      </c>
      <c r="U1974" s="1">
        <v>7</v>
      </c>
      <c r="V1974" s="50">
        <v>42552</v>
      </c>
      <c r="W1974" s="4">
        <v>1848.8799999999997</v>
      </c>
      <c r="X1974" s="48">
        <v>2101</v>
      </c>
    </row>
    <row r="1975" spans="2:24" x14ac:dyDescent="0.35">
      <c r="B1975" s="8" t="s">
        <v>14</v>
      </c>
      <c r="C1975" s="8" t="s">
        <v>46</v>
      </c>
      <c r="D1975" s="8" t="s">
        <v>47</v>
      </c>
      <c r="E1975" s="8" t="s">
        <v>23</v>
      </c>
      <c r="F1975" s="6" t="s">
        <v>24</v>
      </c>
      <c r="G1975" s="8">
        <v>2016</v>
      </c>
      <c r="H1975" s="8">
        <v>7</v>
      </c>
      <c r="I1975" s="10">
        <v>42552</v>
      </c>
      <c r="J1975" s="11">
        <v>3282</v>
      </c>
      <c r="K1975" s="51"/>
      <c r="O1975" s="1" t="s">
        <v>14</v>
      </c>
      <c r="P1975" s="1" t="s">
        <v>46</v>
      </c>
      <c r="Q1975" s="1" t="s">
        <v>47</v>
      </c>
      <c r="R1975" s="1" t="s">
        <v>23</v>
      </c>
      <c r="S1975" t="s">
        <v>24</v>
      </c>
      <c r="T1975" s="1">
        <v>2016</v>
      </c>
      <c r="U1975" s="1">
        <v>7</v>
      </c>
      <c r="V1975" s="50">
        <v>42552</v>
      </c>
      <c r="W1975" s="4">
        <v>2986.62</v>
      </c>
      <c r="X1975" s="48">
        <v>3282</v>
      </c>
    </row>
    <row r="1976" spans="2:24" x14ac:dyDescent="0.35">
      <c r="B1976" s="8" t="s">
        <v>14</v>
      </c>
      <c r="C1976" s="8" t="s">
        <v>46</v>
      </c>
      <c r="D1976" s="8" t="s">
        <v>47</v>
      </c>
      <c r="E1976" s="8" t="s">
        <v>23</v>
      </c>
      <c r="F1976" s="6" t="s">
        <v>39</v>
      </c>
      <c r="G1976" s="8">
        <v>2016</v>
      </c>
      <c r="H1976" s="8">
        <v>7</v>
      </c>
      <c r="I1976" s="10">
        <v>42552</v>
      </c>
      <c r="J1976" s="11">
        <v>1925</v>
      </c>
      <c r="K1976" s="51"/>
      <c r="O1976" s="1" t="s">
        <v>14</v>
      </c>
      <c r="P1976" s="1" t="s">
        <v>46</v>
      </c>
      <c r="Q1976" s="1" t="s">
        <v>47</v>
      </c>
      <c r="R1976" s="1" t="s">
        <v>23</v>
      </c>
      <c r="S1976" t="s">
        <v>39</v>
      </c>
      <c r="T1976" s="1">
        <v>2016</v>
      </c>
      <c r="U1976" s="1">
        <v>7</v>
      </c>
      <c r="V1976" s="50">
        <v>42552</v>
      </c>
      <c r="W1976" s="4">
        <v>1693.9999999999998</v>
      </c>
      <c r="X1976" s="48">
        <v>1925</v>
      </c>
    </row>
    <row r="1977" spans="2:24" x14ac:dyDescent="0.35">
      <c r="B1977" s="8" t="s">
        <v>7</v>
      </c>
      <c r="C1977" s="8" t="s">
        <v>43</v>
      </c>
      <c r="D1977" s="8" t="s">
        <v>10</v>
      </c>
      <c r="E1977" s="8" t="s">
        <v>0</v>
      </c>
      <c r="F1977" s="6" t="s">
        <v>42</v>
      </c>
      <c r="G1977" s="8">
        <v>2016</v>
      </c>
      <c r="H1977" s="8">
        <v>7</v>
      </c>
      <c r="I1977" s="10">
        <v>42552</v>
      </c>
      <c r="J1977" s="11">
        <v>6379</v>
      </c>
      <c r="K1977" s="51"/>
      <c r="O1977" s="1" t="s">
        <v>7</v>
      </c>
      <c r="P1977" s="1" t="s">
        <v>43</v>
      </c>
      <c r="Q1977" s="1" t="s">
        <v>10</v>
      </c>
      <c r="R1977" s="1" t="s">
        <v>0</v>
      </c>
      <c r="S1977" t="s">
        <v>42</v>
      </c>
      <c r="T1977" s="1">
        <v>2016</v>
      </c>
      <c r="U1977" s="1">
        <v>7</v>
      </c>
      <c r="V1977" s="50">
        <v>42552</v>
      </c>
      <c r="W1977" s="4">
        <v>5677.3099999999995</v>
      </c>
      <c r="X1977" s="48">
        <v>6379</v>
      </c>
    </row>
    <row r="1978" spans="2:24" x14ac:dyDescent="0.35">
      <c r="B1978" s="8" t="s">
        <v>6</v>
      </c>
      <c r="C1978" s="8" t="s">
        <v>40</v>
      </c>
      <c r="D1978" s="8" t="s">
        <v>41</v>
      </c>
      <c r="E1978" s="9" t="s">
        <v>27</v>
      </c>
      <c r="F1978" s="9" t="s">
        <v>31</v>
      </c>
      <c r="G1978" s="8">
        <v>2016</v>
      </c>
      <c r="H1978" s="8">
        <v>7</v>
      </c>
      <c r="I1978" s="10">
        <v>42552</v>
      </c>
      <c r="J1978" s="11">
        <v>5597</v>
      </c>
      <c r="K1978" s="51"/>
      <c r="O1978" s="1" t="s">
        <v>6</v>
      </c>
      <c r="P1978" s="1" t="s">
        <v>40</v>
      </c>
      <c r="Q1978" s="1" t="s">
        <v>41</v>
      </c>
      <c r="R1978" s="2" t="s">
        <v>27</v>
      </c>
      <c r="S1978" s="2" t="s">
        <v>31</v>
      </c>
      <c r="T1978" s="1">
        <v>2016</v>
      </c>
      <c r="U1978" s="1">
        <v>7</v>
      </c>
      <c r="V1978" s="50">
        <v>42552</v>
      </c>
      <c r="W1978" s="4">
        <v>5037.2999999999993</v>
      </c>
      <c r="X1978" s="48">
        <v>5597</v>
      </c>
    </row>
    <row r="1979" spans="2:24" x14ac:dyDescent="0.35">
      <c r="B1979" s="8" t="s">
        <v>3</v>
      </c>
      <c r="C1979" s="8" t="s">
        <v>22</v>
      </c>
      <c r="D1979" s="8" t="s">
        <v>5</v>
      </c>
      <c r="E1979" s="8" t="s">
        <v>23</v>
      </c>
      <c r="F1979" s="9" t="s">
        <v>39</v>
      </c>
      <c r="G1979" s="8">
        <v>2016</v>
      </c>
      <c r="H1979" s="8">
        <v>7</v>
      </c>
      <c r="I1979" s="10">
        <v>42552</v>
      </c>
      <c r="J1979" s="11">
        <v>2406</v>
      </c>
      <c r="K1979" s="51"/>
      <c r="O1979" s="1" t="s">
        <v>3</v>
      </c>
      <c r="P1979" s="1" t="s">
        <v>22</v>
      </c>
      <c r="Q1979" s="1" t="s">
        <v>5</v>
      </c>
      <c r="R1979" s="1" t="s">
        <v>23</v>
      </c>
      <c r="S1979" s="2" t="s">
        <v>39</v>
      </c>
      <c r="T1979" s="1">
        <v>2016</v>
      </c>
      <c r="U1979" s="1">
        <v>7</v>
      </c>
      <c r="V1979" s="50">
        <v>42552</v>
      </c>
      <c r="W1979" s="4">
        <v>2213.52</v>
      </c>
      <c r="X1979" s="48">
        <v>2406</v>
      </c>
    </row>
    <row r="1980" spans="2:24" x14ac:dyDescent="0.35">
      <c r="B1980" s="8" t="s">
        <v>3</v>
      </c>
      <c r="C1980" s="8" t="s">
        <v>22</v>
      </c>
      <c r="D1980" s="8" t="s">
        <v>5</v>
      </c>
      <c r="E1980" s="8" t="s">
        <v>0</v>
      </c>
      <c r="F1980" s="6" t="s">
        <v>42</v>
      </c>
      <c r="G1980" s="8">
        <v>2016</v>
      </c>
      <c r="H1980" s="8">
        <v>7</v>
      </c>
      <c r="I1980" s="10">
        <v>42552</v>
      </c>
      <c r="J1980" s="11">
        <v>6538</v>
      </c>
      <c r="K1980" s="51"/>
      <c r="O1980" s="1" t="s">
        <v>3</v>
      </c>
      <c r="P1980" s="1" t="s">
        <v>22</v>
      </c>
      <c r="Q1980" s="1" t="s">
        <v>5</v>
      </c>
      <c r="R1980" s="1" t="s">
        <v>0</v>
      </c>
      <c r="S1980" t="s">
        <v>42</v>
      </c>
      <c r="T1980" s="1">
        <v>2016</v>
      </c>
      <c r="U1980" s="1">
        <v>7</v>
      </c>
      <c r="V1980" s="50">
        <v>42552</v>
      </c>
      <c r="W1980" s="4">
        <v>6080.3399999999992</v>
      </c>
      <c r="X1980" s="48">
        <v>6538</v>
      </c>
    </row>
    <row r="1981" spans="2:24" x14ac:dyDescent="0.35">
      <c r="B1981" s="8" t="s">
        <v>6</v>
      </c>
      <c r="C1981" s="8" t="s">
        <v>29</v>
      </c>
      <c r="D1981" s="8" t="s">
        <v>30</v>
      </c>
      <c r="E1981" s="8" t="s">
        <v>0</v>
      </c>
      <c r="F1981" s="8" t="s">
        <v>26</v>
      </c>
      <c r="G1981" s="8">
        <v>2016</v>
      </c>
      <c r="H1981" s="8">
        <v>7</v>
      </c>
      <c r="I1981" s="10">
        <v>42552</v>
      </c>
      <c r="J1981" s="11">
        <v>4335</v>
      </c>
      <c r="K1981" s="51"/>
      <c r="O1981" s="1" t="s">
        <v>6</v>
      </c>
      <c r="P1981" s="1" t="s">
        <v>29</v>
      </c>
      <c r="Q1981" s="1" t="s">
        <v>30</v>
      </c>
      <c r="R1981" s="1" t="s">
        <v>0</v>
      </c>
      <c r="S1981" s="1" t="s">
        <v>26</v>
      </c>
      <c r="T1981" s="1">
        <v>2016</v>
      </c>
      <c r="U1981" s="1">
        <v>7</v>
      </c>
      <c r="V1981" s="50">
        <v>42552</v>
      </c>
      <c r="W1981" s="4">
        <v>3814.7999999999993</v>
      </c>
      <c r="X1981" s="48">
        <v>4335</v>
      </c>
    </row>
    <row r="1982" spans="2:24" x14ac:dyDescent="0.35">
      <c r="B1982" s="8" t="s">
        <v>7</v>
      </c>
      <c r="C1982" s="8" t="s">
        <v>48</v>
      </c>
      <c r="D1982" s="8" t="s">
        <v>9</v>
      </c>
      <c r="E1982" s="8" t="s">
        <v>27</v>
      </c>
      <c r="F1982" s="8" t="s">
        <v>28</v>
      </c>
      <c r="G1982" s="8">
        <v>2016</v>
      </c>
      <c r="H1982" s="8">
        <v>7</v>
      </c>
      <c r="I1982" s="10">
        <v>42552</v>
      </c>
      <c r="J1982" s="11">
        <v>4936</v>
      </c>
      <c r="K1982" s="51"/>
      <c r="O1982" s="1" t="s">
        <v>7</v>
      </c>
      <c r="P1982" s="1" t="s">
        <v>48</v>
      </c>
      <c r="Q1982" s="1" t="s">
        <v>9</v>
      </c>
      <c r="R1982" s="1" t="s">
        <v>27</v>
      </c>
      <c r="S1982" s="1" t="s">
        <v>28</v>
      </c>
      <c r="T1982" s="1">
        <v>2016</v>
      </c>
      <c r="U1982" s="1">
        <v>7</v>
      </c>
      <c r="V1982" s="50">
        <v>42552</v>
      </c>
      <c r="W1982" s="4">
        <v>4195.6000000000004</v>
      </c>
      <c r="X1982" s="48">
        <v>4936</v>
      </c>
    </row>
    <row r="1983" spans="2:24" x14ac:dyDescent="0.35">
      <c r="B1983" s="8" t="s">
        <v>7</v>
      </c>
      <c r="C1983" s="8" t="s">
        <v>48</v>
      </c>
      <c r="D1983" s="8" t="s">
        <v>9</v>
      </c>
      <c r="E1983" s="8" t="s">
        <v>27</v>
      </c>
      <c r="F1983" s="8" t="s">
        <v>31</v>
      </c>
      <c r="G1983" s="8">
        <v>2016</v>
      </c>
      <c r="H1983" s="8">
        <v>7</v>
      </c>
      <c r="I1983" s="10">
        <v>42552</v>
      </c>
      <c r="J1983" s="11">
        <v>3708</v>
      </c>
      <c r="K1983" s="51"/>
      <c r="O1983" s="1" t="s">
        <v>7</v>
      </c>
      <c r="P1983" s="1" t="s">
        <v>48</v>
      </c>
      <c r="Q1983" s="1" t="s">
        <v>9</v>
      </c>
      <c r="R1983" s="1" t="s">
        <v>27</v>
      </c>
      <c r="S1983" s="1" t="s">
        <v>31</v>
      </c>
      <c r="T1983" s="1">
        <v>2016</v>
      </c>
      <c r="U1983" s="1">
        <v>7</v>
      </c>
      <c r="V1983" s="50">
        <v>42552</v>
      </c>
      <c r="W1983" s="4">
        <v>3411.3599999999997</v>
      </c>
      <c r="X1983" s="48">
        <v>3708</v>
      </c>
    </row>
    <row r="1984" spans="2:24" x14ac:dyDescent="0.35">
      <c r="B1984" s="8" t="s">
        <v>7</v>
      </c>
      <c r="C1984" s="8" t="s">
        <v>49</v>
      </c>
      <c r="D1984" s="8" t="s">
        <v>11</v>
      </c>
      <c r="E1984" s="8" t="s">
        <v>27</v>
      </c>
      <c r="F1984" s="6" t="s">
        <v>33</v>
      </c>
      <c r="G1984" s="8">
        <v>2016</v>
      </c>
      <c r="H1984" s="8">
        <v>7</v>
      </c>
      <c r="I1984" s="10">
        <v>42552</v>
      </c>
      <c r="J1984" s="11">
        <v>3128</v>
      </c>
      <c r="K1984" s="51"/>
      <c r="O1984" s="1" t="s">
        <v>7</v>
      </c>
      <c r="P1984" s="1" t="s">
        <v>49</v>
      </c>
      <c r="Q1984" s="1" t="s">
        <v>11</v>
      </c>
      <c r="R1984" s="1" t="s">
        <v>27</v>
      </c>
      <c r="S1984" t="s">
        <v>33</v>
      </c>
      <c r="T1984" s="1">
        <v>2016</v>
      </c>
      <c r="U1984" s="1">
        <v>7</v>
      </c>
      <c r="V1984" s="50">
        <v>42552</v>
      </c>
      <c r="W1984" s="4">
        <v>2783.9199999999996</v>
      </c>
      <c r="X1984" s="48">
        <v>3128</v>
      </c>
    </row>
    <row r="1985" spans="2:24" x14ac:dyDescent="0.35">
      <c r="B1985" s="8" t="s">
        <v>7</v>
      </c>
      <c r="C1985" s="8" t="s">
        <v>49</v>
      </c>
      <c r="D1985" s="8" t="s">
        <v>11</v>
      </c>
      <c r="E1985" s="8" t="s">
        <v>23</v>
      </c>
      <c r="F1985" s="6" t="s">
        <v>36</v>
      </c>
      <c r="G1985" s="8">
        <v>2016</v>
      </c>
      <c r="H1985" s="8">
        <v>7</v>
      </c>
      <c r="I1985" s="10">
        <v>42552</v>
      </c>
      <c r="J1985" s="11">
        <v>2232</v>
      </c>
      <c r="K1985" s="51"/>
      <c r="O1985" s="1" t="s">
        <v>7</v>
      </c>
      <c r="P1985" s="1" t="s">
        <v>49</v>
      </c>
      <c r="Q1985" s="1" t="s">
        <v>11</v>
      </c>
      <c r="R1985" s="1" t="s">
        <v>23</v>
      </c>
      <c r="S1985" t="s">
        <v>36</v>
      </c>
      <c r="T1985" s="1">
        <v>2016</v>
      </c>
      <c r="U1985" s="1">
        <v>7</v>
      </c>
      <c r="V1985" s="50">
        <v>42552</v>
      </c>
      <c r="W1985" s="4">
        <v>1986.4799999999998</v>
      </c>
      <c r="X1985" s="48">
        <v>2232</v>
      </c>
    </row>
    <row r="1986" spans="2:24" x14ac:dyDescent="0.35">
      <c r="B1986" s="8" t="s">
        <v>7</v>
      </c>
      <c r="C1986" s="8" t="s">
        <v>43</v>
      </c>
      <c r="D1986" s="8" t="s">
        <v>10</v>
      </c>
      <c r="E1986" s="8" t="s">
        <v>23</v>
      </c>
      <c r="F1986" s="6" t="s">
        <v>36</v>
      </c>
      <c r="G1986" s="8">
        <v>2016</v>
      </c>
      <c r="H1986" s="8">
        <v>7</v>
      </c>
      <c r="I1986" s="10">
        <v>42552</v>
      </c>
      <c r="J1986" s="11">
        <v>1933</v>
      </c>
      <c r="K1986" s="51"/>
      <c r="O1986" s="1" t="s">
        <v>7</v>
      </c>
      <c r="P1986" s="1" t="s">
        <v>43</v>
      </c>
      <c r="Q1986" s="1" t="s">
        <v>10</v>
      </c>
      <c r="R1986" s="1" t="s">
        <v>23</v>
      </c>
      <c r="S1986" t="s">
        <v>36</v>
      </c>
      <c r="T1986" s="1">
        <v>2016</v>
      </c>
      <c r="U1986" s="1">
        <v>7</v>
      </c>
      <c r="V1986" s="50">
        <v>42552</v>
      </c>
      <c r="W1986" s="4">
        <v>1720.37</v>
      </c>
      <c r="X1986" s="48">
        <v>1933</v>
      </c>
    </row>
    <row r="1987" spans="2:24" x14ac:dyDescent="0.35">
      <c r="B1987" s="8" t="s">
        <v>6</v>
      </c>
      <c r="C1987" s="8" t="s">
        <v>40</v>
      </c>
      <c r="D1987" s="8" t="s">
        <v>41</v>
      </c>
      <c r="E1987" s="9" t="s">
        <v>0</v>
      </c>
      <c r="F1987" s="9" t="s">
        <v>45</v>
      </c>
      <c r="G1987" s="8">
        <v>2016</v>
      </c>
      <c r="H1987" s="8">
        <v>7</v>
      </c>
      <c r="I1987" s="10">
        <v>42552</v>
      </c>
      <c r="J1987" s="11">
        <v>3975</v>
      </c>
      <c r="K1987" s="51"/>
      <c r="O1987" s="1" t="s">
        <v>6</v>
      </c>
      <c r="P1987" s="1" t="s">
        <v>40</v>
      </c>
      <c r="Q1987" s="1" t="s">
        <v>41</v>
      </c>
      <c r="R1987" s="2" t="s">
        <v>0</v>
      </c>
      <c r="S1987" s="2" t="s">
        <v>45</v>
      </c>
      <c r="T1987" s="1">
        <v>2016</v>
      </c>
      <c r="U1987" s="1">
        <v>7</v>
      </c>
      <c r="V1987" s="50">
        <v>42552</v>
      </c>
      <c r="W1987" s="4">
        <v>3458.2500000000005</v>
      </c>
      <c r="X1987" s="48">
        <v>3975</v>
      </c>
    </row>
    <row r="1988" spans="2:24" x14ac:dyDescent="0.35">
      <c r="B1988" s="8" t="s">
        <v>7</v>
      </c>
      <c r="C1988" s="8" t="s">
        <v>32</v>
      </c>
      <c r="D1988" s="8" t="s">
        <v>8</v>
      </c>
      <c r="E1988" s="8" t="s">
        <v>27</v>
      </c>
      <c r="F1988" s="9" t="s">
        <v>28</v>
      </c>
      <c r="G1988" s="8">
        <v>2016</v>
      </c>
      <c r="H1988" s="8">
        <v>7</v>
      </c>
      <c r="I1988" s="10">
        <v>42552</v>
      </c>
      <c r="J1988" s="11">
        <v>3753</v>
      </c>
      <c r="K1988" s="51"/>
      <c r="O1988" s="1" t="s">
        <v>7</v>
      </c>
      <c r="P1988" s="1" t="s">
        <v>32</v>
      </c>
      <c r="Q1988" s="1" t="s">
        <v>8</v>
      </c>
      <c r="R1988" s="1" t="s">
        <v>27</v>
      </c>
      <c r="S1988" s="2" t="s">
        <v>28</v>
      </c>
      <c r="T1988" s="1">
        <v>2016</v>
      </c>
      <c r="U1988" s="1">
        <v>7</v>
      </c>
      <c r="V1988" s="50">
        <v>42552</v>
      </c>
      <c r="W1988" s="4">
        <v>3265.1100000000006</v>
      </c>
      <c r="X1988" s="48">
        <v>3753</v>
      </c>
    </row>
    <row r="1989" spans="2:24" x14ac:dyDescent="0.35">
      <c r="B1989" s="8" t="s">
        <v>7</v>
      </c>
      <c r="C1989" s="8" t="s">
        <v>32</v>
      </c>
      <c r="D1989" s="8" t="s">
        <v>8</v>
      </c>
      <c r="E1989" s="8" t="s">
        <v>27</v>
      </c>
      <c r="F1989" s="6" t="s">
        <v>31</v>
      </c>
      <c r="G1989" s="8">
        <v>2016</v>
      </c>
      <c r="H1989" s="8">
        <v>7</v>
      </c>
      <c r="I1989" s="10">
        <v>42552</v>
      </c>
      <c r="J1989" s="11">
        <v>4400</v>
      </c>
      <c r="K1989" s="51"/>
      <c r="O1989" s="1" t="s">
        <v>7</v>
      </c>
      <c r="P1989" s="1" t="s">
        <v>32</v>
      </c>
      <c r="Q1989" s="1" t="s">
        <v>8</v>
      </c>
      <c r="R1989" s="1" t="s">
        <v>27</v>
      </c>
      <c r="S1989" t="s">
        <v>31</v>
      </c>
      <c r="T1989" s="1">
        <v>2016</v>
      </c>
      <c r="U1989" s="1">
        <v>7</v>
      </c>
      <c r="V1989" s="50">
        <v>42552</v>
      </c>
      <c r="W1989" s="4">
        <v>3959.9999999999995</v>
      </c>
      <c r="X1989" s="48">
        <v>4400</v>
      </c>
    </row>
    <row r="1990" spans="2:24" x14ac:dyDescent="0.35">
      <c r="B1990" s="8" t="s">
        <v>6</v>
      </c>
      <c r="C1990" s="8" t="s">
        <v>29</v>
      </c>
      <c r="D1990" s="8" t="s">
        <v>30</v>
      </c>
      <c r="E1990" s="8" t="s">
        <v>23</v>
      </c>
      <c r="F1990" s="8" t="s">
        <v>24</v>
      </c>
      <c r="G1990" s="8">
        <v>2016</v>
      </c>
      <c r="H1990" s="8">
        <v>7</v>
      </c>
      <c r="I1990" s="10">
        <v>42552</v>
      </c>
      <c r="J1990" s="11">
        <v>2216</v>
      </c>
      <c r="K1990" s="51"/>
      <c r="O1990" s="1" t="s">
        <v>6</v>
      </c>
      <c r="P1990" s="1" t="s">
        <v>29</v>
      </c>
      <c r="Q1990" s="1" t="s">
        <v>30</v>
      </c>
      <c r="R1990" s="1" t="s">
        <v>23</v>
      </c>
      <c r="S1990" s="1" t="s">
        <v>24</v>
      </c>
      <c r="T1990" s="1">
        <v>2016</v>
      </c>
      <c r="U1990" s="1">
        <v>7</v>
      </c>
      <c r="V1990" s="50">
        <v>42552</v>
      </c>
      <c r="W1990" s="4">
        <v>1883.6000000000001</v>
      </c>
      <c r="X1990" s="48">
        <v>2216</v>
      </c>
    </row>
    <row r="1991" spans="2:24" x14ac:dyDescent="0.35">
      <c r="B1991" s="8" t="s">
        <v>7</v>
      </c>
      <c r="C1991" s="8" t="s">
        <v>48</v>
      </c>
      <c r="D1991" s="8" t="s">
        <v>9</v>
      </c>
      <c r="E1991" s="8" t="s">
        <v>0</v>
      </c>
      <c r="F1991" s="8" t="s">
        <v>42</v>
      </c>
      <c r="G1991" s="8">
        <v>2016</v>
      </c>
      <c r="H1991" s="8">
        <v>7</v>
      </c>
      <c r="I1991" s="10">
        <v>42552</v>
      </c>
      <c r="J1991" s="11">
        <v>4086</v>
      </c>
      <c r="K1991" s="51"/>
      <c r="O1991" s="1" t="s">
        <v>7</v>
      </c>
      <c r="P1991" s="1" t="s">
        <v>48</v>
      </c>
      <c r="Q1991" s="1" t="s">
        <v>9</v>
      </c>
      <c r="R1991" s="1" t="s">
        <v>0</v>
      </c>
      <c r="S1991" s="1" t="s">
        <v>42</v>
      </c>
      <c r="T1991" s="1">
        <v>2016</v>
      </c>
      <c r="U1991" s="1">
        <v>7</v>
      </c>
      <c r="V1991" s="50">
        <v>42552</v>
      </c>
      <c r="W1991" s="4">
        <v>3759.12</v>
      </c>
      <c r="X1991" s="48">
        <v>4086</v>
      </c>
    </row>
    <row r="1992" spans="2:24" x14ac:dyDescent="0.35">
      <c r="B1992" s="8" t="s">
        <v>7</v>
      </c>
      <c r="C1992" s="8" t="s">
        <v>48</v>
      </c>
      <c r="D1992" s="8" t="s">
        <v>9</v>
      </c>
      <c r="E1992" s="8" t="s">
        <v>0</v>
      </c>
      <c r="F1992" s="8" t="s">
        <v>26</v>
      </c>
      <c r="G1992" s="8">
        <v>2016</v>
      </c>
      <c r="H1992" s="8">
        <v>7</v>
      </c>
      <c r="I1992" s="10">
        <v>42552</v>
      </c>
      <c r="J1992" s="11">
        <v>3192</v>
      </c>
      <c r="K1992" s="51"/>
      <c r="O1992" s="1" t="s">
        <v>7</v>
      </c>
      <c r="P1992" s="1" t="s">
        <v>48</v>
      </c>
      <c r="Q1992" s="1" t="s">
        <v>9</v>
      </c>
      <c r="R1992" s="1" t="s">
        <v>0</v>
      </c>
      <c r="S1992" s="1" t="s">
        <v>26</v>
      </c>
      <c r="T1992" s="1">
        <v>2016</v>
      </c>
      <c r="U1992" s="1">
        <v>7</v>
      </c>
      <c r="V1992" s="50">
        <v>42552</v>
      </c>
      <c r="W1992" s="4">
        <v>3000.48</v>
      </c>
      <c r="X1992" s="48">
        <v>3192</v>
      </c>
    </row>
    <row r="1993" spans="2:24" x14ac:dyDescent="0.35">
      <c r="B1993" s="8" t="s">
        <v>7</v>
      </c>
      <c r="C1993" s="8" t="s">
        <v>49</v>
      </c>
      <c r="D1993" s="8" t="s">
        <v>11</v>
      </c>
      <c r="E1993" s="8" t="s">
        <v>0</v>
      </c>
      <c r="F1993" s="6" t="s">
        <v>45</v>
      </c>
      <c r="G1993" s="8">
        <v>2016</v>
      </c>
      <c r="H1993" s="8">
        <v>7</v>
      </c>
      <c r="I1993" s="10">
        <v>42552</v>
      </c>
      <c r="J1993" s="11">
        <v>4755</v>
      </c>
      <c r="K1993" s="51"/>
      <c r="O1993" s="1" t="s">
        <v>7</v>
      </c>
      <c r="P1993" s="1" t="s">
        <v>49</v>
      </c>
      <c r="Q1993" s="1" t="s">
        <v>11</v>
      </c>
      <c r="R1993" s="1" t="s">
        <v>0</v>
      </c>
      <c r="S1993" t="s">
        <v>45</v>
      </c>
      <c r="T1993" s="1">
        <v>2016</v>
      </c>
      <c r="U1993" s="1">
        <v>7</v>
      </c>
      <c r="V1993" s="50">
        <v>42552</v>
      </c>
      <c r="W1993" s="4">
        <v>4231.95</v>
      </c>
      <c r="X1993" s="48">
        <v>4755</v>
      </c>
    </row>
    <row r="1994" spans="2:24" x14ac:dyDescent="0.35">
      <c r="B1994" s="8" t="s">
        <v>7</v>
      </c>
      <c r="C1994" s="8" t="s">
        <v>49</v>
      </c>
      <c r="D1994" s="8" t="s">
        <v>11</v>
      </c>
      <c r="E1994" s="8" t="s">
        <v>27</v>
      </c>
      <c r="F1994" s="6" t="s">
        <v>28</v>
      </c>
      <c r="G1994" s="8">
        <v>2016</v>
      </c>
      <c r="H1994" s="8">
        <v>7</v>
      </c>
      <c r="I1994" s="10">
        <v>42552</v>
      </c>
      <c r="J1994" s="11">
        <v>3752</v>
      </c>
      <c r="K1994" s="51"/>
      <c r="O1994" s="1" t="s">
        <v>7</v>
      </c>
      <c r="P1994" s="1" t="s">
        <v>49</v>
      </c>
      <c r="Q1994" s="1" t="s">
        <v>11</v>
      </c>
      <c r="R1994" s="1" t="s">
        <v>27</v>
      </c>
      <c r="S1994" t="s">
        <v>28</v>
      </c>
      <c r="T1994" s="1">
        <v>2016</v>
      </c>
      <c r="U1994" s="1">
        <v>7</v>
      </c>
      <c r="V1994" s="50">
        <v>42552</v>
      </c>
      <c r="W1994" s="4">
        <v>3489.3599999999997</v>
      </c>
      <c r="X1994" s="48">
        <v>3752</v>
      </c>
    </row>
    <row r="1995" spans="2:24" x14ac:dyDescent="0.35">
      <c r="B1995" s="8" t="s">
        <v>12</v>
      </c>
      <c r="C1995" s="8" t="s">
        <v>34</v>
      </c>
      <c r="D1995" s="8" t="s">
        <v>35</v>
      </c>
      <c r="E1995" s="8" t="s">
        <v>27</v>
      </c>
      <c r="F1995" s="6" t="s">
        <v>31</v>
      </c>
      <c r="G1995" s="8">
        <v>2016</v>
      </c>
      <c r="H1995" s="8">
        <v>7</v>
      </c>
      <c r="I1995" s="10">
        <v>42552</v>
      </c>
      <c r="J1995" s="11">
        <v>3600</v>
      </c>
      <c r="K1995" s="51"/>
      <c r="O1995" s="1" t="s">
        <v>12</v>
      </c>
      <c r="P1995" s="1" t="s">
        <v>34</v>
      </c>
      <c r="Q1995" s="1" t="s">
        <v>35</v>
      </c>
      <c r="R1995" s="1" t="s">
        <v>27</v>
      </c>
      <c r="S1995" t="s">
        <v>31</v>
      </c>
      <c r="T1995" s="1">
        <v>2016</v>
      </c>
      <c r="U1995" s="1">
        <v>7</v>
      </c>
      <c r="V1995" s="50">
        <v>42552</v>
      </c>
      <c r="W1995" s="4">
        <v>3384</v>
      </c>
      <c r="X1995" s="48">
        <v>3600</v>
      </c>
    </row>
    <row r="1996" spans="2:24" x14ac:dyDescent="0.35">
      <c r="B1996" s="8" t="s">
        <v>12</v>
      </c>
      <c r="C1996" s="8" t="s">
        <v>34</v>
      </c>
      <c r="D1996" s="8" t="s">
        <v>35</v>
      </c>
      <c r="E1996" s="9" t="s">
        <v>27</v>
      </c>
      <c r="F1996" s="9" t="s">
        <v>33</v>
      </c>
      <c r="G1996" s="8">
        <v>2016</v>
      </c>
      <c r="H1996" s="8">
        <v>7</v>
      </c>
      <c r="I1996" s="10">
        <v>42552</v>
      </c>
      <c r="J1996" s="11">
        <v>3020</v>
      </c>
      <c r="K1996" s="51"/>
      <c r="O1996" s="1" t="s">
        <v>12</v>
      </c>
      <c r="P1996" s="1" t="s">
        <v>34</v>
      </c>
      <c r="Q1996" s="1" t="s">
        <v>35</v>
      </c>
      <c r="R1996" s="2" t="s">
        <v>27</v>
      </c>
      <c r="S1996" s="2" t="s">
        <v>33</v>
      </c>
      <c r="T1996" s="1">
        <v>2016</v>
      </c>
      <c r="U1996" s="1">
        <v>7</v>
      </c>
      <c r="V1996" s="50">
        <v>42552</v>
      </c>
      <c r="W1996" s="4">
        <v>2657.5999999999995</v>
      </c>
      <c r="X1996" s="48">
        <v>3020</v>
      </c>
    </row>
    <row r="1997" spans="2:24" x14ac:dyDescent="0.35">
      <c r="B1997" s="8" t="s">
        <v>14</v>
      </c>
      <c r="C1997" s="8" t="s">
        <v>37</v>
      </c>
      <c r="D1997" s="8" t="s">
        <v>38</v>
      </c>
      <c r="E1997" s="8" t="s">
        <v>23</v>
      </c>
      <c r="F1997" s="9" t="s">
        <v>36</v>
      </c>
      <c r="G1997" s="8">
        <v>2016</v>
      </c>
      <c r="H1997" s="8">
        <v>7</v>
      </c>
      <c r="I1997" s="10">
        <v>42552</v>
      </c>
      <c r="J1997" s="11">
        <v>2738</v>
      </c>
      <c r="K1997" s="51"/>
      <c r="O1997" s="1" t="s">
        <v>14</v>
      </c>
      <c r="P1997" s="1" t="s">
        <v>37</v>
      </c>
      <c r="Q1997" s="1" t="s">
        <v>38</v>
      </c>
      <c r="R1997" s="1" t="s">
        <v>23</v>
      </c>
      <c r="S1997" s="2" t="s">
        <v>36</v>
      </c>
      <c r="T1997" s="1">
        <v>2016</v>
      </c>
      <c r="U1997" s="1">
        <v>7</v>
      </c>
      <c r="V1997" s="50">
        <v>42552</v>
      </c>
      <c r="W1997" s="4">
        <v>2573.7199999999998</v>
      </c>
      <c r="X1997" s="48">
        <v>2738</v>
      </c>
    </row>
    <row r="1998" spans="2:24" x14ac:dyDescent="0.35">
      <c r="B1998" s="8" t="s">
        <v>12</v>
      </c>
      <c r="C1998" s="8" t="s">
        <v>44</v>
      </c>
      <c r="D1998" s="8" t="s">
        <v>13</v>
      </c>
      <c r="E1998" s="8" t="s">
        <v>23</v>
      </c>
      <c r="F1998" s="6" t="s">
        <v>39</v>
      </c>
      <c r="G1998" s="8">
        <v>2016</v>
      </c>
      <c r="H1998" s="8">
        <v>7</v>
      </c>
      <c r="I1998" s="10">
        <v>42552</v>
      </c>
      <c r="J1998" s="11">
        <v>1968</v>
      </c>
      <c r="K1998" s="51"/>
      <c r="O1998" s="1" t="s">
        <v>12</v>
      </c>
      <c r="P1998" s="1" t="s">
        <v>44</v>
      </c>
      <c r="Q1998" s="1" t="s">
        <v>13</v>
      </c>
      <c r="R1998" s="1" t="s">
        <v>23</v>
      </c>
      <c r="S1998" t="s">
        <v>39</v>
      </c>
      <c r="T1998" s="1">
        <v>2016</v>
      </c>
      <c r="U1998" s="1">
        <v>7</v>
      </c>
      <c r="V1998" s="50">
        <v>42552</v>
      </c>
      <c r="W1998" s="4">
        <v>1830.2399999999998</v>
      </c>
      <c r="X1998" s="48">
        <v>1968</v>
      </c>
    </row>
    <row r="1999" spans="2:24" x14ac:dyDescent="0.35">
      <c r="B1999" s="8" t="s">
        <v>12</v>
      </c>
      <c r="C1999" s="8" t="s">
        <v>44</v>
      </c>
      <c r="D1999" s="8" t="s">
        <v>13</v>
      </c>
      <c r="E1999" s="8" t="s">
        <v>0</v>
      </c>
      <c r="F1999" s="8" t="s">
        <v>42</v>
      </c>
      <c r="G1999" s="8">
        <v>2016</v>
      </c>
      <c r="H1999" s="8">
        <v>7</v>
      </c>
      <c r="I1999" s="10">
        <v>42552</v>
      </c>
      <c r="J1999" s="11">
        <v>5620</v>
      </c>
      <c r="K1999" s="51"/>
      <c r="O1999" s="1" t="s">
        <v>12</v>
      </c>
      <c r="P1999" s="1" t="s">
        <v>44</v>
      </c>
      <c r="Q1999" s="1" t="s">
        <v>13</v>
      </c>
      <c r="R1999" s="1" t="s">
        <v>0</v>
      </c>
      <c r="S1999" s="1" t="s">
        <v>42</v>
      </c>
      <c r="T1999" s="1">
        <v>2016</v>
      </c>
      <c r="U1999" s="1">
        <v>7</v>
      </c>
      <c r="V1999" s="50">
        <v>42552</v>
      </c>
      <c r="W1999" s="4">
        <v>5058</v>
      </c>
      <c r="X1999" s="48">
        <v>5620</v>
      </c>
    </row>
    <row r="2000" spans="2:24" x14ac:dyDescent="0.35">
      <c r="B2000" s="8" t="s">
        <v>14</v>
      </c>
      <c r="C2000" s="8" t="s">
        <v>46</v>
      </c>
      <c r="D2000" s="8" t="s">
        <v>47</v>
      </c>
      <c r="E2000" s="8" t="s">
        <v>0</v>
      </c>
      <c r="F2000" s="8" t="s">
        <v>26</v>
      </c>
      <c r="G2000" s="8">
        <v>2016</v>
      </c>
      <c r="H2000" s="8">
        <v>7</v>
      </c>
      <c r="I2000" s="10">
        <v>42552</v>
      </c>
      <c r="J2000" s="11">
        <v>3020</v>
      </c>
      <c r="K2000" s="51"/>
      <c r="O2000" s="1" t="s">
        <v>14</v>
      </c>
      <c r="P2000" s="1" t="s">
        <v>46</v>
      </c>
      <c r="Q2000" s="1" t="s">
        <v>47</v>
      </c>
      <c r="R2000" s="1" t="s">
        <v>0</v>
      </c>
      <c r="S2000" s="1" t="s">
        <v>26</v>
      </c>
      <c r="T2000" s="1">
        <v>2016</v>
      </c>
      <c r="U2000" s="1">
        <v>7</v>
      </c>
      <c r="V2000" s="50">
        <v>42552</v>
      </c>
      <c r="W2000" s="4">
        <v>2687.7999999999997</v>
      </c>
      <c r="X2000" s="48">
        <v>3020</v>
      </c>
    </row>
    <row r="2001" spans="2:24" x14ac:dyDescent="0.35">
      <c r="B2001" s="8" t="s">
        <v>14</v>
      </c>
      <c r="C2001" s="8" t="s">
        <v>46</v>
      </c>
      <c r="D2001" s="8" t="s">
        <v>47</v>
      </c>
      <c r="E2001" s="8" t="s">
        <v>0</v>
      </c>
      <c r="F2001" s="8" t="s">
        <v>45</v>
      </c>
      <c r="G2001" s="8">
        <v>2016</v>
      </c>
      <c r="H2001" s="8">
        <v>7</v>
      </c>
      <c r="I2001" s="10">
        <v>42552</v>
      </c>
      <c r="J2001" s="11">
        <v>4194</v>
      </c>
      <c r="K2001" s="51"/>
      <c r="O2001" s="1" t="s">
        <v>14</v>
      </c>
      <c r="P2001" s="1" t="s">
        <v>46</v>
      </c>
      <c r="Q2001" s="1" t="s">
        <v>47</v>
      </c>
      <c r="R2001" s="1" t="s">
        <v>0</v>
      </c>
      <c r="S2001" s="1" t="s">
        <v>45</v>
      </c>
      <c r="T2001" s="1">
        <v>2016</v>
      </c>
      <c r="U2001" s="1">
        <v>7</v>
      </c>
      <c r="V2001" s="50">
        <v>42552</v>
      </c>
      <c r="W2001" s="4">
        <v>3774.5999999999995</v>
      </c>
      <c r="X2001" s="48">
        <v>4194</v>
      </c>
    </row>
    <row r="2002" spans="2:24" x14ac:dyDescent="0.35">
      <c r="B2002" s="8" t="s">
        <v>3</v>
      </c>
      <c r="C2002" s="8" t="s">
        <v>25</v>
      </c>
      <c r="D2002" s="8" t="s">
        <v>4</v>
      </c>
      <c r="E2002" s="8" t="s">
        <v>27</v>
      </c>
      <c r="F2002" s="6" t="s">
        <v>33</v>
      </c>
      <c r="G2002" s="8">
        <v>2016</v>
      </c>
      <c r="H2002" s="8">
        <v>7</v>
      </c>
      <c r="I2002" s="10">
        <v>42552</v>
      </c>
      <c r="J2002" s="11">
        <v>3571</v>
      </c>
      <c r="K2002" s="51"/>
      <c r="O2002" s="1" t="s">
        <v>3</v>
      </c>
      <c r="P2002" s="1" t="s">
        <v>25</v>
      </c>
      <c r="Q2002" s="1" t="s">
        <v>4</v>
      </c>
      <c r="R2002" s="1" t="s">
        <v>27</v>
      </c>
      <c r="S2002" t="s">
        <v>33</v>
      </c>
      <c r="T2002" s="1">
        <v>2016</v>
      </c>
      <c r="U2002" s="1">
        <v>7</v>
      </c>
      <c r="V2002" s="50">
        <v>42552</v>
      </c>
      <c r="W2002" s="4">
        <v>3321.0299999999997</v>
      </c>
      <c r="X2002" s="48">
        <v>3571</v>
      </c>
    </row>
    <row r="2003" spans="2:24" x14ac:dyDescent="0.35">
      <c r="B2003" s="8" t="s">
        <v>3</v>
      </c>
      <c r="C2003" s="8" t="s">
        <v>25</v>
      </c>
      <c r="D2003" s="8" t="s">
        <v>4</v>
      </c>
      <c r="E2003" s="8" t="s">
        <v>23</v>
      </c>
      <c r="F2003" s="6" t="s">
        <v>36</v>
      </c>
      <c r="G2003" s="8">
        <v>2016</v>
      </c>
      <c r="H2003" s="8">
        <v>7</v>
      </c>
      <c r="I2003" s="10">
        <v>42552</v>
      </c>
      <c r="J2003" s="11">
        <v>1966</v>
      </c>
      <c r="K2003" s="51"/>
      <c r="O2003" s="1" t="s">
        <v>3</v>
      </c>
      <c r="P2003" s="1" t="s">
        <v>25</v>
      </c>
      <c r="Q2003" s="1" t="s">
        <v>4</v>
      </c>
      <c r="R2003" s="1" t="s">
        <v>23</v>
      </c>
      <c r="S2003" t="s">
        <v>36</v>
      </c>
      <c r="T2003" s="1">
        <v>2016</v>
      </c>
      <c r="U2003" s="1">
        <v>7</v>
      </c>
      <c r="V2003" s="50">
        <v>42552</v>
      </c>
      <c r="W2003" s="4">
        <v>1848.04</v>
      </c>
      <c r="X2003" s="48">
        <v>1966</v>
      </c>
    </row>
    <row r="2004" spans="2:24" x14ac:dyDescent="0.35">
      <c r="B2004" s="8" t="s">
        <v>6</v>
      </c>
      <c r="C2004" s="8" t="s">
        <v>40</v>
      </c>
      <c r="D2004" s="8" t="s">
        <v>41</v>
      </c>
      <c r="E2004" s="8" t="s">
        <v>23</v>
      </c>
      <c r="F2004" s="6" t="s">
        <v>39</v>
      </c>
      <c r="G2004" s="8">
        <v>2016</v>
      </c>
      <c r="H2004" s="8">
        <v>7</v>
      </c>
      <c r="I2004" s="10">
        <v>42552</v>
      </c>
      <c r="J2004" s="11">
        <v>2175</v>
      </c>
      <c r="K2004" s="51"/>
      <c r="O2004" s="1" t="s">
        <v>6</v>
      </c>
      <c r="P2004" s="1" t="s">
        <v>40</v>
      </c>
      <c r="Q2004" s="1" t="s">
        <v>41</v>
      </c>
      <c r="R2004" s="1" t="s">
        <v>23</v>
      </c>
      <c r="S2004" t="s">
        <v>39</v>
      </c>
      <c r="T2004" s="1">
        <v>2016</v>
      </c>
      <c r="U2004" s="1">
        <v>7</v>
      </c>
      <c r="V2004" s="50">
        <v>42552</v>
      </c>
      <c r="W2004" s="4">
        <v>1935.7499999999998</v>
      </c>
      <c r="X2004" s="48">
        <v>2175</v>
      </c>
    </row>
    <row r="2005" spans="2:24" x14ac:dyDescent="0.35">
      <c r="B2005" s="8" t="s">
        <v>7</v>
      </c>
      <c r="C2005" s="8" t="s">
        <v>48</v>
      </c>
      <c r="D2005" s="8" t="s">
        <v>9</v>
      </c>
      <c r="E2005" s="9" t="s">
        <v>0</v>
      </c>
      <c r="F2005" s="9" t="s">
        <v>45</v>
      </c>
      <c r="G2005" s="8">
        <v>2016</v>
      </c>
      <c r="H2005" s="8">
        <v>7</v>
      </c>
      <c r="I2005" s="10">
        <v>42552</v>
      </c>
      <c r="J2005" s="11">
        <v>3203</v>
      </c>
      <c r="K2005" s="51"/>
      <c r="O2005" s="1" t="s">
        <v>7</v>
      </c>
      <c r="P2005" s="1" t="s">
        <v>48</v>
      </c>
      <c r="Q2005" s="1" t="s">
        <v>9</v>
      </c>
      <c r="R2005" s="2" t="s">
        <v>0</v>
      </c>
      <c r="S2005" s="2" t="s">
        <v>45</v>
      </c>
      <c r="T2005" s="1">
        <v>2016</v>
      </c>
      <c r="U2005" s="1">
        <v>7</v>
      </c>
      <c r="V2005" s="50">
        <v>42552</v>
      </c>
      <c r="W2005" s="4">
        <v>2978.79</v>
      </c>
      <c r="X2005" s="48">
        <v>3203</v>
      </c>
    </row>
    <row r="2006" spans="2:24" x14ac:dyDescent="0.35">
      <c r="B2006" s="8" t="s">
        <v>7</v>
      </c>
      <c r="C2006" s="8" t="s">
        <v>49</v>
      </c>
      <c r="D2006" s="8" t="s">
        <v>11</v>
      </c>
      <c r="E2006" s="8" t="s">
        <v>27</v>
      </c>
      <c r="F2006" s="9" t="s">
        <v>31</v>
      </c>
      <c r="G2006" s="8">
        <v>2016</v>
      </c>
      <c r="H2006" s="8">
        <v>7</v>
      </c>
      <c r="I2006" s="10">
        <v>42552</v>
      </c>
      <c r="J2006" s="11">
        <v>3531</v>
      </c>
      <c r="K2006" s="51"/>
      <c r="O2006" s="1" t="s">
        <v>7</v>
      </c>
      <c r="P2006" s="1" t="s">
        <v>49</v>
      </c>
      <c r="Q2006" s="1" t="s">
        <v>11</v>
      </c>
      <c r="R2006" s="1" t="s">
        <v>27</v>
      </c>
      <c r="S2006" s="2" t="s">
        <v>31</v>
      </c>
      <c r="T2006" s="1">
        <v>2016</v>
      </c>
      <c r="U2006" s="1">
        <v>7</v>
      </c>
      <c r="V2006" s="50">
        <v>42552</v>
      </c>
      <c r="W2006" s="4">
        <v>3107.2799999999997</v>
      </c>
      <c r="X2006" s="48">
        <v>3531</v>
      </c>
    </row>
    <row r="2007" spans="2:24" x14ac:dyDescent="0.35">
      <c r="B2007" s="8" t="s">
        <v>7</v>
      </c>
      <c r="C2007" s="8" t="s">
        <v>43</v>
      </c>
      <c r="D2007" s="8" t="s">
        <v>10</v>
      </c>
      <c r="E2007" s="8" t="s">
        <v>27</v>
      </c>
      <c r="F2007" s="6" t="s">
        <v>33</v>
      </c>
      <c r="G2007" s="8">
        <v>2016</v>
      </c>
      <c r="H2007" s="8">
        <v>7</v>
      </c>
      <c r="I2007" s="10">
        <v>42552</v>
      </c>
      <c r="J2007" s="11">
        <v>3210</v>
      </c>
      <c r="K2007" s="51"/>
      <c r="O2007" s="1" t="s">
        <v>7</v>
      </c>
      <c r="P2007" s="1" t="s">
        <v>43</v>
      </c>
      <c r="Q2007" s="1" t="s">
        <v>10</v>
      </c>
      <c r="R2007" s="1" t="s">
        <v>27</v>
      </c>
      <c r="S2007" t="s">
        <v>33</v>
      </c>
      <c r="T2007" s="1">
        <v>2016</v>
      </c>
      <c r="U2007" s="1">
        <v>7</v>
      </c>
      <c r="V2007" s="50">
        <v>42552</v>
      </c>
      <c r="W2007" s="4">
        <v>2824.7999999999997</v>
      </c>
      <c r="X2007" s="48">
        <v>3210</v>
      </c>
    </row>
    <row r="2008" spans="2:24" x14ac:dyDescent="0.35">
      <c r="B2008" s="8" t="s">
        <v>7</v>
      </c>
      <c r="C2008" s="8" t="s">
        <v>32</v>
      </c>
      <c r="D2008" s="8" t="s">
        <v>8</v>
      </c>
      <c r="E2008" s="8" t="s">
        <v>0</v>
      </c>
      <c r="F2008" s="8" t="s">
        <v>45</v>
      </c>
      <c r="G2008" s="8">
        <v>2016</v>
      </c>
      <c r="H2008" s="8">
        <v>7</v>
      </c>
      <c r="I2008" s="10">
        <v>42552</v>
      </c>
      <c r="J2008" s="11">
        <v>3472</v>
      </c>
      <c r="K2008" s="51"/>
      <c r="O2008" s="1" t="s">
        <v>7</v>
      </c>
      <c r="P2008" s="1" t="s">
        <v>32</v>
      </c>
      <c r="Q2008" s="1" t="s">
        <v>8</v>
      </c>
      <c r="R2008" s="1" t="s">
        <v>0</v>
      </c>
      <c r="S2008" s="1" t="s">
        <v>45</v>
      </c>
      <c r="T2008" s="1">
        <v>2016</v>
      </c>
      <c r="U2008" s="1">
        <v>7</v>
      </c>
      <c r="V2008" s="50">
        <v>42552</v>
      </c>
      <c r="W2008" s="4">
        <v>3263.68</v>
      </c>
      <c r="X2008" s="48">
        <v>3472</v>
      </c>
    </row>
    <row r="2009" spans="2:24" x14ac:dyDescent="0.35">
      <c r="B2009" s="8" t="s">
        <v>7</v>
      </c>
      <c r="C2009" s="8" t="s">
        <v>48</v>
      </c>
      <c r="D2009" s="8" t="s">
        <v>9</v>
      </c>
      <c r="E2009" s="8" t="s">
        <v>23</v>
      </c>
      <c r="F2009" s="8" t="s">
        <v>39</v>
      </c>
      <c r="G2009" s="8">
        <v>2016</v>
      </c>
      <c r="H2009" s="8">
        <v>7</v>
      </c>
      <c r="I2009" s="10">
        <v>42552</v>
      </c>
      <c r="J2009" s="11">
        <v>1226</v>
      </c>
      <c r="K2009" s="51"/>
      <c r="O2009" s="1" t="s">
        <v>7</v>
      </c>
      <c r="P2009" s="1" t="s">
        <v>48</v>
      </c>
      <c r="Q2009" s="1" t="s">
        <v>9</v>
      </c>
      <c r="R2009" s="1" t="s">
        <v>23</v>
      </c>
      <c r="S2009" s="1" t="s">
        <v>39</v>
      </c>
      <c r="T2009" s="1">
        <v>2016</v>
      </c>
      <c r="U2009" s="1">
        <v>7</v>
      </c>
      <c r="V2009" s="50">
        <v>42552</v>
      </c>
      <c r="W2009" s="4">
        <v>1091.1399999999999</v>
      </c>
      <c r="X2009" s="48">
        <v>1226</v>
      </c>
    </row>
    <row r="2010" spans="2:24" x14ac:dyDescent="0.35">
      <c r="B2010" s="8" t="s">
        <v>7</v>
      </c>
      <c r="C2010" s="8" t="s">
        <v>49</v>
      </c>
      <c r="D2010" s="8" t="s">
        <v>11</v>
      </c>
      <c r="E2010" s="8" t="s">
        <v>0</v>
      </c>
      <c r="F2010" s="8" t="s">
        <v>26</v>
      </c>
      <c r="G2010" s="8">
        <v>2016</v>
      </c>
      <c r="H2010" s="8">
        <v>7</v>
      </c>
      <c r="I2010" s="10">
        <v>42552</v>
      </c>
      <c r="J2010" s="11">
        <v>5527</v>
      </c>
      <c r="K2010" s="51"/>
      <c r="O2010" s="1" t="s">
        <v>7</v>
      </c>
      <c r="P2010" s="1" t="s">
        <v>49</v>
      </c>
      <c r="Q2010" s="1" t="s">
        <v>11</v>
      </c>
      <c r="R2010" s="1" t="s">
        <v>0</v>
      </c>
      <c r="S2010" s="1" t="s">
        <v>26</v>
      </c>
      <c r="T2010" s="1">
        <v>2016</v>
      </c>
      <c r="U2010" s="1">
        <v>7</v>
      </c>
      <c r="V2010" s="50">
        <v>42552</v>
      </c>
      <c r="W2010" s="4">
        <v>5195.38</v>
      </c>
      <c r="X2010" s="48">
        <v>5527</v>
      </c>
    </row>
    <row r="2011" spans="2:24" x14ac:dyDescent="0.35">
      <c r="B2011" s="8" t="s">
        <v>12</v>
      </c>
      <c r="C2011" s="8" t="s">
        <v>34</v>
      </c>
      <c r="D2011" s="8" t="s">
        <v>35</v>
      </c>
      <c r="E2011" s="8" t="s">
        <v>27</v>
      </c>
      <c r="F2011" s="6" t="s">
        <v>28</v>
      </c>
      <c r="G2011" s="8">
        <v>2016</v>
      </c>
      <c r="H2011" s="8">
        <v>7</v>
      </c>
      <c r="I2011" s="10">
        <v>42552</v>
      </c>
      <c r="J2011" s="11">
        <v>3704</v>
      </c>
      <c r="K2011" s="51"/>
      <c r="O2011" s="1" t="s">
        <v>12</v>
      </c>
      <c r="P2011" s="1" t="s">
        <v>34</v>
      </c>
      <c r="Q2011" s="1" t="s">
        <v>35</v>
      </c>
      <c r="R2011" s="1" t="s">
        <v>27</v>
      </c>
      <c r="S2011" t="s">
        <v>28</v>
      </c>
      <c r="T2011" s="1">
        <v>2016</v>
      </c>
      <c r="U2011" s="1">
        <v>7</v>
      </c>
      <c r="V2011" s="50">
        <v>42552</v>
      </c>
      <c r="W2011" s="4">
        <v>3222.4800000000005</v>
      </c>
      <c r="X2011" s="48">
        <v>3704</v>
      </c>
    </row>
    <row r="2012" spans="2:24" x14ac:dyDescent="0.35">
      <c r="B2012" s="8" t="s">
        <v>14</v>
      </c>
      <c r="C2012" s="8" t="s">
        <v>37</v>
      </c>
      <c r="D2012" s="8" t="s">
        <v>38</v>
      </c>
      <c r="E2012" s="8" t="s">
        <v>27</v>
      </c>
      <c r="F2012" s="6" t="s">
        <v>33</v>
      </c>
      <c r="G2012" s="8">
        <v>2016</v>
      </c>
      <c r="H2012" s="8">
        <v>7</v>
      </c>
      <c r="I2012" s="10">
        <v>42552</v>
      </c>
      <c r="J2012" s="11">
        <v>3992</v>
      </c>
      <c r="K2012" s="51"/>
      <c r="O2012" s="1" t="s">
        <v>14</v>
      </c>
      <c r="P2012" s="1" t="s">
        <v>37</v>
      </c>
      <c r="Q2012" s="1" t="s">
        <v>38</v>
      </c>
      <c r="R2012" s="1" t="s">
        <v>27</v>
      </c>
      <c r="S2012" t="s">
        <v>33</v>
      </c>
      <c r="T2012" s="1">
        <v>2016</v>
      </c>
      <c r="U2012" s="1">
        <v>7</v>
      </c>
      <c r="V2012" s="50">
        <v>42552</v>
      </c>
      <c r="W2012" s="4">
        <v>3712.56</v>
      </c>
      <c r="X2012" s="48">
        <v>3992</v>
      </c>
    </row>
    <row r="2013" spans="2:24" x14ac:dyDescent="0.35">
      <c r="B2013" s="8" t="s">
        <v>12</v>
      </c>
      <c r="C2013" s="8" t="s">
        <v>44</v>
      </c>
      <c r="D2013" s="8" t="s">
        <v>13</v>
      </c>
      <c r="E2013" s="8" t="s">
        <v>23</v>
      </c>
      <c r="F2013" s="6" t="s">
        <v>24</v>
      </c>
      <c r="G2013" s="8">
        <v>2016</v>
      </c>
      <c r="H2013" s="8">
        <v>7</v>
      </c>
      <c r="I2013" s="10">
        <v>42552</v>
      </c>
      <c r="J2013" s="11">
        <v>2819</v>
      </c>
      <c r="K2013" s="51"/>
      <c r="O2013" s="1" t="s">
        <v>12</v>
      </c>
      <c r="P2013" s="1" t="s">
        <v>44</v>
      </c>
      <c r="Q2013" s="1" t="s">
        <v>13</v>
      </c>
      <c r="R2013" s="1" t="s">
        <v>23</v>
      </c>
      <c r="S2013" t="s">
        <v>24</v>
      </c>
      <c r="T2013" s="1">
        <v>2016</v>
      </c>
      <c r="U2013" s="1">
        <v>7</v>
      </c>
      <c r="V2013" s="50">
        <v>42552</v>
      </c>
      <c r="W2013" s="4">
        <v>2508.91</v>
      </c>
      <c r="X2013" s="48">
        <v>2819</v>
      </c>
    </row>
    <row r="2014" spans="2:24" x14ac:dyDescent="0.35">
      <c r="B2014" s="8" t="s">
        <v>14</v>
      </c>
      <c r="C2014" s="8" t="s">
        <v>46</v>
      </c>
      <c r="D2014" s="8" t="s">
        <v>47</v>
      </c>
      <c r="E2014" s="9" t="s">
        <v>0</v>
      </c>
      <c r="F2014" s="9" t="s">
        <v>42</v>
      </c>
      <c r="G2014" s="8">
        <v>2016</v>
      </c>
      <c r="H2014" s="8">
        <v>7</v>
      </c>
      <c r="I2014" s="10">
        <v>42552</v>
      </c>
      <c r="J2014" s="11">
        <v>4314</v>
      </c>
      <c r="K2014" s="51"/>
      <c r="O2014" s="1" t="s">
        <v>14</v>
      </c>
      <c r="P2014" s="1" t="s">
        <v>46</v>
      </c>
      <c r="Q2014" s="1" t="s">
        <v>47</v>
      </c>
      <c r="R2014" s="2" t="s">
        <v>0</v>
      </c>
      <c r="S2014" s="2" t="s">
        <v>42</v>
      </c>
      <c r="T2014" s="1">
        <v>2016</v>
      </c>
      <c r="U2014" s="1">
        <v>7</v>
      </c>
      <c r="V2014" s="50">
        <v>42552</v>
      </c>
      <c r="W2014" s="4">
        <v>4012.0199999999995</v>
      </c>
      <c r="X2014" s="48">
        <v>4314</v>
      </c>
    </row>
    <row r="2015" spans="2:24" x14ac:dyDescent="0.35">
      <c r="B2015" s="8" t="s">
        <v>7</v>
      </c>
      <c r="C2015" s="8" t="s">
        <v>48</v>
      </c>
      <c r="D2015" s="8" t="s">
        <v>9</v>
      </c>
      <c r="E2015" s="8" t="s">
        <v>27</v>
      </c>
      <c r="F2015" s="9" t="s">
        <v>33</v>
      </c>
      <c r="G2015" s="8">
        <v>2016</v>
      </c>
      <c r="H2015" s="8">
        <v>7</v>
      </c>
      <c r="I2015" s="10">
        <v>42552</v>
      </c>
      <c r="J2015" s="11">
        <v>3491</v>
      </c>
      <c r="K2015" s="51"/>
      <c r="O2015" s="1" t="s">
        <v>7</v>
      </c>
      <c r="P2015" s="1" t="s">
        <v>48</v>
      </c>
      <c r="Q2015" s="1" t="s">
        <v>9</v>
      </c>
      <c r="R2015" s="1" t="s">
        <v>27</v>
      </c>
      <c r="S2015" s="2" t="s">
        <v>33</v>
      </c>
      <c r="T2015" s="1">
        <v>2016</v>
      </c>
      <c r="U2015" s="1">
        <v>7</v>
      </c>
      <c r="V2015" s="50">
        <v>42552</v>
      </c>
      <c r="W2015" s="4">
        <v>3281.54</v>
      </c>
      <c r="X2015" s="48">
        <v>3491</v>
      </c>
    </row>
    <row r="2016" spans="2:24" x14ac:dyDescent="0.35">
      <c r="B2016" s="8" t="s">
        <v>7</v>
      </c>
      <c r="C2016" s="8" t="s">
        <v>49</v>
      </c>
      <c r="D2016" s="8" t="s">
        <v>11</v>
      </c>
      <c r="E2016" s="8" t="s">
        <v>23</v>
      </c>
      <c r="F2016" s="6" t="s">
        <v>24</v>
      </c>
      <c r="G2016" s="8">
        <v>2016</v>
      </c>
      <c r="H2016" s="8">
        <v>7</v>
      </c>
      <c r="I2016" s="10">
        <v>42552</v>
      </c>
      <c r="J2016" s="11">
        <v>1748</v>
      </c>
      <c r="K2016" s="51"/>
      <c r="O2016" s="1" t="s">
        <v>7</v>
      </c>
      <c r="P2016" s="1" t="s">
        <v>49</v>
      </c>
      <c r="Q2016" s="1" t="s">
        <v>11</v>
      </c>
      <c r="R2016" s="1" t="s">
        <v>23</v>
      </c>
      <c r="S2016" t="s">
        <v>24</v>
      </c>
      <c r="T2016" s="1">
        <v>2016</v>
      </c>
      <c r="U2016" s="1">
        <v>7</v>
      </c>
      <c r="V2016" s="50">
        <v>42552</v>
      </c>
      <c r="W2016" s="4">
        <v>1625.6399999999999</v>
      </c>
      <c r="X2016" s="48">
        <v>1748</v>
      </c>
    </row>
    <row r="2017" spans="2:24" x14ac:dyDescent="0.35">
      <c r="B2017" s="8" t="s">
        <v>3</v>
      </c>
      <c r="C2017" s="8" t="s">
        <v>22</v>
      </c>
      <c r="D2017" s="8" t="s">
        <v>5</v>
      </c>
      <c r="E2017" s="8" t="s">
        <v>23</v>
      </c>
      <c r="F2017" s="8" t="s">
        <v>24</v>
      </c>
      <c r="G2017" s="8">
        <v>2016</v>
      </c>
      <c r="H2017" s="8">
        <v>8</v>
      </c>
      <c r="I2017" s="10">
        <v>42583</v>
      </c>
      <c r="J2017" s="11">
        <v>2997</v>
      </c>
      <c r="K2017" s="51"/>
      <c r="O2017" s="1" t="s">
        <v>3</v>
      </c>
      <c r="P2017" s="1" t="s">
        <v>22</v>
      </c>
      <c r="Q2017" s="1" t="s">
        <v>5</v>
      </c>
      <c r="R2017" s="1" t="s">
        <v>23</v>
      </c>
      <c r="S2017" s="1" t="s">
        <v>24</v>
      </c>
      <c r="T2017" s="1">
        <v>2016</v>
      </c>
      <c r="U2017" s="1">
        <v>8</v>
      </c>
      <c r="V2017" s="50">
        <v>42583</v>
      </c>
      <c r="W2017" s="4">
        <v>2757.24</v>
      </c>
      <c r="X2017" s="48">
        <v>2997</v>
      </c>
    </row>
    <row r="2018" spans="2:24" x14ac:dyDescent="0.35">
      <c r="B2018" s="8" t="s">
        <v>3</v>
      </c>
      <c r="C2018" s="8" t="s">
        <v>25</v>
      </c>
      <c r="D2018" s="8" t="s">
        <v>4</v>
      </c>
      <c r="E2018" s="8" t="s">
        <v>23</v>
      </c>
      <c r="F2018" s="8" t="s">
        <v>24</v>
      </c>
      <c r="G2018" s="8">
        <v>2016</v>
      </c>
      <c r="H2018" s="8">
        <v>8</v>
      </c>
      <c r="I2018" s="10">
        <v>42583</v>
      </c>
      <c r="J2018" s="11">
        <v>3322</v>
      </c>
      <c r="K2018" s="51"/>
      <c r="O2018" s="1" t="s">
        <v>3</v>
      </c>
      <c r="P2018" s="1" t="s">
        <v>25</v>
      </c>
      <c r="Q2018" s="1" t="s">
        <v>4</v>
      </c>
      <c r="R2018" s="1" t="s">
        <v>23</v>
      </c>
      <c r="S2018" s="1" t="s">
        <v>24</v>
      </c>
      <c r="T2018" s="1">
        <v>2016</v>
      </c>
      <c r="U2018" s="1">
        <v>8</v>
      </c>
      <c r="V2018" s="50">
        <v>42583</v>
      </c>
      <c r="W2018" s="4">
        <v>2823.7000000000003</v>
      </c>
      <c r="X2018" s="48">
        <v>3322</v>
      </c>
    </row>
    <row r="2019" spans="2:24" x14ac:dyDescent="0.35">
      <c r="B2019" s="8" t="s">
        <v>3</v>
      </c>
      <c r="C2019" s="8" t="s">
        <v>25</v>
      </c>
      <c r="D2019" s="8" t="s">
        <v>4</v>
      </c>
      <c r="E2019" s="8" t="s">
        <v>0</v>
      </c>
      <c r="F2019" s="8" t="s">
        <v>26</v>
      </c>
      <c r="G2019" s="8">
        <v>2016</v>
      </c>
      <c r="H2019" s="8">
        <v>8</v>
      </c>
      <c r="I2019" s="10">
        <v>42583</v>
      </c>
      <c r="J2019" s="11">
        <v>2712</v>
      </c>
      <c r="K2019" s="51"/>
      <c r="O2019" s="1" t="s">
        <v>3</v>
      </c>
      <c r="P2019" s="1" t="s">
        <v>25</v>
      </c>
      <c r="Q2019" s="1" t="s">
        <v>4</v>
      </c>
      <c r="R2019" s="1" t="s">
        <v>0</v>
      </c>
      <c r="S2019" s="1" t="s">
        <v>26</v>
      </c>
      <c r="T2019" s="1">
        <v>2016</v>
      </c>
      <c r="U2019" s="1">
        <v>8</v>
      </c>
      <c r="V2019" s="50">
        <v>42583</v>
      </c>
      <c r="W2019" s="4">
        <v>2332.3200000000002</v>
      </c>
      <c r="X2019" s="48">
        <v>2712</v>
      </c>
    </row>
    <row r="2020" spans="2:24" x14ac:dyDescent="0.35">
      <c r="B2020" s="8" t="s">
        <v>3</v>
      </c>
      <c r="C2020" s="8" t="s">
        <v>22</v>
      </c>
      <c r="D2020" s="8" t="s">
        <v>5</v>
      </c>
      <c r="E2020" s="8" t="s">
        <v>0</v>
      </c>
      <c r="F2020" s="6" t="s">
        <v>26</v>
      </c>
      <c r="G2020" s="8">
        <v>2016</v>
      </c>
      <c r="H2020" s="8">
        <v>8</v>
      </c>
      <c r="I2020" s="10">
        <v>42583</v>
      </c>
      <c r="J2020" s="11">
        <v>4622</v>
      </c>
      <c r="K2020" s="51"/>
      <c r="O2020" s="1" t="s">
        <v>3</v>
      </c>
      <c r="P2020" s="1" t="s">
        <v>22</v>
      </c>
      <c r="Q2020" s="1" t="s">
        <v>5</v>
      </c>
      <c r="R2020" s="1" t="s">
        <v>0</v>
      </c>
      <c r="S2020" t="s">
        <v>26</v>
      </c>
      <c r="T2020" s="1">
        <v>2016</v>
      </c>
      <c r="U2020" s="1">
        <v>8</v>
      </c>
      <c r="V2020" s="50">
        <v>42583</v>
      </c>
      <c r="W2020" s="4">
        <v>4021.1400000000003</v>
      </c>
      <c r="X2020" s="48">
        <v>4622</v>
      </c>
    </row>
    <row r="2021" spans="2:24" x14ac:dyDescent="0.35">
      <c r="B2021" s="8" t="s">
        <v>3</v>
      </c>
      <c r="C2021" s="8" t="s">
        <v>22</v>
      </c>
      <c r="D2021" s="8" t="s">
        <v>5</v>
      </c>
      <c r="E2021" s="8" t="s">
        <v>27</v>
      </c>
      <c r="F2021" s="6" t="s">
        <v>28</v>
      </c>
      <c r="G2021" s="8">
        <v>2016</v>
      </c>
      <c r="H2021" s="8">
        <v>8</v>
      </c>
      <c r="I2021" s="10">
        <v>42583</v>
      </c>
      <c r="J2021" s="11">
        <v>3912</v>
      </c>
      <c r="K2021" s="51"/>
      <c r="O2021" s="1" t="s">
        <v>3</v>
      </c>
      <c r="P2021" s="1" t="s">
        <v>22</v>
      </c>
      <c r="Q2021" s="1" t="s">
        <v>5</v>
      </c>
      <c r="R2021" s="1" t="s">
        <v>27</v>
      </c>
      <c r="S2021" t="s">
        <v>28</v>
      </c>
      <c r="T2021" s="1">
        <v>2016</v>
      </c>
      <c r="U2021" s="1">
        <v>8</v>
      </c>
      <c r="V2021" s="50">
        <v>42583</v>
      </c>
      <c r="W2021" s="4">
        <v>3481.6799999999994</v>
      </c>
      <c r="X2021" s="48">
        <v>3912</v>
      </c>
    </row>
    <row r="2022" spans="2:24" x14ac:dyDescent="0.35">
      <c r="B2022" s="8" t="s">
        <v>6</v>
      </c>
      <c r="C2022" s="8" t="s">
        <v>29</v>
      </c>
      <c r="D2022" s="8" t="s">
        <v>30</v>
      </c>
      <c r="E2022" s="8" t="s">
        <v>27</v>
      </c>
      <c r="F2022" s="6" t="s">
        <v>31</v>
      </c>
      <c r="G2022" s="8">
        <v>2016</v>
      </c>
      <c r="H2022" s="8">
        <v>8</v>
      </c>
      <c r="I2022" s="10">
        <v>42583</v>
      </c>
      <c r="J2022" s="11">
        <v>2680</v>
      </c>
      <c r="K2022" s="51"/>
      <c r="O2022" s="1" t="s">
        <v>6</v>
      </c>
      <c r="P2022" s="1" t="s">
        <v>29</v>
      </c>
      <c r="Q2022" s="1" t="s">
        <v>30</v>
      </c>
      <c r="R2022" s="1" t="s">
        <v>27</v>
      </c>
      <c r="S2022" t="s">
        <v>31</v>
      </c>
      <c r="T2022" s="1">
        <v>2016</v>
      </c>
      <c r="U2022" s="1">
        <v>8</v>
      </c>
      <c r="V2022" s="50">
        <v>42583</v>
      </c>
      <c r="W2022" s="4">
        <v>2492.3999999999996</v>
      </c>
      <c r="X2022" s="48">
        <v>2680</v>
      </c>
    </row>
    <row r="2023" spans="2:24" x14ac:dyDescent="0.35">
      <c r="B2023" s="8" t="s">
        <v>7</v>
      </c>
      <c r="C2023" s="8" t="s">
        <v>32</v>
      </c>
      <c r="D2023" s="8" t="s">
        <v>8</v>
      </c>
      <c r="E2023" s="9" t="s">
        <v>27</v>
      </c>
      <c r="F2023" s="9" t="s">
        <v>33</v>
      </c>
      <c r="G2023" s="8">
        <v>2016</v>
      </c>
      <c r="H2023" s="8">
        <v>8</v>
      </c>
      <c r="I2023" s="10">
        <v>42583</v>
      </c>
      <c r="J2023" s="11">
        <v>3133</v>
      </c>
      <c r="K2023" s="51"/>
      <c r="O2023" s="1" t="s">
        <v>7</v>
      </c>
      <c r="P2023" s="1" t="s">
        <v>32</v>
      </c>
      <c r="Q2023" s="1" t="s">
        <v>8</v>
      </c>
      <c r="R2023" s="2" t="s">
        <v>27</v>
      </c>
      <c r="S2023" s="2" t="s">
        <v>33</v>
      </c>
      <c r="T2023" s="1">
        <v>2016</v>
      </c>
      <c r="U2023" s="1">
        <v>8</v>
      </c>
      <c r="V2023" s="50">
        <v>42583</v>
      </c>
      <c r="W2023" s="4">
        <v>2913.6899999999996</v>
      </c>
      <c r="X2023" s="48">
        <v>3133</v>
      </c>
    </row>
    <row r="2024" spans="2:24" x14ac:dyDescent="0.35">
      <c r="B2024" s="8" t="s">
        <v>12</v>
      </c>
      <c r="C2024" s="8" t="s">
        <v>34</v>
      </c>
      <c r="D2024" s="8" t="s">
        <v>35</v>
      </c>
      <c r="E2024" s="8" t="s">
        <v>23</v>
      </c>
      <c r="F2024" s="9" t="s">
        <v>36</v>
      </c>
      <c r="G2024" s="8">
        <v>2016</v>
      </c>
      <c r="H2024" s="8">
        <v>8</v>
      </c>
      <c r="I2024" s="10">
        <v>42583</v>
      </c>
      <c r="J2024" s="11">
        <v>2839</v>
      </c>
      <c r="K2024" s="51"/>
      <c r="O2024" s="1" t="s">
        <v>12</v>
      </c>
      <c r="P2024" s="1" t="s">
        <v>34</v>
      </c>
      <c r="Q2024" s="1" t="s">
        <v>35</v>
      </c>
      <c r="R2024" s="1" t="s">
        <v>23</v>
      </c>
      <c r="S2024" s="2" t="s">
        <v>36</v>
      </c>
      <c r="T2024" s="1">
        <v>2016</v>
      </c>
      <c r="U2024" s="1">
        <v>8</v>
      </c>
      <c r="V2024" s="50">
        <v>42583</v>
      </c>
      <c r="W2024" s="4">
        <v>2441.5400000000004</v>
      </c>
      <c r="X2024" s="48">
        <v>2839</v>
      </c>
    </row>
    <row r="2025" spans="2:24" x14ac:dyDescent="0.35">
      <c r="B2025" s="8" t="s">
        <v>14</v>
      </c>
      <c r="C2025" s="8" t="s">
        <v>37</v>
      </c>
      <c r="D2025" s="8" t="s">
        <v>38</v>
      </c>
      <c r="E2025" s="8" t="s">
        <v>23</v>
      </c>
      <c r="F2025" s="6" t="s">
        <v>24</v>
      </c>
      <c r="G2025" s="8">
        <v>2016</v>
      </c>
      <c r="H2025" s="8">
        <v>8</v>
      </c>
      <c r="I2025" s="10">
        <v>42583</v>
      </c>
      <c r="J2025" s="11">
        <v>2974</v>
      </c>
      <c r="K2025" s="51"/>
      <c r="O2025" s="1" t="s">
        <v>14</v>
      </c>
      <c r="P2025" s="1" t="s">
        <v>37</v>
      </c>
      <c r="Q2025" s="1" t="s">
        <v>38</v>
      </c>
      <c r="R2025" s="1" t="s">
        <v>23</v>
      </c>
      <c r="S2025" t="s">
        <v>24</v>
      </c>
      <c r="T2025" s="1">
        <v>2016</v>
      </c>
      <c r="U2025" s="1">
        <v>8</v>
      </c>
      <c r="V2025" s="50">
        <v>42583</v>
      </c>
      <c r="W2025" s="4">
        <v>2795.56</v>
      </c>
      <c r="X2025" s="48">
        <v>2974</v>
      </c>
    </row>
    <row r="2026" spans="2:24" x14ac:dyDescent="0.35">
      <c r="B2026" s="8" t="s">
        <v>3</v>
      </c>
      <c r="C2026" s="8" t="s">
        <v>25</v>
      </c>
      <c r="D2026" s="8" t="s">
        <v>4</v>
      </c>
      <c r="E2026" s="8" t="s">
        <v>23</v>
      </c>
      <c r="F2026" s="8" t="s">
        <v>39</v>
      </c>
      <c r="G2026" s="8">
        <v>2016</v>
      </c>
      <c r="H2026" s="8">
        <v>8</v>
      </c>
      <c r="I2026" s="10">
        <v>42583</v>
      </c>
      <c r="J2026" s="11">
        <v>1889</v>
      </c>
      <c r="K2026" s="51"/>
      <c r="O2026" s="1" t="s">
        <v>3</v>
      </c>
      <c r="P2026" s="1" t="s">
        <v>25</v>
      </c>
      <c r="Q2026" s="1" t="s">
        <v>4</v>
      </c>
      <c r="R2026" s="1" t="s">
        <v>23</v>
      </c>
      <c r="S2026" s="1" t="s">
        <v>39</v>
      </c>
      <c r="T2026" s="1">
        <v>2016</v>
      </c>
      <c r="U2026" s="1">
        <v>8</v>
      </c>
      <c r="V2026" s="50">
        <v>42583</v>
      </c>
      <c r="W2026" s="4">
        <v>1681.2099999999998</v>
      </c>
      <c r="X2026" s="48">
        <v>1889</v>
      </c>
    </row>
    <row r="2027" spans="2:24" x14ac:dyDescent="0.35">
      <c r="B2027" s="8" t="s">
        <v>6</v>
      </c>
      <c r="C2027" s="8" t="s">
        <v>40</v>
      </c>
      <c r="D2027" s="8" t="s">
        <v>41</v>
      </c>
      <c r="E2027" s="8" t="s">
        <v>0</v>
      </c>
      <c r="F2027" s="8" t="s">
        <v>42</v>
      </c>
      <c r="G2027" s="8">
        <v>2016</v>
      </c>
      <c r="H2027" s="8">
        <v>8</v>
      </c>
      <c r="I2027" s="10">
        <v>42583</v>
      </c>
      <c r="J2027" s="11">
        <v>5528</v>
      </c>
      <c r="K2027" s="51"/>
      <c r="O2027" s="1" t="s">
        <v>6</v>
      </c>
      <c r="P2027" s="1" t="s">
        <v>40</v>
      </c>
      <c r="Q2027" s="1" t="s">
        <v>41</v>
      </c>
      <c r="R2027" s="1" t="s">
        <v>0</v>
      </c>
      <c r="S2027" s="1" t="s">
        <v>42</v>
      </c>
      <c r="T2027" s="1">
        <v>2016</v>
      </c>
      <c r="U2027" s="1">
        <v>8</v>
      </c>
      <c r="V2027" s="50">
        <v>42583</v>
      </c>
      <c r="W2027" s="4">
        <v>4975.2</v>
      </c>
      <c r="X2027" s="48">
        <v>5528</v>
      </c>
    </row>
    <row r="2028" spans="2:24" x14ac:dyDescent="0.35">
      <c r="B2028" s="8" t="s">
        <v>7</v>
      </c>
      <c r="C2028" s="8" t="s">
        <v>43</v>
      </c>
      <c r="D2028" s="8" t="s">
        <v>10</v>
      </c>
      <c r="E2028" s="8" t="s">
        <v>0</v>
      </c>
      <c r="F2028" s="8" t="s">
        <v>26</v>
      </c>
      <c r="G2028" s="8">
        <v>2016</v>
      </c>
      <c r="H2028" s="8">
        <v>8</v>
      </c>
      <c r="I2028" s="10">
        <v>42583</v>
      </c>
      <c r="J2028" s="11">
        <v>4372</v>
      </c>
      <c r="K2028" s="51"/>
      <c r="O2028" s="1" t="s">
        <v>7</v>
      </c>
      <c r="P2028" s="1" t="s">
        <v>43</v>
      </c>
      <c r="Q2028" s="1" t="s">
        <v>10</v>
      </c>
      <c r="R2028" s="1" t="s">
        <v>0</v>
      </c>
      <c r="S2028" s="1" t="s">
        <v>26</v>
      </c>
      <c r="T2028" s="1">
        <v>2016</v>
      </c>
      <c r="U2028" s="1">
        <v>8</v>
      </c>
      <c r="V2028" s="50">
        <v>42583</v>
      </c>
      <c r="W2028" s="4">
        <v>3847.3599999999997</v>
      </c>
      <c r="X2028" s="48">
        <v>4372</v>
      </c>
    </row>
    <row r="2029" spans="2:24" x14ac:dyDescent="0.35">
      <c r="B2029" s="8" t="s">
        <v>12</v>
      </c>
      <c r="C2029" s="8" t="s">
        <v>44</v>
      </c>
      <c r="D2029" s="8" t="s">
        <v>13</v>
      </c>
      <c r="E2029" s="8" t="s">
        <v>0</v>
      </c>
      <c r="F2029" s="6" t="s">
        <v>45</v>
      </c>
      <c r="G2029" s="8">
        <v>2016</v>
      </c>
      <c r="H2029" s="8">
        <v>8</v>
      </c>
      <c r="I2029" s="10">
        <v>42583</v>
      </c>
      <c r="J2029" s="11">
        <v>2877</v>
      </c>
      <c r="K2029" s="51"/>
      <c r="O2029" s="1" t="s">
        <v>12</v>
      </c>
      <c r="P2029" s="1" t="s">
        <v>44</v>
      </c>
      <c r="Q2029" s="1" t="s">
        <v>13</v>
      </c>
      <c r="R2029" s="1" t="s">
        <v>0</v>
      </c>
      <c r="S2029" t="s">
        <v>45</v>
      </c>
      <c r="T2029" s="1">
        <v>2016</v>
      </c>
      <c r="U2029" s="1">
        <v>8</v>
      </c>
      <c r="V2029" s="50">
        <v>42583</v>
      </c>
      <c r="W2029" s="4">
        <v>2675.6099999999997</v>
      </c>
      <c r="X2029" s="48">
        <v>2877</v>
      </c>
    </row>
    <row r="2030" spans="2:24" x14ac:dyDescent="0.35">
      <c r="B2030" s="8" t="s">
        <v>14</v>
      </c>
      <c r="C2030" s="8" t="s">
        <v>46</v>
      </c>
      <c r="D2030" s="8" t="s">
        <v>47</v>
      </c>
      <c r="E2030" s="8" t="s">
        <v>27</v>
      </c>
      <c r="F2030" s="6" t="s">
        <v>28</v>
      </c>
      <c r="G2030" s="8">
        <v>2016</v>
      </c>
      <c r="H2030" s="8">
        <v>8</v>
      </c>
      <c r="I2030" s="10">
        <v>42583</v>
      </c>
      <c r="J2030" s="11">
        <v>3730</v>
      </c>
      <c r="K2030" s="51"/>
      <c r="O2030" s="1" t="s">
        <v>14</v>
      </c>
      <c r="P2030" s="1" t="s">
        <v>46</v>
      </c>
      <c r="Q2030" s="1" t="s">
        <v>47</v>
      </c>
      <c r="R2030" s="1" t="s">
        <v>27</v>
      </c>
      <c r="S2030" t="s">
        <v>28</v>
      </c>
      <c r="T2030" s="1">
        <v>2016</v>
      </c>
      <c r="U2030" s="1">
        <v>8</v>
      </c>
      <c r="V2030" s="50">
        <v>42583</v>
      </c>
      <c r="W2030" s="4">
        <v>3506.2</v>
      </c>
      <c r="X2030" s="48">
        <v>3730</v>
      </c>
    </row>
    <row r="2031" spans="2:24" x14ac:dyDescent="0.35">
      <c r="B2031" s="8" t="s">
        <v>3</v>
      </c>
      <c r="C2031" s="8" t="s">
        <v>22</v>
      </c>
      <c r="D2031" s="8" t="s">
        <v>5</v>
      </c>
      <c r="E2031" s="8" t="s">
        <v>27</v>
      </c>
      <c r="F2031" s="6" t="s">
        <v>31</v>
      </c>
      <c r="G2031" s="8">
        <v>2016</v>
      </c>
      <c r="H2031" s="8">
        <v>8</v>
      </c>
      <c r="I2031" s="10">
        <v>42583</v>
      </c>
      <c r="J2031" s="11">
        <v>2873</v>
      </c>
      <c r="K2031" s="51"/>
      <c r="O2031" s="1" t="s">
        <v>3</v>
      </c>
      <c r="P2031" s="1" t="s">
        <v>22</v>
      </c>
      <c r="Q2031" s="1" t="s">
        <v>5</v>
      </c>
      <c r="R2031" s="1" t="s">
        <v>27</v>
      </c>
      <c r="S2031" t="s">
        <v>31</v>
      </c>
      <c r="T2031" s="1">
        <v>2016</v>
      </c>
      <c r="U2031" s="1">
        <v>8</v>
      </c>
      <c r="V2031" s="50">
        <v>42583</v>
      </c>
      <c r="W2031" s="4">
        <v>2470.7800000000002</v>
      </c>
      <c r="X2031" s="48">
        <v>2873</v>
      </c>
    </row>
    <row r="2032" spans="2:24" x14ac:dyDescent="0.35">
      <c r="B2032" s="8" t="s">
        <v>6</v>
      </c>
      <c r="C2032" s="8" t="s">
        <v>29</v>
      </c>
      <c r="D2032" s="8" t="s">
        <v>30</v>
      </c>
      <c r="E2032" s="9" t="s">
        <v>27</v>
      </c>
      <c r="F2032" s="9" t="s">
        <v>33</v>
      </c>
      <c r="G2032" s="8">
        <v>2016</v>
      </c>
      <c r="H2032" s="8">
        <v>8</v>
      </c>
      <c r="I2032" s="10">
        <v>42583</v>
      </c>
      <c r="J2032" s="11">
        <v>3320</v>
      </c>
      <c r="K2032" s="51"/>
      <c r="O2032" s="1" t="s">
        <v>6</v>
      </c>
      <c r="P2032" s="1" t="s">
        <v>29</v>
      </c>
      <c r="Q2032" s="1" t="s">
        <v>30</v>
      </c>
      <c r="R2032" s="2" t="s">
        <v>27</v>
      </c>
      <c r="S2032" s="2" t="s">
        <v>33</v>
      </c>
      <c r="T2032" s="1">
        <v>2016</v>
      </c>
      <c r="U2032" s="1">
        <v>8</v>
      </c>
      <c r="V2032" s="50">
        <v>42583</v>
      </c>
      <c r="W2032" s="4">
        <v>3120.7999999999997</v>
      </c>
      <c r="X2032" s="48">
        <v>3320</v>
      </c>
    </row>
    <row r="2033" spans="2:24" x14ac:dyDescent="0.35">
      <c r="B2033" s="8" t="s">
        <v>7</v>
      </c>
      <c r="C2033" s="8" t="s">
        <v>32</v>
      </c>
      <c r="D2033" s="8" t="s">
        <v>8</v>
      </c>
      <c r="E2033" s="8" t="s">
        <v>23</v>
      </c>
      <c r="F2033" s="9" t="s">
        <v>36</v>
      </c>
      <c r="G2033" s="8">
        <v>2016</v>
      </c>
      <c r="H2033" s="8">
        <v>8</v>
      </c>
      <c r="I2033" s="10">
        <v>42583</v>
      </c>
      <c r="J2033" s="11">
        <v>2457</v>
      </c>
      <c r="K2033" s="51"/>
      <c r="O2033" s="1" t="s">
        <v>7</v>
      </c>
      <c r="P2033" s="1" t="s">
        <v>32</v>
      </c>
      <c r="Q2033" s="1" t="s">
        <v>8</v>
      </c>
      <c r="R2033" s="1" t="s">
        <v>23</v>
      </c>
      <c r="S2033" s="2" t="s">
        <v>36</v>
      </c>
      <c r="T2033" s="1">
        <v>2016</v>
      </c>
      <c r="U2033" s="1">
        <v>8</v>
      </c>
      <c r="V2033" s="50">
        <v>42583</v>
      </c>
      <c r="W2033" s="4">
        <v>2211.2999999999997</v>
      </c>
      <c r="X2033" s="48">
        <v>2457</v>
      </c>
    </row>
    <row r="2034" spans="2:24" x14ac:dyDescent="0.35">
      <c r="B2034" s="8" t="s">
        <v>12</v>
      </c>
      <c r="C2034" s="8" t="s">
        <v>34</v>
      </c>
      <c r="D2034" s="8" t="s">
        <v>35</v>
      </c>
      <c r="E2034" s="8" t="s">
        <v>23</v>
      </c>
      <c r="F2034" s="6" t="s">
        <v>24</v>
      </c>
      <c r="G2034" s="8">
        <v>2016</v>
      </c>
      <c r="H2034" s="8">
        <v>8</v>
      </c>
      <c r="I2034" s="10">
        <v>42583</v>
      </c>
      <c r="J2034" s="11">
        <v>2920</v>
      </c>
      <c r="K2034" s="51"/>
      <c r="O2034" s="1" t="s">
        <v>12</v>
      </c>
      <c r="P2034" s="1" t="s">
        <v>34</v>
      </c>
      <c r="Q2034" s="1" t="s">
        <v>35</v>
      </c>
      <c r="R2034" s="1" t="s">
        <v>23</v>
      </c>
      <c r="S2034" t="s">
        <v>24</v>
      </c>
      <c r="T2034" s="1">
        <v>2016</v>
      </c>
      <c r="U2034" s="1">
        <v>8</v>
      </c>
      <c r="V2034" s="50">
        <v>42583</v>
      </c>
      <c r="W2034" s="4">
        <v>2511.2000000000003</v>
      </c>
      <c r="X2034" s="48">
        <v>2920</v>
      </c>
    </row>
    <row r="2035" spans="2:24" x14ac:dyDescent="0.35">
      <c r="B2035" s="8" t="s">
        <v>14</v>
      </c>
      <c r="C2035" s="8" t="s">
        <v>37</v>
      </c>
      <c r="D2035" s="8" t="s">
        <v>38</v>
      </c>
      <c r="E2035" s="8" t="s">
        <v>23</v>
      </c>
      <c r="F2035" s="8" t="s">
        <v>39</v>
      </c>
      <c r="G2035" s="8">
        <v>2016</v>
      </c>
      <c r="H2035" s="8">
        <v>8</v>
      </c>
      <c r="I2035" s="10">
        <v>42583</v>
      </c>
      <c r="J2035" s="11">
        <v>1530</v>
      </c>
      <c r="K2035" s="51"/>
      <c r="O2035" s="1" t="s">
        <v>14</v>
      </c>
      <c r="P2035" s="1" t="s">
        <v>37</v>
      </c>
      <c r="Q2035" s="1" t="s">
        <v>38</v>
      </c>
      <c r="R2035" s="1" t="s">
        <v>23</v>
      </c>
      <c r="S2035" s="1" t="s">
        <v>39</v>
      </c>
      <c r="T2035" s="1">
        <v>2016</v>
      </c>
      <c r="U2035" s="1">
        <v>8</v>
      </c>
      <c r="V2035" s="50">
        <v>42583</v>
      </c>
      <c r="W2035" s="4">
        <v>1331.1000000000001</v>
      </c>
      <c r="X2035" s="48">
        <v>1530</v>
      </c>
    </row>
    <row r="2036" spans="2:24" x14ac:dyDescent="0.35">
      <c r="B2036" s="8" t="s">
        <v>3</v>
      </c>
      <c r="C2036" s="8" t="s">
        <v>25</v>
      </c>
      <c r="D2036" s="8" t="s">
        <v>4</v>
      </c>
      <c r="E2036" s="8" t="s">
        <v>0</v>
      </c>
      <c r="F2036" s="8" t="s">
        <v>42</v>
      </c>
      <c r="G2036" s="8">
        <v>2016</v>
      </c>
      <c r="H2036" s="8">
        <v>8</v>
      </c>
      <c r="I2036" s="10">
        <v>42583</v>
      </c>
      <c r="J2036" s="11">
        <v>5257</v>
      </c>
      <c r="K2036" s="51"/>
      <c r="O2036" s="1" t="s">
        <v>3</v>
      </c>
      <c r="P2036" s="1" t="s">
        <v>25</v>
      </c>
      <c r="Q2036" s="1" t="s">
        <v>4</v>
      </c>
      <c r="R2036" s="1" t="s">
        <v>0</v>
      </c>
      <c r="S2036" s="1" t="s">
        <v>42</v>
      </c>
      <c r="T2036" s="1">
        <v>2016</v>
      </c>
      <c r="U2036" s="1">
        <v>8</v>
      </c>
      <c r="V2036" s="50">
        <v>42583</v>
      </c>
      <c r="W2036" s="4">
        <v>4731.2999999999993</v>
      </c>
      <c r="X2036" s="48">
        <v>5257</v>
      </c>
    </row>
    <row r="2037" spans="2:24" x14ac:dyDescent="0.35">
      <c r="B2037" s="8" t="s">
        <v>6</v>
      </c>
      <c r="C2037" s="8" t="s">
        <v>40</v>
      </c>
      <c r="D2037" s="8" t="s">
        <v>41</v>
      </c>
      <c r="E2037" s="8" t="s">
        <v>0</v>
      </c>
      <c r="F2037" s="8" t="s">
        <v>26</v>
      </c>
      <c r="G2037" s="8">
        <v>2016</v>
      </c>
      <c r="H2037" s="8">
        <v>8</v>
      </c>
      <c r="I2037" s="10">
        <v>42583</v>
      </c>
      <c r="J2037" s="11">
        <v>5107</v>
      </c>
      <c r="K2037" s="51"/>
      <c r="O2037" s="1" t="s">
        <v>6</v>
      </c>
      <c r="P2037" s="1" t="s">
        <v>40</v>
      </c>
      <c r="Q2037" s="1" t="s">
        <v>41</v>
      </c>
      <c r="R2037" s="1" t="s">
        <v>0</v>
      </c>
      <c r="S2037" s="1" t="s">
        <v>26</v>
      </c>
      <c r="T2037" s="1">
        <v>2016</v>
      </c>
      <c r="U2037" s="1">
        <v>8</v>
      </c>
      <c r="V2037" s="50">
        <v>42583</v>
      </c>
      <c r="W2037" s="4">
        <v>4596.2999999999993</v>
      </c>
      <c r="X2037" s="48">
        <v>5107</v>
      </c>
    </row>
    <row r="2038" spans="2:24" x14ac:dyDescent="0.35">
      <c r="B2038" s="8" t="s">
        <v>7</v>
      </c>
      <c r="C2038" s="8" t="s">
        <v>43</v>
      </c>
      <c r="D2038" s="8" t="s">
        <v>10</v>
      </c>
      <c r="E2038" s="8" t="s">
        <v>0</v>
      </c>
      <c r="F2038" s="6" t="s">
        <v>45</v>
      </c>
      <c r="G2038" s="8">
        <v>2016</v>
      </c>
      <c r="H2038" s="8">
        <v>8</v>
      </c>
      <c r="I2038" s="10">
        <v>42583</v>
      </c>
      <c r="J2038" s="11">
        <v>3943</v>
      </c>
      <c r="K2038" s="51"/>
      <c r="O2038" s="1" t="s">
        <v>7</v>
      </c>
      <c r="P2038" s="1" t="s">
        <v>43</v>
      </c>
      <c r="Q2038" s="1" t="s">
        <v>10</v>
      </c>
      <c r="R2038" s="1" t="s">
        <v>0</v>
      </c>
      <c r="S2038" t="s">
        <v>45</v>
      </c>
      <c r="T2038" s="1">
        <v>2016</v>
      </c>
      <c r="U2038" s="1">
        <v>8</v>
      </c>
      <c r="V2038" s="50">
        <v>42583</v>
      </c>
      <c r="W2038" s="4">
        <v>3509.2699999999995</v>
      </c>
      <c r="X2038" s="48">
        <v>3943</v>
      </c>
    </row>
    <row r="2039" spans="2:24" x14ac:dyDescent="0.35">
      <c r="B2039" s="8" t="s">
        <v>12</v>
      </c>
      <c r="C2039" s="8" t="s">
        <v>44</v>
      </c>
      <c r="D2039" s="8" t="s">
        <v>13</v>
      </c>
      <c r="E2039" s="8" t="s">
        <v>27</v>
      </c>
      <c r="F2039" s="6" t="s">
        <v>28</v>
      </c>
      <c r="G2039" s="8">
        <v>2016</v>
      </c>
      <c r="H2039" s="8">
        <v>8</v>
      </c>
      <c r="I2039" s="10">
        <v>42583</v>
      </c>
      <c r="J2039" s="11">
        <v>3681</v>
      </c>
      <c r="K2039" s="51"/>
      <c r="O2039" s="1" t="s">
        <v>12</v>
      </c>
      <c r="P2039" s="1" t="s">
        <v>44</v>
      </c>
      <c r="Q2039" s="1" t="s">
        <v>13</v>
      </c>
      <c r="R2039" s="1" t="s">
        <v>27</v>
      </c>
      <c r="S2039" t="s">
        <v>28</v>
      </c>
      <c r="T2039" s="1">
        <v>2016</v>
      </c>
      <c r="U2039" s="1">
        <v>8</v>
      </c>
      <c r="V2039" s="50">
        <v>42583</v>
      </c>
      <c r="W2039" s="4">
        <v>3276.0899999999997</v>
      </c>
      <c r="X2039" s="48">
        <v>3681</v>
      </c>
    </row>
    <row r="2040" spans="2:24" x14ac:dyDescent="0.35">
      <c r="B2040" s="8" t="s">
        <v>14</v>
      </c>
      <c r="C2040" s="8" t="s">
        <v>46</v>
      </c>
      <c r="D2040" s="8" t="s">
        <v>47</v>
      </c>
      <c r="E2040" s="8" t="s">
        <v>27</v>
      </c>
      <c r="F2040" s="6" t="s">
        <v>31</v>
      </c>
      <c r="G2040" s="8">
        <v>2016</v>
      </c>
      <c r="H2040" s="8">
        <v>8</v>
      </c>
      <c r="I2040" s="10">
        <v>42583</v>
      </c>
      <c r="J2040" s="11">
        <v>5163</v>
      </c>
      <c r="K2040" s="51"/>
      <c r="O2040" s="1" t="s">
        <v>14</v>
      </c>
      <c r="P2040" s="1" t="s">
        <v>46</v>
      </c>
      <c r="Q2040" s="1" t="s">
        <v>47</v>
      </c>
      <c r="R2040" s="1" t="s">
        <v>27</v>
      </c>
      <c r="S2040" t="s">
        <v>31</v>
      </c>
      <c r="T2040" s="1">
        <v>2016</v>
      </c>
      <c r="U2040" s="1">
        <v>8</v>
      </c>
      <c r="V2040" s="50">
        <v>42583</v>
      </c>
      <c r="W2040" s="4">
        <v>4595.07</v>
      </c>
      <c r="X2040" s="48">
        <v>5163</v>
      </c>
    </row>
    <row r="2041" spans="2:24" x14ac:dyDescent="0.35">
      <c r="B2041" s="8" t="s">
        <v>3</v>
      </c>
      <c r="C2041" s="8" t="s">
        <v>22</v>
      </c>
      <c r="D2041" s="8" t="s">
        <v>5</v>
      </c>
      <c r="E2041" s="9" t="s">
        <v>27</v>
      </c>
      <c r="F2041" s="9" t="s">
        <v>33</v>
      </c>
      <c r="G2041" s="8">
        <v>2016</v>
      </c>
      <c r="H2041" s="8">
        <v>8</v>
      </c>
      <c r="I2041" s="10">
        <v>42583</v>
      </c>
      <c r="J2041" s="11">
        <v>3090</v>
      </c>
      <c r="K2041" s="51"/>
      <c r="O2041" s="1" t="s">
        <v>3</v>
      </c>
      <c r="P2041" s="1" t="s">
        <v>22</v>
      </c>
      <c r="Q2041" s="1" t="s">
        <v>5</v>
      </c>
      <c r="R2041" s="2" t="s">
        <v>27</v>
      </c>
      <c r="S2041" s="2" t="s">
        <v>33</v>
      </c>
      <c r="T2041" s="1">
        <v>2016</v>
      </c>
      <c r="U2041" s="1">
        <v>8</v>
      </c>
      <c r="V2041" s="50">
        <v>42583</v>
      </c>
      <c r="W2041" s="4">
        <v>2904.6</v>
      </c>
      <c r="X2041" s="48">
        <v>3090</v>
      </c>
    </row>
    <row r="2042" spans="2:24" x14ac:dyDescent="0.35">
      <c r="B2042" s="8" t="s">
        <v>6</v>
      </c>
      <c r="C2042" s="8" t="s">
        <v>29</v>
      </c>
      <c r="D2042" s="8" t="s">
        <v>30</v>
      </c>
      <c r="E2042" s="8" t="s">
        <v>23</v>
      </c>
      <c r="F2042" s="9" t="s">
        <v>36</v>
      </c>
      <c r="G2042" s="8">
        <v>2016</v>
      </c>
      <c r="H2042" s="8">
        <v>8</v>
      </c>
      <c r="I2042" s="10">
        <v>42583</v>
      </c>
      <c r="J2042" s="11">
        <v>2890</v>
      </c>
      <c r="K2042" s="51"/>
      <c r="O2042" s="1" t="s">
        <v>6</v>
      </c>
      <c r="P2042" s="1" t="s">
        <v>29</v>
      </c>
      <c r="Q2042" s="1" t="s">
        <v>30</v>
      </c>
      <c r="R2042" s="1" t="s">
        <v>23</v>
      </c>
      <c r="S2042" s="2" t="s">
        <v>36</v>
      </c>
      <c r="T2042" s="1">
        <v>2016</v>
      </c>
      <c r="U2042" s="1">
        <v>8</v>
      </c>
      <c r="V2042" s="50">
        <v>42583</v>
      </c>
      <c r="W2042" s="4">
        <v>2687.7</v>
      </c>
      <c r="X2042" s="48">
        <v>2890</v>
      </c>
    </row>
    <row r="2043" spans="2:24" x14ac:dyDescent="0.35">
      <c r="B2043" s="8" t="s">
        <v>7</v>
      </c>
      <c r="C2043" s="8" t="s">
        <v>32</v>
      </c>
      <c r="D2043" s="8" t="s">
        <v>8</v>
      </c>
      <c r="E2043" s="8" t="s">
        <v>23</v>
      </c>
      <c r="F2043" s="6" t="s">
        <v>24</v>
      </c>
      <c r="G2043" s="8">
        <v>2016</v>
      </c>
      <c r="H2043" s="8">
        <v>8</v>
      </c>
      <c r="I2043" s="10">
        <v>42583</v>
      </c>
      <c r="J2043" s="11">
        <v>2799</v>
      </c>
      <c r="K2043" s="51"/>
      <c r="O2043" s="1" t="s">
        <v>7</v>
      </c>
      <c r="P2043" s="1" t="s">
        <v>32</v>
      </c>
      <c r="Q2043" s="1" t="s">
        <v>8</v>
      </c>
      <c r="R2043" s="1" t="s">
        <v>23</v>
      </c>
      <c r="S2043" t="s">
        <v>24</v>
      </c>
      <c r="T2043" s="1">
        <v>2016</v>
      </c>
      <c r="U2043" s="1">
        <v>8</v>
      </c>
      <c r="V2043" s="50">
        <v>42583</v>
      </c>
      <c r="W2043" s="4">
        <v>2463.12</v>
      </c>
      <c r="X2043" s="48">
        <v>2799</v>
      </c>
    </row>
    <row r="2044" spans="2:24" x14ac:dyDescent="0.35">
      <c r="B2044" s="8" t="s">
        <v>12</v>
      </c>
      <c r="C2044" s="8" t="s">
        <v>34</v>
      </c>
      <c r="D2044" s="8" t="s">
        <v>35</v>
      </c>
      <c r="E2044" s="8" t="s">
        <v>23</v>
      </c>
      <c r="F2044" s="8" t="s">
        <v>39</v>
      </c>
      <c r="G2044" s="8">
        <v>2016</v>
      </c>
      <c r="H2044" s="8">
        <v>8</v>
      </c>
      <c r="I2044" s="10">
        <v>42583</v>
      </c>
      <c r="J2044" s="11">
        <v>2670</v>
      </c>
      <c r="K2044" s="51"/>
      <c r="O2044" s="1" t="s">
        <v>12</v>
      </c>
      <c r="P2044" s="1" t="s">
        <v>34</v>
      </c>
      <c r="Q2044" s="1" t="s">
        <v>35</v>
      </c>
      <c r="R2044" s="1" t="s">
        <v>23</v>
      </c>
      <c r="S2044" s="1" t="s">
        <v>39</v>
      </c>
      <c r="T2044" s="1">
        <v>2016</v>
      </c>
      <c r="U2044" s="1">
        <v>8</v>
      </c>
      <c r="V2044" s="50">
        <v>42583</v>
      </c>
      <c r="W2044" s="4">
        <v>2429.6999999999998</v>
      </c>
      <c r="X2044" s="48">
        <v>2670</v>
      </c>
    </row>
    <row r="2045" spans="2:24" x14ac:dyDescent="0.35">
      <c r="B2045" s="8" t="s">
        <v>14</v>
      </c>
      <c r="C2045" s="8" t="s">
        <v>37</v>
      </c>
      <c r="D2045" s="8" t="s">
        <v>38</v>
      </c>
      <c r="E2045" s="8" t="s">
        <v>0</v>
      </c>
      <c r="F2045" s="8" t="s">
        <v>42</v>
      </c>
      <c r="G2045" s="8">
        <v>2016</v>
      </c>
      <c r="H2045" s="8">
        <v>8</v>
      </c>
      <c r="I2045" s="10">
        <v>42583</v>
      </c>
      <c r="J2045" s="11">
        <v>5301</v>
      </c>
      <c r="K2045" s="51"/>
      <c r="O2045" s="1" t="s">
        <v>14</v>
      </c>
      <c r="P2045" s="1" t="s">
        <v>37</v>
      </c>
      <c r="Q2045" s="1" t="s">
        <v>38</v>
      </c>
      <c r="R2045" s="1" t="s">
        <v>0</v>
      </c>
      <c r="S2045" s="1" t="s">
        <v>42</v>
      </c>
      <c r="T2045" s="1">
        <v>2016</v>
      </c>
      <c r="U2045" s="1">
        <v>8</v>
      </c>
      <c r="V2045" s="50">
        <v>42583</v>
      </c>
      <c r="W2045" s="4">
        <v>4611.8700000000008</v>
      </c>
      <c r="X2045" s="48">
        <v>5301</v>
      </c>
    </row>
    <row r="2046" spans="2:24" x14ac:dyDescent="0.35">
      <c r="B2046" s="8" t="s">
        <v>6</v>
      </c>
      <c r="C2046" s="8" t="s">
        <v>29</v>
      </c>
      <c r="D2046" s="8" t="s">
        <v>30</v>
      </c>
      <c r="E2046" s="8" t="s">
        <v>0</v>
      </c>
      <c r="F2046" s="8" t="s">
        <v>45</v>
      </c>
      <c r="G2046" s="8">
        <v>2016</v>
      </c>
      <c r="H2046" s="8">
        <v>8</v>
      </c>
      <c r="I2046" s="10">
        <v>42583</v>
      </c>
      <c r="J2046" s="11">
        <v>4135</v>
      </c>
      <c r="K2046" s="51"/>
      <c r="O2046" s="1" t="s">
        <v>6</v>
      </c>
      <c r="P2046" s="1" t="s">
        <v>29</v>
      </c>
      <c r="Q2046" s="1" t="s">
        <v>30</v>
      </c>
      <c r="R2046" s="1" t="s">
        <v>0</v>
      </c>
      <c r="S2046" s="1" t="s">
        <v>45</v>
      </c>
      <c r="T2046" s="1">
        <v>2016</v>
      </c>
      <c r="U2046" s="1">
        <v>8</v>
      </c>
      <c r="V2046" s="50">
        <v>42583</v>
      </c>
      <c r="W2046" s="4">
        <v>3762.8499999999995</v>
      </c>
      <c r="X2046" s="48">
        <v>4135</v>
      </c>
    </row>
    <row r="2047" spans="2:24" x14ac:dyDescent="0.35">
      <c r="B2047" s="8" t="s">
        <v>7</v>
      </c>
      <c r="C2047" s="8" t="s">
        <v>43</v>
      </c>
      <c r="D2047" s="8" t="s">
        <v>10</v>
      </c>
      <c r="E2047" s="8" t="s">
        <v>27</v>
      </c>
      <c r="F2047" s="6" t="s">
        <v>28</v>
      </c>
      <c r="G2047" s="8">
        <v>2016</v>
      </c>
      <c r="H2047" s="8">
        <v>8</v>
      </c>
      <c r="I2047" s="10">
        <v>42583</v>
      </c>
      <c r="J2047" s="11">
        <v>4921</v>
      </c>
      <c r="K2047" s="51"/>
      <c r="O2047" s="1" t="s">
        <v>7</v>
      </c>
      <c r="P2047" s="1" t="s">
        <v>43</v>
      </c>
      <c r="Q2047" s="1" t="s">
        <v>10</v>
      </c>
      <c r="R2047" s="1" t="s">
        <v>27</v>
      </c>
      <c r="S2047" t="s">
        <v>28</v>
      </c>
      <c r="T2047" s="1">
        <v>2016</v>
      </c>
      <c r="U2047" s="1">
        <v>8</v>
      </c>
      <c r="V2047" s="50">
        <v>42583</v>
      </c>
      <c r="W2047" s="4">
        <v>4330.4799999999996</v>
      </c>
      <c r="X2047" s="48">
        <v>4921</v>
      </c>
    </row>
    <row r="2048" spans="2:24" x14ac:dyDescent="0.35">
      <c r="B2048" s="8" t="s">
        <v>12</v>
      </c>
      <c r="C2048" s="8" t="s">
        <v>44</v>
      </c>
      <c r="D2048" s="8" t="s">
        <v>13</v>
      </c>
      <c r="E2048" s="8" t="s">
        <v>27</v>
      </c>
      <c r="F2048" s="6" t="s">
        <v>31</v>
      </c>
      <c r="G2048" s="8">
        <v>2016</v>
      </c>
      <c r="H2048" s="8">
        <v>8</v>
      </c>
      <c r="I2048" s="10">
        <v>42583</v>
      </c>
      <c r="J2048" s="11">
        <v>2857</v>
      </c>
      <c r="K2048" s="51"/>
      <c r="O2048" s="1" t="s">
        <v>12</v>
      </c>
      <c r="P2048" s="1" t="s">
        <v>44</v>
      </c>
      <c r="Q2048" s="1" t="s">
        <v>13</v>
      </c>
      <c r="R2048" s="1" t="s">
        <v>27</v>
      </c>
      <c r="S2048" t="s">
        <v>31</v>
      </c>
      <c r="T2048" s="1">
        <v>2016</v>
      </c>
      <c r="U2048" s="1">
        <v>8</v>
      </c>
      <c r="V2048" s="50">
        <v>42583</v>
      </c>
      <c r="W2048" s="4">
        <v>2457.0200000000004</v>
      </c>
      <c r="X2048" s="48">
        <v>2857</v>
      </c>
    </row>
    <row r="2049" spans="2:24" x14ac:dyDescent="0.35">
      <c r="B2049" s="8" t="s">
        <v>14</v>
      </c>
      <c r="C2049" s="8" t="s">
        <v>46</v>
      </c>
      <c r="D2049" s="8" t="s">
        <v>47</v>
      </c>
      <c r="E2049" s="8" t="s">
        <v>27</v>
      </c>
      <c r="F2049" s="6" t="s">
        <v>33</v>
      </c>
      <c r="G2049" s="8">
        <v>2016</v>
      </c>
      <c r="H2049" s="8">
        <v>8</v>
      </c>
      <c r="I2049" s="10">
        <v>42583</v>
      </c>
      <c r="J2049" s="11">
        <v>3160</v>
      </c>
      <c r="K2049" s="51"/>
      <c r="O2049" s="1" t="s">
        <v>14</v>
      </c>
      <c r="P2049" s="1" t="s">
        <v>46</v>
      </c>
      <c r="Q2049" s="1" t="s">
        <v>47</v>
      </c>
      <c r="R2049" s="1" t="s">
        <v>27</v>
      </c>
      <c r="S2049" t="s">
        <v>33</v>
      </c>
      <c r="T2049" s="1">
        <v>2016</v>
      </c>
      <c r="U2049" s="1">
        <v>8</v>
      </c>
      <c r="V2049" s="50">
        <v>42583</v>
      </c>
      <c r="W2049" s="4">
        <v>2938.7999999999997</v>
      </c>
      <c r="X2049" s="48">
        <v>3160</v>
      </c>
    </row>
    <row r="2050" spans="2:24" x14ac:dyDescent="0.35">
      <c r="B2050" s="8" t="s">
        <v>3</v>
      </c>
      <c r="C2050" s="8" t="s">
        <v>22</v>
      </c>
      <c r="D2050" s="8" t="s">
        <v>5</v>
      </c>
      <c r="E2050" s="9" t="s">
        <v>23</v>
      </c>
      <c r="F2050" s="9" t="s">
        <v>36</v>
      </c>
      <c r="G2050" s="8">
        <v>2016</v>
      </c>
      <c r="H2050" s="8">
        <v>8</v>
      </c>
      <c r="I2050" s="10">
        <v>42583</v>
      </c>
      <c r="J2050" s="11">
        <v>2823</v>
      </c>
      <c r="K2050" s="51"/>
      <c r="O2050" s="1" t="s">
        <v>3</v>
      </c>
      <c r="P2050" s="1" t="s">
        <v>22</v>
      </c>
      <c r="Q2050" s="1" t="s">
        <v>5</v>
      </c>
      <c r="R2050" s="2" t="s">
        <v>23</v>
      </c>
      <c r="S2050" s="2" t="s">
        <v>36</v>
      </c>
      <c r="T2050" s="1">
        <v>2016</v>
      </c>
      <c r="U2050" s="1">
        <v>8</v>
      </c>
      <c r="V2050" s="50">
        <v>42583</v>
      </c>
      <c r="W2050" s="4">
        <v>2456.0100000000002</v>
      </c>
      <c r="X2050" s="48">
        <v>2823</v>
      </c>
    </row>
    <row r="2051" spans="2:24" x14ac:dyDescent="0.35">
      <c r="B2051" s="8" t="s">
        <v>6</v>
      </c>
      <c r="C2051" s="8" t="s">
        <v>40</v>
      </c>
      <c r="D2051" s="8" t="s">
        <v>41</v>
      </c>
      <c r="E2051" s="8" t="s">
        <v>23</v>
      </c>
      <c r="F2051" s="9" t="s">
        <v>24</v>
      </c>
      <c r="G2051" s="8">
        <v>2016</v>
      </c>
      <c r="H2051" s="8">
        <v>8</v>
      </c>
      <c r="I2051" s="10">
        <v>42583</v>
      </c>
      <c r="J2051" s="11">
        <v>2544</v>
      </c>
      <c r="K2051" s="51"/>
      <c r="O2051" s="1" t="s">
        <v>6</v>
      </c>
      <c r="P2051" s="1" t="s">
        <v>40</v>
      </c>
      <c r="Q2051" s="1" t="s">
        <v>41</v>
      </c>
      <c r="R2051" s="1" t="s">
        <v>23</v>
      </c>
      <c r="S2051" s="2" t="s">
        <v>24</v>
      </c>
      <c r="T2051" s="1">
        <v>2016</v>
      </c>
      <c r="U2051" s="1">
        <v>8</v>
      </c>
      <c r="V2051" s="50">
        <v>42583</v>
      </c>
      <c r="W2051" s="4">
        <v>2315.04</v>
      </c>
      <c r="X2051" s="48">
        <v>2544</v>
      </c>
    </row>
    <row r="2052" spans="2:24" x14ac:dyDescent="0.35">
      <c r="B2052" s="8" t="s">
        <v>7</v>
      </c>
      <c r="C2052" s="8" t="s">
        <v>32</v>
      </c>
      <c r="D2052" s="8" t="s">
        <v>8</v>
      </c>
      <c r="E2052" s="8" t="s">
        <v>23</v>
      </c>
      <c r="F2052" s="6" t="s">
        <v>39</v>
      </c>
      <c r="G2052" s="8">
        <v>2016</v>
      </c>
      <c r="H2052" s="8">
        <v>8</v>
      </c>
      <c r="I2052" s="10">
        <v>42583</v>
      </c>
      <c r="J2052" s="11">
        <v>2295</v>
      </c>
      <c r="K2052" s="51"/>
      <c r="O2052" s="1" t="s">
        <v>7</v>
      </c>
      <c r="P2052" s="1" t="s">
        <v>32</v>
      </c>
      <c r="Q2052" s="1" t="s">
        <v>8</v>
      </c>
      <c r="R2052" s="1" t="s">
        <v>23</v>
      </c>
      <c r="S2052" t="s">
        <v>39</v>
      </c>
      <c r="T2052" s="1">
        <v>2016</v>
      </c>
      <c r="U2052" s="1">
        <v>8</v>
      </c>
      <c r="V2052" s="50">
        <v>42583</v>
      </c>
      <c r="W2052" s="4">
        <v>1996.6500000000003</v>
      </c>
      <c r="X2052" s="48">
        <v>2295</v>
      </c>
    </row>
    <row r="2053" spans="2:24" x14ac:dyDescent="0.35">
      <c r="B2053" s="8" t="s">
        <v>12</v>
      </c>
      <c r="C2053" s="8" t="s">
        <v>34</v>
      </c>
      <c r="D2053" s="8" t="s">
        <v>35</v>
      </c>
      <c r="E2053" s="8" t="s">
        <v>0</v>
      </c>
      <c r="F2053" s="8" t="s">
        <v>42</v>
      </c>
      <c r="G2053" s="8">
        <v>2016</v>
      </c>
      <c r="H2053" s="8">
        <v>8</v>
      </c>
      <c r="I2053" s="10">
        <v>42583</v>
      </c>
      <c r="J2053" s="11">
        <v>5257</v>
      </c>
      <c r="K2053" s="51"/>
      <c r="O2053" s="1" t="s">
        <v>12</v>
      </c>
      <c r="P2053" s="1" t="s">
        <v>34</v>
      </c>
      <c r="Q2053" s="1" t="s">
        <v>35</v>
      </c>
      <c r="R2053" s="1" t="s">
        <v>0</v>
      </c>
      <c r="S2053" s="1" t="s">
        <v>42</v>
      </c>
      <c r="T2053" s="1">
        <v>2016</v>
      </c>
      <c r="U2053" s="1">
        <v>8</v>
      </c>
      <c r="V2053" s="50">
        <v>42583</v>
      </c>
      <c r="W2053" s="4">
        <v>4941.58</v>
      </c>
      <c r="X2053" s="48">
        <v>5257</v>
      </c>
    </row>
    <row r="2054" spans="2:24" x14ac:dyDescent="0.35">
      <c r="B2054" s="8" t="s">
        <v>14</v>
      </c>
      <c r="C2054" s="8" t="s">
        <v>37</v>
      </c>
      <c r="D2054" s="8" t="s">
        <v>38</v>
      </c>
      <c r="E2054" s="8" t="s">
        <v>0</v>
      </c>
      <c r="F2054" s="8" t="s">
        <v>26</v>
      </c>
      <c r="G2054" s="8">
        <v>2016</v>
      </c>
      <c r="H2054" s="8">
        <v>8</v>
      </c>
      <c r="I2054" s="10">
        <v>42583</v>
      </c>
      <c r="J2054" s="11">
        <v>4297</v>
      </c>
      <c r="K2054" s="51"/>
      <c r="O2054" s="1" t="s">
        <v>14</v>
      </c>
      <c r="P2054" s="1" t="s">
        <v>37</v>
      </c>
      <c r="Q2054" s="1" t="s">
        <v>38</v>
      </c>
      <c r="R2054" s="1" t="s">
        <v>0</v>
      </c>
      <c r="S2054" s="1" t="s">
        <v>26</v>
      </c>
      <c r="T2054" s="1">
        <v>2016</v>
      </c>
      <c r="U2054" s="1">
        <v>8</v>
      </c>
      <c r="V2054" s="50">
        <v>42583</v>
      </c>
      <c r="W2054" s="4">
        <v>3867.2999999999997</v>
      </c>
      <c r="X2054" s="48">
        <v>4297</v>
      </c>
    </row>
    <row r="2055" spans="2:24" x14ac:dyDescent="0.35">
      <c r="B2055" s="8" t="s">
        <v>3</v>
      </c>
      <c r="C2055" s="8" t="s">
        <v>25</v>
      </c>
      <c r="D2055" s="8" t="s">
        <v>4</v>
      </c>
      <c r="E2055" s="8" t="s">
        <v>0</v>
      </c>
      <c r="F2055" s="8" t="s">
        <v>45</v>
      </c>
      <c r="G2055" s="8">
        <v>2016</v>
      </c>
      <c r="H2055" s="8">
        <v>8</v>
      </c>
      <c r="I2055" s="10">
        <v>42583</v>
      </c>
      <c r="J2055" s="11">
        <v>4486</v>
      </c>
      <c r="K2055" s="51"/>
      <c r="O2055" s="1" t="s">
        <v>3</v>
      </c>
      <c r="P2055" s="1" t="s">
        <v>25</v>
      </c>
      <c r="Q2055" s="1" t="s">
        <v>4</v>
      </c>
      <c r="R2055" s="1" t="s">
        <v>0</v>
      </c>
      <c r="S2055" s="1" t="s">
        <v>45</v>
      </c>
      <c r="T2055" s="1">
        <v>2016</v>
      </c>
      <c r="U2055" s="1">
        <v>8</v>
      </c>
      <c r="V2055" s="50">
        <v>42583</v>
      </c>
      <c r="W2055" s="4">
        <v>3902.8200000000006</v>
      </c>
      <c r="X2055" s="48">
        <v>4486</v>
      </c>
    </row>
    <row r="2056" spans="2:24" x14ac:dyDescent="0.35">
      <c r="B2056" s="8" t="s">
        <v>6</v>
      </c>
      <c r="C2056" s="8" t="s">
        <v>29</v>
      </c>
      <c r="D2056" s="8" t="s">
        <v>30</v>
      </c>
      <c r="E2056" s="8" t="s">
        <v>27</v>
      </c>
      <c r="F2056" s="6" t="s">
        <v>28</v>
      </c>
      <c r="G2056" s="8">
        <v>2016</v>
      </c>
      <c r="H2056" s="8">
        <v>8</v>
      </c>
      <c r="I2056" s="10">
        <v>42583</v>
      </c>
      <c r="J2056" s="11">
        <v>4708</v>
      </c>
      <c r="K2056" s="51"/>
      <c r="O2056" s="1" t="s">
        <v>6</v>
      </c>
      <c r="P2056" s="1" t="s">
        <v>29</v>
      </c>
      <c r="Q2056" s="1" t="s">
        <v>30</v>
      </c>
      <c r="R2056" s="1" t="s">
        <v>27</v>
      </c>
      <c r="S2056" t="s">
        <v>28</v>
      </c>
      <c r="T2056" s="1">
        <v>2016</v>
      </c>
      <c r="U2056" s="1">
        <v>8</v>
      </c>
      <c r="V2056" s="50">
        <v>42583</v>
      </c>
      <c r="W2056" s="4">
        <v>4378.4399999999996</v>
      </c>
      <c r="X2056" s="48">
        <v>4708</v>
      </c>
    </row>
    <row r="2057" spans="2:24" x14ac:dyDescent="0.35">
      <c r="B2057" s="8" t="s">
        <v>7</v>
      </c>
      <c r="C2057" s="8" t="s">
        <v>43</v>
      </c>
      <c r="D2057" s="8" t="s">
        <v>10</v>
      </c>
      <c r="E2057" s="8" t="s">
        <v>27</v>
      </c>
      <c r="F2057" s="6" t="s">
        <v>31</v>
      </c>
      <c r="G2057" s="8">
        <v>2016</v>
      </c>
      <c r="H2057" s="8">
        <v>8</v>
      </c>
      <c r="I2057" s="10">
        <v>42583</v>
      </c>
      <c r="J2057" s="11">
        <v>3766</v>
      </c>
      <c r="K2057" s="51"/>
      <c r="O2057" s="1" t="s">
        <v>7</v>
      </c>
      <c r="P2057" s="1" t="s">
        <v>43</v>
      </c>
      <c r="Q2057" s="1" t="s">
        <v>10</v>
      </c>
      <c r="R2057" s="1" t="s">
        <v>27</v>
      </c>
      <c r="S2057" t="s">
        <v>31</v>
      </c>
      <c r="T2057" s="1">
        <v>2016</v>
      </c>
      <c r="U2057" s="1">
        <v>8</v>
      </c>
      <c r="V2057" s="50">
        <v>42583</v>
      </c>
      <c r="W2057" s="4">
        <v>3464.72</v>
      </c>
      <c r="X2057" s="48">
        <v>3766</v>
      </c>
    </row>
    <row r="2058" spans="2:24" x14ac:dyDescent="0.35">
      <c r="B2058" s="8" t="s">
        <v>12</v>
      </c>
      <c r="C2058" s="8" t="s">
        <v>44</v>
      </c>
      <c r="D2058" s="8" t="s">
        <v>13</v>
      </c>
      <c r="E2058" s="8" t="s">
        <v>27</v>
      </c>
      <c r="F2058" s="6" t="s">
        <v>33</v>
      </c>
      <c r="G2058" s="8">
        <v>2016</v>
      </c>
      <c r="H2058" s="8">
        <v>8</v>
      </c>
      <c r="I2058" s="10">
        <v>42583</v>
      </c>
      <c r="J2058" s="11">
        <v>3070</v>
      </c>
      <c r="K2058" s="51"/>
      <c r="O2058" s="1" t="s">
        <v>12</v>
      </c>
      <c r="P2058" s="1" t="s">
        <v>44</v>
      </c>
      <c r="Q2058" s="1" t="s">
        <v>13</v>
      </c>
      <c r="R2058" s="1" t="s">
        <v>27</v>
      </c>
      <c r="S2058" t="s">
        <v>33</v>
      </c>
      <c r="T2058" s="1">
        <v>2016</v>
      </c>
      <c r="U2058" s="1">
        <v>8</v>
      </c>
      <c r="V2058" s="50">
        <v>42583</v>
      </c>
      <c r="W2058" s="4">
        <v>2762.9999999999995</v>
      </c>
      <c r="X2058" s="48">
        <v>3070</v>
      </c>
    </row>
    <row r="2059" spans="2:24" x14ac:dyDescent="0.35">
      <c r="B2059" s="8" t="s">
        <v>14</v>
      </c>
      <c r="C2059" s="8" t="s">
        <v>46</v>
      </c>
      <c r="D2059" s="8" t="s">
        <v>47</v>
      </c>
      <c r="E2059" s="9" t="s">
        <v>23</v>
      </c>
      <c r="F2059" s="9" t="s">
        <v>36</v>
      </c>
      <c r="G2059" s="8">
        <v>2016</v>
      </c>
      <c r="H2059" s="8">
        <v>8</v>
      </c>
      <c r="I2059" s="10">
        <v>42583</v>
      </c>
      <c r="J2059" s="11">
        <v>1520</v>
      </c>
      <c r="K2059" s="51"/>
      <c r="O2059" s="1" t="s">
        <v>14</v>
      </c>
      <c r="P2059" s="1" t="s">
        <v>46</v>
      </c>
      <c r="Q2059" s="1" t="s">
        <v>47</v>
      </c>
      <c r="R2059" s="2" t="s">
        <v>23</v>
      </c>
      <c r="S2059" s="2" t="s">
        <v>36</v>
      </c>
      <c r="T2059" s="1">
        <v>2016</v>
      </c>
      <c r="U2059" s="1">
        <v>8</v>
      </c>
      <c r="V2059" s="50">
        <v>42583</v>
      </c>
      <c r="W2059" s="4">
        <v>1413.6</v>
      </c>
      <c r="X2059" s="48">
        <v>1520</v>
      </c>
    </row>
    <row r="2060" spans="2:24" x14ac:dyDescent="0.35">
      <c r="B2060" s="8" t="s">
        <v>6</v>
      </c>
      <c r="C2060" s="8" t="s">
        <v>29</v>
      </c>
      <c r="D2060" s="8" t="s">
        <v>30</v>
      </c>
      <c r="E2060" s="8" t="s">
        <v>23</v>
      </c>
      <c r="F2060" s="9" t="s">
        <v>39</v>
      </c>
      <c r="G2060" s="8">
        <v>2016</v>
      </c>
      <c r="H2060" s="8">
        <v>8</v>
      </c>
      <c r="I2060" s="10">
        <v>42583</v>
      </c>
      <c r="J2060" s="11">
        <v>2161</v>
      </c>
      <c r="K2060" s="51"/>
      <c r="O2060" s="1" t="s">
        <v>6</v>
      </c>
      <c r="P2060" s="1" t="s">
        <v>29</v>
      </c>
      <c r="Q2060" s="1" t="s">
        <v>30</v>
      </c>
      <c r="R2060" s="1" t="s">
        <v>23</v>
      </c>
      <c r="S2060" s="2" t="s">
        <v>39</v>
      </c>
      <c r="T2060" s="1">
        <v>2016</v>
      </c>
      <c r="U2060" s="1">
        <v>8</v>
      </c>
      <c r="V2060" s="50">
        <v>42583</v>
      </c>
      <c r="W2060" s="4">
        <v>2031.34</v>
      </c>
      <c r="X2060" s="48">
        <v>2161</v>
      </c>
    </row>
    <row r="2061" spans="2:24" x14ac:dyDescent="0.35">
      <c r="B2061" s="8" t="s">
        <v>7</v>
      </c>
      <c r="C2061" s="8" t="s">
        <v>32</v>
      </c>
      <c r="D2061" s="8" t="s">
        <v>8</v>
      </c>
      <c r="E2061" s="8" t="s">
        <v>0</v>
      </c>
      <c r="F2061" s="6" t="s">
        <v>42</v>
      </c>
      <c r="G2061" s="8">
        <v>2016</v>
      </c>
      <c r="H2061" s="8">
        <v>8</v>
      </c>
      <c r="I2061" s="10">
        <v>42583</v>
      </c>
      <c r="J2061" s="11">
        <v>4185</v>
      </c>
      <c r="K2061" s="51"/>
      <c r="O2061" s="1" t="s">
        <v>7</v>
      </c>
      <c r="P2061" s="1" t="s">
        <v>32</v>
      </c>
      <c r="Q2061" s="1" t="s">
        <v>8</v>
      </c>
      <c r="R2061" s="1" t="s">
        <v>0</v>
      </c>
      <c r="S2061" t="s">
        <v>42</v>
      </c>
      <c r="T2061" s="1">
        <v>2016</v>
      </c>
      <c r="U2061" s="1">
        <v>8</v>
      </c>
      <c r="V2061" s="50">
        <v>42583</v>
      </c>
      <c r="W2061" s="4">
        <v>3892.0499999999997</v>
      </c>
      <c r="X2061" s="48">
        <v>4185</v>
      </c>
    </row>
    <row r="2062" spans="2:24" x14ac:dyDescent="0.35">
      <c r="B2062" s="8" t="s">
        <v>12</v>
      </c>
      <c r="C2062" s="8" t="s">
        <v>44</v>
      </c>
      <c r="D2062" s="8" t="s">
        <v>13</v>
      </c>
      <c r="E2062" s="8" t="s">
        <v>0</v>
      </c>
      <c r="F2062" s="8" t="s">
        <v>26</v>
      </c>
      <c r="G2062" s="8">
        <v>2016</v>
      </c>
      <c r="H2062" s="8">
        <v>8</v>
      </c>
      <c r="I2062" s="10">
        <v>42583</v>
      </c>
      <c r="J2062" s="11">
        <v>3853</v>
      </c>
      <c r="K2062" s="51"/>
      <c r="O2062" s="1" t="s">
        <v>12</v>
      </c>
      <c r="P2062" s="1" t="s">
        <v>44</v>
      </c>
      <c r="Q2062" s="1" t="s">
        <v>13</v>
      </c>
      <c r="R2062" s="1" t="s">
        <v>0</v>
      </c>
      <c r="S2062" s="1" t="s">
        <v>26</v>
      </c>
      <c r="T2062" s="1">
        <v>2016</v>
      </c>
      <c r="U2062" s="1">
        <v>8</v>
      </c>
      <c r="V2062" s="50">
        <v>42583</v>
      </c>
      <c r="W2062" s="4">
        <v>3352.1100000000006</v>
      </c>
      <c r="X2062" s="48">
        <v>3853</v>
      </c>
    </row>
    <row r="2063" spans="2:24" x14ac:dyDescent="0.35">
      <c r="B2063" s="8" t="s">
        <v>14</v>
      </c>
      <c r="C2063" s="8" t="s">
        <v>37</v>
      </c>
      <c r="D2063" s="8" t="s">
        <v>38</v>
      </c>
      <c r="E2063" s="8" t="s">
        <v>0</v>
      </c>
      <c r="F2063" s="8" t="s">
        <v>45</v>
      </c>
      <c r="G2063" s="8">
        <v>2016</v>
      </c>
      <c r="H2063" s="8">
        <v>8</v>
      </c>
      <c r="I2063" s="10">
        <v>42583</v>
      </c>
      <c r="J2063" s="11">
        <v>3999</v>
      </c>
      <c r="K2063" s="51"/>
      <c r="O2063" s="1" t="s">
        <v>14</v>
      </c>
      <c r="P2063" s="1" t="s">
        <v>37</v>
      </c>
      <c r="Q2063" s="1" t="s">
        <v>38</v>
      </c>
      <c r="R2063" s="1" t="s">
        <v>0</v>
      </c>
      <c r="S2063" s="1" t="s">
        <v>45</v>
      </c>
      <c r="T2063" s="1">
        <v>2016</v>
      </c>
      <c r="U2063" s="1">
        <v>8</v>
      </c>
      <c r="V2063" s="50">
        <v>42583</v>
      </c>
      <c r="W2063" s="4">
        <v>3439.1400000000003</v>
      </c>
      <c r="X2063" s="48">
        <v>3999</v>
      </c>
    </row>
    <row r="2064" spans="2:24" x14ac:dyDescent="0.35">
      <c r="B2064" s="8" t="s">
        <v>3</v>
      </c>
      <c r="C2064" s="8" t="s">
        <v>25</v>
      </c>
      <c r="D2064" s="8" t="s">
        <v>4</v>
      </c>
      <c r="E2064" s="8" t="s">
        <v>27</v>
      </c>
      <c r="F2064" s="8" t="s">
        <v>28</v>
      </c>
      <c r="G2064" s="8">
        <v>2016</v>
      </c>
      <c r="H2064" s="8">
        <v>8</v>
      </c>
      <c r="I2064" s="10">
        <v>42583</v>
      </c>
      <c r="J2064" s="11">
        <v>3638</v>
      </c>
      <c r="K2064" s="51"/>
      <c r="O2064" s="1" t="s">
        <v>3</v>
      </c>
      <c r="P2064" s="1" t="s">
        <v>25</v>
      </c>
      <c r="Q2064" s="1" t="s">
        <v>4</v>
      </c>
      <c r="R2064" s="1" t="s">
        <v>27</v>
      </c>
      <c r="S2064" s="1" t="s">
        <v>28</v>
      </c>
      <c r="T2064" s="1">
        <v>2016</v>
      </c>
      <c r="U2064" s="1">
        <v>8</v>
      </c>
      <c r="V2064" s="50">
        <v>42583</v>
      </c>
      <c r="W2064" s="4">
        <v>3165.0600000000004</v>
      </c>
      <c r="X2064" s="48">
        <v>3638</v>
      </c>
    </row>
    <row r="2065" spans="2:24" x14ac:dyDescent="0.35">
      <c r="B2065" s="8" t="s">
        <v>3</v>
      </c>
      <c r="C2065" s="8" t="s">
        <v>25</v>
      </c>
      <c r="D2065" s="8" t="s">
        <v>4</v>
      </c>
      <c r="E2065" s="8" t="s">
        <v>27</v>
      </c>
      <c r="F2065" s="6" t="s">
        <v>31</v>
      </c>
      <c r="G2065" s="8">
        <v>2016</v>
      </c>
      <c r="H2065" s="8">
        <v>8</v>
      </c>
      <c r="I2065" s="10">
        <v>42583</v>
      </c>
      <c r="J2065" s="11">
        <v>2657</v>
      </c>
      <c r="K2065" s="51"/>
      <c r="O2065" s="1" t="s">
        <v>3</v>
      </c>
      <c r="P2065" s="1" t="s">
        <v>25</v>
      </c>
      <c r="Q2065" s="1" t="s">
        <v>4</v>
      </c>
      <c r="R2065" s="1" t="s">
        <v>27</v>
      </c>
      <c r="S2065" t="s">
        <v>31</v>
      </c>
      <c r="T2065" s="1">
        <v>2016</v>
      </c>
      <c r="U2065" s="1">
        <v>8</v>
      </c>
      <c r="V2065" s="50">
        <v>42583</v>
      </c>
      <c r="W2065" s="4">
        <v>2364.7299999999996</v>
      </c>
      <c r="X2065" s="48">
        <v>2657</v>
      </c>
    </row>
    <row r="2066" spans="2:24" x14ac:dyDescent="0.35">
      <c r="B2066" s="8" t="s">
        <v>6</v>
      </c>
      <c r="C2066" s="8" t="s">
        <v>40</v>
      </c>
      <c r="D2066" s="8" t="s">
        <v>41</v>
      </c>
      <c r="E2066" s="8" t="s">
        <v>27</v>
      </c>
      <c r="F2066" s="6" t="s">
        <v>33</v>
      </c>
      <c r="G2066" s="8">
        <v>2016</v>
      </c>
      <c r="H2066" s="8">
        <v>8</v>
      </c>
      <c r="I2066" s="10">
        <v>42583</v>
      </c>
      <c r="J2066" s="11">
        <v>3083</v>
      </c>
      <c r="K2066" s="51"/>
      <c r="O2066" s="1" t="s">
        <v>6</v>
      </c>
      <c r="P2066" s="1" t="s">
        <v>40</v>
      </c>
      <c r="Q2066" s="1" t="s">
        <v>41</v>
      </c>
      <c r="R2066" s="1" t="s">
        <v>27</v>
      </c>
      <c r="S2066" t="s">
        <v>33</v>
      </c>
      <c r="T2066" s="1">
        <v>2016</v>
      </c>
      <c r="U2066" s="1">
        <v>8</v>
      </c>
      <c r="V2066" s="50">
        <v>42583</v>
      </c>
      <c r="W2066" s="4">
        <v>2713.0399999999995</v>
      </c>
      <c r="X2066" s="48">
        <v>3083</v>
      </c>
    </row>
    <row r="2067" spans="2:24" x14ac:dyDescent="0.35">
      <c r="B2067" s="8" t="s">
        <v>6</v>
      </c>
      <c r="C2067" s="8" t="s">
        <v>40</v>
      </c>
      <c r="D2067" s="8" t="s">
        <v>41</v>
      </c>
      <c r="E2067" s="8" t="s">
        <v>23</v>
      </c>
      <c r="F2067" s="6" t="s">
        <v>36</v>
      </c>
      <c r="G2067" s="8">
        <v>2016</v>
      </c>
      <c r="H2067" s="8">
        <v>8</v>
      </c>
      <c r="I2067" s="10">
        <v>42583</v>
      </c>
      <c r="J2067" s="11">
        <v>1520</v>
      </c>
      <c r="K2067" s="51"/>
      <c r="O2067" s="1" t="s">
        <v>6</v>
      </c>
      <c r="P2067" s="1" t="s">
        <v>40</v>
      </c>
      <c r="Q2067" s="1" t="s">
        <v>41</v>
      </c>
      <c r="R2067" s="1" t="s">
        <v>23</v>
      </c>
      <c r="S2067" t="s">
        <v>36</v>
      </c>
      <c r="T2067" s="1">
        <v>2016</v>
      </c>
      <c r="U2067" s="1">
        <v>8</v>
      </c>
      <c r="V2067" s="50">
        <v>42583</v>
      </c>
      <c r="W2067" s="4">
        <v>1428.8</v>
      </c>
      <c r="X2067" s="48">
        <v>1520</v>
      </c>
    </row>
    <row r="2068" spans="2:24" x14ac:dyDescent="0.35">
      <c r="B2068" s="8" t="s">
        <v>7</v>
      </c>
      <c r="C2068" s="8" t="s">
        <v>43</v>
      </c>
      <c r="D2068" s="8" t="s">
        <v>10</v>
      </c>
      <c r="E2068" s="9" t="s">
        <v>23</v>
      </c>
      <c r="F2068" s="9" t="s">
        <v>24</v>
      </c>
      <c r="G2068" s="8">
        <v>2016</v>
      </c>
      <c r="H2068" s="8">
        <v>8</v>
      </c>
      <c r="I2068" s="10">
        <v>42583</v>
      </c>
      <c r="J2068" s="11">
        <v>2873</v>
      </c>
      <c r="K2068" s="51"/>
      <c r="O2068" s="1" t="s">
        <v>7</v>
      </c>
      <c r="P2068" s="1" t="s">
        <v>43</v>
      </c>
      <c r="Q2068" s="1" t="s">
        <v>10</v>
      </c>
      <c r="R2068" s="2" t="s">
        <v>23</v>
      </c>
      <c r="S2068" s="2" t="s">
        <v>24</v>
      </c>
      <c r="T2068" s="1">
        <v>2016</v>
      </c>
      <c r="U2068" s="1">
        <v>8</v>
      </c>
      <c r="V2068" s="50">
        <v>42583</v>
      </c>
      <c r="W2068" s="4">
        <v>2556.9699999999998</v>
      </c>
      <c r="X2068" s="48">
        <v>2873</v>
      </c>
    </row>
    <row r="2069" spans="2:24" x14ac:dyDescent="0.35">
      <c r="B2069" s="8" t="s">
        <v>7</v>
      </c>
      <c r="C2069" s="8" t="s">
        <v>43</v>
      </c>
      <c r="D2069" s="8" t="s">
        <v>10</v>
      </c>
      <c r="E2069" s="8" t="s">
        <v>23</v>
      </c>
      <c r="F2069" s="9" t="s">
        <v>39</v>
      </c>
      <c r="G2069" s="8">
        <v>2016</v>
      </c>
      <c r="H2069" s="8">
        <v>8</v>
      </c>
      <c r="I2069" s="10">
        <v>42583</v>
      </c>
      <c r="J2069" s="11">
        <v>1977</v>
      </c>
      <c r="K2069" s="51"/>
      <c r="O2069" s="1" t="s">
        <v>7</v>
      </c>
      <c r="P2069" s="1" t="s">
        <v>43</v>
      </c>
      <c r="Q2069" s="1" t="s">
        <v>10</v>
      </c>
      <c r="R2069" s="1" t="s">
        <v>23</v>
      </c>
      <c r="S2069" s="2" t="s">
        <v>39</v>
      </c>
      <c r="T2069" s="1">
        <v>2016</v>
      </c>
      <c r="U2069" s="1">
        <v>8</v>
      </c>
      <c r="V2069" s="50">
        <v>42583</v>
      </c>
      <c r="W2069" s="4">
        <v>1700.2200000000003</v>
      </c>
      <c r="X2069" s="48">
        <v>1977</v>
      </c>
    </row>
    <row r="2070" spans="2:24" x14ac:dyDescent="0.35">
      <c r="B2070" s="8" t="s">
        <v>7</v>
      </c>
      <c r="C2070" s="8" t="s">
        <v>32</v>
      </c>
      <c r="D2070" s="8" t="s">
        <v>8</v>
      </c>
      <c r="E2070" s="8" t="s">
        <v>0</v>
      </c>
      <c r="F2070" s="6" t="s">
        <v>26</v>
      </c>
      <c r="G2070" s="8">
        <v>2016</v>
      </c>
      <c r="H2070" s="8">
        <v>8</v>
      </c>
      <c r="I2070" s="10">
        <v>42583</v>
      </c>
      <c r="J2070" s="11">
        <v>3482</v>
      </c>
      <c r="K2070" s="51"/>
      <c r="O2070" s="1" t="s">
        <v>7</v>
      </c>
      <c r="P2070" s="1" t="s">
        <v>32</v>
      </c>
      <c r="Q2070" s="1" t="s">
        <v>8</v>
      </c>
      <c r="R2070" s="1" t="s">
        <v>0</v>
      </c>
      <c r="S2070" t="s">
        <v>26</v>
      </c>
      <c r="T2070" s="1">
        <v>2016</v>
      </c>
      <c r="U2070" s="1">
        <v>8</v>
      </c>
      <c r="V2070" s="50">
        <v>42583</v>
      </c>
      <c r="W2070" s="4">
        <v>2959.7000000000003</v>
      </c>
      <c r="X2070" s="48">
        <v>3482</v>
      </c>
    </row>
    <row r="2071" spans="2:24" x14ac:dyDescent="0.35">
      <c r="B2071" s="8" t="s">
        <v>3</v>
      </c>
      <c r="C2071" s="8" t="s">
        <v>22</v>
      </c>
      <c r="D2071" s="8" t="s">
        <v>5</v>
      </c>
      <c r="E2071" s="8" t="s">
        <v>0</v>
      </c>
      <c r="F2071" s="8" t="s">
        <v>45</v>
      </c>
      <c r="G2071" s="8">
        <v>2016</v>
      </c>
      <c r="H2071" s="8">
        <v>8</v>
      </c>
      <c r="I2071" s="10">
        <v>42583</v>
      </c>
      <c r="J2071" s="11">
        <v>4956</v>
      </c>
      <c r="K2071" s="51"/>
      <c r="O2071" s="1" t="s">
        <v>3</v>
      </c>
      <c r="P2071" s="1" t="s">
        <v>22</v>
      </c>
      <c r="Q2071" s="1" t="s">
        <v>5</v>
      </c>
      <c r="R2071" s="1" t="s">
        <v>0</v>
      </c>
      <c r="S2071" s="1" t="s">
        <v>45</v>
      </c>
      <c r="T2071" s="1">
        <v>2016</v>
      </c>
      <c r="U2071" s="1">
        <v>8</v>
      </c>
      <c r="V2071" s="50">
        <v>42583</v>
      </c>
      <c r="W2071" s="4">
        <v>4361.28</v>
      </c>
      <c r="X2071" s="48">
        <v>4956</v>
      </c>
    </row>
    <row r="2072" spans="2:24" x14ac:dyDescent="0.35">
      <c r="B2072" s="8" t="s">
        <v>7</v>
      </c>
      <c r="C2072" s="8" t="s">
        <v>48</v>
      </c>
      <c r="D2072" s="8" t="s">
        <v>9</v>
      </c>
      <c r="E2072" s="8" t="s">
        <v>23</v>
      </c>
      <c r="F2072" s="8" t="s">
        <v>36</v>
      </c>
      <c r="G2072" s="8">
        <v>2016</v>
      </c>
      <c r="H2072" s="8">
        <v>8</v>
      </c>
      <c r="I2072" s="10">
        <v>42583</v>
      </c>
      <c r="J2072" s="11">
        <v>1884</v>
      </c>
      <c r="K2072" s="51"/>
      <c r="O2072" s="1" t="s">
        <v>7</v>
      </c>
      <c r="P2072" s="1" t="s">
        <v>48</v>
      </c>
      <c r="Q2072" s="1" t="s">
        <v>9</v>
      </c>
      <c r="R2072" s="1" t="s">
        <v>23</v>
      </c>
      <c r="S2072" s="1" t="s">
        <v>36</v>
      </c>
      <c r="T2072" s="1">
        <v>2016</v>
      </c>
      <c r="U2072" s="1">
        <v>8</v>
      </c>
      <c r="V2072" s="50">
        <v>42583</v>
      </c>
      <c r="W2072" s="4">
        <v>1714.4399999999998</v>
      </c>
      <c r="X2072" s="48">
        <v>1884</v>
      </c>
    </row>
    <row r="2073" spans="2:24" x14ac:dyDescent="0.35">
      <c r="B2073" s="8" t="s">
        <v>7</v>
      </c>
      <c r="C2073" s="8" t="s">
        <v>48</v>
      </c>
      <c r="D2073" s="8" t="s">
        <v>9</v>
      </c>
      <c r="E2073" s="8" t="s">
        <v>23</v>
      </c>
      <c r="F2073" s="8" t="s">
        <v>24</v>
      </c>
      <c r="G2073" s="8">
        <v>2016</v>
      </c>
      <c r="H2073" s="8">
        <v>8</v>
      </c>
      <c r="I2073" s="10">
        <v>42583</v>
      </c>
      <c r="J2073" s="11">
        <v>1554</v>
      </c>
      <c r="K2073" s="51"/>
      <c r="O2073" s="1" t="s">
        <v>7</v>
      </c>
      <c r="P2073" s="1" t="s">
        <v>48</v>
      </c>
      <c r="Q2073" s="1" t="s">
        <v>9</v>
      </c>
      <c r="R2073" s="1" t="s">
        <v>23</v>
      </c>
      <c r="S2073" s="1" t="s">
        <v>24</v>
      </c>
      <c r="T2073" s="1">
        <v>2016</v>
      </c>
      <c r="U2073" s="1">
        <v>8</v>
      </c>
      <c r="V2073" s="50">
        <v>42583</v>
      </c>
      <c r="W2073" s="4">
        <v>1414.1399999999999</v>
      </c>
      <c r="X2073" s="48">
        <v>1554</v>
      </c>
    </row>
    <row r="2074" spans="2:24" x14ac:dyDescent="0.35">
      <c r="B2074" s="8" t="s">
        <v>7</v>
      </c>
      <c r="C2074" s="8" t="s">
        <v>49</v>
      </c>
      <c r="D2074" s="8" t="s">
        <v>11</v>
      </c>
      <c r="E2074" s="8" t="s">
        <v>23</v>
      </c>
      <c r="F2074" s="6" t="s">
        <v>39</v>
      </c>
      <c r="G2074" s="8">
        <v>2016</v>
      </c>
      <c r="H2074" s="8">
        <v>8</v>
      </c>
      <c r="I2074" s="10">
        <v>42583</v>
      </c>
      <c r="J2074" s="11">
        <v>1919</v>
      </c>
      <c r="K2074" s="51"/>
      <c r="O2074" s="1" t="s">
        <v>7</v>
      </c>
      <c r="P2074" s="1" t="s">
        <v>49</v>
      </c>
      <c r="Q2074" s="1" t="s">
        <v>11</v>
      </c>
      <c r="R2074" s="1" t="s">
        <v>23</v>
      </c>
      <c r="S2074" t="s">
        <v>39</v>
      </c>
      <c r="T2074" s="1">
        <v>2016</v>
      </c>
      <c r="U2074" s="1">
        <v>8</v>
      </c>
      <c r="V2074" s="50">
        <v>42583</v>
      </c>
      <c r="W2074" s="4">
        <v>1727.1</v>
      </c>
      <c r="X2074" s="48">
        <v>1919</v>
      </c>
    </row>
    <row r="2075" spans="2:24" x14ac:dyDescent="0.35">
      <c r="B2075" s="8" t="s">
        <v>7</v>
      </c>
      <c r="C2075" s="8" t="s">
        <v>49</v>
      </c>
      <c r="D2075" s="8" t="s">
        <v>11</v>
      </c>
      <c r="E2075" s="8" t="s">
        <v>0</v>
      </c>
      <c r="F2075" s="6" t="s">
        <v>42</v>
      </c>
      <c r="G2075" s="8">
        <v>2016</v>
      </c>
      <c r="H2075" s="8">
        <v>8</v>
      </c>
      <c r="I2075" s="10">
        <v>42583</v>
      </c>
      <c r="J2075" s="11">
        <v>5653</v>
      </c>
      <c r="K2075" s="51"/>
      <c r="O2075" s="1" t="s">
        <v>7</v>
      </c>
      <c r="P2075" s="1" t="s">
        <v>49</v>
      </c>
      <c r="Q2075" s="1" t="s">
        <v>11</v>
      </c>
      <c r="R2075" s="1" t="s">
        <v>0</v>
      </c>
      <c r="S2075" t="s">
        <v>42</v>
      </c>
      <c r="T2075" s="1">
        <v>2016</v>
      </c>
      <c r="U2075" s="1">
        <v>8</v>
      </c>
      <c r="V2075" s="50">
        <v>42583</v>
      </c>
      <c r="W2075" s="4">
        <v>4861.5800000000008</v>
      </c>
      <c r="X2075" s="48">
        <v>5653</v>
      </c>
    </row>
    <row r="2076" spans="2:24" x14ac:dyDescent="0.35">
      <c r="B2076" s="8" t="s">
        <v>12</v>
      </c>
      <c r="C2076" s="8" t="s">
        <v>34</v>
      </c>
      <c r="D2076" s="8" t="s">
        <v>35</v>
      </c>
      <c r="E2076" s="8" t="s">
        <v>0</v>
      </c>
      <c r="F2076" s="6" t="s">
        <v>26</v>
      </c>
      <c r="G2076" s="8">
        <v>2016</v>
      </c>
      <c r="H2076" s="8">
        <v>8</v>
      </c>
      <c r="I2076" s="10">
        <v>42583</v>
      </c>
      <c r="J2076" s="11">
        <v>4081</v>
      </c>
      <c r="K2076" s="51"/>
      <c r="O2076" s="1" t="s">
        <v>12</v>
      </c>
      <c r="P2076" s="1" t="s">
        <v>34</v>
      </c>
      <c r="Q2076" s="1" t="s">
        <v>35</v>
      </c>
      <c r="R2076" s="1" t="s">
        <v>0</v>
      </c>
      <c r="S2076" t="s">
        <v>26</v>
      </c>
      <c r="T2076" s="1">
        <v>2016</v>
      </c>
      <c r="U2076" s="1">
        <v>8</v>
      </c>
      <c r="V2076" s="50">
        <v>42583</v>
      </c>
      <c r="W2076" s="4">
        <v>3795.33</v>
      </c>
      <c r="X2076" s="48">
        <v>4081</v>
      </c>
    </row>
    <row r="2077" spans="2:24" x14ac:dyDescent="0.35">
      <c r="B2077" s="8" t="s">
        <v>12</v>
      </c>
      <c r="C2077" s="8" t="s">
        <v>34</v>
      </c>
      <c r="D2077" s="8" t="s">
        <v>35</v>
      </c>
      <c r="E2077" s="9" t="s">
        <v>0</v>
      </c>
      <c r="F2077" s="9" t="s">
        <v>45</v>
      </c>
      <c r="G2077" s="8">
        <v>2016</v>
      </c>
      <c r="H2077" s="8">
        <v>8</v>
      </c>
      <c r="I2077" s="10">
        <v>42583</v>
      </c>
      <c r="J2077" s="11">
        <v>3397</v>
      </c>
      <c r="K2077" s="51"/>
      <c r="O2077" s="1" t="s">
        <v>12</v>
      </c>
      <c r="P2077" s="1" t="s">
        <v>34</v>
      </c>
      <c r="Q2077" s="1" t="s">
        <v>35</v>
      </c>
      <c r="R2077" s="2" t="s">
        <v>0</v>
      </c>
      <c r="S2077" s="2" t="s">
        <v>45</v>
      </c>
      <c r="T2077" s="1">
        <v>2016</v>
      </c>
      <c r="U2077" s="1">
        <v>8</v>
      </c>
      <c r="V2077" s="50">
        <v>42583</v>
      </c>
      <c r="W2077" s="4">
        <v>3057.2999999999997</v>
      </c>
      <c r="X2077" s="48">
        <v>3397</v>
      </c>
    </row>
    <row r="2078" spans="2:24" x14ac:dyDescent="0.35">
      <c r="B2078" s="8" t="s">
        <v>14</v>
      </c>
      <c r="C2078" s="8" t="s">
        <v>37</v>
      </c>
      <c r="D2078" s="8" t="s">
        <v>38</v>
      </c>
      <c r="E2078" s="8" t="s">
        <v>27</v>
      </c>
      <c r="F2078" s="9" t="s">
        <v>28</v>
      </c>
      <c r="G2078" s="8">
        <v>2016</v>
      </c>
      <c r="H2078" s="8">
        <v>8</v>
      </c>
      <c r="I2078" s="10">
        <v>42583</v>
      </c>
      <c r="J2078" s="11">
        <v>3912</v>
      </c>
      <c r="K2078" s="51"/>
      <c r="O2078" s="1" t="s">
        <v>14</v>
      </c>
      <c r="P2078" s="1" t="s">
        <v>37</v>
      </c>
      <c r="Q2078" s="1" t="s">
        <v>38</v>
      </c>
      <c r="R2078" s="1" t="s">
        <v>27</v>
      </c>
      <c r="S2078" s="2" t="s">
        <v>28</v>
      </c>
      <c r="T2078" s="1">
        <v>2016</v>
      </c>
      <c r="U2078" s="1">
        <v>8</v>
      </c>
      <c r="V2078" s="50">
        <v>42583</v>
      </c>
      <c r="W2078" s="4">
        <v>3403.4400000000005</v>
      </c>
      <c r="X2078" s="48">
        <v>3912</v>
      </c>
    </row>
    <row r="2079" spans="2:24" x14ac:dyDescent="0.35">
      <c r="B2079" s="8" t="s">
        <v>14</v>
      </c>
      <c r="C2079" s="8" t="s">
        <v>37</v>
      </c>
      <c r="D2079" s="8" t="s">
        <v>38</v>
      </c>
      <c r="E2079" s="8" t="s">
        <v>27</v>
      </c>
      <c r="F2079" s="6" t="s">
        <v>31</v>
      </c>
      <c r="G2079" s="8">
        <v>2016</v>
      </c>
      <c r="H2079" s="8">
        <v>8</v>
      </c>
      <c r="I2079" s="10">
        <v>42583</v>
      </c>
      <c r="J2079" s="11">
        <v>3729</v>
      </c>
      <c r="K2079" s="51"/>
      <c r="O2079" s="1" t="s">
        <v>14</v>
      </c>
      <c r="P2079" s="1" t="s">
        <v>37</v>
      </c>
      <c r="Q2079" s="1" t="s">
        <v>38</v>
      </c>
      <c r="R2079" s="1" t="s">
        <v>27</v>
      </c>
      <c r="S2079" t="s">
        <v>31</v>
      </c>
      <c r="T2079" s="1">
        <v>2016</v>
      </c>
      <c r="U2079" s="1">
        <v>8</v>
      </c>
      <c r="V2079" s="50">
        <v>42583</v>
      </c>
      <c r="W2079" s="4">
        <v>3244.2300000000005</v>
      </c>
      <c r="X2079" s="48">
        <v>3729</v>
      </c>
    </row>
    <row r="2080" spans="2:24" x14ac:dyDescent="0.35">
      <c r="B2080" s="8" t="s">
        <v>12</v>
      </c>
      <c r="C2080" s="8" t="s">
        <v>44</v>
      </c>
      <c r="D2080" s="8" t="s">
        <v>13</v>
      </c>
      <c r="E2080" s="8" t="s">
        <v>23</v>
      </c>
      <c r="F2080" s="8" t="s">
        <v>36</v>
      </c>
      <c r="G2080" s="8">
        <v>2016</v>
      </c>
      <c r="H2080" s="8">
        <v>8</v>
      </c>
      <c r="I2080" s="10">
        <v>42583</v>
      </c>
      <c r="J2080" s="11">
        <v>2762</v>
      </c>
      <c r="K2080" s="51"/>
      <c r="O2080" s="1" t="s">
        <v>12</v>
      </c>
      <c r="P2080" s="1" t="s">
        <v>44</v>
      </c>
      <c r="Q2080" s="1" t="s">
        <v>13</v>
      </c>
      <c r="R2080" s="1" t="s">
        <v>23</v>
      </c>
      <c r="S2080" s="1" t="s">
        <v>36</v>
      </c>
      <c r="T2080" s="1">
        <v>2016</v>
      </c>
      <c r="U2080" s="1">
        <v>8</v>
      </c>
      <c r="V2080" s="50">
        <v>42583</v>
      </c>
      <c r="W2080" s="4">
        <v>2485.7999999999997</v>
      </c>
      <c r="X2080" s="48">
        <v>2762</v>
      </c>
    </row>
    <row r="2081" spans="2:24" x14ac:dyDescent="0.35">
      <c r="B2081" s="8" t="s">
        <v>14</v>
      </c>
      <c r="C2081" s="8" t="s">
        <v>46</v>
      </c>
      <c r="D2081" s="8" t="s">
        <v>47</v>
      </c>
      <c r="E2081" s="8" t="s">
        <v>23</v>
      </c>
      <c r="F2081" s="8" t="s">
        <v>24</v>
      </c>
      <c r="G2081" s="8">
        <v>2016</v>
      </c>
      <c r="H2081" s="8">
        <v>8</v>
      </c>
      <c r="I2081" s="10">
        <v>42583</v>
      </c>
      <c r="J2081" s="11">
        <v>2247</v>
      </c>
      <c r="K2081" s="51"/>
      <c r="O2081" s="1" t="s">
        <v>14</v>
      </c>
      <c r="P2081" s="1" t="s">
        <v>46</v>
      </c>
      <c r="Q2081" s="1" t="s">
        <v>47</v>
      </c>
      <c r="R2081" s="1" t="s">
        <v>23</v>
      </c>
      <c r="S2081" s="1" t="s">
        <v>24</v>
      </c>
      <c r="T2081" s="1">
        <v>2016</v>
      </c>
      <c r="U2081" s="1">
        <v>8</v>
      </c>
      <c r="V2081" s="50">
        <v>42583</v>
      </c>
      <c r="W2081" s="4">
        <v>2067.2399999999998</v>
      </c>
      <c r="X2081" s="48">
        <v>2247</v>
      </c>
    </row>
    <row r="2082" spans="2:24" x14ac:dyDescent="0.35">
      <c r="B2082" s="8" t="s">
        <v>14</v>
      </c>
      <c r="C2082" s="8" t="s">
        <v>46</v>
      </c>
      <c r="D2082" s="8" t="s">
        <v>47</v>
      </c>
      <c r="E2082" s="8" t="s">
        <v>23</v>
      </c>
      <c r="F2082" s="8" t="s">
        <v>39</v>
      </c>
      <c r="G2082" s="8">
        <v>2016</v>
      </c>
      <c r="H2082" s="8">
        <v>8</v>
      </c>
      <c r="I2082" s="10">
        <v>42583</v>
      </c>
      <c r="J2082" s="11">
        <v>2044</v>
      </c>
      <c r="K2082" s="51"/>
      <c r="O2082" s="1" t="s">
        <v>14</v>
      </c>
      <c r="P2082" s="1" t="s">
        <v>46</v>
      </c>
      <c r="Q2082" s="1" t="s">
        <v>47</v>
      </c>
      <c r="R2082" s="1" t="s">
        <v>23</v>
      </c>
      <c r="S2082" s="1" t="s">
        <v>39</v>
      </c>
      <c r="T2082" s="1">
        <v>2016</v>
      </c>
      <c r="U2082" s="1">
        <v>8</v>
      </c>
      <c r="V2082" s="50">
        <v>42583</v>
      </c>
      <c r="W2082" s="4">
        <v>1860.04</v>
      </c>
      <c r="X2082" s="48">
        <v>2044</v>
      </c>
    </row>
    <row r="2083" spans="2:24" x14ac:dyDescent="0.35">
      <c r="B2083" s="8" t="s">
        <v>7</v>
      </c>
      <c r="C2083" s="8" t="s">
        <v>43</v>
      </c>
      <c r="D2083" s="8" t="s">
        <v>10</v>
      </c>
      <c r="E2083" s="8" t="s">
        <v>0</v>
      </c>
      <c r="F2083" s="6" t="s">
        <v>42</v>
      </c>
      <c r="G2083" s="8">
        <v>2016</v>
      </c>
      <c r="H2083" s="8">
        <v>8</v>
      </c>
      <c r="I2083" s="10">
        <v>42583</v>
      </c>
      <c r="J2083" s="11">
        <v>4153</v>
      </c>
      <c r="K2083" s="51"/>
      <c r="O2083" s="1" t="s">
        <v>7</v>
      </c>
      <c r="P2083" s="1" t="s">
        <v>43</v>
      </c>
      <c r="Q2083" s="1" t="s">
        <v>10</v>
      </c>
      <c r="R2083" s="1" t="s">
        <v>0</v>
      </c>
      <c r="S2083" t="s">
        <v>42</v>
      </c>
      <c r="T2083" s="1">
        <v>2016</v>
      </c>
      <c r="U2083" s="1">
        <v>8</v>
      </c>
      <c r="V2083" s="50">
        <v>42583</v>
      </c>
      <c r="W2083" s="4">
        <v>3571.5800000000004</v>
      </c>
      <c r="X2083" s="48">
        <v>4153</v>
      </c>
    </row>
    <row r="2084" spans="2:24" x14ac:dyDescent="0.35">
      <c r="B2084" s="8" t="s">
        <v>6</v>
      </c>
      <c r="C2084" s="8" t="s">
        <v>40</v>
      </c>
      <c r="D2084" s="8" t="s">
        <v>41</v>
      </c>
      <c r="E2084" s="8" t="s">
        <v>27</v>
      </c>
      <c r="F2084" s="6" t="s">
        <v>31</v>
      </c>
      <c r="G2084" s="8">
        <v>2016</v>
      </c>
      <c r="H2084" s="8">
        <v>8</v>
      </c>
      <c r="I2084" s="10">
        <v>42583</v>
      </c>
      <c r="J2084" s="11">
        <v>4938</v>
      </c>
      <c r="K2084" s="51"/>
      <c r="O2084" s="1" t="s">
        <v>6</v>
      </c>
      <c r="P2084" s="1" t="s">
        <v>40</v>
      </c>
      <c r="Q2084" s="1" t="s">
        <v>41</v>
      </c>
      <c r="R2084" s="1" t="s">
        <v>27</v>
      </c>
      <c r="S2084" t="s">
        <v>31</v>
      </c>
      <c r="T2084" s="1">
        <v>2016</v>
      </c>
      <c r="U2084" s="1">
        <v>8</v>
      </c>
      <c r="V2084" s="50">
        <v>42583</v>
      </c>
      <c r="W2084" s="4">
        <v>4493.58</v>
      </c>
      <c r="X2084" s="48">
        <v>4938</v>
      </c>
    </row>
    <row r="2085" spans="2:24" x14ac:dyDescent="0.35">
      <c r="B2085" s="8" t="s">
        <v>3</v>
      </c>
      <c r="C2085" s="8" t="s">
        <v>22</v>
      </c>
      <c r="D2085" s="8" t="s">
        <v>5</v>
      </c>
      <c r="E2085" s="8" t="s">
        <v>23</v>
      </c>
      <c r="F2085" s="6" t="s">
        <v>39</v>
      </c>
      <c r="G2085" s="8">
        <v>2016</v>
      </c>
      <c r="H2085" s="8">
        <v>8</v>
      </c>
      <c r="I2085" s="10">
        <v>42583</v>
      </c>
      <c r="J2085" s="11">
        <v>2220</v>
      </c>
      <c r="K2085" s="51"/>
      <c r="O2085" s="1" t="s">
        <v>3</v>
      </c>
      <c r="P2085" s="1" t="s">
        <v>22</v>
      </c>
      <c r="Q2085" s="1" t="s">
        <v>5</v>
      </c>
      <c r="R2085" s="1" t="s">
        <v>23</v>
      </c>
      <c r="S2085" t="s">
        <v>39</v>
      </c>
      <c r="T2085" s="1">
        <v>2016</v>
      </c>
      <c r="U2085" s="1">
        <v>8</v>
      </c>
      <c r="V2085" s="50">
        <v>42583</v>
      </c>
      <c r="W2085" s="4">
        <v>2042.3999999999999</v>
      </c>
      <c r="X2085" s="48">
        <v>2220</v>
      </c>
    </row>
    <row r="2086" spans="2:24" x14ac:dyDescent="0.35">
      <c r="B2086" s="8" t="s">
        <v>3</v>
      </c>
      <c r="C2086" s="8" t="s">
        <v>22</v>
      </c>
      <c r="D2086" s="8" t="s">
        <v>5</v>
      </c>
      <c r="E2086" s="9" t="s">
        <v>0</v>
      </c>
      <c r="F2086" s="9" t="s">
        <v>42</v>
      </c>
      <c r="G2086" s="8">
        <v>2016</v>
      </c>
      <c r="H2086" s="8">
        <v>8</v>
      </c>
      <c r="I2086" s="10">
        <v>42583</v>
      </c>
      <c r="J2086" s="11">
        <v>4613</v>
      </c>
      <c r="K2086" s="51"/>
      <c r="O2086" s="1" t="s">
        <v>3</v>
      </c>
      <c r="P2086" s="1" t="s">
        <v>22</v>
      </c>
      <c r="Q2086" s="1" t="s">
        <v>5</v>
      </c>
      <c r="R2086" s="2" t="s">
        <v>0</v>
      </c>
      <c r="S2086" s="2" t="s">
        <v>42</v>
      </c>
      <c r="T2086" s="1">
        <v>2016</v>
      </c>
      <c r="U2086" s="1">
        <v>8</v>
      </c>
      <c r="V2086" s="50">
        <v>42583</v>
      </c>
      <c r="W2086" s="4">
        <v>4290.09</v>
      </c>
      <c r="X2086" s="48">
        <v>4613</v>
      </c>
    </row>
    <row r="2087" spans="2:24" x14ac:dyDescent="0.35">
      <c r="B2087" s="8" t="s">
        <v>6</v>
      </c>
      <c r="C2087" s="8" t="s">
        <v>29</v>
      </c>
      <c r="D2087" s="8" t="s">
        <v>30</v>
      </c>
      <c r="E2087" s="8" t="s">
        <v>0</v>
      </c>
      <c r="F2087" s="9" t="s">
        <v>26</v>
      </c>
      <c r="G2087" s="8">
        <v>2016</v>
      </c>
      <c r="H2087" s="8">
        <v>8</v>
      </c>
      <c r="I2087" s="10">
        <v>42583</v>
      </c>
      <c r="J2087" s="11">
        <v>4678</v>
      </c>
      <c r="K2087" s="51"/>
      <c r="O2087" s="1" t="s">
        <v>6</v>
      </c>
      <c r="P2087" s="1" t="s">
        <v>29</v>
      </c>
      <c r="Q2087" s="1" t="s">
        <v>30</v>
      </c>
      <c r="R2087" s="1" t="s">
        <v>0</v>
      </c>
      <c r="S2087" s="2" t="s">
        <v>26</v>
      </c>
      <c r="T2087" s="1">
        <v>2016</v>
      </c>
      <c r="U2087" s="1">
        <v>8</v>
      </c>
      <c r="V2087" s="50">
        <v>42583</v>
      </c>
      <c r="W2087" s="4">
        <v>3976.3</v>
      </c>
      <c r="X2087" s="48">
        <v>4678</v>
      </c>
    </row>
    <row r="2088" spans="2:24" x14ac:dyDescent="0.35">
      <c r="B2088" s="8" t="s">
        <v>7</v>
      </c>
      <c r="C2088" s="8" t="s">
        <v>48</v>
      </c>
      <c r="D2088" s="8" t="s">
        <v>9</v>
      </c>
      <c r="E2088" s="8" t="s">
        <v>27</v>
      </c>
      <c r="F2088" s="6" t="s">
        <v>28</v>
      </c>
      <c r="G2088" s="8">
        <v>2016</v>
      </c>
      <c r="H2088" s="8">
        <v>8</v>
      </c>
      <c r="I2088" s="10">
        <v>42583</v>
      </c>
      <c r="J2088" s="11">
        <v>4317</v>
      </c>
      <c r="K2088" s="51"/>
      <c r="O2088" s="1" t="s">
        <v>7</v>
      </c>
      <c r="P2088" s="1" t="s">
        <v>48</v>
      </c>
      <c r="Q2088" s="1" t="s">
        <v>9</v>
      </c>
      <c r="R2088" s="1" t="s">
        <v>27</v>
      </c>
      <c r="S2088" t="s">
        <v>28</v>
      </c>
      <c r="T2088" s="1">
        <v>2016</v>
      </c>
      <c r="U2088" s="1">
        <v>8</v>
      </c>
      <c r="V2088" s="50">
        <v>42583</v>
      </c>
      <c r="W2088" s="4">
        <v>3928.47</v>
      </c>
      <c r="X2088" s="48">
        <v>4317</v>
      </c>
    </row>
    <row r="2089" spans="2:24" x14ac:dyDescent="0.35">
      <c r="B2089" s="8" t="s">
        <v>7</v>
      </c>
      <c r="C2089" s="8" t="s">
        <v>48</v>
      </c>
      <c r="D2089" s="8" t="s">
        <v>9</v>
      </c>
      <c r="E2089" s="8" t="s">
        <v>27</v>
      </c>
      <c r="F2089" s="8" t="s">
        <v>31</v>
      </c>
      <c r="G2089" s="8">
        <v>2016</v>
      </c>
      <c r="H2089" s="8">
        <v>8</v>
      </c>
      <c r="I2089" s="10">
        <v>42583</v>
      </c>
      <c r="J2089" s="11">
        <v>4250</v>
      </c>
      <c r="K2089" s="51"/>
      <c r="O2089" s="1" t="s">
        <v>7</v>
      </c>
      <c r="P2089" s="1" t="s">
        <v>48</v>
      </c>
      <c r="Q2089" s="1" t="s">
        <v>9</v>
      </c>
      <c r="R2089" s="1" t="s">
        <v>27</v>
      </c>
      <c r="S2089" s="1" t="s">
        <v>31</v>
      </c>
      <c r="T2089" s="1">
        <v>2016</v>
      </c>
      <c r="U2089" s="1">
        <v>8</v>
      </c>
      <c r="V2089" s="50">
        <v>42583</v>
      </c>
      <c r="W2089" s="4">
        <v>3697.5000000000005</v>
      </c>
      <c r="X2089" s="48">
        <v>4250</v>
      </c>
    </row>
    <row r="2090" spans="2:24" x14ac:dyDescent="0.35">
      <c r="B2090" s="8" t="s">
        <v>7</v>
      </c>
      <c r="C2090" s="8" t="s">
        <v>49</v>
      </c>
      <c r="D2090" s="8" t="s">
        <v>11</v>
      </c>
      <c r="E2090" s="8" t="s">
        <v>27</v>
      </c>
      <c r="F2090" s="8" t="s">
        <v>33</v>
      </c>
      <c r="G2090" s="8">
        <v>2016</v>
      </c>
      <c r="H2090" s="8">
        <v>8</v>
      </c>
      <c r="I2090" s="10">
        <v>42583</v>
      </c>
      <c r="J2090" s="11">
        <v>3883</v>
      </c>
      <c r="K2090" s="51"/>
      <c r="O2090" s="1" t="s">
        <v>7</v>
      </c>
      <c r="P2090" s="1" t="s">
        <v>49</v>
      </c>
      <c r="Q2090" s="1" t="s">
        <v>11</v>
      </c>
      <c r="R2090" s="1" t="s">
        <v>27</v>
      </c>
      <c r="S2090" s="1" t="s">
        <v>33</v>
      </c>
      <c r="T2090" s="1">
        <v>2016</v>
      </c>
      <c r="U2090" s="1">
        <v>8</v>
      </c>
      <c r="V2090" s="50">
        <v>42583</v>
      </c>
      <c r="W2090" s="4">
        <v>3533.5299999999997</v>
      </c>
      <c r="X2090" s="48">
        <v>3883</v>
      </c>
    </row>
    <row r="2091" spans="2:24" x14ac:dyDescent="0.35">
      <c r="B2091" s="8" t="s">
        <v>7</v>
      </c>
      <c r="C2091" s="8" t="s">
        <v>49</v>
      </c>
      <c r="D2091" s="8" t="s">
        <v>11</v>
      </c>
      <c r="E2091" s="8" t="s">
        <v>23</v>
      </c>
      <c r="F2091" s="8" t="s">
        <v>36</v>
      </c>
      <c r="G2091" s="8">
        <v>2016</v>
      </c>
      <c r="H2091" s="8">
        <v>8</v>
      </c>
      <c r="I2091" s="10">
        <v>42583</v>
      </c>
      <c r="J2091" s="11">
        <v>2188</v>
      </c>
      <c r="K2091" s="51"/>
      <c r="O2091" s="1" t="s">
        <v>7</v>
      </c>
      <c r="P2091" s="1" t="s">
        <v>49</v>
      </c>
      <c r="Q2091" s="1" t="s">
        <v>11</v>
      </c>
      <c r="R2091" s="1" t="s">
        <v>23</v>
      </c>
      <c r="S2091" s="1" t="s">
        <v>36</v>
      </c>
      <c r="T2091" s="1">
        <v>2016</v>
      </c>
      <c r="U2091" s="1">
        <v>8</v>
      </c>
      <c r="V2091" s="50">
        <v>42583</v>
      </c>
      <c r="W2091" s="4">
        <v>1969.1999999999998</v>
      </c>
      <c r="X2091" s="48">
        <v>2188</v>
      </c>
    </row>
    <row r="2092" spans="2:24" x14ac:dyDescent="0.35">
      <c r="B2092" s="8" t="s">
        <v>7</v>
      </c>
      <c r="C2092" s="8" t="s">
        <v>43</v>
      </c>
      <c r="D2092" s="8" t="s">
        <v>10</v>
      </c>
      <c r="E2092" s="8" t="s">
        <v>23</v>
      </c>
      <c r="F2092" s="6" t="s">
        <v>36</v>
      </c>
      <c r="G2092" s="8">
        <v>2016</v>
      </c>
      <c r="H2092" s="8">
        <v>8</v>
      </c>
      <c r="I2092" s="10">
        <v>42583</v>
      </c>
      <c r="J2092" s="11">
        <v>1713</v>
      </c>
      <c r="K2092" s="51"/>
      <c r="O2092" s="1" t="s">
        <v>7</v>
      </c>
      <c r="P2092" s="1" t="s">
        <v>43</v>
      </c>
      <c r="Q2092" s="1" t="s">
        <v>10</v>
      </c>
      <c r="R2092" s="1" t="s">
        <v>23</v>
      </c>
      <c r="S2092" t="s">
        <v>36</v>
      </c>
      <c r="T2092" s="1">
        <v>2016</v>
      </c>
      <c r="U2092" s="1">
        <v>8</v>
      </c>
      <c r="V2092" s="50">
        <v>42583</v>
      </c>
      <c r="W2092" s="4">
        <v>1507.4399999999998</v>
      </c>
      <c r="X2092" s="48">
        <v>1713</v>
      </c>
    </row>
    <row r="2093" spans="2:24" x14ac:dyDescent="0.35">
      <c r="B2093" s="8" t="s">
        <v>6</v>
      </c>
      <c r="C2093" s="8" t="s">
        <v>40</v>
      </c>
      <c r="D2093" s="8" t="s">
        <v>41</v>
      </c>
      <c r="E2093" s="8" t="s">
        <v>0</v>
      </c>
      <c r="F2093" s="6" t="s">
        <v>45</v>
      </c>
      <c r="G2093" s="8">
        <v>2016</v>
      </c>
      <c r="H2093" s="8">
        <v>8</v>
      </c>
      <c r="I2093" s="10">
        <v>42583</v>
      </c>
      <c r="J2093" s="11">
        <v>2905</v>
      </c>
      <c r="K2093" s="51"/>
      <c r="O2093" s="1" t="s">
        <v>6</v>
      </c>
      <c r="P2093" s="1" t="s">
        <v>40</v>
      </c>
      <c r="Q2093" s="1" t="s">
        <v>41</v>
      </c>
      <c r="R2093" s="1" t="s">
        <v>0</v>
      </c>
      <c r="S2093" t="s">
        <v>45</v>
      </c>
      <c r="T2093" s="1">
        <v>2016</v>
      </c>
      <c r="U2093" s="1">
        <v>8</v>
      </c>
      <c r="V2093" s="50">
        <v>42583</v>
      </c>
      <c r="W2093" s="4">
        <v>2643.5499999999997</v>
      </c>
      <c r="X2093" s="48">
        <v>2905</v>
      </c>
    </row>
    <row r="2094" spans="2:24" x14ac:dyDescent="0.35">
      <c r="B2094" s="8" t="s">
        <v>7</v>
      </c>
      <c r="C2094" s="8" t="s">
        <v>32</v>
      </c>
      <c r="D2094" s="8" t="s">
        <v>8</v>
      </c>
      <c r="E2094" s="8" t="s">
        <v>27</v>
      </c>
      <c r="F2094" s="6" t="s">
        <v>28</v>
      </c>
      <c r="G2094" s="8">
        <v>2016</v>
      </c>
      <c r="H2094" s="8">
        <v>8</v>
      </c>
      <c r="I2094" s="10">
        <v>42583</v>
      </c>
      <c r="J2094" s="11">
        <v>4860</v>
      </c>
      <c r="K2094" s="51"/>
      <c r="O2094" s="1" t="s">
        <v>7</v>
      </c>
      <c r="P2094" s="1" t="s">
        <v>32</v>
      </c>
      <c r="Q2094" s="1" t="s">
        <v>8</v>
      </c>
      <c r="R2094" s="1" t="s">
        <v>27</v>
      </c>
      <c r="S2094" t="s">
        <v>28</v>
      </c>
      <c r="T2094" s="1">
        <v>2016</v>
      </c>
      <c r="U2094" s="1">
        <v>8</v>
      </c>
      <c r="V2094" s="50">
        <v>42583</v>
      </c>
      <c r="W2094" s="4">
        <v>4568.3999999999996</v>
      </c>
      <c r="X2094" s="48">
        <v>4860</v>
      </c>
    </row>
    <row r="2095" spans="2:24" x14ac:dyDescent="0.35">
      <c r="B2095" s="8" t="s">
        <v>7</v>
      </c>
      <c r="C2095" s="8" t="s">
        <v>32</v>
      </c>
      <c r="D2095" s="8" t="s">
        <v>8</v>
      </c>
      <c r="E2095" s="9" t="s">
        <v>27</v>
      </c>
      <c r="F2095" s="9" t="s">
        <v>31</v>
      </c>
      <c r="G2095" s="8">
        <v>2016</v>
      </c>
      <c r="H2095" s="8">
        <v>8</v>
      </c>
      <c r="I2095" s="10">
        <v>42583</v>
      </c>
      <c r="J2095" s="11">
        <v>4534</v>
      </c>
      <c r="K2095" s="51"/>
      <c r="O2095" s="1" t="s">
        <v>7</v>
      </c>
      <c r="P2095" s="1" t="s">
        <v>32</v>
      </c>
      <c r="Q2095" s="1" t="s">
        <v>8</v>
      </c>
      <c r="R2095" s="2" t="s">
        <v>27</v>
      </c>
      <c r="S2095" s="2" t="s">
        <v>31</v>
      </c>
      <c r="T2095" s="1">
        <v>2016</v>
      </c>
      <c r="U2095" s="1">
        <v>8</v>
      </c>
      <c r="V2095" s="50">
        <v>42583</v>
      </c>
      <c r="W2095" s="4">
        <v>3944.5800000000004</v>
      </c>
      <c r="X2095" s="48">
        <v>4534</v>
      </c>
    </row>
    <row r="2096" spans="2:24" x14ac:dyDescent="0.35">
      <c r="B2096" s="8" t="s">
        <v>6</v>
      </c>
      <c r="C2096" s="8" t="s">
        <v>29</v>
      </c>
      <c r="D2096" s="8" t="s">
        <v>30</v>
      </c>
      <c r="E2096" s="8" t="s">
        <v>23</v>
      </c>
      <c r="F2096" s="9" t="s">
        <v>24</v>
      </c>
      <c r="G2096" s="8">
        <v>2016</v>
      </c>
      <c r="H2096" s="8">
        <v>8</v>
      </c>
      <c r="I2096" s="10">
        <v>42583</v>
      </c>
      <c r="J2096" s="11">
        <v>2621</v>
      </c>
      <c r="K2096" s="51"/>
      <c r="O2096" s="1" t="s">
        <v>6</v>
      </c>
      <c r="P2096" s="1" t="s">
        <v>29</v>
      </c>
      <c r="Q2096" s="1" t="s">
        <v>30</v>
      </c>
      <c r="R2096" s="1" t="s">
        <v>23</v>
      </c>
      <c r="S2096" s="2" t="s">
        <v>24</v>
      </c>
      <c r="T2096" s="1">
        <v>2016</v>
      </c>
      <c r="U2096" s="1">
        <v>8</v>
      </c>
      <c r="V2096" s="50">
        <v>42583</v>
      </c>
      <c r="W2096" s="4">
        <v>2227.8500000000004</v>
      </c>
      <c r="X2096" s="48">
        <v>2621</v>
      </c>
    </row>
    <row r="2097" spans="2:24" x14ac:dyDescent="0.35">
      <c r="B2097" s="8" t="s">
        <v>7</v>
      </c>
      <c r="C2097" s="8" t="s">
        <v>48</v>
      </c>
      <c r="D2097" s="8" t="s">
        <v>9</v>
      </c>
      <c r="E2097" s="8" t="s">
        <v>0</v>
      </c>
      <c r="F2097" s="6" t="s">
        <v>42</v>
      </c>
      <c r="G2097" s="8">
        <v>2016</v>
      </c>
      <c r="H2097" s="8">
        <v>8</v>
      </c>
      <c r="I2097" s="10">
        <v>42583</v>
      </c>
      <c r="J2097" s="11">
        <v>4936</v>
      </c>
      <c r="K2097" s="51"/>
      <c r="O2097" s="1" t="s">
        <v>7</v>
      </c>
      <c r="P2097" s="1" t="s">
        <v>48</v>
      </c>
      <c r="Q2097" s="1" t="s">
        <v>9</v>
      </c>
      <c r="R2097" s="1" t="s">
        <v>0</v>
      </c>
      <c r="S2097" t="s">
        <v>42</v>
      </c>
      <c r="T2097" s="1">
        <v>2016</v>
      </c>
      <c r="U2097" s="1">
        <v>8</v>
      </c>
      <c r="V2097" s="50">
        <v>42583</v>
      </c>
      <c r="W2097" s="4">
        <v>4590.4799999999996</v>
      </c>
      <c r="X2097" s="48">
        <v>4936</v>
      </c>
    </row>
    <row r="2098" spans="2:24" x14ac:dyDescent="0.35">
      <c r="B2098" s="8" t="s">
        <v>7</v>
      </c>
      <c r="C2098" s="8" t="s">
        <v>48</v>
      </c>
      <c r="D2098" s="8" t="s">
        <v>9</v>
      </c>
      <c r="E2098" s="8" t="s">
        <v>0</v>
      </c>
      <c r="F2098" s="8" t="s">
        <v>26</v>
      </c>
      <c r="G2098" s="8">
        <v>2016</v>
      </c>
      <c r="H2098" s="8">
        <v>8</v>
      </c>
      <c r="I2098" s="10">
        <v>42583</v>
      </c>
      <c r="J2098" s="11">
        <v>3104</v>
      </c>
      <c r="K2098" s="51"/>
      <c r="O2098" s="1" t="s">
        <v>7</v>
      </c>
      <c r="P2098" s="1" t="s">
        <v>48</v>
      </c>
      <c r="Q2098" s="1" t="s">
        <v>9</v>
      </c>
      <c r="R2098" s="1" t="s">
        <v>0</v>
      </c>
      <c r="S2098" s="1" t="s">
        <v>26</v>
      </c>
      <c r="T2098" s="1">
        <v>2016</v>
      </c>
      <c r="U2098" s="1">
        <v>8</v>
      </c>
      <c r="V2098" s="50">
        <v>42583</v>
      </c>
      <c r="W2098" s="4">
        <v>2855.68</v>
      </c>
      <c r="X2098" s="48">
        <v>3104</v>
      </c>
    </row>
    <row r="2099" spans="2:24" x14ac:dyDescent="0.35">
      <c r="B2099" s="8" t="s">
        <v>7</v>
      </c>
      <c r="C2099" s="8" t="s">
        <v>49</v>
      </c>
      <c r="D2099" s="8" t="s">
        <v>11</v>
      </c>
      <c r="E2099" s="8" t="s">
        <v>0</v>
      </c>
      <c r="F2099" s="8" t="s">
        <v>45</v>
      </c>
      <c r="G2099" s="8">
        <v>2016</v>
      </c>
      <c r="H2099" s="8">
        <v>8</v>
      </c>
      <c r="I2099" s="10">
        <v>42583</v>
      </c>
      <c r="J2099" s="11">
        <v>4204</v>
      </c>
      <c r="K2099" s="51"/>
      <c r="O2099" s="1" t="s">
        <v>7</v>
      </c>
      <c r="P2099" s="1" t="s">
        <v>49</v>
      </c>
      <c r="Q2099" s="1" t="s">
        <v>11</v>
      </c>
      <c r="R2099" s="1" t="s">
        <v>0</v>
      </c>
      <c r="S2099" s="1" t="s">
        <v>45</v>
      </c>
      <c r="T2099" s="1">
        <v>2016</v>
      </c>
      <c r="U2099" s="1">
        <v>8</v>
      </c>
      <c r="V2099" s="50">
        <v>42583</v>
      </c>
      <c r="W2099" s="4">
        <v>3741.5599999999995</v>
      </c>
      <c r="X2099" s="48">
        <v>4204</v>
      </c>
    </row>
    <row r="2100" spans="2:24" x14ac:dyDescent="0.35">
      <c r="B2100" s="8" t="s">
        <v>7</v>
      </c>
      <c r="C2100" s="8" t="s">
        <v>49</v>
      </c>
      <c r="D2100" s="8" t="s">
        <v>11</v>
      </c>
      <c r="E2100" s="8" t="s">
        <v>27</v>
      </c>
      <c r="F2100" s="8" t="s">
        <v>28</v>
      </c>
      <c r="G2100" s="8">
        <v>2016</v>
      </c>
      <c r="H2100" s="8">
        <v>8</v>
      </c>
      <c r="I2100" s="10">
        <v>42583</v>
      </c>
      <c r="J2100" s="11">
        <v>3557</v>
      </c>
      <c r="K2100" s="51"/>
      <c r="O2100" s="1" t="s">
        <v>7</v>
      </c>
      <c r="P2100" s="1" t="s">
        <v>49</v>
      </c>
      <c r="Q2100" s="1" t="s">
        <v>11</v>
      </c>
      <c r="R2100" s="1" t="s">
        <v>27</v>
      </c>
      <c r="S2100" s="1" t="s">
        <v>28</v>
      </c>
      <c r="T2100" s="1">
        <v>2016</v>
      </c>
      <c r="U2100" s="1">
        <v>8</v>
      </c>
      <c r="V2100" s="50">
        <v>42583</v>
      </c>
      <c r="W2100" s="4">
        <v>3059.0200000000004</v>
      </c>
      <c r="X2100" s="48">
        <v>3557</v>
      </c>
    </row>
    <row r="2101" spans="2:24" x14ac:dyDescent="0.35">
      <c r="B2101" s="8" t="s">
        <v>12</v>
      </c>
      <c r="C2101" s="8" t="s">
        <v>34</v>
      </c>
      <c r="D2101" s="8" t="s">
        <v>35</v>
      </c>
      <c r="E2101" s="8" t="s">
        <v>27</v>
      </c>
      <c r="F2101" s="6" t="s">
        <v>31</v>
      </c>
      <c r="G2101" s="8">
        <v>2016</v>
      </c>
      <c r="H2101" s="8">
        <v>8</v>
      </c>
      <c r="I2101" s="10">
        <v>42583</v>
      </c>
      <c r="J2101" s="11">
        <v>2944</v>
      </c>
      <c r="K2101" s="51"/>
      <c r="O2101" s="1" t="s">
        <v>12</v>
      </c>
      <c r="P2101" s="1" t="s">
        <v>34</v>
      </c>
      <c r="Q2101" s="1" t="s">
        <v>35</v>
      </c>
      <c r="R2101" s="1" t="s">
        <v>27</v>
      </c>
      <c r="S2101" t="s">
        <v>31</v>
      </c>
      <c r="T2101" s="1">
        <v>2016</v>
      </c>
      <c r="U2101" s="1">
        <v>8</v>
      </c>
      <c r="V2101" s="50">
        <v>42583</v>
      </c>
      <c r="W2101" s="4">
        <v>2561.2800000000002</v>
      </c>
      <c r="X2101" s="48">
        <v>2944</v>
      </c>
    </row>
    <row r="2102" spans="2:24" x14ac:dyDescent="0.35">
      <c r="B2102" s="8" t="s">
        <v>12</v>
      </c>
      <c r="C2102" s="8" t="s">
        <v>34</v>
      </c>
      <c r="D2102" s="8" t="s">
        <v>35</v>
      </c>
      <c r="E2102" s="8" t="s">
        <v>27</v>
      </c>
      <c r="F2102" s="6" t="s">
        <v>33</v>
      </c>
      <c r="G2102" s="8">
        <v>2016</v>
      </c>
      <c r="H2102" s="8">
        <v>8</v>
      </c>
      <c r="I2102" s="10">
        <v>42583</v>
      </c>
      <c r="J2102" s="11">
        <v>4022</v>
      </c>
      <c r="K2102" s="51"/>
      <c r="O2102" s="1" t="s">
        <v>12</v>
      </c>
      <c r="P2102" s="1" t="s">
        <v>34</v>
      </c>
      <c r="Q2102" s="1" t="s">
        <v>35</v>
      </c>
      <c r="R2102" s="1" t="s">
        <v>27</v>
      </c>
      <c r="S2102" t="s">
        <v>33</v>
      </c>
      <c r="T2102" s="1">
        <v>2016</v>
      </c>
      <c r="U2102" s="1">
        <v>8</v>
      </c>
      <c r="V2102" s="50">
        <v>42583</v>
      </c>
      <c r="W2102" s="4">
        <v>3539.3599999999997</v>
      </c>
      <c r="X2102" s="48">
        <v>4022</v>
      </c>
    </row>
    <row r="2103" spans="2:24" x14ac:dyDescent="0.35">
      <c r="B2103" s="8" t="s">
        <v>14</v>
      </c>
      <c r="C2103" s="8" t="s">
        <v>37</v>
      </c>
      <c r="D2103" s="8" t="s">
        <v>38</v>
      </c>
      <c r="E2103" s="8" t="s">
        <v>23</v>
      </c>
      <c r="F2103" s="6" t="s">
        <v>36</v>
      </c>
      <c r="G2103" s="8">
        <v>2016</v>
      </c>
      <c r="H2103" s="8">
        <v>8</v>
      </c>
      <c r="I2103" s="10">
        <v>42583</v>
      </c>
      <c r="J2103" s="11">
        <v>2578</v>
      </c>
      <c r="K2103" s="51"/>
      <c r="O2103" s="1" t="s">
        <v>14</v>
      </c>
      <c r="P2103" s="1" t="s">
        <v>37</v>
      </c>
      <c r="Q2103" s="1" t="s">
        <v>38</v>
      </c>
      <c r="R2103" s="1" t="s">
        <v>23</v>
      </c>
      <c r="S2103" t="s">
        <v>36</v>
      </c>
      <c r="T2103" s="1">
        <v>2016</v>
      </c>
      <c r="U2103" s="1">
        <v>8</v>
      </c>
      <c r="V2103" s="50">
        <v>42583</v>
      </c>
      <c r="W2103" s="4">
        <v>2294.4199999999996</v>
      </c>
      <c r="X2103" s="48">
        <v>2578</v>
      </c>
    </row>
    <row r="2104" spans="2:24" x14ac:dyDescent="0.35">
      <c r="B2104" s="8" t="s">
        <v>12</v>
      </c>
      <c r="C2104" s="8" t="s">
        <v>44</v>
      </c>
      <c r="D2104" s="8" t="s">
        <v>13</v>
      </c>
      <c r="E2104" s="9" t="s">
        <v>23</v>
      </c>
      <c r="F2104" s="9" t="s">
        <v>39</v>
      </c>
      <c r="G2104" s="8">
        <v>2016</v>
      </c>
      <c r="H2104" s="8">
        <v>8</v>
      </c>
      <c r="I2104" s="10">
        <v>42583</v>
      </c>
      <c r="J2104" s="11">
        <v>2528</v>
      </c>
      <c r="K2104" s="51"/>
      <c r="O2104" s="1" t="s">
        <v>12</v>
      </c>
      <c r="P2104" s="1" t="s">
        <v>44</v>
      </c>
      <c r="Q2104" s="1" t="s">
        <v>13</v>
      </c>
      <c r="R2104" s="2" t="s">
        <v>23</v>
      </c>
      <c r="S2104" s="2" t="s">
        <v>39</v>
      </c>
      <c r="T2104" s="1">
        <v>2016</v>
      </c>
      <c r="U2104" s="1">
        <v>8</v>
      </c>
      <c r="V2104" s="50">
        <v>42583</v>
      </c>
      <c r="W2104" s="4">
        <v>2351.04</v>
      </c>
      <c r="X2104" s="48">
        <v>2528</v>
      </c>
    </row>
    <row r="2105" spans="2:24" x14ac:dyDescent="0.35">
      <c r="B2105" s="8" t="s">
        <v>12</v>
      </c>
      <c r="C2105" s="8" t="s">
        <v>44</v>
      </c>
      <c r="D2105" s="8" t="s">
        <v>13</v>
      </c>
      <c r="E2105" s="8" t="s">
        <v>0</v>
      </c>
      <c r="F2105" s="9" t="s">
        <v>42</v>
      </c>
      <c r="G2105" s="8">
        <v>2016</v>
      </c>
      <c r="H2105" s="8">
        <v>8</v>
      </c>
      <c r="I2105" s="10">
        <v>42583</v>
      </c>
      <c r="J2105" s="11">
        <v>4795</v>
      </c>
      <c r="K2105" s="51"/>
      <c r="O2105" s="1" t="s">
        <v>12</v>
      </c>
      <c r="P2105" s="1" t="s">
        <v>44</v>
      </c>
      <c r="Q2105" s="1" t="s">
        <v>13</v>
      </c>
      <c r="R2105" s="1" t="s">
        <v>0</v>
      </c>
      <c r="S2105" s="2" t="s">
        <v>42</v>
      </c>
      <c r="T2105" s="1">
        <v>2016</v>
      </c>
      <c r="U2105" s="1">
        <v>8</v>
      </c>
      <c r="V2105" s="50">
        <v>42583</v>
      </c>
      <c r="W2105" s="4">
        <v>4507.2999999999993</v>
      </c>
      <c r="X2105" s="48">
        <v>4795</v>
      </c>
    </row>
    <row r="2106" spans="2:24" x14ac:dyDescent="0.35">
      <c r="B2106" s="8" t="s">
        <v>14</v>
      </c>
      <c r="C2106" s="8" t="s">
        <v>46</v>
      </c>
      <c r="D2106" s="8" t="s">
        <v>47</v>
      </c>
      <c r="E2106" s="8" t="s">
        <v>0</v>
      </c>
      <c r="F2106" s="6" t="s">
        <v>26</v>
      </c>
      <c r="G2106" s="8">
        <v>2016</v>
      </c>
      <c r="H2106" s="8">
        <v>8</v>
      </c>
      <c r="I2106" s="10">
        <v>42583</v>
      </c>
      <c r="J2106" s="11">
        <v>4417</v>
      </c>
      <c r="K2106" s="51"/>
      <c r="O2106" s="1" t="s">
        <v>14</v>
      </c>
      <c r="P2106" s="1" t="s">
        <v>46</v>
      </c>
      <c r="Q2106" s="1" t="s">
        <v>47</v>
      </c>
      <c r="R2106" s="1" t="s">
        <v>0</v>
      </c>
      <c r="S2106" t="s">
        <v>26</v>
      </c>
      <c r="T2106" s="1">
        <v>2016</v>
      </c>
      <c r="U2106" s="1">
        <v>8</v>
      </c>
      <c r="V2106" s="50">
        <v>42583</v>
      </c>
      <c r="W2106" s="4">
        <v>3931.1299999999997</v>
      </c>
      <c r="X2106" s="48">
        <v>4417</v>
      </c>
    </row>
    <row r="2107" spans="2:24" x14ac:dyDescent="0.35">
      <c r="B2107" s="8" t="s">
        <v>14</v>
      </c>
      <c r="C2107" s="8" t="s">
        <v>46</v>
      </c>
      <c r="D2107" s="8" t="s">
        <v>47</v>
      </c>
      <c r="E2107" s="8" t="s">
        <v>0</v>
      </c>
      <c r="F2107" s="8" t="s">
        <v>45</v>
      </c>
      <c r="G2107" s="8">
        <v>2016</v>
      </c>
      <c r="H2107" s="8">
        <v>8</v>
      </c>
      <c r="I2107" s="10">
        <v>42583</v>
      </c>
      <c r="J2107" s="11">
        <v>2101</v>
      </c>
      <c r="K2107" s="51"/>
      <c r="O2107" s="1" t="s">
        <v>14</v>
      </c>
      <c r="P2107" s="1" t="s">
        <v>46</v>
      </c>
      <c r="Q2107" s="1" t="s">
        <v>47</v>
      </c>
      <c r="R2107" s="1" t="s">
        <v>0</v>
      </c>
      <c r="S2107" s="1" t="s">
        <v>45</v>
      </c>
      <c r="T2107" s="1">
        <v>2016</v>
      </c>
      <c r="U2107" s="1">
        <v>8</v>
      </c>
      <c r="V2107" s="50">
        <v>42583</v>
      </c>
      <c r="W2107" s="4">
        <v>1932.9199999999998</v>
      </c>
      <c r="X2107" s="48">
        <v>2101</v>
      </c>
    </row>
    <row r="2108" spans="2:24" x14ac:dyDescent="0.35">
      <c r="B2108" s="8" t="s">
        <v>3</v>
      </c>
      <c r="C2108" s="8" t="s">
        <v>25</v>
      </c>
      <c r="D2108" s="8" t="s">
        <v>4</v>
      </c>
      <c r="E2108" s="8" t="s">
        <v>27</v>
      </c>
      <c r="F2108" s="8" t="s">
        <v>33</v>
      </c>
      <c r="G2108" s="8">
        <v>2016</v>
      </c>
      <c r="H2108" s="8">
        <v>8</v>
      </c>
      <c r="I2108" s="10">
        <v>42583</v>
      </c>
      <c r="J2108" s="11">
        <v>3840</v>
      </c>
      <c r="K2108" s="51"/>
      <c r="O2108" s="1" t="s">
        <v>3</v>
      </c>
      <c r="P2108" s="1" t="s">
        <v>25</v>
      </c>
      <c r="Q2108" s="1" t="s">
        <v>4</v>
      </c>
      <c r="R2108" s="1" t="s">
        <v>27</v>
      </c>
      <c r="S2108" s="1" t="s">
        <v>33</v>
      </c>
      <c r="T2108" s="1">
        <v>2016</v>
      </c>
      <c r="U2108" s="1">
        <v>8</v>
      </c>
      <c r="V2108" s="50">
        <v>42583</v>
      </c>
      <c r="W2108" s="4">
        <v>3417.5999999999995</v>
      </c>
      <c r="X2108" s="48">
        <v>3840</v>
      </c>
    </row>
    <row r="2109" spans="2:24" x14ac:dyDescent="0.35">
      <c r="B2109" s="8" t="s">
        <v>3</v>
      </c>
      <c r="C2109" s="8" t="s">
        <v>25</v>
      </c>
      <c r="D2109" s="8" t="s">
        <v>4</v>
      </c>
      <c r="E2109" s="8" t="s">
        <v>23</v>
      </c>
      <c r="F2109" s="8" t="s">
        <v>36</v>
      </c>
      <c r="G2109" s="8">
        <v>2016</v>
      </c>
      <c r="H2109" s="8">
        <v>8</v>
      </c>
      <c r="I2109" s="10">
        <v>42583</v>
      </c>
      <c r="J2109" s="11">
        <v>2452</v>
      </c>
      <c r="K2109" s="51"/>
      <c r="O2109" s="1" t="s">
        <v>3</v>
      </c>
      <c r="P2109" s="1" t="s">
        <v>25</v>
      </c>
      <c r="Q2109" s="1" t="s">
        <v>4</v>
      </c>
      <c r="R2109" s="1" t="s">
        <v>23</v>
      </c>
      <c r="S2109" s="1" t="s">
        <v>36</v>
      </c>
      <c r="T2109" s="1">
        <v>2016</v>
      </c>
      <c r="U2109" s="1">
        <v>8</v>
      </c>
      <c r="V2109" s="50">
        <v>42583</v>
      </c>
      <c r="W2109" s="4">
        <v>2304.88</v>
      </c>
      <c r="X2109" s="48">
        <v>2452</v>
      </c>
    </row>
    <row r="2110" spans="2:24" x14ac:dyDescent="0.35">
      <c r="B2110" s="8" t="s">
        <v>6</v>
      </c>
      <c r="C2110" s="8" t="s">
        <v>40</v>
      </c>
      <c r="D2110" s="8" t="s">
        <v>41</v>
      </c>
      <c r="E2110" s="8" t="s">
        <v>23</v>
      </c>
      <c r="F2110" s="6" t="s">
        <v>39</v>
      </c>
      <c r="G2110" s="8">
        <v>2016</v>
      </c>
      <c r="H2110" s="8">
        <v>8</v>
      </c>
      <c r="I2110" s="10">
        <v>42583</v>
      </c>
      <c r="J2110" s="11">
        <v>2106</v>
      </c>
      <c r="K2110" s="51"/>
      <c r="O2110" s="1" t="s">
        <v>6</v>
      </c>
      <c r="P2110" s="1" t="s">
        <v>40</v>
      </c>
      <c r="Q2110" s="1" t="s">
        <v>41</v>
      </c>
      <c r="R2110" s="1" t="s">
        <v>23</v>
      </c>
      <c r="S2110" t="s">
        <v>39</v>
      </c>
      <c r="T2110" s="1">
        <v>2016</v>
      </c>
      <c r="U2110" s="1">
        <v>8</v>
      </c>
      <c r="V2110" s="50">
        <v>42583</v>
      </c>
      <c r="W2110" s="4">
        <v>1895.3999999999999</v>
      </c>
      <c r="X2110" s="48">
        <v>2106</v>
      </c>
    </row>
    <row r="2111" spans="2:24" x14ac:dyDescent="0.35">
      <c r="B2111" s="8" t="s">
        <v>7</v>
      </c>
      <c r="C2111" s="8" t="s">
        <v>48</v>
      </c>
      <c r="D2111" s="8" t="s">
        <v>9</v>
      </c>
      <c r="E2111" s="8" t="s">
        <v>0</v>
      </c>
      <c r="F2111" s="6" t="s">
        <v>45</v>
      </c>
      <c r="G2111" s="8">
        <v>2016</v>
      </c>
      <c r="H2111" s="8">
        <v>8</v>
      </c>
      <c r="I2111" s="10">
        <v>42583</v>
      </c>
      <c r="J2111" s="11">
        <v>3435</v>
      </c>
      <c r="K2111" s="51"/>
      <c r="O2111" s="1" t="s">
        <v>7</v>
      </c>
      <c r="P2111" s="1" t="s">
        <v>48</v>
      </c>
      <c r="Q2111" s="1" t="s">
        <v>9</v>
      </c>
      <c r="R2111" s="1" t="s">
        <v>0</v>
      </c>
      <c r="S2111" t="s">
        <v>45</v>
      </c>
      <c r="T2111" s="1">
        <v>2016</v>
      </c>
      <c r="U2111" s="1">
        <v>8</v>
      </c>
      <c r="V2111" s="50">
        <v>42583</v>
      </c>
      <c r="W2111" s="4">
        <v>2919.7500000000005</v>
      </c>
      <c r="X2111" s="48">
        <v>3435</v>
      </c>
    </row>
    <row r="2112" spans="2:24" x14ac:dyDescent="0.35">
      <c r="B2112" s="8" t="s">
        <v>7</v>
      </c>
      <c r="C2112" s="8" t="s">
        <v>49</v>
      </c>
      <c r="D2112" s="8" t="s">
        <v>11</v>
      </c>
      <c r="E2112" s="8" t="s">
        <v>27</v>
      </c>
      <c r="F2112" s="6" t="s">
        <v>31</v>
      </c>
      <c r="G2112" s="8">
        <v>2016</v>
      </c>
      <c r="H2112" s="8">
        <v>8</v>
      </c>
      <c r="I2112" s="10">
        <v>42583</v>
      </c>
      <c r="J2112" s="11">
        <v>4404</v>
      </c>
      <c r="K2112" s="51"/>
      <c r="O2112" s="1" t="s">
        <v>7</v>
      </c>
      <c r="P2112" s="1" t="s">
        <v>49</v>
      </c>
      <c r="Q2112" s="1" t="s">
        <v>11</v>
      </c>
      <c r="R2112" s="1" t="s">
        <v>27</v>
      </c>
      <c r="S2112" t="s">
        <v>31</v>
      </c>
      <c r="T2112" s="1">
        <v>2016</v>
      </c>
      <c r="U2112" s="1">
        <v>8</v>
      </c>
      <c r="V2112" s="50">
        <v>42583</v>
      </c>
      <c r="W2112" s="4">
        <v>3963.5999999999995</v>
      </c>
      <c r="X2112" s="48">
        <v>4404</v>
      </c>
    </row>
    <row r="2113" spans="2:24" x14ac:dyDescent="0.35">
      <c r="B2113" s="8" t="s">
        <v>7</v>
      </c>
      <c r="C2113" s="8" t="s">
        <v>43</v>
      </c>
      <c r="D2113" s="8" t="s">
        <v>10</v>
      </c>
      <c r="E2113" s="9" t="s">
        <v>27</v>
      </c>
      <c r="F2113" s="9" t="s">
        <v>33</v>
      </c>
      <c r="G2113" s="8">
        <v>2016</v>
      </c>
      <c r="H2113" s="8">
        <v>8</v>
      </c>
      <c r="I2113" s="10">
        <v>42583</v>
      </c>
      <c r="J2113" s="11">
        <v>2914</v>
      </c>
      <c r="K2113" s="51"/>
      <c r="O2113" s="1" t="s">
        <v>7</v>
      </c>
      <c r="P2113" s="1" t="s">
        <v>43</v>
      </c>
      <c r="Q2113" s="1" t="s">
        <v>10</v>
      </c>
      <c r="R2113" s="2" t="s">
        <v>27</v>
      </c>
      <c r="S2113" s="2" t="s">
        <v>33</v>
      </c>
      <c r="T2113" s="1">
        <v>2016</v>
      </c>
      <c r="U2113" s="1">
        <v>8</v>
      </c>
      <c r="V2113" s="50">
        <v>42583</v>
      </c>
      <c r="W2113" s="4">
        <v>2593.4599999999996</v>
      </c>
      <c r="X2113" s="48">
        <v>2914</v>
      </c>
    </row>
    <row r="2114" spans="2:24" x14ac:dyDescent="0.35">
      <c r="B2114" s="8" t="s">
        <v>7</v>
      </c>
      <c r="C2114" s="8" t="s">
        <v>32</v>
      </c>
      <c r="D2114" s="8" t="s">
        <v>8</v>
      </c>
      <c r="E2114" s="8" t="s">
        <v>0</v>
      </c>
      <c r="F2114" s="9" t="s">
        <v>45</v>
      </c>
      <c r="G2114" s="8">
        <v>2016</v>
      </c>
      <c r="H2114" s="8">
        <v>8</v>
      </c>
      <c r="I2114" s="10">
        <v>42583</v>
      </c>
      <c r="J2114" s="11">
        <v>4265</v>
      </c>
      <c r="K2114" s="51"/>
      <c r="O2114" s="1" t="s">
        <v>7</v>
      </c>
      <c r="P2114" s="1" t="s">
        <v>32</v>
      </c>
      <c r="Q2114" s="1" t="s">
        <v>8</v>
      </c>
      <c r="R2114" s="1" t="s">
        <v>0</v>
      </c>
      <c r="S2114" s="2" t="s">
        <v>45</v>
      </c>
      <c r="T2114" s="1">
        <v>2016</v>
      </c>
      <c r="U2114" s="1">
        <v>8</v>
      </c>
      <c r="V2114" s="50">
        <v>42583</v>
      </c>
      <c r="W2114" s="4">
        <v>3710.55</v>
      </c>
      <c r="X2114" s="48">
        <v>4265</v>
      </c>
    </row>
    <row r="2115" spans="2:24" x14ac:dyDescent="0.35">
      <c r="B2115" s="8" t="s">
        <v>7</v>
      </c>
      <c r="C2115" s="8" t="s">
        <v>48</v>
      </c>
      <c r="D2115" s="8" t="s">
        <v>9</v>
      </c>
      <c r="E2115" s="8" t="s">
        <v>23</v>
      </c>
      <c r="F2115" s="6" t="s">
        <v>39</v>
      </c>
      <c r="G2115" s="8">
        <v>2016</v>
      </c>
      <c r="H2115" s="8">
        <v>8</v>
      </c>
      <c r="I2115" s="10">
        <v>42583</v>
      </c>
      <c r="J2115" s="11">
        <v>1425</v>
      </c>
      <c r="K2115" s="51"/>
      <c r="O2115" s="1" t="s">
        <v>7</v>
      </c>
      <c r="P2115" s="1" t="s">
        <v>48</v>
      </c>
      <c r="Q2115" s="1" t="s">
        <v>9</v>
      </c>
      <c r="R2115" s="1" t="s">
        <v>23</v>
      </c>
      <c r="S2115" t="s">
        <v>39</v>
      </c>
      <c r="T2115" s="1">
        <v>2016</v>
      </c>
      <c r="U2115" s="1">
        <v>8</v>
      </c>
      <c r="V2115" s="50">
        <v>42583</v>
      </c>
      <c r="W2115" s="4">
        <v>1239.7500000000002</v>
      </c>
      <c r="X2115" s="48">
        <v>1425</v>
      </c>
    </row>
    <row r="2116" spans="2:24" x14ac:dyDescent="0.35">
      <c r="B2116" s="8" t="s">
        <v>7</v>
      </c>
      <c r="C2116" s="8" t="s">
        <v>49</v>
      </c>
      <c r="D2116" s="8" t="s">
        <v>11</v>
      </c>
      <c r="E2116" s="8" t="s">
        <v>0</v>
      </c>
      <c r="F2116" s="8" t="s">
        <v>26</v>
      </c>
      <c r="G2116" s="8">
        <v>2016</v>
      </c>
      <c r="H2116" s="8">
        <v>8</v>
      </c>
      <c r="I2116" s="10">
        <v>42583</v>
      </c>
      <c r="J2116" s="11">
        <v>4876</v>
      </c>
      <c r="K2116" s="51"/>
      <c r="O2116" s="1" t="s">
        <v>7</v>
      </c>
      <c r="P2116" s="1" t="s">
        <v>49</v>
      </c>
      <c r="Q2116" s="1" t="s">
        <v>11</v>
      </c>
      <c r="R2116" s="1" t="s">
        <v>0</v>
      </c>
      <c r="S2116" s="1" t="s">
        <v>26</v>
      </c>
      <c r="T2116" s="1">
        <v>2016</v>
      </c>
      <c r="U2116" s="1">
        <v>8</v>
      </c>
      <c r="V2116" s="50">
        <v>42583</v>
      </c>
      <c r="W2116" s="4">
        <v>4485.92</v>
      </c>
      <c r="X2116" s="48">
        <v>4876</v>
      </c>
    </row>
    <row r="2117" spans="2:24" x14ac:dyDescent="0.35">
      <c r="B2117" s="8" t="s">
        <v>12</v>
      </c>
      <c r="C2117" s="8" t="s">
        <v>34</v>
      </c>
      <c r="D2117" s="8" t="s">
        <v>35</v>
      </c>
      <c r="E2117" s="8" t="s">
        <v>27</v>
      </c>
      <c r="F2117" s="8" t="s">
        <v>28</v>
      </c>
      <c r="G2117" s="8">
        <v>2016</v>
      </c>
      <c r="H2117" s="8">
        <v>8</v>
      </c>
      <c r="I2117" s="10">
        <v>42583</v>
      </c>
      <c r="J2117" s="11">
        <v>3666</v>
      </c>
      <c r="K2117" s="51"/>
      <c r="O2117" s="1" t="s">
        <v>12</v>
      </c>
      <c r="P2117" s="1" t="s">
        <v>34</v>
      </c>
      <c r="Q2117" s="1" t="s">
        <v>35</v>
      </c>
      <c r="R2117" s="1" t="s">
        <v>27</v>
      </c>
      <c r="S2117" s="1" t="s">
        <v>28</v>
      </c>
      <c r="T2117" s="1">
        <v>2016</v>
      </c>
      <c r="U2117" s="1">
        <v>8</v>
      </c>
      <c r="V2117" s="50">
        <v>42583</v>
      </c>
      <c r="W2117" s="4">
        <v>3409.3799999999997</v>
      </c>
      <c r="X2117" s="48">
        <v>3666</v>
      </c>
    </row>
    <row r="2118" spans="2:24" x14ac:dyDescent="0.35">
      <c r="B2118" s="8" t="s">
        <v>14</v>
      </c>
      <c r="C2118" s="8" t="s">
        <v>37</v>
      </c>
      <c r="D2118" s="8" t="s">
        <v>38</v>
      </c>
      <c r="E2118" s="8" t="s">
        <v>27</v>
      </c>
      <c r="F2118" s="8" t="s">
        <v>33</v>
      </c>
      <c r="G2118" s="8">
        <v>2016</v>
      </c>
      <c r="H2118" s="8">
        <v>8</v>
      </c>
      <c r="I2118" s="10">
        <v>42583</v>
      </c>
      <c r="J2118" s="11">
        <v>3269</v>
      </c>
      <c r="K2118" s="51"/>
      <c r="O2118" s="1" t="s">
        <v>14</v>
      </c>
      <c r="P2118" s="1" t="s">
        <v>37</v>
      </c>
      <c r="Q2118" s="1" t="s">
        <v>38</v>
      </c>
      <c r="R2118" s="1" t="s">
        <v>27</v>
      </c>
      <c r="S2118" s="1" t="s">
        <v>33</v>
      </c>
      <c r="T2118" s="1">
        <v>2016</v>
      </c>
      <c r="U2118" s="1">
        <v>8</v>
      </c>
      <c r="V2118" s="50">
        <v>42583</v>
      </c>
      <c r="W2118" s="4">
        <v>2909.41</v>
      </c>
      <c r="X2118" s="48">
        <v>3269</v>
      </c>
    </row>
    <row r="2119" spans="2:24" x14ac:dyDescent="0.35">
      <c r="B2119" s="8" t="s">
        <v>12</v>
      </c>
      <c r="C2119" s="8" t="s">
        <v>44</v>
      </c>
      <c r="D2119" s="8" t="s">
        <v>13</v>
      </c>
      <c r="E2119" s="8" t="s">
        <v>23</v>
      </c>
      <c r="F2119" s="6" t="s">
        <v>24</v>
      </c>
      <c r="G2119" s="8">
        <v>2016</v>
      </c>
      <c r="H2119" s="8">
        <v>8</v>
      </c>
      <c r="I2119" s="10">
        <v>42583</v>
      </c>
      <c r="J2119" s="11">
        <v>3270</v>
      </c>
      <c r="K2119" s="51"/>
      <c r="O2119" s="1" t="s">
        <v>12</v>
      </c>
      <c r="P2119" s="1" t="s">
        <v>44</v>
      </c>
      <c r="Q2119" s="1" t="s">
        <v>13</v>
      </c>
      <c r="R2119" s="1" t="s">
        <v>23</v>
      </c>
      <c r="S2119" t="s">
        <v>24</v>
      </c>
      <c r="T2119" s="1">
        <v>2016</v>
      </c>
      <c r="U2119" s="1">
        <v>8</v>
      </c>
      <c r="V2119" s="50">
        <v>42583</v>
      </c>
      <c r="W2119" s="4">
        <v>2844.9000000000005</v>
      </c>
      <c r="X2119" s="48">
        <v>3270</v>
      </c>
    </row>
    <row r="2120" spans="2:24" x14ac:dyDescent="0.35">
      <c r="B2120" s="8" t="s">
        <v>14</v>
      </c>
      <c r="C2120" s="8" t="s">
        <v>46</v>
      </c>
      <c r="D2120" s="8" t="s">
        <v>47</v>
      </c>
      <c r="E2120" s="8" t="s">
        <v>0</v>
      </c>
      <c r="F2120" s="6" t="s">
        <v>42</v>
      </c>
      <c r="G2120" s="8">
        <v>2016</v>
      </c>
      <c r="H2120" s="8">
        <v>8</v>
      </c>
      <c r="I2120" s="10">
        <v>42583</v>
      </c>
      <c r="J2120" s="11">
        <v>6832</v>
      </c>
      <c r="K2120" s="51"/>
      <c r="O2120" s="1" t="s">
        <v>14</v>
      </c>
      <c r="P2120" s="1" t="s">
        <v>46</v>
      </c>
      <c r="Q2120" s="1" t="s">
        <v>47</v>
      </c>
      <c r="R2120" s="1" t="s">
        <v>0</v>
      </c>
      <c r="S2120" t="s">
        <v>42</v>
      </c>
      <c r="T2120" s="1">
        <v>2016</v>
      </c>
      <c r="U2120" s="1">
        <v>8</v>
      </c>
      <c r="V2120" s="50">
        <v>42583</v>
      </c>
      <c r="W2120" s="4">
        <v>6217.119999999999</v>
      </c>
      <c r="X2120" s="48">
        <v>6832</v>
      </c>
    </row>
    <row r="2121" spans="2:24" x14ac:dyDescent="0.35">
      <c r="B2121" s="8" t="s">
        <v>7</v>
      </c>
      <c r="C2121" s="8" t="s">
        <v>48</v>
      </c>
      <c r="D2121" s="8" t="s">
        <v>9</v>
      </c>
      <c r="E2121" s="8" t="s">
        <v>27</v>
      </c>
      <c r="F2121" s="6" t="s">
        <v>33</v>
      </c>
      <c r="G2121" s="8">
        <v>2016</v>
      </c>
      <c r="H2121" s="8">
        <v>8</v>
      </c>
      <c r="I2121" s="10">
        <v>42583</v>
      </c>
      <c r="J2121" s="11">
        <v>3569</v>
      </c>
      <c r="K2121" s="51"/>
      <c r="O2121" s="1" t="s">
        <v>7</v>
      </c>
      <c r="P2121" s="1" t="s">
        <v>48</v>
      </c>
      <c r="Q2121" s="1" t="s">
        <v>9</v>
      </c>
      <c r="R2121" s="1" t="s">
        <v>27</v>
      </c>
      <c r="S2121" t="s">
        <v>33</v>
      </c>
      <c r="T2121" s="1">
        <v>2016</v>
      </c>
      <c r="U2121" s="1">
        <v>8</v>
      </c>
      <c r="V2121" s="50">
        <v>42583</v>
      </c>
      <c r="W2121" s="4">
        <v>3283.4799999999996</v>
      </c>
      <c r="X2121" s="48">
        <v>3569</v>
      </c>
    </row>
    <row r="2122" spans="2:24" x14ac:dyDescent="0.35">
      <c r="B2122" s="8" t="s">
        <v>7</v>
      </c>
      <c r="C2122" s="8" t="s">
        <v>49</v>
      </c>
      <c r="D2122" s="8" t="s">
        <v>11</v>
      </c>
      <c r="E2122" s="9" t="s">
        <v>23</v>
      </c>
      <c r="F2122" s="9" t="s">
        <v>24</v>
      </c>
      <c r="G2122" s="8">
        <v>2016</v>
      </c>
      <c r="H2122" s="8">
        <v>8</v>
      </c>
      <c r="I2122" s="10">
        <v>42583</v>
      </c>
      <c r="J2122" s="11">
        <v>1997</v>
      </c>
      <c r="K2122" s="51"/>
      <c r="O2122" s="1" t="s">
        <v>7</v>
      </c>
      <c r="P2122" s="1" t="s">
        <v>49</v>
      </c>
      <c r="Q2122" s="1" t="s">
        <v>11</v>
      </c>
      <c r="R2122" s="2" t="s">
        <v>23</v>
      </c>
      <c r="S2122" s="2" t="s">
        <v>24</v>
      </c>
      <c r="T2122" s="1">
        <v>2016</v>
      </c>
      <c r="U2122" s="1">
        <v>8</v>
      </c>
      <c r="V2122" s="50">
        <v>42583</v>
      </c>
      <c r="W2122" s="4">
        <v>1777.33</v>
      </c>
      <c r="X2122" s="48">
        <v>1997</v>
      </c>
    </row>
    <row r="2123" spans="2:24" x14ac:dyDescent="0.35">
      <c r="B2123" s="8" t="s">
        <v>3</v>
      </c>
      <c r="C2123" s="8" t="s">
        <v>22</v>
      </c>
      <c r="D2123" s="8" t="s">
        <v>5</v>
      </c>
      <c r="E2123" s="8" t="s">
        <v>23</v>
      </c>
      <c r="F2123" s="9" t="s">
        <v>24</v>
      </c>
      <c r="G2123" s="8">
        <v>2016</v>
      </c>
      <c r="H2123" s="8">
        <v>9</v>
      </c>
      <c r="I2123" s="10">
        <v>42614</v>
      </c>
      <c r="J2123" s="11">
        <v>2554</v>
      </c>
      <c r="K2123" s="51"/>
      <c r="O2123" s="1" t="s">
        <v>3</v>
      </c>
      <c r="P2123" s="1" t="s">
        <v>22</v>
      </c>
      <c r="Q2123" s="1" t="s">
        <v>5</v>
      </c>
      <c r="R2123" s="1" t="s">
        <v>23</v>
      </c>
      <c r="S2123" s="2" t="s">
        <v>24</v>
      </c>
      <c r="T2123" s="1">
        <v>2016</v>
      </c>
      <c r="U2123" s="1">
        <v>9</v>
      </c>
      <c r="V2123" s="50">
        <v>42614</v>
      </c>
      <c r="W2123" s="4">
        <v>2247.5199999999995</v>
      </c>
      <c r="X2123" s="48">
        <v>2554</v>
      </c>
    </row>
    <row r="2124" spans="2:24" x14ac:dyDescent="0.35">
      <c r="B2124" s="8" t="s">
        <v>3</v>
      </c>
      <c r="C2124" s="8" t="s">
        <v>25</v>
      </c>
      <c r="D2124" s="8" t="s">
        <v>4</v>
      </c>
      <c r="E2124" s="8" t="s">
        <v>23</v>
      </c>
      <c r="F2124" s="6" t="s">
        <v>24</v>
      </c>
      <c r="G2124" s="8">
        <v>2016</v>
      </c>
      <c r="H2124" s="8">
        <v>9</v>
      </c>
      <c r="I2124" s="10">
        <v>42614</v>
      </c>
      <c r="J2124" s="11">
        <v>2313</v>
      </c>
      <c r="K2124" s="51"/>
      <c r="O2124" s="1" t="s">
        <v>3</v>
      </c>
      <c r="P2124" s="1" t="s">
        <v>25</v>
      </c>
      <c r="Q2124" s="1" t="s">
        <v>4</v>
      </c>
      <c r="R2124" s="1" t="s">
        <v>23</v>
      </c>
      <c r="S2124" t="s">
        <v>24</v>
      </c>
      <c r="T2124" s="1">
        <v>2016</v>
      </c>
      <c r="U2124" s="1">
        <v>9</v>
      </c>
      <c r="V2124" s="50">
        <v>42614</v>
      </c>
      <c r="W2124" s="4">
        <v>2035.4399999999998</v>
      </c>
      <c r="X2124" s="48">
        <v>2313</v>
      </c>
    </row>
    <row r="2125" spans="2:24" x14ac:dyDescent="0.35">
      <c r="B2125" s="8" t="s">
        <v>3</v>
      </c>
      <c r="C2125" s="8" t="s">
        <v>25</v>
      </c>
      <c r="D2125" s="8" t="s">
        <v>4</v>
      </c>
      <c r="E2125" s="8" t="s">
        <v>0</v>
      </c>
      <c r="F2125" s="8" t="s">
        <v>26</v>
      </c>
      <c r="G2125" s="8">
        <v>2016</v>
      </c>
      <c r="H2125" s="8">
        <v>9</v>
      </c>
      <c r="I2125" s="10">
        <v>42614</v>
      </c>
      <c r="J2125" s="11">
        <v>5171</v>
      </c>
      <c r="K2125" s="51"/>
      <c r="O2125" s="1" t="s">
        <v>3</v>
      </c>
      <c r="P2125" s="1" t="s">
        <v>25</v>
      </c>
      <c r="Q2125" s="1" t="s">
        <v>4</v>
      </c>
      <c r="R2125" s="1" t="s">
        <v>0</v>
      </c>
      <c r="S2125" s="1" t="s">
        <v>26</v>
      </c>
      <c r="T2125" s="1">
        <v>2016</v>
      </c>
      <c r="U2125" s="1">
        <v>9</v>
      </c>
      <c r="V2125" s="50">
        <v>42614</v>
      </c>
      <c r="W2125" s="4">
        <v>4653.8999999999996</v>
      </c>
      <c r="X2125" s="48">
        <v>5171</v>
      </c>
    </row>
    <row r="2126" spans="2:24" x14ac:dyDescent="0.35">
      <c r="B2126" s="8" t="s">
        <v>3</v>
      </c>
      <c r="C2126" s="8" t="s">
        <v>22</v>
      </c>
      <c r="D2126" s="8" t="s">
        <v>5</v>
      </c>
      <c r="E2126" s="8" t="s">
        <v>0</v>
      </c>
      <c r="F2126" s="8" t="s">
        <v>26</v>
      </c>
      <c r="G2126" s="8">
        <v>2016</v>
      </c>
      <c r="H2126" s="8">
        <v>9</v>
      </c>
      <c r="I2126" s="10">
        <v>42614</v>
      </c>
      <c r="J2126" s="11">
        <v>4879</v>
      </c>
      <c r="K2126" s="51"/>
      <c r="O2126" s="1" t="s">
        <v>3</v>
      </c>
      <c r="P2126" s="1" t="s">
        <v>22</v>
      </c>
      <c r="Q2126" s="1" t="s">
        <v>5</v>
      </c>
      <c r="R2126" s="1" t="s">
        <v>0</v>
      </c>
      <c r="S2126" s="1" t="s">
        <v>26</v>
      </c>
      <c r="T2126" s="1">
        <v>2016</v>
      </c>
      <c r="U2126" s="1">
        <v>9</v>
      </c>
      <c r="V2126" s="50">
        <v>42614</v>
      </c>
      <c r="W2126" s="4">
        <v>4391.0999999999995</v>
      </c>
      <c r="X2126" s="48">
        <v>4879</v>
      </c>
    </row>
    <row r="2127" spans="2:24" x14ac:dyDescent="0.35">
      <c r="B2127" s="8" t="s">
        <v>3</v>
      </c>
      <c r="C2127" s="8" t="s">
        <v>22</v>
      </c>
      <c r="D2127" s="8" t="s">
        <v>5</v>
      </c>
      <c r="E2127" s="8" t="s">
        <v>27</v>
      </c>
      <c r="F2127" s="8" t="s">
        <v>28</v>
      </c>
      <c r="G2127" s="8">
        <v>2016</v>
      </c>
      <c r="H2127" s="8">
        <v>9</v>
      </c>
      <c r="I2127" s="10">
        <v>42614</v>
      </c>
      <c r="J2127" s="11">
        <v>3640</v>
      </c>
      <c r="K2127" s="51"/>
      <c r="O2127" s="1" t="s">
        <v>3</v>
      </c>
      <c r="P2127" s="1" t="s">
        <v>22</v>
      </c>
      <c r="Q2127" s="1" t="s">
        <v>5</v>
      </c>
      <c r="R2127" s="1" t="s">
        <v>27</v>
      </c>
      <c r="S2127" s="1" t="s">
        <v>28</v>
      </c>
      <c r="T2127" s="1">
        <v>2016</v>
      </c>
      <c r="U2127" s="1">
        <v>9</v>
      </c>
      <c r="V2127" s="50">
        <v>42614</v>
      </c>
      <c r="W2127" s="4">
        <v>3385.2</v>
      </c>
      <c r="X2127" s="48">
        <v>3640</v>
      </c>
    </row>
    <row r="2128" spans="2:24" x14ac:dyDescent="0.35">
      <c r="B2128" s="8" t="s">
        <v>6</v>
      </c>
      <c r="C2128" s="8" t="s">
        <v>29</v>
      </c>
      <c r="D2128" s="8" t="s">
        <v>30</v>
      </c>
      <c r="E2128" s="8" t="s">
        <v>27</v>
      </c>
      <c r="F2128" s="6" t="s">
        <v>31</v>
      </c>
      <c r="G2128" s="8">
        <v>2016</v>
      </c>
      <c r="H2128" s="8">
        <v>9</v>
      </c>
      <c r="I2128" s="10">
        <v>42614</v>
      </c>
      <c r="J2128" s="11">
        <v>4190</v>
      </c>
      <c r="K2128" s="51"/>
      <c r="O2128" s="1" t="s">
        <v>6</v>
      </c>
      <c r="P2128" s="1" t="s">
        <v>29</v>
      </c>
      <c r="Q2128" s="1" t="s">
        <v>30</v>
      </c>
      <c r="R2128" s="1" t="s">
        <v>27</v>
      </c>
      <c r="S2128" t="s">
        <v>31</v>
      </c>
      <c r="T2128" s="1">
        <v>2016</v>
      </c>
      <c r="U2128" s="1">
        <v>9</v>
      </c>
      <c r="V2128" s="50">
        <v>42614</v>
      </c>
      <c r="W2128" s="4">
        <v>3770.9999999999995</v>
      </c>
      <c r="X2128" s="48">
        <v>4190</v>
      </c>
    </row>
    <row r="2129" spans="2:24" x14ac:dyDescent="0.35">
      <c r="B2129" s="8" t="s">
        <v>7</v>
      </c>
      <c r="C2129" s="8" t="s">
        <v>32</v>
      </c>
      <c r="D2129" s="8" t="s">
        <v>8</v>
      </c>
      <c r="E2129" s="8" t="s">
        <v>27</v>
      </c>
      <c r="F2129" s="6" t="s">
        <v>33</v>
      </c>
      <c r="G2129" s="8">
        <v>2016</v>
      </c>
      <c r="H2129" s="8">
        <v>9</v>
      </c>
      <c r="I2129" s="10">
        <v>42614</v>
      </c>
      <c r="J2129" s="11">
        <v>2946</v>
      </c>
      <c r="K2129" s="51"/>
      <c r="O2129" s="1" t="s">
        <v>7</v>
      </c>
      <c r="P2129" s="1" t="s">
        <v>32</v>
      </c>
      <c r="Q2129" s="1" t="s">
        <v>8</v>
      </c>
      <c r="R2129" s="1" t="s">
        <v>27</v>
      </c>
      <c r="S2129" t="s">
        <v>33</v>
      </c>
      <c r="T2129" s="1">
        <v>2016</v>
      </c>
      <c r="U2129" s="1">
        <v>9</v>
      </c>
      <c r="V2129" s="50">
        <v>42614</v>
      </c>
      <c r="W2129" s="4">
        <v>2563.0200000000004</v>
      </c>
      <c r="X2129" s="48">
        <v>2946</v>
      </c>
    </row>
    <row r="2130" spans="2:24" x14ac:dyDescent="0.35">
      <c r="B2130" s="8" t="s">
        <v>12</v>
      </c>
      <c r="C2130" s="8" t="s">
        <v>34</v>
      </c>
      <c r="D2130" s="8" t="s">
        <v>35</v>
      </c>
      <c r="E2130" s="8" t="s">
        <v>23</v>
      </c>
      <c r="F2130" s="6" t="s">
        <v>36</v>
      </c>
      <c r="G2130" s="8">
        <v>2016</v>
      </c>
      <c r="H2130" s="8">
        <v>9</v>
      </c>
      <c r="I2130" s="10">
        <v>42614</v>
      </c>
      <c r="J2130" s="11">
        <v>2157</v>
      </c>
      <c r="K2130" s="51"/>
      <c r="O2130" s="1" t="s">
        <v>12</v>
      </c>
      <c r="P2130" s="1" t="s">
        <v>34</v>
      </c>
      <c r="Q2130" s="1" t="s">
        <v>35</v>
      </c>
      <c r="R2130" s="1" t="s">
        <v>23</v>
      </c>
      <c r="S2130" t="s">
        <v>36</v>
      </c>
      <c r="T2130" s="1">
        <v>2016</v>
      </c>
      <c r="U2130" s="1">
        <v>9</v>
      </c>
      <c r="V2130" s="50">
        <v>42614</v>
      </c>
      <c r="W2130" s="4">
        <v>1876.5900000000001</v>
      </c>
      <c r="X2130" s="48">
        <v>2157</v>
      </c>
    </row>
    <row r="2131" spans="2:24" x14ac:dyDescent="0.35">
      <c r="B2131" s="8" t="s">
        <v>14</v>
      </c>
      <c r="C2131" s="8" t="s">
        <v>37</v>
      </c>
      <c r="D2131" s="8" t="s">
        <v>38</v>
      </c>
      <c r="E2131" s="9" t="s">
        <v>23</v>
      </c>
      <c r="F2131" s="9" t="s">
        <v>24</v>
      </c>
      <c r="G2131" s="8">
        <v>2016</v>
      </c>
      <c r="H2131" s="8">
        <v>9</v>
      </c>
      <c r="I2131" s="10">
        <v>42614</v>
      </c>
      <c r="J2131" s="11">
        <v>2434</v>
      </c>
      <c r="K2131" s="51"/>
      <c r="O2131" s="1" t="s">
        <v>14</v>
      </c>
      <c r="P2131" s="1" t="s">
        <v>37</v>
      </c>
      <c r="Q2131" s="1" t="s">
        <v>38</v>
      </c>
      <c r="R2131" s="2" t="s">
        <v>23</v>
      </c>
      <c r="S2131" s="2" t="s">
        <v>24</v>
      </c>
      <c r="T2131" s="1">
        <v>2016</v>
      </c>
      <c r="U2131" s="1">
        <v>9</v>
      </c>
      <c r="V2131" s="50">
        <v>42614</v>
      </c>
      <c r="W2131" s="4">
        <v>2190.6</v>
      </c>
      <c r="X2131" s="48">
        <v>2434</v>
      </c>
    </row>
    <row r="2132" spans="2:24" x14ac:dyDescent="0.35">
      <c r="B2132" s="8" t="s">
        <v>3</v>
      </c>
      <c r="C2132" s="8" t="s">
        <v>25</v>
      </c>
      <c r="D2132" s="8" t="s">
        <v>4</v>
      </c>
      <c r="E2132" s="8" t="s">
        <v>23</v>
      </c>
      <c r="F2132" s="9" t="s">
        <v>39</v>
      </c>
      <c r="G2132" s="8">
        <v>2016</v>
      </c>
      <c r="H2132" s="8">
        <v>9</v>
      </c>
      <c r="I2132" s="10">
        <v>42614</v>
      </c>
      <c r="J2132" s="11">
        <v>1407</v>
      </c>
      <c r="K2132" s="51"/>
      <c r="O2132" s="1" t="s">
        <v>3</v>
      </c>
      <c r="P2132" s="1" t="s">
        <v>25</v>
      </c>
      <c r="Q2132" s="1" t="s">
        <v>4</v>
      </c>
      <c r="R2132" s="1" t="s">
        <v>23</v>
      </c>
      <c r="S2132" s="2" t="s">
        <v>39</v>
      </c>
      <c r="T2132" s="1">
        <v>2016</v>
      </c>
      <c r="U2132" s="1">
        <v>9</v>
      </c>
      <c r="V2132" s="50">
        <v>42614</v>
      </c>
      <c r="W2132" s="4">
        <v>1280.3699999999999</v>
      </c>
      <c r="X2132" s="48">
        <v>1407</v>
      </c>
    </row>
    <row r="2133" spans="2:24" x14ac:dyDescent="0.35">
      <c r="B2133" s="8" t="s">
        <v>6</v>
      </c>
      <c r="C2133" s="8" t="s">
        <v>40</v>
      </c>
      <c r="D2133" s="8" t="s">
        <v>41</v>
      </c>
      <c r="E2133" s="8" t="s">
        <v>0</v>
      </c>
      <c r="F2133" s="6" t="s">
        <v>42</v>
      </c>
      <c r="G2133" s="8">
        <v>2016</v>
      </c>
      <c r="H2133" s="8">
        <v>9</v>
      </c>
      <c r="I2133" s="10">
        <v>42614</v>
      </c>
      <c r="J2133" s="11">
        <v>6786</v>
      </c>
      <c r="K2133" s="51"/>
      <c r="O2133" s="1" t="s">
        <v>6</v>
      </c>
      <c r="P2133" s="1" t="s">
        <v>40</v>
      </c>
      <c r="Q2133" s="1" t="s">
        <v>41</v>
      </c>
      <c r="R2133" s="1" t="s">
        <v>0</v>
      </c>
      <c r="S2133" t="s">
        <v>42</v>
      </c>
      <c r="T2133" s="1">
        <v>2016</v>
      </c>
      <c r="U2133" s="1">
        <v>9</v>
      </c>
      <c r="V2133" s="50">
        <v>42614</v>
      </c>
      <c r="W2133" s="4">
        <v>6243.12</v>
      </c>
      <c r="X2133" s="48">
        <v>6786</v>
      </c>
    </row>
    <row r="2134" spans="2:24" x14ac:dyDescent="0.35">
      <c r="B2134" s="8" t="s">
        <v>7</v>
      </c>
      <c r="C2134" s="8" t="s">
        <v>43</v>
      </c>
      <c r="D2134" s="8" t="s">
        <v>10</v>
      </c>
      <c r="E2134" s="8" t="s">
        <v>0</v>
      </c>
      <c r="F2134" s="8" t="s">
        <v>26</v>
      </c>
      <c r="G2134" s="8">
        <v>2016</v>
      </c>
      <c r="H2134" s="8">
        <v>9</v>
      </c>
      <c r="I2134" s="10">
        <v>42614</v>
      </c>
      <c r="J2134" s="11">
        <v>5287</v>
      </c>
      <c r="K2134" s="51"/>
      <c r="O2134" s="1" t="s">
        <v>7</v>
      </c>
      <c r="P2134" s="1" t="s">
        <v>43</v>
      </c>
      <c r="Q2134" s="1" t="s">
        <v>10</v>
      </c>
      <c r="R2134" s="1" t="s">
        <v>0</v>
      </c>
      <c r="S2134" s="1" t="s">
        <v>26</v>
      </c>
      <c r="T2134" s="1">
        <v>2016</v>
      </c>
      <c r="U2134" s="1">
        <v>9</v>
      </c>
      <c r="V2134" s="50">
        <v>42614</v>
      </c>
      <c r="W2134" s="4">
        <v>4916.91</v>
      </c>
      <c r="X2134" s="48">
        <v>5287</v>
      </c>
    </row>
    <row r="2135" spans="2:24" x14ac:dyDescent="0.35">
      <c r="B2135" s="8" t="s">
        <v>12</v>
      </c>
      <c r="C2135" s="8" t="s">
        <v>44</v>
      </c>
      <c r="D2135" s="8" t="s">
        <v>13</v>
      </c>
      <c r="E2135" s="8" t="s">
        <v>0</v>
      </c>
      <c r="F2135" s="8" t="s">
        <v>45</v>
      </c>
      <c r="G2135" s="8">
        <v>2016</v>
      </c>
      <c r="H2135" s="8">
        <v>9</v>
      </c>
      <c r="I2135" s="10">
        <v>42614</v>
      </c>
      <c r="J2135" s="11">
        <v>3201</v>
      </c>
      <c r="K2135" s="51"/>
      <c r="O2135" s="1" t="s">
        <v>12</v>
      </c>
      <c r="P2135" s="1" t="s">
        <v>44</v>
      </c>
      <c r="Q2135" s="1" t="s">
        <v>13</v>
      </c>
      <c r="R2135" s="1" t="s">
        <v>0</v>
      </c>
      <c r="S2135" s="1" t="s">
        <v>45</v>
      </c>
      <c r="T2135" s="1">
        <v>2016</v>
      </c>
      <c r="U2135" s="1">
        <v>9</v>
      </c>
      <c r="V2135" s="50">
        <v>42614</v>
      </c>
      <c r="W2135" s="4">
        <v>2752.86</v>
      </c>
      <c r="X2135" s="48">
        <v>3201</v>
      </c>
    </row>
    <row r="2136" spans="2:24" x14ac:dyDescent="0.35">
      <c r="B2136" s="8" t="s">
        <v>14</v>
      </c>
      <c r="C2136" s="8" t="s">
        <v>46</v>
      </c>
      <c r="D2136" s="8" t="s">
        <v>47</v>
      </c>
      <c r="E2136" s="8" t="s">
        <v>27</v>
      </c>
      <c r="F2136" s="8" t="s">
        <v>28</v>
      </c>
      <c r="G2136" s="8">
        <v>2016</v>
      </c>
      <c r="H2136" s="8">
        <v>9</v>
      </c>
      <c r="I2136" s="10">
        <v>42614</v>
      </c>
      <c r="J2136" s="11">
        <v>3739</v>
      </c>
      <c r="K2136" s="51"/>
      <c r="O2136" s="1" t="s">
        <v>14</v>
      </c>
      <c r="P2136" s="1" t="s">
        <v>46</v>
      </c>
      <c r="Q2136" s="1" t="s">
        <v>47</v>
      </c>
      <c r="R2136" s="1" t="s">
        <v>27</v>
      </c>
      <c r="S2136" s="1" t="s">
        <v>28</v>
      </c>
      <c r="T2136" s="1">
        <v>2016</v>
      </c>
      <c r="U2136" s="1">
        <v>9</v>
      </c>
      <c r="V2136" s="50">
        <v>42614</v>
      </c>
      <c r="W2136" s="4">
        <v>3402.49</v>
      </c>
      <c r="X2136" s="48">
        <v>3739</v>
      </c>
    </row>
    <row r="2137" spans="2:24" x14ac:dyDescent="0.35">
      <c r="B2137" s="8" t="s">
        <v>3</v>
      </c>
      <c r="C2137" s="8" t="s">
        <v>22</v>
      </c>
      <c r="D2137" s="8" t="s">
        <v>5</v>
      </c>
      <c r="E2137" s="8" t="s">
        <v>27</v>
      </c>
      <c r="F2137" s="6" t="s">
        <v>31</v>
      </c>
      <c r="G2137" s="8">
        <v>2016</v>
      </c>
      <c r="H2137" s="8">
        <v>9</v>
      </c>
      <c r="I2137" s="10">
        <v>42614</v>
      </c>
      <c r="J2137" s="11">
        <v>3133</v>
      </c>
      <c r="K2137" s="51"/>
      <c r="O2137" s="1" t="s">
        <v>3</v>
      </c>
      <c r="P2137" s="1" t="s">
        <v>22</v>
      </c>
      <c r="Q2137" s="1" t="s">
        <v>5</v>
      </c>
      <c r="R2137" s="1" t="s">
        <v>27</v>
      </c>
      <c r="S2137" t="s">
        <v>31</v>
      </c>
      <c r="T2137" s="1">
        <v>2016</v>
      </c>
      <c r="U2137" s="1">
        <v>9</v>
      </c>
      <c r="V2137" s="50">
        <v>42614</v>
      </c>
      <c r="W2137" s="4">
        <v>2757.0399999999995</v>
      </c>
      <c r="X2137" s="48">
        <v>3133</v>
      </c>
    </row>
    <row r="2138" spans="2:24" x14ac:dyDescent="0.35">
      <c r="B2138" s="8" t="s">
        <v>6</v>
      </c>
      <c r="C2138" s="8" t="s">
        <v>29</v>
      </c>
      <c r="D2138" s="8" t="s">
        <v>30</v>
      </c>
      <c r="E2138" s="8" t="s">
        <v>27</v>
      </c>
      <c r="F2138" s="6" t="s">
        <v>33</v>
      </c>
      <c r="G2138" s="8">
        <v>2016</v>
      </c>
      <c r="H2138" s="8">
        <v>9</v>
      </c>
      <c r="I2138" s="10">
        <v>42614</v>
      </c>
      <c r="J2138" s="11">
        <v>3489</v>
      </c>
      <c r="K2138" s="51"/>
      <c r="O2138" s="1" t="s">
        <v>6</v>
      </c>
      <c r="P2138" s="1" t="s">
        <v>29</v>
      </c>
      <c r="Q2138" s="1" t="s">
        <v>30</v>
      </c>
      <c r="R2138" s="1" t="s">
        <v>27</v>
      </c>
      <c r="S2138" t="s">
        <v>33</v>
      </c>
      <c r="T2138" s="1">
        <v>2016</v>
      </c>
      <c r="U2138" s="1">
        <v>9</v>
      </c>
      <c r="V2138" s="50">
        <v>42614</v>
      </c>
      <c r="W2138" s="4">
        <v>3140.0999999999995</v>
      </c>
      <c r="X2138" s="48">
        <v>3489</v>
      </c>
    </row>
    <row r="2139" spans="2:24" x14ac:dyDescent="0.35">
      <c r="B2139" s="8" t="s">
        <v>7</v>
      </c>
      <c r="C2139" s="8" t="s">
        <v>32</v>
      </c>
      <c r="D2139" s="8" t="s">
        <v>8</v>
      </c>
      <c r="E2139" s="8" t="s">
        <v>23</v>
      </c>
      <c r="F2139" s="6" t="s">
        <v>36</v>
      </c>
      <c r="G2139" s="8">
        <v>2016</v>
      </c>
      <c r="H2139" s="8">
        <v>9</v>
      </c>
      <c r="I2139" s="10">
        <v>42614</v>
      </c>
      <c r="J2139" s="11">
        <v>2419</v>
      </c>
      <c r="K2139" s="51"/>
      <c r="O2139" s="1" t="s">
        <v>7</v>
      </c>
      <c r="P2139" s="1" t="s">
        <v>32</v>
      </c>
      <c r="Q2139" s="1" t="s">
        <v>8</v>
      </c>
      <c r="R2139" s="1" t="s">
        <v>23</v>
      </c>
      <c r="S2139" t="s">
        <v>36</v>
      </c>
      <c r="T2139" s="1">
        <v>2016</v>
      </c>
      <c r="U2139" s="1">
        <v>9</v>
      </c>
      <c r="V2139" s="50">
        <v>42614</v>
      </c>
      <c r="W2139" s="4">
        <v>2177.1</v>
      </c>
      <c r="X2139" s="48">
        <v>2419</v>
      </c>
    </row>
    <row r="2140" spans="2:24" x14ac:dyDescent="0.35">
      <c r="B2140" s="8" t="s">
        <v>12</v>
      </c>
      <c r="C2140" s="8" t="s">
        <v>34</v>
      </c>
      <c r="D2140" s="8" t="s">
        <v>35</v>
      </c>
      <c r="E2140" s="9" t="s">
        <v>23</v>
      </c>
      <c r="F2140" s="9" t="s">
        <v>24</v>
      </c>
      <c r="G2140" s="8">
        <v>2016</v>
      </c>
      <c r="H2140" s="8">
        <v>9</v>
      </c>
      <c r="I2140" s="10">
        <v>42614</v>
      </c>
      <c r="J2140" s="11">
        <v>3102</v>
      </c>
      <c r="K2140" s="51"/>
      <c r="O2140" s="1" t="s">
        <v>12</v>
      </c>
      <c r="P2140" s="1" t="s">
        <v>34</v>
      </c>
      <c r="Q2140" s="1" t="s">
        <v>35</v>
      </c>
      <c r="R2140" s="2" t="s">
        <v>23</v>
      </c>
      <c r="S2140" s="2" t="s">
        <v>24</v>
      </c>
      <c r="T2140" s="1">
        <v>2016</v>
      </c>
      <c r="U2140" s="1">
        <v>9</v>
      </c>
      <c r="V2140" s="50">
        <v>42614</v>
      </c>
      <c r="W2140" s="4">
        <v>2760.7799999999997</v>
      </c>
      <c r="X2140" s="48">
        <v>3102</v>
      </c>
    </row>
    <row r="2141" spans="2:24" x14ac:dyDescent="0.35">
      <c r="B2141" s="8" t="s">
        <v>14</v>
      </c>
      <c r="C2141" s="8" t="s">
        <v>37</v>
      </c>
      <c r="D2141" s="8" t="s">
        <v>38</v>
      </c>
      <c r="E2141" s="8" t="s">
        <v>23</v>
      </c>
      <c r="F2141" s="9" t="s">
        <v>39</v>
      </c>
      <c r="G2141" s="8">
        <v>2016</v>
      </c>
      <c r="H2141" s="8">
        <v>9</v>
      </c>
      <c r="I2141" s="10">
        <v>42614</v>
      </c>
      <c r="J2141" s="11">
        <v>2672</v>
      </c>
      <c r="K2141" s="51"/>
      <c r="O2141" s="1" t="s">
        <v>14</v>
      </c>
      <c r="P2141" s="1" t="s">
        <v>37</v>
      </c>
      <c r="Q2141" s="1" t="s">
        <v>38</v>
      </c>
      <c r="R2141" s="1" t="s">
        <v>23</v>
      </c>
      <c r="S2141" s="2" t="s">
        <v>39</v>
      </c>
      <c r="T2141" s="1">
        <v>2016</v>
      </c>
      <c r="U2141" s="1">
        <v>9</v>
      </c>
      <c r="V2141" s="50">
        <v>42614</v>
      </c>
      <c r="W2141" s="4">
        <v>2484.96</v>
      </c>
      <c r="X2141" s="48">
        <v>2672</v>
      </c>
    </row>
    <row r="2142" spans="2:24" x14ac:dyDescent="0.35">
      <c r="B2142" s="8" t="s">
        <v>3</v>
      </c>
      <c r="C2142" s="8" t="s">
        <v>25</v>
      </c>
      <c r="D2142" s="8" t="s">
        <v>4</v>
      </c>
      <c r="E2142" s="8" t="s">
        <v>0</v>
      </c>
      <c r="F2142" s="6" t="s">
        <v>42</v>
      </c>
      <c r="G2142" s="8">
        <v>2016</v>
      </c>
      <c r="H2142" s="8">
        <v>9</v>
      </c>
      <c r="I2142" s="10">
        <v>42614</v>
      </c>
      <c r="J2142" s="11">
        <v>4888</v>
      </c>
      <c r="K2142" s="51"/>
      <c r="O2142" s="1" t="s">
        <v>3</v>
      </c>
      <c r="P2142" s="1" t="s">
        <v>25</v>
      </c>
      <c r="Q2142" s="1" t="s">
        <v>4</v>
      </c>
      <c r="R2142" s="1" t="s">
        <v>0</v>
      </c>
      <c r="S2142" t="s">
        <v>42</v>
      </c>
      <c r="T2142" s="1">
        <v>2016</v>
      </c>
      <c r="U2142" s="1">
        <v>9</v>
      </c>
      <c r="V2142" s="50">
        <v>42614</v>
      </c>
      <c r="W2142" s="4">
        <v>4448.08</v>
      </c>
      <c r="X2142" s="48">
        <v>4888</v>
      </c>
    </row>
    <row r="2143" spans="2:24" x14ac:dyDescent="0.35">
      <c r="B2143" s="8" t="s">
        <v>6</v>
      </c>
      <c r="C2143" s="8" t="s">
        <v>40</v>
      </c>
      <c r="D2143" s="8" t="s">
        <v>41</v>
      </c>
      <c r="E2143" s="8" t="s">
        <v>0</v>
      </c>
      <c r="F2143" s="8" t="s">
        <v>26</v>
      </c>
      <c r="G2143" s="8">
        <v>2016</v>
      </c>
      <c r="H2143" s="8">
        <v>9</v>
      </c>
      <c r="I2143" s="10">
        <v>42614</v>
      </c>
      <c r="J2143" s="11">
        <v>4725</v>
      </c>
      <c r="K2143" s="51"/>
      <c r="O2143" s="1" t="s">
        <v>6</v>
      </c>
      <c r="P2143" s="1" t="s">
        <v>40</v>
      </c>
      <c r="Q2143" s="1" t="s">
        <v>41</v>
      </c>
      <c r="R2143" s="1" t="s">
        <v>0</v>
      </c>
      <c r="S2143" s="1" t="s">
        <v>26</v>
      </c>
      <c r="T2143" s="1">
        <v>2016</v>
      </c>
      <c r="U2143" s="1">
        <v>9</v>
      </c>
      <c r="V2143" s="50">
        <v>42614</v>
      </c>
      <c r="W2143" s="4">
        <v>4347</v>
      </c>
      <c r="X2143" s="48">
        <v>4725</v>
      </c>
    </row>
    <row r="2144" spans="2:24" x14ac:dyDescent="0.35">
      <c r="B2144" s="8" t="s">
        <v>7</v>
      </c>
      <c r="C2144" s="8" t="s">
        <v>43</v>
      </c>
      <c r="D2144" s="8" t="s">
        <v>10</v>
      </c>
      <c r="E2144" s="8" t="s">
        <v>0</v>
      </c>
      <c r="F2144" s="8" t="s">
        <v>45</v>
      </c>
      <c r="G2144" s="8">
        <v>2016</v>
      </c>
      <c r="H2144" s="8">
        <v>9</v>
      </c>
      <c r="I2144" s="10">
        <v>42614</v>
      </c>
      <c r="J2144" s="11">
        <v>3603</v>
      </c>
      <c r="K2144" s="51"/>
      <c r="O2144" s="1" t="s">
        <v>7</v>
      </c>
      <c r="P2144" s="1" t="s">
        <v>43</v>
      </c>
      <c r="Q2144" s="1" t="s">
        <v>10</v>
      </c>
      <c r="R2144" s="1" t="s">
        <v>0</v>
      </c>
      <c r="S2144" s="1" t="s">
        <v>45</v>
      </c>
      <c r="T2144" s="1">
        <v>2016</v>
      </c>
      <c r="U2144" s="1">
        <v>9</v>
      </c>
      <c r="V2144" s="50">
        <v>42614</v>
      </c>
      <c r="W2144" s="4">
        <v>3350.79</v>
      </c>
      <c r="X2144" s="48">
        <v>3603</v>
      </c>
    </row>
    <row r="2145" spans="2:24" x14ac:dyDescent="0.35">
      <c r="B2145" s="8" t="s">
        <v>12</v>
      </c>
      <c r="C2145" s="8" t="s">
        <v>44</v>
      </c>
      <c r="D2145" s="8" t="s">
        <v>13</v>
      </c>
      <c r="E2145" s="8" t="s">
        <v>27</v>
      </c>
      <c r="F2145" s="8" t="s">
        <v>28</v>
      </c>
      <c r="G2145" s="8">
        <v>2016</v>
      </c>
      <c r="H2145" s="8">
        <v>9</v>
      </c>
      <c r="I2145" s="10">
        <v>42614</v>
      </c>
      <c r="J2145" s="11">
        <v>4473</v>
      </c>
      <c r="K2145" s="51"/>
      <c r="O2145" s="1" t="s">
        <v>12</v>
      </c>
      <c r="P2145" s="1" t="s">
        <v>44</v>
      </c>
      <c r="Q2145" s="1" t="s">
        <v>13</v>
      </c>
      <c r="R2145" s="1" t="s">
        <v>27</v>
      </c>
      <c r="S2145" s="1" t="s">
        <v>28</v>
      </c>
      <c r="T2145" s="1">
        <v>2016</v>
      </c>
      <c r="U2145" s="1">
        <v>9</v>
      </c>
      <c r="V2145" s="50">
        <v>42614</v>
      </c>
      <c r="W2145" s="4">
        <v>4204.62</v>
      </c>
      <c r="X2145" s="48">
        <v>4473</v>
      </c>
    </row>
    <row r="2146" spans="2:24" x14ac:dyDescent="0.35">
      <c r="B2146" s="8" t="s">
        <v>14</v>
      </c>
      <c r="C2146" s="8" t="s">
        <v>46</v>
      </c>
      <c r="D2146" s="8" t="s">
        <v>47</v>
      </c>
      <c r="E2146" s="8" t="s">
        <v>27</v>
      </c>
      <c r="F2146" s="6" t="s">
        <v>31</v>
      </c>
      <c r="G2146" s="8">
        <v>2016</v>
      </c>
      <c r="H2146" s="8">
        <v>9</v>
      </c>
      <c r="I2146" s="10">
        <v>42614</v>
      </c>
      <c r="J2146" s="11">
        <v>5598</v>
      </c>
      <c r="K2146" s="51"/>
      <c r="O2146" s="1" t="s">
        <v>14</v>
      </c>
      <c r="P2146" s="1" t="s">
        <v>46</v>
      </c>
      <c r="Q2146" s="1" t="s">
        <v>47</v>
      </c>
      <c r="R2146" s="1" t="s">
        <v>27</v>
      </c>
      <c r="S2146" t="s">
        <v>31</v>
      </c>
      <c r="T2146" s="1">
        <v>2016</v>
      </c>
      <c r="U2146" s="1">
        <v>9</v>
      </c>
      <c r="V2146" s="50">
        <v>42614</v>
      </c>
      <c r="W2146" s="4">
        <v>5262.12</v>
      </c>
      <c r="X2146" s="48">
        <v>5598</v>
      </c>
    </row>
    <row r="2147" spans="2:24" x14ac:dyDescent="0.35">
      <c r="B2147" s="8" t="s">
        <v>3</v>
      </c>
      <c r="C2147" s="8" t="s">
        <v>22</v>
      </c>
      <c r="D2147" s="8" t="s">
        <v>5</v>
      </c>
      <c r="E2147" s="8" t="s">
        <v>27</v>
      </c>
      <c r="F2147" s="6" t="s">
        <v>33</v>
      </c>
      <c r="G2147" s="8">
        <v>2016</v>
      </c>
      <c r="H2147" s="8">
        <v>9</v>
      </c>
      <c r="I2147" s="10">
        <v>42614</v>
      </c>
      <c r="J2147" s="11">
        <v>3641</v>
      </c>
      <c r="K2147" s="51"/>
      <c r="O2147" s="1" t="s">
        <v>3</v>
      </c>
      <c r="P2147" s="1" t="s">
        <v>22</v>
      </c>
      <c r="Q2147" s="1" t="s">
        <v>5</v>
      </c>
      <c r="R2147" s="1" t="s">
        <v>27</v>
      </c>
      <c r="S2147" t="s">
        <v>33</v>
      </c>
      <c r="T2147" s="1">
        <v>2016</v>
      </c>
      <c r="U2147" s="1">
        <v>9</v>
      </c>
      <c r="V2147" s="50">
        <v>42614</v>
      </c>
      <c r="W2147" s="4">
        <v>3422.54</v>
      </c>
      <c r="X2147" s="48">
        <v>3641</v>
      </c>
    </row>
    <row r="2148" spans="2:24" x14ac:dyDescent="0.35">
      <c r="B2148" s="8" t="s">
        <v>6</v>
      </c>
      <c r="C2148" s="8" t="s">
        <v>29</v>
      </c>
      <c r="D2148" s="8" t="s">
        <v>30</v>
      </c>
      <c r="E2148" s="8" t="s">
        <v>23</v>
      </c>
      <c r="F2148" s="6" t="s">
        <v>36</v>
      </c>
      <c r="G2148" s="8">
        <v>2016</v>
      </c>
      <c r="H2148" s="8">
        <v>9</v>
      </c>
      <c r="I2148" s="10">
        <v>42614</v>
      </c>
      <c r="J2148" s="11">
        <v>2020</v>
      </c>
      <c r="K2148" s="51"/>
      <c r="O2148" s="1" t="s">
        <v>6</v>
      </c>
      <c r="P2148" s="1" t="s">
        <v>29</v>
      </c>
      <c r="Q2148" s="1" t="s">
        <v>30</v>
      </c>
      <c r="R2148" s="1" t="s">
        <v>23</v>
      </c>
      <c r="S2148" t="s">
        <v>36</v>
      </c>
      <c r="T2148" s="1">
        <v>2016</v>
      </c>
      <c r="U2148" s="1">
        <v>9</v>
      </c>
      <c r="V2148" s="50">
        <v>42614</v>
      </c>
      <c r="W2148" s="4">
        <v>1858.3999999999999</v>
      </c>
      <c r="X2148" s="48">
        <v>2020</v>
      </c>
    </row>
    <row r="2149" spans="2:24" x14ac:dyDescent="0.35">
      <c r="B2149" s="8" t="s">
        <v>7</v>
      </c>
      <c r="C2149" s="8" t="s">
        <v>32</v>
      </c>
      <c r="D2149" s="8" t="s">
        <v>8</v>
      </c>
      <c r="E2149" s="9" t="s">
        <v>23</v>
      </c>
      <c r="F2149" s="9" t="s">
        <v>24</v>
      </c>
      <c r="G2149" s="8">
        <v>2016</v>
      </c>
      <c r="H2149" s="8">
        <v>9</v>
      </c>
      <c r="I2149" s="10">
        <v>42614</v>
      </c>
      <c r="J2149" s="11">
        <v>2076</v>
      </c>
      <c r="K2149" s="51"/>
      <c r="O2149" s="1" t="s">
        <v>7</v>
      </c>
      <c r="P2149" s="1" t="s">
        <v>32</v>
      </c>
      <c r="Q2149" s="1" t="s">
        <v>8</v>
      </c>
      <c r="R2149" s="2" t="s">
        <v>23</v>
      </c>
      <c r="S2149" s="2" t="s">
        <v>24</v>
      </c>
      <c r="T2149" s="1">
        <v>2016</v>
      </c>
      <c r="U2149" s="1">
        <v>9</v>
      </c>
      <c r="V2149" s="50">
        <v>42614</v>
      </c>
      <c r="W2149" s="4">
        <v>1806.1200000000003</v>
      </c>
      <c r="X2149" s="48">
        <v>2076</v>
      </c>
    </row>
    <row r="2150" spans="2:24" x14ac:dyDescent="0.35">
      <c r="B2150" s="8" t="s">
        <v>12</v>
      </c>
      <c r="C2150" s="8" t="s">
        <v>34</v>
      </c>
      <c r="D2150" s="8" t="s">
        <v>35</v>
      </c>
      <c r="E2150" s="8" t="s">
        <v>23</v>
      </c>
      <c r="F2150" s="9" t="s">
        <v>39</v>
      </c>
      <c r="G2150" s="8">
        <v>2016</v>
      </c>
      <c r="H2150" s="8">
        <v>9</v>
      </c>
      <c r="I2150" s="10">
        <v>42614</v>
      </c>
      <c r="J2150" s="11">
        <v>1655</v>
      </c>
      <c r="K2150" s="51"/>
      <c r="O2150" s="1" t="s">
        <v>12</v>
      </c>
      <c r="P2150" s="1" t="s">
        <v>34</v>
      </c>
      <c r="Q2150" s="1" t="s">
        <v>35</v>
      </c>
      <c r="R2150" s="1" t="s">
        <v>23</v>
      </c>
      <c r="S2150" s="2" t="s">
        <v>39</v>
      </c>
      <c r="T2150" s="1">
        <v>2016</v>
      </c>
      <c r="U2150" s="1">
        <v>9</v>
      </c>
      <c r="V2150" s="50">
        <v>42614</v>
      </c>
      <c r="W2150" s="4">
        <v>1555.6999999999998</v>
      </c>
      <c r="X2150" s="48">
        <v>1655</v>
      </c>
    </row>
    <row r="2151" spans="2:24" x14ac:dyDescent="0.35">
      <c r="B2151" s="8" t="s">
        <v>14</v>
      </c>
      <c r="C2151" s="8" t="s">
        <v>37</v>
      </c>
      <c r="D2151" s="8" t="s">
        <v>38</v>
      </c>
      <c r="E2151" s="8" t="s">
        <v>0</v>
      </c>
      <c r="F2151" s="6" t="s">
        <v>42</v>
      </c>
      <c r="G2151" s="8">
        <v>2016</v>
      </c>
      <c r="H2151" s="8">
        <v>9</v>
      </c>
      <c r="I2151" s="10">
        <v>42614</v>
      </c>
      <c r="J2151" s="11">
        <v>5729</v>
      </c>
      <c r="K2151" s="51"/>
      <c r="O2151" s="1" t="s">
        <v>14</v>
      </c>
      <c r="P2151" s="1" t="s">
        <v>37</v>
      </c>
      <c r="Q2151" s="1" t="s">
        <v>38</v>
      </c>
      <c r="R2151" s="1" t="s">
        <v>0</v>
      </c>
      <c r="S2151" t="s">
        <v>42</v>
      </c>
      <c r="T2151" s="1">
        <v>2016</v>
      </c>
      <c r="U2151" s="1">
        <v>9</v>
      </c>
      <c r="V2151" s="50">
        <v>42614</v>
      </c>
      <c r="W2151" s="4">
        <v>4869.6500000000005</v>
      </c>
      <c r="X2151" s="48">
        <v>5729</v>
      </c>
    </row>
    <row r="2152" spans="2:24" x14ac:dyDescent="0.35">
      <c r="B2152" s="8" t="s">
        <v>6</v>
      </c>
      <c r="C2152" s="8" t="s">
        <v>29</v>
      </c>
      <c r="D2152" s="8" t="s">
        <v>30</v>
      </c>
      <c r="E2152" s="8" t="s">
        <v>0</v>
      </c>
      <c r="F2152" s="8" t="s">
        <v>45</v>
      </c>
      <c r="G2152" s="8">
        <v>2016</v>
      </c>
      <c r="H2152" s="8">
        <v>9</v>
      </c>
      <c r="I2152" s="10">
        <v>42614</v>
      </c>
      <c r="J2152" s="11">
        <v>3356</v>
      </c>
      <c r="K2152" s="51"/>
      <c r="O2152" s="1" t="s">
        <v>6</v>
      </c>
      <c r="P2152" s="1" t="s">
        <v>29</v>
      </c>
      <c r="Q2152" s="1" t="s">
        <v>30</v>
      </c>
      <c r="R2152" s="1" t="s">
        <v>0</v>
      </c>
      <c r="S2152" s="1" t="s">
        <v>45</v>
      </c>
      <c r="T2152" s="1">
        <v>2016</v>
      </c>
      <c r="U2152" s="1">
        <v>9</v>
      </c>
      <c r="V2152" s="50">
        <v>42614</v>
      </c>
      <c r="W2152" s="4">
        <v>2953.2799999999997</v>
      </c>
      <c r="X2152" s="48">
        <v>3356</v>
      </c>
    </row>
    <row r="2153" spans="2:24" x14ac:dyDescent="0.35">
      <c r="B2153" s="8" t="s">
        <v>7</v>
      </c>
      <c r="C2153" s="8" t="s">
        <v>43</v>
      </c>
      <c r="D2153" s="8" t="s">
        <v>10</v>
      </c>
      <c r="E2153" s="8" t="s">
        <v>27</v>
      </c>
      <c r="F2153" s="8" t="s">
        <v>28</v>
      </c>
      <c r="G2153" s="8">
        <v>2016</v>
      </c>
      <c r="H2153" s="8">
        <v>9</v>
      </c>
      <c r="I2153" s="10">
        <v>42614</v>
      </c>
      <c r="J2153" s="11">
        <v>4256</v>
      </c>
      <c r="K2153" s="51"/>
      <c r="O2153" s="1" t="s">
        <v>7</v>
      </c>
      <c r="P2153" s="1" t="s">
        <v>43</v>
      </c>
      <c r="Q2153" s="1" t="s">
        <v>10</v>
      </c>
      <c r="R2153" s="1" t="s">
        <v>27</v>
      </c>
      <c r="S2153" s="1" t="s">
        <v>28</v>
      </c>
      <c r="T2153" s="1">
        <v>2016</v>
      </c>
      <c r="U2153" s="1">
        <v>9</v>
      </c>
      <c r="V2153" s="50">
        <v>42614</v>
      </c>
      <c r="W2153" s="4">
        <v>3830.3999999999996</v>
      </c>
      <c r="X2153" s="48">
        <v>4256</v>
      </c>
    </row>
    <row r="2154" spans="2:24" x14ac:dyDescent="0.35">
      <c r="B2154" s="8" t="s">
        <v>12</v>
      </c>
      <c r="C2154" s="8" t="s">
        <v>44</v>
      </c>
      <c r="D2154" s="8" t="s">
        <v>13</v>
      </c>
      <c r="E2154" s="8" t="s">
        <v>27</v>
      </c>
      <c r="F2154" s="8" t="s">
        <v>31</v>
      </c>
      <c r="G2154" s="8">
        <v>2016</v>
      </c>
      <c r="H2154" s="8">
        <v>9</v>
      </c>
      <c r="I2154" s="10">
        <v>42614</v>
      </c>
      <c r="J2154" s="11">
        <v>4278</v>
      </c>
      <c r="K2154" s="51"/>
      <c r="O2154" s="1" t="s">
        <v>12</v>
      </c>
      <c r="P2154" s="1" t="s">
        <v>44</v>
      </c>
      <c r="Q2154" s="1" t="s">
        <v>13</v>
      </c>
      <c r="R2154" s="1" t="s">
        <v>27</v>
      </c>
      <c r="S2154" s="1" t="s">
        <v>31</v>
      </c>
      <c r="T2154" s="1">
        <v>2016</v>
      </c>
      <c r="U2154" s="1">
        <v>9</v>
      </c>
      <c r="V2154" s="50">
        <v>42614</v>
      </c>
      <c r="W2154" s="4">
        <v>3892.9799999999996</v>
      </c>
      <c r="X2154" s="48">
        <v>4278</v>
      </c>
    </row>
    <row r="2155" spans="2:24" x14ac:dyDescent="0.35">
      <c r="B2155" s="8" t="s">
        <v>14</v>
      </c>
      <c r="C2155" s="8" t="s">
        <v>46</v>
      </c>
      <c r="D2155" s="8" t="s">
        <v>47</v>
      </c>
      <c r="E2155" s="8" t="s">
        <v>27</v>
      </c>
      <c r="F2155" s="6" t="s">
        <v>33</v>
      </c>
      <c r="G2155" s="8">
        <v>2016</v>
      </c>
      <c r="H2155" s="8">
        <v>9</v>
      </c>
      <c r="I2155" s="10">
        <v>42614</v>
      </c>
      <c r="J2155" s="11">
        <v>3732</v>
      </c>
      <c r="K2155" s="51"/>
      <c r="O2155" s="1" t="s">
        <v>14</v>
      </c>
      <c r="P2155" s="1" t="s">
        <v>46</v>
      </c>
      <c r="Q2155" s="1" t="s">
        <v>47</v>
      </c>
      <c r="R2155" s="1" t="s">
        <v>27</v>
      </c>
      <c r="S2155" t="s">
        <v>33</v>
      </c>
      <c r="T2155" s="1">
        <v>2016</v>
      </c>
      <c r="U2155" s="1">
        <v>9</v>
      </c>
      <c r="V2155" s="50">
        <v>42614</v>
      </c>
      <c r="W2155" s="4">
        <v>3246.84</v>
      </c>
      <c r="X2155" s="48">
        <v>3732</v>
      </c>
    </row>
    <row r="2156" spans="2:24" x14ac:dyDescent="0.35">
      <c r="B2156" s="8" t="s">
        <v>3</v>
      </c>
      <c r="C2156" s="8" t="s">
        <v>22</v>
      </c>
      <c r="D2156" s="8" t="s">
        <v>5</v>
      </c>
      <c r="E2156" s="8" t="s">
        <v>23</v>
      </c>
      <c r="F2156" s="6" t="s">
        <v>36</v>
      </c>
      <c r="G2156" s="8">
        <v>2016</v>
      </c>
      <c r="H2156" s="8">
        <v>9</v>
      </c>
      <c r="I2156" s="10">
        <v>42614</v>
      </c>
      <c r="J2156" s="11">
        <v>1600</v>
      </c>
      <c r="K2156" s="51"/>
      <c r="O2156" s="1" t="s">
        <v>3</v>
      </c>
      <c r="P2156" s="1" t="s">
        <v>22</v>
      </c>
      <c r="Q2156" s="1" t="s">
        <v>5</v>
      </c>
      <c r="R2156" s="1" t="s">
        <v>23</v>
      </c>
      <c r="S2156" t="s">
        <v>36</v>
      </c>
      <c r="T2156" s="1">
        <v>2016</v>
      </c>
      <c r="U2156" s="1">
        <v>9</v>
      </c>
      <c r="V2156" s="50">
        <v>42614</v>
      </c>
      <c r="W2156" s="4">
        <v>1407.9999999999998</v>
      </c>
      <c r="X2156" s="48">
        <v>1600</v>
      </c>
    </row>
    <row r="2157" spans="2:24" x14ac:dyDescent="0.35">
      <c r="B2157" s="8" t="s">
        <v>6</v>
      </c>
      <c r="C2157" s="8" t="s">
        <v>40</v>
      </c>
      <c r="D2157" s="8" t="s">
        <v>41</v>
      </c>
      <c r="E2157" s="8" t="s">
        <v>23</v>
      </c>
      <c r="F2157" s="6" t="s">
        <v>24</v>
      </c>
      <c r="G2157" s="8">
        <v>2016</v>
      </c>
      <c r="H2157" s="8">
        <v>9</v>
      </c>
      <c r="I2157" s="10">
        <v>42614</v>
      </c>
      <c r="J2157" s="11">
        <v>1704</v>
      </c>
      <c r="K2157" s="51"/>
      <c r="O2157" s="1" t="s">
        <v>6</v>
      </c>
      <c r="P2157" s="1" t="s">
        <v>40</v>
      </c>
      <c r="Q2157" s="1" t="s">
        <v>41</v>
      </c>
      <c r="R2157" s="1" t="s">
        <v>23</v>
      </c>
      <c r="S2157" t="s">
        <v>24</v>
      </c>
      <c r="T2157" s="1">
        <v>2016</v>
      </c>
      <c r="U2157" s="1">
        <v>9</v>
      </c>
      <c r="V2157" s="50">
        <v>42614</v>
      </c>
      <c r="W2157" s="4">
        <v>1550.6399999999999</v>
      </c>
      <c r="X2157" s="48">
        <v>1704</v>
      </c>
    </row>
    <row r="2158" spans="2:24" x14ac:dyDescent="0.35">
      <c r="B2158" s="8" t="s">
        <v>7</v>
      </c>
      <c r="C2158" s="8" t="s">
        <v>32</v>
      </c>
      <c r="D2158" s="8" t="s">
        <v>8</v>
      </c>
      <c r="E2158" s="9" t="s">
        <v>23</v>
      </c>
      <c r="F2158" s="9" t="s">
        <v>39</v>
      </c>
      <c r="G2158" s="8">
        <v>2016</v>
      </c>
      <c r="H2158" s="8">
        <v>9</v>
      </c>
      <c r="I2158" s="10">
        <v>42614</v>
      </c>
      <c r="J2158" s="11">
        <v>1382</v>
      </c>
      <c r="K2158" s="51"/>
      <c r="O2158" s="1" t="s">
        <v>7</v>
      </c>
      <c r="P2158" s="1" t="s">
        <v>32</v>
      </c>
      <c r="Q2158" s="1" t="s">
        <v>8</v>
      </c>
      <c r="R2158" s="2" t="s">
        <v>23</v>
      </c>
      <c r="S2158" s="2" t="s">
        <v>39</v>
      </c>
      <c r="T2158" s="1">
        <v>2016</v>
      </c>
      <c r="U2158" s="1">
        <v>9</v>
      </c>
      <c r="V2158" s="50">
        <v>42614</v>
      </c>
      <c r="W2158" s="4">
        <v>1229.9799999999998</v>
      </c>
      <c r="X2158" s="48">
        <v>1382</v>
      </c>
    </row>
    <row r="2159" spans="2:24" x14ac:dyDescent="0.35">
      <c r="B2159" s="8" t="s">
        <v>12</v>
      </c>
      <c r="C2159" s="8" t="s">
        <v>34</v>
      </c>
      <c r="D2159" s="8" t="s">
        <v>35</v>
      </c>
      <c r="E2159" s="8" t="s">
        <v>0</v>
      </c>
      <c r="F2159" s="9" t="s">
        <v>42</v>
      </c>
      <c r="G2159" s="8">
        <v>2016</v>
      </c>
      <c r="H2159" s="8">
        <v>9</v>
      </c>
      <c r="I2159" s="10">
        <v>42614</v>
      </c>
      <c r="J2159" s="11">
        <v>5439</v>
      </c>
      <c r="K2159" s="51"/>
      <c r="O2159" s="1" t="s">
        <v>12</v>
      </c>
      <c r="P2159" s="1" t="s">
        <v>34</v>
      </c>
      <c r="Q2159" s="1" t="s">
        <v>35</v>
      </c>
      <c r="R2159" s="1" t="s">
        <v>0</v>
      </c>
      <c r="S2159" s="2" t="s">
        <v>42</v>
      </c>
      <c r="T2159" s="1">
        <v>2016</v>
      </c>
      <c r="U2159" s="1">
        <v>9</v>
      </c>
      <c r="V2159" s="50">
        <v>42614</v>
      </c>
      <c r="W2159" s="4">
        <v>4786.32</v>
      </c>
      <c r="X2159" s="48">
        <v>5439</v>
      </c>
    </row>
    <row r="2160" spans="2:24" x14ac:dyDescent="0.35">
      <c r="B2160" s="8" t="s">
        <v>14</v>
      </c>
      <c r="C2160" s="8" t="s">
        <v>37</v>
      </c>
      <c r="D2160" s="8" t="s">
        <v>38</v>
      </c>
      <c r="E2160" s="8" t="s">
        <v>0</v>
      </c>
      <c r="F2160" s="6" t="s">
        <v>26</v>
      </c>
      <c r="G2160" s="8">
        <v>2016</v>
      </c>
      <c r="H2160" s="8">
        <v>9</v>
      </c>
      <c r="I2160" s="10">
        <v>42614</v>
      </c>
      <c r="J2160" s="11">
        <v>2886</v>
      </c>
      <c r="K2160" s="51"/>
      <c r="O2160" s="1" t="s">
        <v>14</v>
      </c>
      <c r="P2160" s="1" t="s">
        <v>37</v>
      </c>
      <c r="Q2160" s="1" t="s">
        <v>38</v>
      </c>
      <c r="R2160" s="1" t="s">
        <v>0</v>
      </c>
      <c r="S2160" t="s">
        <v>26</v>
      </c>
      <c r="T2160" s="1">
        <v>2016</v>
      </c>
      <c r="U2160" s="1">
        <v>9</v>
      </c>
      <c r="V2160" s="50">
        <v>42614</v>
      </c>
      <c r="W2160" s="4">
        <v>2453.1000000000004</v>
      </c>
      <c r="X2160" s="48">
        <v>2886</v>
      </c>
    </row>
    <row r="2161" spans="2:24" x14ac:dyDescent="0.35">
      <c r="B2161" s="8" t="s">
        <v>3</v>
      </c>
      <c r="C2161" s="8" t="s">
        <v>25</v>
      </c>
      <c r="D2161" s="8" t="s">
        <v>4</v>
      </c>
      <c r="E2161" s="8" t="s">
        <v>0</v>
      </c>
      <c r="F2161" s="8" t="s">
        <v>45</v>
      </c>
      <c r="G2161" s="8">
        <v>2016</v>
      </c>
      <c r="H2161" s="8">
        <v>9</v>
      </c>
      <c r="I2161" s="10">
        <v>42614</v>
      </c>
      <c r="J2161" s="11">
        <v>4086</v>
      </c>
      <c r="K2161" s="51"/>
      <c r="O2161" s="1" t="s">
        <v>3</v>
      </c>
      <c r="P2161" s="1" t="s">
        <v>25</v>
      </c>
      <c r="Q2161" s="1" t="s">
        <v>4</v>
      </c>
      <c r="R2161" s="1" t="s">
        <v>0</v>
      </c>
      <c r="S2161" s="1" t="s">
        <v>45</v>
      </c>
      <c r="T2161" s="1">
        <v>2016</v>
      </c>
      <c r="U2161" s="1">
        <v>9</v>
      </c>
      <c r="V2161" s="50">
        <v>42614</v>
      </c>
      <c r="W2161" s="4">
        <v>3554.8200000000006</v>
      </c>
      <c r="X2161" s="48">
        <v>4086</v>
      </c>
    </row>
    <row r="2162" spans="2:24" x14ac:dyDescent="0.35">
      <c r="B2162" s="8" t="s">
        <v>6</v>
      </c>
      <c r="C2162" s="8" t="s">
        <v>29</v>
      </c>
      <c r="D2162" s="8" t="s">
        <v>30</v>
      </c>
      <c r="E2162" s="8" t="s">
        <v>27</v>
      </c>
      <c r="F2162" s="8" t="s">
        <v>28</v>
      </c>
      <c r="G2162" s="8">
        <v>2016</v>
      </c>
      <c r="H2162" s="8">
        <v>9</v>
      </c>
      <c r="I2162" s="10">
        <v>42614</v>
      </c>
      <c r="J2162" s="11">
        <v>4622</v>
      </c>
      <c r="K2162" s="51"/>
      <c r="O2162" s="1" t="s">
        <v>6</v>
      </c>
      <c r="P2162" s="1" t="s">
        <v>29</v>
      </c>
      <c r="Q2162" s="1" t="s">
        <v>30</v>
      </c>
      <c r="R2162" s="1" t="s">
        <v>27</v>
      </c>
      <c r="S2162" s="1" t="s">
        <v>28</v>
      </c>
      <c r="T2162" s="1">
        <v>2016</v>
      </c>
      <c r="U2162" s="1">
        <v>9</v>
      </c>
      <c r="V2162" s="50">
        <v>42614</v>
      </c>
      <c r="W2162" s="4">
        <v>4159.7999999999993</v>
      </c>
      <c r="X2162" s="48">
        <v>4622</v>
      </c>
    </row>
    <row r="2163" spans="2:24" x14ac:dyDescent="0.35">
      <c r="B2163" s="8" t="s">
        <v>7</v>
      </c>
      <c r="C2163" s="8" t="s">
        <v>43</v>
      </c>
      <c r="D2163" s="8" t="s">
        <v>10</v>
      </c>
      <c r="E2163" s="8" t="s">
        <v>27</v>
      </c>
      <c r="F2163" s="8" t="s">
        <v>31</v>
      </c>
      <c r="G2163" s="8">
        <v>2016</v>
      </c>
      <c r="H2163" s="8">
        <v>9</v>
      </c>
      <c r="I2163" s="10">
        <v>42614</v>
      </c>
      <c r="J2163" s="11">
        <v>4701</v>
      </c>
      <c r="K2163" s="51"/>
      <c r="O2163" s="1" t="s">
        <v>7</v>
      </c>
      <c r="P2163" s="1" t="s">
        <v>43</v>
      </c>
      <c r="Q2163" s="1" t="s">
        <v>10</v>
      </c>
      <c r="R2163" s="1" t="s">
        <v>27</v>
      </c>
      <c r="S2163" s="1" t="s">
        <v>31</v>
      </c>
      <c r="T2163" s="1">
        <v>2016</v>
      </c>
      <c r="U2163" s="1">
        <v>9</v>
      </c>
      <c r="V2163" s="50">
        <v>42614</v>
      </c>
      <c r="W2163" s="4">
        <v>4324.92</v>
      </c>
      <c r="X2163" s="48">
        <v>4701</v>
      </c>
    </row>
    <row r="2164" spans="2:24" x14ac:dyDescent="0.35">
      <c r="B2164" s="8" t="s">
        <v>12</v>
      </c>
      <c r="C2164" s="8" t="s">
        <v>44</v>
      </c>
      <c r="D2164" s="8" t="s">
        <v>13</v>
      </c>
      <c r="E2164" s="8" t="s">
        <v>27</v>
      </c>
      <c r="F2164" s="6" t="s">
        <v>33</v>
      </c>
      <c r="G2164" s="8">
        <v>2016</v>
      </c>
      <c r="H2164" s="8">
        <v>9</v>
      </c>
      <c r="I2164" s="10">
        <v>42614</v>
      </c>
      <c r="J2164" s="11">
        <v>3385</v>
      </c>
      <c r="K2164" s="51"/>
      <c r="O2164" s="1" t="s">
        <v>12</v>
      </c>
      <c r="P2164" s="1" t="s">
        <v>44</v>
      </c>
      <c r="Q2164" s="1" t="s">
        <v>13</v>
      </c>
      <c r="R2164" s="1" t="s">
        <v>27</v>
      </c>
      <c r="S2164" t="s">
        <v>33</v>
      </c>
      <c r="T2164" s="1">
        <v>2016</v>
      </c>
      <c r="U2164" s="1">
        <v>9</v>
      </c>
      <c r="V2164" s="50">
        <v>42614</v>
      </c>
      <c r="W2164" s="4">
        <v>3181.8999999999996</v>
      </c>
      <c r="X2164" s="48">
        <v>3385</v>
      </c>
    </row>
    <row r="2165" spans="2:24" x14ac:dyDescent="0.35">
      <c r="B2165" s="8" t="s">
        <v>14</v>
      </c>
      <c r="C2165" s="8" t="s">
        <v>46</v>
      </c>
      <c r="D2165" s="8" t="s">
        <v>47</v>
      </c>
      <c r="E2165" s="8" t="s">
        <v>23</v>
      </c>
      <c r="F2165" s="6" t="s">
        <v>36</v>
      </c>
      <c r="G2165" s="8">
        <v>2016</v>
      </c>
      <c r="H2165" s="8">
        <v>9</v>
      </c>
      <c r="I2165" s="10">
        <v>42614</v>
      </c>
      <c r="J2165" s="11">
        <v>2957</v>
      </c>
      <c r="K2165" s="51"/>
      <c r="O2165" s="1" t="s">
        <v>14</v>
      </c>
      <c r="P2165" s="1" t="s">
        <v>46</v>
      </c>
      <c r="Q2165" s="1" t="s">
        <v>47</v>
      </c>
      <c r="R2165" s="1" t="s">
        <v>23</v>
      </c>
      <c r="S2165" t="s">
        <v>36</v>
      </c>
      <c r="T2165" s="1">
        <v>2016</v>
      </c>
      <c r="U2165" s="1">
        <v>9</v>
      </c>
      <c r="V2165" s="50">
        <v>42614</v>
      </c>
      <c r="W2165" s="4">
        <v>2572.59</v>
      </c>
      <c r="X2165" s="48">
        <v>2957</v>
      </c>
    </row>
    <row r="2166" spans="2:24" x14ac:dyDescent="0.35">
      <c r="B2166" s="8" t="s">
        <v>6</v>
      </c>
      <c r="C2166" s="8" t="s">
        <v>29</v>
      </c>
      <c r="D2166" s="8" t="s">
        <v>30</v>
      </c>
      <c r="E2166" s="8" t="s">
        <v>23</v>
      </c>
      <c r="F2166" s="6" t="s">
        <v>39</v>
      </c>
      <c r="G2166" s="8">
        <v>2016</v>
      </c>
      <c r="H2166" s="8">
        <v>9</v>
      </c>
      <c r="I2166" s="10">
        <v>42614</v>
      </c>
      <c r="J2166" s="11">
        <v>1394</v>
      </c>
      <c r="K2166" s="51"/>
      <c r="O2166" s="1" t="s">
        <v>6</v>
      </c>
      <c r="P2166" s="1" t="s">
        <v>29</v>
      </c>
      <c r="Q2166" s="1" t="s">
        <v>30</v>
      </c>
      <c r="R2166" s="1" t="s">
        <v>23</v>
      </c>
      <c r="S2166" t="s">
        <v>39</v>
      </c>
      <c r="T2166" s="1">
        <v>2016</v>
      </c>
      <c r="U2166" s="1">
        <v>9</v>
      </c>
      <c r="V2166" s="50">
        <v>42614</v>
      </c>
      <c r="W2166" s="4">
        <v>1254.5999999999999</v>
      </c>
      <c r="X2166" s="48">
        <v>1394</v>
      </c>
    </row>
    <row r="2167" spans="2:24" x14ac:dyDescent="0.35">
      <c r="B2167" s="8" t="s">
        <v>7</v>
      </c>
      <c r="C2167" s="8" t="s">
        <v>32</v>
      </c>
      <c r="D2167" s="8" t="s">
        <v>8</v>
      </c>
      <c r="E2167" s="9" t="s">
        <v>0</v>
      </c>
      <c r="F2167" s="9" t="s">
        <v>42</v>
      </c>
      <c r="G2167" s="8">
        <v>2016</v>
      </c>
      <c r="H2167" s="8">
        <v>9</v>
      </c>
      <c r="I2167" s="10">
        <v>42614</v>
      </c>
      <c r="J2167" s="11">
        <v>6027</v>
      </c>
      <c r="K2167" s="51"/>
      <c r="O2167" s="1" t="s">
        <v>7</v>
      </c>
      <c r="P2167" s="1" t="s">
        <v>32</v>
      </c>
      <c r="Q2167" s="1" t="s">
        <v>8</v>
      </c>
      <c r="R2167" s="2" t="s">
        <v>0</v>
      </c>
      <c r="S2167" s="2" t="s">
        <v>42</v>
      </c>
      <c r="T2167" s="1">
        <v>2016</v>
      </c>
      <c r="U2167" s="1">
        <v>9</v>
      </c>
      <c r="V2167" s="50">
        <v>42614</v>
      </c>
      <c r="W2167" s="4">
        <v>5183.22</v>
      </c>
      <c r="X2167" s="48">
        <v>6027</v>
      </c>
    </row>
    <row r="2168" spans="2:24" x14ac:dyDescent="0.35">
      <c r="B2168" s="8" t="s">
        <v>12</v>
      </c>
      <c r="C2168" s="8" t="s">
        <v>44</v>
      </c>
      <c r="D2168" s="8" t="s">
        <v>13</v>
      </c>
      <c r="E2168" s="8" t="s">
        <v>0</v>
      </c>
      <c r="F2168" s="9" t="s">
        <v>26</v>
      </c>
      <c r="G2168" s="8">
        <v>2016</v>
      </c>
      <c r="H2168" s="8">
        <v>9</v>
      </c>
      <c r="I2168" s="10">
        <v>42614</v>
      </c>
      <c r="J2168" s="11">
        <v>4006</v>
      </c>
      <c r="K2168" s="51"/>
      <c r="O2168" s="1" t="s">
        <v>12</v>
      </c>
      <c r="P2168" s="1" t="s">
        <v>44</v>
      </c>
      <c r="Q2168" s="1" t="s">
        <v>13</v>
      </c>
      <c r="R2168" s="1" t="s">
        <v>0</v>
      </c>
      <c r="S2168" s="2" t="s">
        <v>26</v>
      </c>
      <c r="T2168" s="1">
        <v>2016</v>
      </c>
      <c r="U2168" s="1">
        <v>9</v>
      </c>
      <c r="V2168" s="50">
        <v>42614</v>
      </c>
      <c r="W2168" s="4">
        <v>3405.1000000000004</v>
      </c>
      <c r="X2168" s="48">
        <v>4006</v>
      </c>
    </row>
    <row r="2169" spans="2:24" x14ac:dyDescent="0.35">
      <c r="B2169" s="8" t="s">
        <v>14</v>
      </c>
      <c r="C2169" s="8" t="s">
        <v>37</v>
      </c>
      <c r="D2169" s="8" t="s">
        <v>38</v>
      </c>
      <c r="E2169" s="8" t="s">
        <v>0</v>
      </c>
      <c r="F2169" s="6" t="s">
        <v>45</v>
      </c>
      <c r="G2169" s="8">
        <v>2016</v>
      </c>
      <c r="H2169" s="8">
        <v>9</v>
      </c>
      <c r="I2169" s="10">
        <v>42614</v>
      </c>
      <c r="J2169" s="11">
        <v>4747</v>
      </c>
      <c r="K2169" s="51"/>
      <c r="O2169" s="1" t="s">
        <v>14</v>
      </c>
      <c r="P2169" s="1" t="s">
        <v>37</v>
      </c>
      <c r="Q2169" s="1" t="s">
        <v>38</v>
      </c>
      <c r="R2169" s="1" t="s">
        <v>0</v>
      </c>
      <c r="S2169" t="s">
        <v>45</v>
      </c>
      <c r="T2169" s="1">
        <v>2016</v>
      </c>
      <c r="U2169" s="1">
        <v>9</v>
      </c>
      <c r="V2169" s="50">
        <v>42614</v>
      </c>
      <c r="W2169" s="4">
        <v>4034.9500000000003</v>
      </c>
      <c r="X2169" s="48">
        <v>4747</v>
      </c>
    </row>
    <row r="2170" spans="2:24" x14ac:dyDescent="0.35">
      <c r="B2170" s="8" t="s">
        <v>3</v>
      </c>
      <c r="C2170" s="8" t="s">
        <v>25</v>
      </c>
      <c r="D2170" s="8" t="s">
        <v>4</v>
      </c>
      <c r="E2170" s="8" t="s">
        <v>27</v>
      </c>
      <c r="F2170" s="8" t="s">
        <v>28</v>
      </c>
      <c r="G2170" s="8">
        <v>2016</v>
      </c>
      <c r="H2170" s="8">
        <v>9</v>
      </c>
      <c r="I2170" s="10">
        <v>42614</v>
      </c>
      <c r="J2170" s="11">
        <v>3652</v>
      </c>
      <c r="K2170" s="51"/>
      <c r="O2170" s="1" t="s">
        <v>3</v>
      </c>
      <c r="P2170" s="1" t="s">
        <v>25</v>
      </c>
      <c r="Q2170" s="1" t="s">
        <v>4</v>
      </c>
      <c r="R2170" s="1" t="s">
        <v>27</v>
      </c>
      <c r="S2170" s="1" t="s">
        <v>28</v>
      </c>
      <c r="T2170" s="1">
        <v>2016</v>
      </c>
      <c r="U2170" s="1">
        <v>9</v>
      </c>
      <c r="V2170" s="50">
        <v>42614</v>
      </c>
      <c r="W2170" s="4">
        <v>3359.8399999999997</v>
      </c>
      <c r="X2170" s="48">
        <v>3652</v>
      </c>
    </row>
    <row r="2171" spans="2:24" x14ac:dyDescent="0.35">
      <c r="B2171" s="8" t="s">
        <v>3</v>
      </c>
      <c r="C2171" s="8" t="s">
        <v>25</v>
      </c>
      <c r="D2171" s="8" t="s">
        <v>4</v>
      </c>
      <c r="E2171" s="8" t="s">
        <v>27</v>
      </c>
      <c r="F2171" s="8" t="s">
        <v>31</v>
      </c>
      <c r="G2171" s="8">
        <v>2016</v>
      </c>
      <c r="H2171" s="8">
        <v>9</v>
      </c>
      <c r="I2171" s="10">
        <v>42614</v>
      </c>
      <c r="J2171" s="11">
        <v>2831</v>
      </c>
      <c r="K2171" s="51"/>
      <c r="O2171" s="1" t="s">
        <v>3</v>
      </c>
      <c r="P2171" s="1" t="s">
        <v>25</v>
      </c>
      <c r="Q2171" s="1" t="s">
        <v>4</v>
      </c>
      <c r="R2171" s="1" t="s">
        <v>27</v>
      </c>
      <c r="S2171" s="1" t="s">
        <v>31</v>
      </c>
      <c r="T2171" s="1">
        <v>2016</v>
      </c>
      <c r="U2171" s="1">
        <v>9</v>
      </c>
      <c r="V2171" s="50">
        <v>42614</v>
      </c>
      <c r="W2171" s="4">
        <v>2547.8999999999996</v>
      </c>
      <c r="X2171" s="48">
        <v>2831</v>
      </c>
    </row>
    <row r="2172" spans="2:24" x14ac:dyDescent="0.35">
      <c r="B2172" s="8" t="s">
        <v>6</v>
      </c>
      <c r="C2172" s="8" t="s">
        <v>40</v>
      </c>
      <c r="D2172" s="8" t="s">
        <v>41</v>
      </c>
      <c r="E2172" s="8" t="s">
        <v>27</v>
      </c>
      <c r="F2172" s="8" t="s">
        <v>33</v>
      </c>
      <c r="G2172" s="8">
        <v>2016</v>
      </c>
      <c r="H2172" s="8">
        <v>9</v>
      </c>
      <c r="I2172" s="10">
        <v>42614</v>
      </c>
      <c r="J2172" s="11">
        <v>4041</v>
      </c>
      <c r="K2172" s="51"/>
      <c r="O2172" s="1" t="s">
        <v>6</v>
      </c>
      <c r="P2172" s="1" t="s">
        <v>40</v>
      </c>
      <c r="Q2172" s="1" t="s">
        <v>41</v>
      </c>
      <c r="R2172" s="1" t="s">
        <v>27</v>
      </c>
      <c r="S2172" s="1" t="s">
        <v>33</v>
      </c>
      <c r="T2172" s="1">
        <v>2016</v>
      </c>
      <c r="U2172" s="1">
        <v>9</v>
      </c>
      <c r="V2172" s="50">
        <v>42614</v>
      </c>
      <c r="W2172" s="4">
        <v>3677.3099999999995</v>
      </c>
      <c r="X2172" s="48">
        <v>4041</v>
      </c>
    </row>
    <row r="2173" spans="2:24" x14ac:dyDescent="0.35">
      <c r="B2173" s="8" t="s">
        <v>6</v>
      </c>
      <c r="C2173" s="8" t="s">
        <v>40</v>
      </c>
      <c r="D2173" s="8" t="s">
        <v>41</v>
      </c>
      <c r="E2173" s="8" t="s">
        <v>23</v>
      </c>
      <c r="F2173" s="6" t="s">
        <v>36</v>
      </c>
      <c r="G2173" s="8">
        <v>2016</v>
      </c>
      <c r="H2173" s="8">
        <v>9</v>
      </c>
      <c r="I2173" s="10">
        <v>42614</v>
      </c>
      <c r="J2173" s="11">
        <v>2647</v>
      </c>
      <c r="K2173" s="51"/>
      <c r="O2173" s="1" t="s">
        <v>6</v>
      </c>
      <c r="P2173" s="1" t="s">
        <v>40</v>
      </c>
      <c r="Q2173" s="1" t="s">
        <v>41</v>
      </c>
      <c r="R2173" s="1" t="s">
        <v>23</v>
      </c>
      <c r="S2173" t="s">
        <v>36</v>
      </c>
      <c r="T2173" s="1">
        <v>2016</v>
      </c>
      <c r="U2173" s="1">
        <v>9</v>
      </c>
      <c r="V2173" s="50">
        <v>42614</v>
      </c>
      <c r="W2173" s="4">
        <v>2302.8900000000003</v>
      </c>
      <c r="X2173" s="48">
        <v>2647</v>
      </c>
    </row>
    <row r="2174" spans="2:24" x14ac:dyDescent="0.35">
      <c r="B2174" s="8" t="s">
        <v>7</v>
      </c>
      <c r="C2174" s="8" t="s">
        <v>43</v>
      </c>
      <c r="D2174" s="8" t="s">
        <v>10</v>
      </c>
      <c r="E2174" s="8" t="s">
        <v>23</v>
      </c>
      <c r="F2174" s="6" t="s">
        <v>24</v>
      </c>
      <c r="G2174" s="8">
        <v>2016</v>
      </c>
      <c r="H2174" s="8">
        <v>9</v>
      </c>
      <c r="I2174" s="10">
        <v>42614</v>
      </c>
      <c r="J2174" s="11">
        <v>2384</v>
      </c>
      <c r="K2174" s="51"/>
      <c r="O2174" s="1" t="s">
        <v>7</v>
      </c>
      <c r="P2174" s="1" t="s">
        <v>43</v>
      </c>
      <c r="Q2174" s="1" t="s">
        <v>10</v>
      </c>
      <c r="R2174" s="1" t="s">
        <v>23</v>
      </c>
      <c r="S2174" t="s">
        <v>24</v>
      </c>
      <c r="T2174" s="1">
        <v>2016</v>
      </c>
      <c r="U2174" s="1">
        <v>9</v>
      </c>
      <c r="V2174" s="50">
        <v>42614</v>
      </c>
      <c r="W2174" s="4">
        <v>2217.12</v>
      </c>
      <c r="X2174" s="48">
        <v>2384</v>
      </c>
    </row>
    <row r="2175" spans="2:24" x14ac:dyDescent="0.35">
      <c r="B2175" s="8" t="s">
        <v>7</v>
      </c>
      <c r="C2175" s="8" t="s">
        <v>43</v>
      </c>
      <c r="D2175" s="8" t="s">
        <v>10</v>
      </c>
      <c r="E2175" s="8" t="s">
        <v>23</v>
      </c>
      <c r="F2175" s="6" t="s">
        <v>39</v>
      </c>
      <c r="G2175" s="8">
        <v>2016</v>
      </c>
      <c r="H2175" s="8">
        <v>9</v>
      </c>
      <c r="I2175" s="10">
        <v>42614</v>
      </c>
      <c r="J2175" s="11">
        <v>2388</v>
      </c>
      <c r="K2175" s="51"/>
      <c r="O2175" s="1" t="s">
        <v>7</v>
      </c>
      <c r="P2175" s="1" t="s">
        <v>43</v>
      </c>
      <c r="Q2175" s="1" t="s">
        <v>10</v>
      </c>
      <c r="R2175" s="1" t="s">
        <v>23</v>
      </c>
      <c r="S2175" t="s">
        <v>39</v>
      </c>
      <c r="T2175" s="1">
        <v>2016</v>
      </c>
      <c r="U2175" s="1">
        <v>9</v>
      </c>
      <c r="V2175" s="50">
        <v>42614</v>
      </c>
      <c r="W2175" s="4">
        <v>2101.4399999999996</v>
      </c>
      <c r="X2175" s="48">
        <v>2388</v>
      </c>
    </row>
    <row r="2176" spans="2:24" x14ac:dyDescent="0.35">
      <c r="B2176" s="8" t="s">
        <v>7</v>
      </c>
      <c r="C2176" s="8" t="s">
        <v>32</v>
      </c>
      <c r="D2176" s="8" t="s">
        <v>8</v>
      </c>
      <c r="E2176" s="9" t="s">
        <v>0</v>
      </c>
      <c r="F2176" s="9" t="s">
        <v>26</v>
      </c>
      <c r="G2176" s="8">
        <v>2016</v>
      </c>
      <c r="H2176" s="8">
        <v>9</v>
      </c>
      <c r="I2176" s="10">
        <v>42614</v>
      </c>
      <c r="J2176" s="11">
        <v>3444</v>
      </c>
      <c r="K2176" s="51"/>
      <c r="O2176" s="1" t="s">
        <v>7</v>
      </c>
      <c r="P2176" s="1" t="s">
        <v>32</v>
      </c>
      <c r="Q2176" s="1" t="s">
        <v>8</v>
      </c>
      <c r="R2176" s="2" t="s">
        <v>0</v>
      </c>
      <c r="S2176" s="2" t="s">
        <v>26</v>
      </c>
      <c r="T2176" s="1">
        <v>2016</v>
      </c>
      <c r="U2176" s="1">
        <v>9</v>
      </c>
      <c r="V2176" s="50">
        <v>42614</v>
      </c>
      <c r="W2176" s="4">
        <v>3134.04</v>
      </c>
      <c r="X2176" s="48">
        <v>3444</v>
      </c>
    </row>
    <row r="2177" spans="2:24" x14ac:dyDescent="0.35">
      <c r="B2177" s="8" t="s">
        <v>3</v>
      </c>
      <c r="C2177" s="8" t="s">
        <v>22</v>
      </c>
      <c r="D2177" s="8" t="s">
        <v>5</v>
      </c>
      <c r="E2177" s="8" t="s">
        <v>0</v>
      </c>
      <c r="F2177" s="9" t="s">
        <v>45</v>
      </c>
      <c r="G2177" s="8">
        <v>2016</v>
      </c>
      <c r="H2177" s="8">
        <v>9</v>
      </c>
      <c r="I2177" s="10">
        <v>42614</v>
      </c>
      <c r="J2177" s="11">
        <v>3866</v>
      </c>
      <c r="K2177" s="51"/>
      <c r="O2177" s="1" t="s">
        <v>3</v>
      </c>
      <c r="P2177" s="1" t="s">
        <v>22</v>
      </c>
      <c r="Q2177" s="1" t="s">
        <v>5</v>
      </c>
      <c r="R2177" s="1" t="s">
        <v>0</v>
      </c>
      <c r="S2177" s="2" t="s">
        <v>45</v>
      </c>
      <c r="T2177" s="1">
        <v>2016</v>
      </c>
      <c r="U2177" s="1">
        <v>9</v>
      </c>
      <c r="V2177" s="50">
        <v>42614</v>
      </c>
      <c r="W2177" s="4">
        <v>3402.0799999999995</v>
      </c>
      <c r="X2177" s="48">
        <v>3866</v>
      </c>
    </row>
    <row r="2178" spans="2:24" x14ac:dyDescent="0.35">
      <c r="B2178" s="8" t="s">
        <v>7</v>
      </c>
      <c r="C2178" s="8" t="s">
        <v>48</v>
      </c>
      <c r="D2178" s="8" t="s">
        <v>9</v>
      </c>
      <c r="E2178" s="8" t="s">
        <v>23</v>
      </c>
      <c r="F2178" s="6" t="s">
        <v>36</v>
      </c>
      <c r="G2178" s="8">
        <v>2016</v>
      </c>
      <c r="H2178" s="8">
        <v>9</v>
      </c>
      <c r="I2178" s="10">
        <v>42614</v>
      </c>
      <c r="J2178" s="11">
        <v>2293</v>
      </c>
      <c r="K2178" s="51"/>
      <c r="O2178" s="1" t="s">
        <v>7</v>
      </c>
      <c r="P2178" s="1" t="s">
        <v>48</v>
      </c>
      <c r="Q2178" s="1" t="s">
        <v>9</v>
      </c>
      <c r="R2178" s="1" t="s">
        <v>23</v>
      </c>
      <c r="S2178" t="s">
        <v>36</v>
      </c>
      <c r="T2178" s="1">
        <v>2016</v>
      </c>
      <c r="U2178" s="1">
        <v>9</v>
      </c>
      <c r="V2178" s="50">
        <v>42614</v>
      </c>
      <c r="W2178" s="4">
        <v>2086.6299999999997</v>
      </c>
      <c r="X2178" s="48">
        <v>2293</v>
      </c>
    </row>
    <row r="2179" spans="2:24" x14ac:dyDescent="0.35">
      <c r="B2179" s="8" t="s">
        <v>7</v>
      </c>
      <c r="C2179" s="8" t="s">
        <v>48</v>
      </c>
      <c r="D2179" s="8" t="s">
        <v>9</v>
      </c>
      <c r="E2179" s="8" t="s">
        <v>23</v>
      </c>
      <c r="F2179" s="8" t="s">
        <v>24</v>
      </c>
      <c r="G2179" s="8">
        <v>2016</v>
      </c>
      <c r="H2179" s="8">
        <v>9</v>
      </c>
      <c r="I2179" s="10">
        <v>42614</v>
      </c>
      <c r="J2179" s="11">
        <v>2170</v>
      </c>
      <c r="K2179" s="51"/>
      <c r="O2179" s="1" t="s">
        <v>7</v>
      </c>
      <c r="P2179" s="1" t="s">
        <v>48</v>
      </c>
      <c r="Q2179" s="1" t="s">
        <v>9</v>
      </c>
      <c r="R2179" s="1" t="s">
        <v>23</v>
      </c>
      <c r="S2179" s="1" t="s">
        <v>24</v>
      </c>
      <c r="T2179" s="1">
        <v>2016</v>
      </c>
      <c r="U2179" s="1">
        <v>9</v>
      </c>
      <c r="V2179" s="50">
        <v>42614</v>
      </c>
      <c r="W2179" s="4">
        <v>1931.2999999999997</v>
      </c>
      <c r="X2179" s="48">
        <v>2170</v>
      </c>
    </row>
    <row r="2180" spans="2:24" x14ac:dyDescent="0.35">
      <c r="B2180" s="8" t="s">
        <v>7</v>
      </c>
      <c r="C2180" s="8" t="s">
        <v>49</v>
      </c>
      <c r="D2180" s="8" t="s">
        <v>11</v>
      </c>
      <c r="E2180" s="8" t="s">
        <v>23</v>
      </c>
      <c r="F2180" s="8" t="s">
        <v>39</v>
      </c>
      <c r="G2180" s="8">
        <v>2016</v>
      </c>
      <c r="H2180" s="8">
        <v>9</v>
      </c>
      <c r="I2180" s="10">
        <v>42614</v>
      </c>
      <c r="J2180" s="11">
        <v>2882</v>
      </c>
      <c r="K2180" s="51"/>
      <c r="O2180" s="1" t="s">
        <v>7</v>
      </c>
      <c r="P2180" s="1" t="s">
        <v>49</v>
      </c>
      <c r="Q2180" s="1" t="s">
        <v>11</v>
      </c>
      <c r="R2180" s="1" t="s">
        <v>23</v>
      </c>
      <c r="S2180" s="1" t="s">
        <v>39</v>
      </c>
      <c r="T2180" s="1">
        <v>2016</v>
      </c>
      <c r="U2180" s="1">
        <v>9</v>
      </c>
      <c r="V2180" s="50">
        <v>42614</v>
      </c>
      <c r="W2180" s="4">
        <v>2680.2599999999998</v>
      </c>
      <c r="X2180" s="48">
        <v>2882</v>
      </c>
    </row>
    <row r="2181" spans="2:24" x14ac:dyDescent="0.35">
      <c r="B2181" s="8" t="s">
        <v>7</v>
      </c>
      <c r="C2181" s="8" t="s">
        <v>49</v>
      </c>
      <c r="D2181" s="8" t="s">
        <v>11</v>
      </c>
      <c r="E2181" s="8" t="s">
        <v>0</v>
      </c>
      <c r="F2181" s="8" t="s">
        <v>42</v>
      </c>
      <c r="G2181" s="8">
        <v>2016</v>
      </c>
      <c r="H2181" s="8">
        <v>9</v>
      </c>
      <c r="I2181" s="10">
        <v>42614</v>
      </c>
      <c r="J2181" s="11">
        <v>5598</v>
      </c>
      <c r="K2181" s="51"/>
      <c r="O2181" s="1" t="s">
        <v>7</v>
      </c>
      <c r="P2181" s="1" t="s">
        <v>49</v>
      </c>
      <c r="Q2181" s="1" t="s">
        <v>11</v>
      </c>
      <c r="R2181" s="1" t="s">
        <v>0</v>
      </c>
      <c r="S2181" s="1" t="s">
        <v>42</v>
      </c>
      <c r="T2181" s="1">
        <v>2016</v>
      </c>
      <c r="U2181" s="1">
        <v>9</v>
      </c>
      <c r="V2181" s="50">
        <v>42614</v>
      </c>
      <c r="W2181" s="4">
        <v>4982.2199999999993</v>
      </c>
      <c r="X2181" s="48">
        <v>5598</v>
      </c>
    </row>
    <row r="2182" spans="2:24" x14ac:dyDescent="0.35">
      <c r="B2182" s="8" t="s">
        <v>12</v>
      </c>
      <c r="C2182" s="8" t="s">
        <v>34</v>
      </c>
      <c r="D2182" s="8" t="s">
        <v>35</v>
      </c>
      <c r="E2182" s="8" t="s">
        <v>0</v>
      </c>
      <c r="F2182" s="6" t="s">
        <v>26</v>
      </c>
      <c r="G2182" s="8">
        <v>2016</v>
      </c>
      <c r="H2182" s="8">
        <v>9</v>
      </c>
      <c r="I2182" s="10">
        <v>42614</v>
      </c>
      <c r="J2182" s="11">
        <v>5477</v>
      </c>
      <c r="K2182" s="51"/>
      <c r="O2182" s="1" t="s">
        <v>12</v>
      </c>
      <c r="P2182" s="1" t="s">
        <v>34</v>
      </c>
      <c r="Q2182" s="1" t="s">
        <v>35</v>
      </c>
      <c r="R2182" s="1" t="s">
        <v>0</v>
      </c>
      <c r="S2182" t="s">
        <v>26</v>
      </c>
      <c r="T2182" s="1">
        <v>2016</v>
      </c>
      <c r="U2182" s="1">
        <v>9</v>
      </c>
      <c r="V2182" s="50">
        <v>42614</v>
      </c>
      <c r="W2182" s="4">
        <v>4984.07</v>
      </c>
      <c r="X2182" s="48">
        <v>5477</v>
      </c>
    </row>
    <row r="2183" spans="2:24" x14ac:dyDescent="0.35">
      <c r="B2183" s="8" t="s">
        <v>12</v>
      </c>
      <c r="C2183" s="8" t="s">
        <v>34</v>
      </c>
      <c r="D2183" s="8" t="s">
        <v>35</v>
      </c>
      <c r="E2183" s="8" t="s">
        <v>0</v>
      </c>
      <c r="F2183" s="6" t="s">
        <v>45</v>
      </c>
      <c r="G2183" s="8">
        <v>2016</v>
      </c>
      <c r="H2183" s="8">
        <v>9</v>
      </c>
      <c r="I2183" s="10">
        <v>42614</v>
      </c>
      <c r="J2183" s="11">
        <v>3032</v>
      </c>
      <c r="K2183" s="51"/>
      <c r="O2183" s="1" t="s">
        <v>12</v>
      </c>
      <c r="P2183" s="1" t="s">
        <v>34</v>
      </c>
      <c r="Q2183" s="1" t="s">
        <v>35</v>
      </c>
      <c r="R2183" s="1" t="s">
        <v>0</v>
      </c>
      <c r="S2183" t="s">
        <v>45</v>
      </c>
      <c r="T2183" s="1">
        <v>2016</v>
      </c>
      <c r="U2183" s="1">
        <v>9</v>
      </c>
      <c r="V2183" s="50">
        <v>42614</v>
      </c>
      <c r="W2183" s="4">
        <v>2668.16</v>
      </c>
      <c r="X2183" s="48">
        <v>3032</v>
      </c>
    </row>
    <row r="2184" spans="2:24" x14ac:dyDescent="0.35">
      <c r="B2184" s="8" t="s">
        <v>14</v>
      </c>
      <c r="C2184" s="8" t="s">
        <v>37</v>
      </c>
      <c r="D2184" s="8" t="s">
        <v>38</v>
      </c>
      <c r="E2184" s="8" t="s">
        <v>27</v>
      </c>
      <c r="F2184" s="6" t="s">
        <v>28</v>
      </c>
      <c r="G2184" s="8">
        <v>2016</v>
      </c>
      <c r="H2184" s="8">
        <v>9</v>
      </c>
      <c r="I2184" s="10">
        <v>42614</v>
      </c>
      <c r="J2184" s="11">
        <v>3595</v>
      </c>
      <c r="K2184" s="51"/>
      <c r="O2184" s="1" t="s">
        <v>14</v>
      </c>
      <c r="P2184" s="1" t="s">
        <v>37</v>
      </c>
      <c r="Q2184" s="1" t="s">
        <v>38</v>
      </c>
      <c r="R2184" s="1" t="s">
        <v>27</v>
      </c>
      <c r="S2184" t="s">
        <v>28</v>
      </c>
      <c r="T2184" s="1">
        <v>2016</v>
      </c>
      <c r="U2184" s="1">
        <v>9</v>
      </c>
      <c r="V2184" s="50">
        <v>42614</v>
      </c>
      <c r="W2184" s="4">
        <v>3163.5999999999995</v>
      </c>
      <c r="X2184" s="48">
        <v>3595</v>
      </c>
    </row>
    <row r="2185" spans="2:24" x14ac:dyDescent="0.35">
      <c r="B2185" s="8" t="s">
        <v>14</v>
      </c>
      <c r="C2185" s="8" t="s">
        <v>37</v>
      </c>
      <c r="D2185" s="8" t="s">
        <v>38</v>
      </c>
      <c r="E2185" s="9" t="s">
        <v>27</v>
      </c>
      <c r="F2185" s="9" t="s">
        <v>31</v>
      </c>
      <c r="G2185" s="8">
        <v>2016</v>
      </c>
      <c r="H2185" s="8">
        <v>9</v>
      </c>
      <c r="I2185" s="10">
        <v>42614</v>
      </c>
      <c r="J2185" s="11">
        <v>3300</v>
      </c>
      <c r="K2185" s="51"/>
      <c r="O2185" s="1" t="s">
        <v>14</v>
      </c>
      <c r="P2185" s="1" t="s">
        <v>37</v>
      </c>
      <c r="Q2185" s="1" t="s">
        <v>38</v>
      </c>
      <c r="R2185" s="2" t="s">
        <v>27</v>
      </c>
      <c r="S2185" s="2" t="s">
        <v>31</v>
      </c>
      <c r="T2185" s="1">
        <v>2016</v>
      </c>
      <c r="U2185" s="1">
        <v>9</v>
      </c>
      <c r="V2185" s="50">
        <v>42614</v>
      </c>
      <c r="W2185" s="4">
        <v>3036</v>
      </c>
      <c r="X2185" s="48">
        <v>3300</v>
      </c>
    </row>
    <row r="2186" spans="2:24" x14ac:dyDescent="0.35">
      <c r="B2186" s="8" t="s">
        <v>12</v>
      </c>
      <c r="C2186" s="8" t="s">
        <v>44</v>
      </c>
      <c r="D2186" s="8" t="s">
        <v>13</v>
      </c>
      <c r="E2186" s="8" t="s">
        <v>23</v>
      </c>
      <c r="F2186" s="9" t="s">
        <v>36</v>
      </c>
      <c r="G2186" s="8">
        <v>2016</v>
      </c>
      <c r="H2186" s="8">
        <v>9</v>
      </c>
      <c r="I2186" s="10">
        <v>42614</v>
      </c>
      <c r="J2186" s="11">
        <v>2730</v>
      </c>
      <c r="K2186" s="51"/>
      <c r="O2186" s="1" t="s">
        <v>12</v>
      </c>
      <c r="P2186" s="1" t="s">
        <v>44</v>
      </c>
      <c r="Q2186" s="1" t="s">
        <v>13</v>
      </c>
      <c r="R2186" s="1" t="s">
        <v>23</v>
      </c>
      <c r="S2186" s="2" t="s">
        <v>36</v>
      </c>
      <c r="T2186" s="1">
        <v>2016</v>
      </c>
      <c r="U2186" s="1">
        <v>9</v>
      </c>
      <c r="V2186" s="50">
        <v>42614</v>
      </c>
      <c r="W2186" s="4">
        <v>2375.1000000000004</v>
      </c>
      <c r="X2186" s="48">
        <v>2730</v>
      </c>
    </row>
    <row r="2187" spans="2:24" x14ac:dyDescent="0.35">
      <c r="B2187" s="8" t="s">
        <v>14</v>
      </c>
      <c r="C2187" s="8" t="s">
        <v>46</v>
      </c>
      <c r="D2187" s="8" t="s">
        <v>47</v>
      </c>
      <c r="E2187" s="8" t="s">
        <v>23</v>
      </c>
      <c r="F2187" s="6" t="s">
        <v>24</v>
      </c>
      <c r="G2187" s="8">
        <v>2016</v>
      </c>
      <c r="H2187" s="8">
        <v>9</v>
      </c>
      <c r="I2187" s="10">
        <v>42614</v>
      </c>
      <c r="J2187" s="11">
        <v>2722</v>
      </c>
      <c r="K2187" s="51"/>
      <c r="O2187" s="1" t="s">
        <v>14</v>
      </c>
      <c r="P2187" s="1" t="s">
        <v>46</v>
      </c>
      <c r="Q2187" s="1" t="s">
        <v>47</v>
      </c>
      <c r="R2187" s="1" t="s">
        <v>23</v>
      </c>
      <c r="S2187" t="s">
        <v>24</v>
      </c>
      <c r="T2187" s="1">
        <v>2016</v>
      </c>
      <c r="U2187" s="1">
        <v>9</v>
      </c>
      <c r="V2187" s="50">
        <v>42614</v>
      </c>
      <c r="W2187" s="4">
        <v>2313.7000000000003</v>
      </c>
      <c r="X2187" s="48">
        <v>2722</v>
      </c>
    </row>
    <row r="2188" spans="2:24" x14ac:dyDescent="0.35">
      <c r="B2188" s="8" t="s">
        <v>14</v>
      </c>
      <c r="C2188" s="8" t="s">
        <v>46</v>
      </c>
      <c r="D2188" s="8" t="s">
        <v>47</v>
      </c>
      <c r="E2188" s="8" t="s">
        <v>23</v>
      </c>
      <c r="F2188" s="8" t="s">
        <v>39</v>
      </c>
      <c r="G2188" s="8">
        <v>2016</v>
      </c>
      <c r="H2188" s="8">
        <v>9</v>
      </c>
      <c r="I2188" s="10">
        <v>42614</v>
      </c>
      <c r="J2188" s="11">
        <v>1486</v>
      </c>
      <c r="K2188" s="51"/>
      <c r="O2188" s="1" t="s">
        <v>14</v>
      </c>
      <c r="P2188" s="1" t="s">
        <v>46</v>
      </c>
      <c r="Q2188" s="1" t="s">
        <v>47</v>
      </c>
      <c r="R2188" s="1" t="s">
        <v>23</v>
      </c>
      <c r="S2188" s="1" t="s">
        <v>39</v>
      </c>
      <c r="T2188" s="1">
        <v>2016</v>
      </c>
      <c r="U2188" s="1">
        <v>9</v>
      </c>
      <c r="V2188" s="50">
        <v>42614</v>
      </c>
      <c r="W2188" s="4">
        <v>1381.98</v>
      </c>
      <c r="X2188" s="48">
        <v>1486</v>
      </c>
    </row>
    <row r="2189" spans="2:24" x14ac:dyDescent="0.35">
      <c r="B2189" s="8" t="s">
        <v>7</v>
      </c>
      <c r="C2189" s="8" t="s">
        <v>43</v>
      </c>
      <c r="D2189" s="8" t="s">
        <v>10</v>
      </c>
      <c r="E2189" s="8" t="s">
        <v>0</v>
      </c>
      <c r="F2189" s="8" t="s">
        <v>42</v>
      </c>
      <c r="G2189" s="8">
        <v>2016</v>
      </c>
      <c r="H2189" s="8">
        <v>9</v>
      </c>
      <c r="I2189" s="10">
        <v>42614</v>
      </c>
      <c r="J2189" s="11">
        <v>5578</v>
      </c>
      <c r="K2189" s="51"/>
      <c r="O2189" s="1" t="s">
        <v>7</v>
      </c>
      <c r="P2189" s="1" t="s">
        <v>43</v>
      </c>
      <c r="Q2189" s="1" t="s">
        <v>10</v>
      </c>
      <c r="R2189" s="1" t="s">
        <v>0</v>
      </c>
      <c r="S2189" s="1" t="s">
        <v>42</v>
      </c>
      <c r="T2189" s="1">
        <v>2016</v>
      </c>
      <c r="U2189" s="1">
        <v>9</v>
      </c>
      <c r="V2189" s="50">
        <v>42614</v>
      </c>
      <c r="W2189" s="4">
        <v>5020.2</v>
      </c>
      <c r="X2189" s="48">
        <v>5578</v>
      </c>
    </row>
    <row r="2190" spans="2:24" x14ac:dyDescent="0.35">
      <c r="B2190" s="8" t="s">
        <v>6</v>
      </c>
      <c r="C2190" s="8" t="s">
        <v>40</v>
      </c>
      <c r="D2190" s="8" t="s">
        <v>41</v>
      </c>
      <c r="E2190" s="8" t="s">
        <v>27</v>
      </c>
      <c r="F2190" s="8" t="s">
        <v>31</v>
      </c>
      <c r="G2190" s="8">
        <v>2016</v>
      </c>
      <c r="H2190" s="8">
        <v>9</v>
      </c>
      <c r="I2190" s="10">
        <v>42614</v>
      </c>
      <c r="J2190" s="11">
        <v>5329</v>
      </c>
      <c r="K2190" s="51"/>
      <c r="O2190" s="1" t="s">
        <v>6</v>
      </c>
      <c r="P2190" s="1" t="s">
        <v>40</v>
      </c>
      <c r="Q2190" s="1" t="s">
        <v>41</v>
      </c>
      <c r="R2190" s="1" t="s">
        <v>27</v>
      </c>
      <c r="S2190" s="1" t="s">
        <v>31</v>
      </c>
      <c r="T2190" s="1">
        <v>2016</v>
      </c>
      <c r="U2190" s="1">
        <v>9</v>
      </c>
      <c r="V2190" s="50">
        <v>42614</v>
      </c>
      <c r="W2190" s="4">
        <v>4636.2300000000005</v>
      </c>
      <c r="X2190" s="48">
        <v>5329</v>
      </c>
    </row>
    <row r="2191" spans="2:24" x14ac:dyDescent="0.35">
      <c r="B2191" s="8" t="s">
        <v>3</v>
      </c>
      <c r="C2191" s="8" t="s">
        <v>22</v>
      </c>
      <c r="D2191" s="8" t="s">
        <v>5</v>
      </c>
      <c r="E2191" s="8" t="s">
        <v>23</v>
      </c>
      <c r="F2191" s="6" t="s">
        <v>39</v>
      </c>
      <c r="G2191" s="8">
        <v>2016</v>
      </c>
      <c r="H2191" s="8">
        <v>9</v>
      </c>
      <c r="I2191" s="10">
        <v>42614</v>
      </c>
      <c r="J2191" s="11">
        <v>2286</v>
      </c>
      <c r="K2191" s="51"/>
      <c r="O2191" s="1" t="s">
        <v>3</v>
      </c>
      <c r="P2191" s="1" t="s">
        <v>22</v>
      </c>
      <c r="Q2191" s="1" t="s">
        <v>5</v>
      </c>
      <c r="R2191" s="1" t="s">
        <v>23</v>
      </c>
      <c r="S2191" t="s">
        <v>39</v>
      </c>
      <c r="T2191" s="1">
        <v>2016</v>
      </c>
      <c r="U2191" s="1">
        <v>9</v>
      </c>
      <c r="V2191" s="50">
        <v>42614</v>
      </c>
      <c r="W2191" s="4">
        <v>1965.9600000000003</v>
      </c>
      <c r="X2191" s="48">
        <v>2286</v>
      </c>
    </row>
    <row r="2192" spans="2:24" x14ac:dyDescent="0.35">
      <c r="B2192" s="8" t="s">
        <v>3</v>
      </c>
      <c r="C2192" s="8" t="s">
        <v>22</v>
      </c>
      <c r="D2192" s="8" t="s">
        <v>5</v>
      </c>
      <c r="E2192" s="8" t="s">
        <v>0</v>
      </c>
      <c r="F2192" s="6" t="s">
        <v>42</v>
      </c>
      <c r="G2192" s="8">
        <v>2016</v>
      </c>
      <c r="H2192" s="8">
        <v>9</v>
      </c>
      <c r="I2192" s="10">
        <v>42614</v>
      </c>
      <c r="J2192" s="11">
        <v>6701</v>
      </c>
      <c r="K2192" s="51"/>
      <c r="O2192" s="1" t="s">
        <v>3</v>
      </c>
      <c r="P2192" s="1" t="s">
        <v>22</v>
      </c>
      <c r="Q2192" s="1" t="s">
        <v>5</v>
      </c>
      <c r="R2192" s="1" t="s">
        <v>0</v>
      </c>
      <c r="S2192" t="s">
        <v>42</v>
      </c>
      <c r="T2192" s="1">
        <v>2016</v>
      </c>
      <c r="U2192" s="1">
        <v>9</v>
      </c>
      <c r="V2192" s="50">
        <v>42614</v>
      </c>
      <c r="W2192" s="4">
        <v>6097.91</v>
      </c>
      <c r="X2192" s="48">
        <v>6701</v>
      </c>
    </row>
    <row r="2193" spans="2:24" x14ac:dyDescent="0.35">
      <c r="B2193" s="8" t="s">
        <v>6</v>
      </c>
      <c r="C2193" s="8" t="s">
        <v>29</v>
      </c>
      <c r="D2193" s="8" t="s">
        <v>30</v>
      </c>
      <c r="E2193" s="8" t="s">
        <v>0</v>
      </c>
      <c r="F2193" s="6" t="s">
        <v>26</v>
      </c>
      <c r="G2193" s="8">
        <v>2016</v>
      </c>
      <c r="H2193" s="8">
        <v>9</v>
      </c>
      <c r="I2193" s="10">
        <v>42614</v>
      </c>
      <c r="J2193" s="11">
        <v>5121</v>
      </c>
      <c r="K2193" s="51"/>
      <c r="O2193" s="1" t="s">
        <v>6</v>
      </c>
      <c r="P2193" s="1" t="s">
        <v>29</v>
      </c>
      <c r="Q2193" s="1" t="s">
        <v>30</v>
      </c>
      <c r="R2193" s="1" t="s">
        <v>0</v>
      </c>
      <c r="S2193" t="s">
        <v>26</v>
      </c>
      <c r="T2193" s="1">
        <v>2016</v>
      </c>
      <c r="U2193" s="1">
        <v>9</v>
      </c>
      <c r="V2193" s="50">
        <v>42614</v>
      </c>
      <c r="W2193" s="4">
        <v>4404.0600000000004</v>
      </c>
      <c r="X2193" s="48">
        <v>5121</v>
      </c>
    </row>
    <row r="2194" spans="2:24" x14ac:dyDescent="0.35">
      <c r="B2194" s="8" t="s">
        <v>7</v>
      </c>
      <c r="C2194" s="8" t="s">
        <v>48</v>
      </c>
      <c r="D2194" s="8" t="s">
        <v>9</v>
      </c>
      <c r="E2194" s="9" t="s">
        <v>27</v>
      </c>
      <c r="F2194" s="9" t="s">
        <v>28</v>
      </c>
      <c r="G2194" s="8">
        <v>2016</v>
      </c>
      <c r="H2194" s="8">
        <v>9</v>
      </c>
      <c r="I2194" s="10">
        <v>42614</v>
      </c>
      <c r="J2194" s="11">
        <v>3220</v>
      </c>
      <c r="K2194" s="51"/>
      <c r="O2194" s="1" t="s">
        <v>7</v>
      </c>
      <c r="P2194" s="1" t="s">
        <v>48</v>
      </c>
      <c r="Q2194" s="1" t="s">
        <v>9</v>
      </c>
      <c r="R2194" s="2" t="s">
        <v>27</v>
      </c>
      <c r="S2194" s="2" t="s">
        <v>28</v>
      </c>
      <c r="T2194" s="1">
        <v>2016</v>
      </c>
      <c r="U2194" s="1">
        <v>9</v>
      </c>
      <c r="V2194" s="50">
        <v>42614</v>
      </c>
      <c r="W2194" s="4">
        <v>2801.4000000000005</v>
      </c>
      <c r="X2194" s="48">
        <v>3220</v>
      </c>
    </row>
    <row r="2195" spans="2:24" x14ac:dyDescent="0.35">
      <c r="B2195" s="8" t="s">
        <v>7</v>
      </c>
      <c r="C2195" s="8" t="s">
        <v>48</v>
      </c>
      <c r="D2195" s="8" t="s">
        <v>9</v>
      </c>
      <c r="E2195" s="8" t="s">
        <v>27</v>
      </c>
      <c r="F2195" s="9" t="s">
        <v>31</v>
      </c>
      <c r="G2195" s="8">
        <v>2016</v>
      </c>
      <c r="H2195" s="8">
        <v>9</v>
      </c>
      <c r="I2195" s="10">
        <v>42614</v>
      </c>
      <c r="J2195" s="11">
        <v>4943</v>
      </c>
      <c r="K2195" s="51"/>
      <c r="O2195" s="1" t="s">
        <v>7</v>
      </c>
      <c r="P2195" s="1" t="s">
        <v>48</v>
      </c>
      <c r="Q2195" s="1" t="s">
        <v>9</v>
      </c>
      <c r="R2195" s="1" t="s">
        <v>27</v>
      </c>
      <c r="S2195" s="2" t="s">
        <v>31</v>
      </c>
      <c r="T2195" s="1">
        <v>2016</v>
      </c>
      <c r="U2195" s="1">
        <v>9</v>
      </c>
      <c r="V2195" s="50">
        <v>42614</v>
      </c>
      <c r="W2195" s="4">
        <v>4349.8399999999992</v>
      </c>
      <c r="X2195" s="48">
        <v>4943</v>
      </c>
    </row>
    <row r="2196" spans="2:24" x14ac:dyDescent="0.35">
      <c r="B2196" s="8" t="s">
        <v>7</v>
      </c>
      <c r="C2196" s="8" t="s">
        <v>49</v>
      </c>
      <c r="D2196" s="8" t="s">
        <v>11</v>
      </c>
      <c r="E2196" s="8" t="s">
        <v>27</v>
      </c>
      <c r="F2196" s="6" t="s">
        <v>33</v>
      </c>
      <c r="G2196" s="8">
        <v>2016</v>
      </c>
      <c r="H2196" s="8">
        <v>9</v>
      </c>
      <c r="I2196" s="10">
        <v>42614</v>
      </c>
      <c r="J2196" s="11">
        <v>3053</v>
      </c>
      <c r="K2196" s="51"/>
      <c r="O2196" s="1" t="s">
        <v>7</v>
      </c>
      <c r="P2196" s="1" t="s">
        <v>49</v>
      </c>
      <c r="Q2196" s="1" t="s">
        <v>11</v>
      </c>
      <c r="R2196" s="1" t="s">
        <v>27</v>
      </c>
      <c r="S2196" t="s">
        <v>33</v>
      </c>
      <c r="T2196" s="1">
        <v>2016</v>
      </c>
      <c r="U2196" s="1">
        <v>9</v>
      </c>
      <c r="V2196" s="50">
        <v>42614</v>
      </c>
      <c r="W2196" s="4">
        <v>2717.1699999999996</v>
      </c>
      <c r="X2196" s="48">
        <v>3053</v>
      </c>
    </row>
    <row r="2197" spans="2:24" x14ac:dyDescent="0.35">
      <c r="B2197" s="8" t="s">
        <v>7</v>
      </c>
      <c r="C2197" s="8" t="s">
        <v>49</v>
      </c>
      <c r="D2197" s="8" t="s">
        <v>11</v>
      </c>
      <c r="E2197" s="8" t="s">
        <v>23</v>
      </c>
      <c r="F2197" s="8" t="s">
        <v>36</v>
      </c>
      <c r="G2197" s="8">
        <v>2016</v>
      </c>
      <c r="H2197" s="8">
        <v>9</v>
      </c>
      <c r="I2197" s="10">
        <v>42614</v>
      </c>
      <c r="J2197" s="11">
        <v>2701</v>
      </c>
      <c r="K2197" s="51"/>
      <c r="O2197" s="1" t="s">
        <v>7</v>
      </c>
      <c r="P2197" s="1" t="s">
        <v>49</v>
      </c>
      <c r="Q2197" s="1" t="s">
        <v>11</v>
      </c>
      <c r="R2197" s="1" t="s">
        <v>23</v>
      </c>
      <c r="S2197" s="1" t="s">
        <v>36</v>
      </c>
      <c r="T2197" s="1">
        <v>2016</v>
      </c>
      <c r="U2197" s="1">
        <v>9</v>
      </c>
      <c r="V2197" s="50">
        <v>42614</v>
      </c>
      <c r="W2197" s="4">
        <v>2403.89</v>
      </c>
      <c r="X2197" s="48">
        <v>2701</v>
      </c>
    </row>
    <row r="2198" spans="2:24" x14ac:dyDescent="0.35">
      <c r="B2198" s="8" t="s">
        <v>7</v>
      </c>
      <c r="C2198" s="8" t="s">
        <v>43</v>
      </c>
      <c r="D2198" s="8" t="s">
        <v>10</v>
      </c>
      <c r="E2198" s="8" t="s">
        <v>23</v>
      </c>
      <c r="F2198" s="8" t="s">
        <v>36</v>
      </c>
      <c r="G2198" s="8">
        <v>2016</v>
      </c>
      <c r="H2198" s="8">
        <v>9</v>
      </c>
      <c r="I2198" s="10">
        <v>42614</v>
      </c>
      <c r="J2198" s="11">
        <v>2013</v>
      </c>
      <c r="K2198" s="51"/>
      <c r="O2198" s="1" t="s">
        <v>7</v>
      </c>
      <c r="P2198" s="1" t="s">
        <v>43</v>
      </c>
      <c r="Q2198" s="1" t="s">
        <v>10</v>
      </c>
      <c r="R2198" s="1" t="s">
        <v>23</v>
      </c>
      <c r="S2198" s="1" t="s">
        <v>36</v>
      </c>
      <c r="T2198" s="1">
        <v>2016</v>
      </c>
      <c r="U2198" s="1">
        <v>9</v>
      </c>
      <c r="V2198" s="50">
        <v>42614</v>
      </c>
      <c r="W2198" s="4">
        <v>1731.1800000000003</v>
      </c>
      <c r="X2198" s="48">
        <v>2013</v>
      </c>
    </row>
    <row r="2199" spans="2:24" x14ac:dyDescent="0.35">
      <c r="B2199" s="8" t="s">
        <v>6</v>
      </c>
      <c r="C2199" s="8" t="s">
        <v>40</v>
      </c>
      <c r="D2199" s="8" t="s">
        <v>41</v>
      </c>
      <c r="E2199" s="8" t="s">
        <v>0</v>
      </c>
      <c r="F2199" s="8" t="s">
        <v>45</v>
      </c>
      <c r="G2199" s="8">
        <v>2016</v>
      </c>
      <c r="H2199" s="8">
        <v>9</v>
      </c>
      <c r="I2199" s="10">
        <v>42614</v>
      </c>
      <c r="J2199" s="11">
        <v>2736</v>
      </c>
      <c r="K2199" s="51"/>
      <c r="O2199" s="1" t="s">
        <v>6</v>
      </c>
      <c r="P2199" s="1" t="s">
        <v>40</v>
      </c>
      <c r="Q2199" s="1" t="s">
        <v>41</v>
      </c>
      <c r="R2199" s="1" t="s">
        <v>0</v>
      </c>
      <c r="S2199" s="1" t="s">
        <v>45</v>
      </c>
      <c r="T2199" s="1">
        <v>2016</v>
      </c>
      <c r="U2199" s="1">
        <v>9</v>
      </c>
      <c r="V2199" s="50">
        <v>42614</v>
      </c>
      <c r="W2199" s="4">
        <v>2435.04</v>
      </c>
      <c r="X2199" s="48">
        <v>2736</v>
      </c>
    </row>
    <row r="2200" spans="2:24" x14ac:dyDescent="0.35">
      <c r="B2200" s="8" t="s">
        <v>7</v>
      </c>
      <c r="C2200" s="8" t="s">
        <v>32</v>
      </c>
      <c r="D2200" s="8" t="s">
        <v>8</v>
      </c>
      <c r="E2200" s="8" t="s">
        <v>27</v>
      </c>
      <c r="F2200" s="6" t="s">
        <v>28</v>
      </c>
      <c r="G2200" s="8">
        <v>2016</v>
      </c>
      <c r="H2200" s="8">
        <v>9</v>
      </c>
      <c r="I2200" s="10">
        <v>42614</v>
      </c>
      <c r="J2200" s="11">
        <v>4865</v>
      </c>
      <c r="K2200" s="51"/>
      <c r="O2200" s="1" t="s">
        <v>7</v>
      </c>
      <c r="P2200" s="1" t="s">
        <v>32</v>
      </c>
      <c r="Q2200" s="1" t="s">
        <v>8</v>
      </c>
      <c r="R2200" s="1" t="s">
        <v>27</v>
      </c>
      <c r="S2200" t="s">
        <v>28</v>
      </c>
      <c r="T2200" s="1">
        <v>2016</v>
      </c>
      <c r="U2200" s="1">
        <v>9</v>
      </c>
      <c r="V2200" s="50">
        <v>42614</v>
      </c>
      <c r="W2200" s="4">
        <v>4475.7999999999993</v>
      </c>
      <c r="X2200" s="48">
        <v>4865</v>
      </c>
    </row>
    <row r="2201" spans="2:24" x14ac:dyDescent="0.35">
      <c r="B2201" s="8" t="s">
        <v>7</v>
      </c>
      <c r="C2201" s="8" t="s">
        <v>32</v>
      </c>
      <c r="D2201" s="8" t="s">
        <v>8</v>
      </c>
      <c r="E2201" s="8" t="s">
        <v>27</v>
      </c>
      <c r="F2201" s="6" t="s">
        <v>31</v>
      </c>
      <c r="G2201" s="8">
        <v>2016</v>
      </c>
      <c r="H2201" s="8">
        <v>9</v>
      </c>
      <c r="I2201" s="10">
        <v>42614</v>
      </c>
      <c r="J2201" s="11">
        <v>3704</v>
      </c>
      <c r="K2201" s="51"/>
      <c r="O2201" s="1" t="s">
        <v>7</v>
      </c>
      <c r="P2201" s="1" t="s">
        <v>32</v>
      </c>
      <c r="Q2201" s="1" t="s">
        <v>8</v>
      </c>
      <c r="R2201" s="1" t="s">
        <v>27</v>
      </c>
      <c r="S2201" t="s">
        <v>31</v>
      </c>
      <c r="T2201" s="1">
        <v>2016</v>
      </c>
      <c r="U2201" s="1">
        <v>9</v>
      </c>
      <c r="V2201" s="50">
        <v>42614</v>
      </c>
      <c r="W2201" s="4">
        <v>3296.5599999999995</v>
      </c>
      <c r="X2201" s="48">
        <v>3704</v>
      </c>
    </row>
    <row r="2202" spans="2:24" x14ac:dyDescent="0.35">
      <c r="B2202" s="8" t="s">
        <v>6</v>
      </c>
      <c r="C2202" s="8" t="s">
        <v>29</v>
      </c>
      <c r="D2202" s="8" t="s">
        <v>30</v>
      </c>
      <c r="E2202" s="8" t="s">
        <v>23</v>
      </c>
      <c r="F2202" s="6" t="s">
        <v>24</v>
      </c>
      <c r="G2202" s="8">
        <v>2016</v>
      </c>
      <c r="H2202" s="8">
        <v>9</v>
      </c>
      <c r="I2202" s="10">
        <v>42614</v>
      </c>
      <c r="J2202" s="11">
        <v>1585</v>
      </c>
      <c r="K2202" s="51"/>
      <c r="O2202" s="1" t="s">
        <v>6</v>
      </c>
      <c r="P2202" s="1" t="s">
        <v>29</v>
      </c>
      <c r="Q2202" s="1" t="s">
        <v>30</v>
      </c>
      <c r="R2202" s="1" t="s">
        <v>23</v>
      </c>
      <c r="S2202" t="s">
        <v>24</v>
      </c>
      <c r="T2202" s="1">
        <v>2016</v>
      </c>
      <c r="U2202" s="1">
        <v>9</v>
      </c>
      <c r="V2202" s="50">
        <v>42614</v>
      </c>
      <c r="W2202" s="4">
        <v>1347.2500000000002</v>
      </c>
      <c r="X2202" s="48">
        <v>1585</v>
      </c>
    </row>
    <row r="2203" spans="2:24" x14ac:dyDescent="0.35">
      <c r="B2203" s="8" t="s">
        <v>7</v>
      </c>
      <c r="C2203" s="8" t="s">
        <v>48</v>
      </c>
      <c r="D2203" s="8" t="s">
        <v>9</v>
      </c>
      <c r="E2203" s="9" t="s">
        <v>0</v>
      </c>
      <c r="F2203" s="9" t="s">
        <v>42</v>
      </c>
      <c r="G2203" s="8">
        <v>2016</v>
      </c>
      <c r="H2203" s="8">
        <v>9</v>
      </c>
      <c r="I2203" s="10">
        <v>42614</v>
      </c>
      <c r="J2203" s="11">
        <v>5890</v>
      </c>
      <c r="K2203" s="51"/>
      <c r="O2203" s="1" t="s">
        <v>7</v>
      </c>
      <c r="P2203" s="1" t="s">
        <v>48</v>
      </c>
      <c r="Q2203" s="1" t="s">
        <v>9</v>
      </c>
      <c r="R2203" s="2" t="s">
        <v>0</v>
      </c>
      <c r="S2203" s="2" t="s">
        <v>42</v>
      </c>
      <c r="T2203" s="1">
        <v>2016</v>
      </c>
      <c r="U2203" s="1">
        <v>9</v>
      </c>
      <c r="V2203" s="50">
        <v>42614</v>
      </c>
      <c r="W2203" s="4">
        <v>5242.0999999999995</v>
      </c>
      <c r="X2203" s="48">
        <v>5890</v>
      </c>
    </row>
    <row r="2204" spans="2:24" x14ac:dyDescent="0.35">
      <c r="B2204" s="8" t="s">
        <v>7</v>
      </c>
      <c r="C2204" s="8" t="s">
        <v>48</v>
      </c>
      <c r="D2204" s="8" t="s">
        <v>9</v>
      </c>
      <c r="E2204" s="8" t="s">
        <v>0</v>
      </c>
      <c r="F2204" s="9" t="s">
        <v>26</v>
      </c>
      <c r="G2204" s="8">
        <v>2016</v>
      </c>
      <c r="H2204" s="8">
        <v>9</v>
      </c>
      <c r="I2204" s="10">
        <v>42614</v>
      </c>
      <c r="J2204" s="11">
        <v>3108</v>
      </c>
      <c r="K2204" s="51"/>
      <c r="O2204" s="1" t="s">
        <v>7</v>
      </c>
      <c r="P2204" s="1" t="s">
        <v>48</v>
      </c>
      <c r="Q2204" s="1" t="s">
        <v>9</v>
      </c>
      <c r="R2204" s="1" t="s">
        <v>0</v>
      </c>
      <c r="S2204" s="2" t="s">
        <v>26</v>
      </c>
      <c r="T2204" s="1">
        <v>2016</v>
      </c>
      <c r="U2204" s="1">
        <v>9</v>
      </c>
      <c r="V2204" s="50">
        <v>42614</v>
      </c>
      <c r="W2204" s="4">
        <v>2672.88</v>
      </c>
      <c r="X2204" s="48">
        <v>3108</v>
      </c>
    </row>
    <row r="2205" spans="2:24" x14ac:dyDescent="0.35">
      <c r="B2205" s="8" t="s">
        <v>7</v>
      </c>
      <c r="C2205" s="8" t="s">
        <v>49</v>
      </c>
      <c r="D2205" s="8" t="s">
        <v>11</v>
      </c>
      <c r="E2205" s="8" t="s">
        <v>0</v>
      </c>
      <c r="F2205" s="6" t="s">
        <v>45</v>
      </c>
      <c r="G2205" s="8">
        <v>2016</v>
      </c>
      <c r="H2205" s="8">
        <v>9</v>
      </c>
      <c r="I2205" s="10">
        <v>42614</v>
      </c>
      <c r="J2205" s="11">
        <v>3678</v>
      </c>
      <c r="K2205" s="51"/>
      <c r="O2205" s="1" t="s">
        <v>7</v>
      </c>
      <c r="P2205" s="1" t="s">
        <v>49</v>
      </c>
      <c r="Q2205" s="1" t="s">
        <v>11</v>
      </c>
      <c r="R2205" s="1" t="s">
        <v>0</v>
      </c>
      <c r="S2205" t="s">
        <v>45</v>
      </c>
      <c r="T2205" s="1">
        <v>2016</v>
      </c>
      <c r="U2205" s="1">
        <v>9</v>
      </c>
      <c r="V2205" s="50">
        <v>42614</v>
      </c>
      <c r="W2205" s="4">
        <v>3236.6399999999994</v>
      </c>
      <c r="X2205" s="48">
        <v>3678</v>
      </c>
    </row>
    <row r="2206" spans="2:24" x14ac:dyDescent="0.35">
      <c r="B2206" s="8" t="s">
        <v>7</v>
      </c>
      <c r="C2206" s="8" t="s">
        <v>49</v>
      </c>
      <c r="D2206" s="8" t="s">
        <v>11</v>
      </c>
      <c r="E2206" s="8" t="s">
        <v>27</v>
      </c>
      <c r="F2206" s="8" t="s">
        <v>28</v>
      </c>
      <c r="G2206" s="8">
        <v>2016</v>
      </c>
      <c r="H2206" s="8">
        <v>9</v>
      </c>
      <c r="I2206" s="10">
        <v>42614</v>
      </c>
      <c r="J2206" s="11">
        <v>4382</v>
      </c>
      <c r="K2206" s="51"/>
      <c r="O2206" s="1" t="s">
        <v>7</v>
      </c>
      <c r="P2206" s="1" t="s">
        <v>49</v>
      </c>
      <c r="Q2206" s="1" t="s">
        <v>11</v>
      </c>
      <c r="R2206" s="1" t="s">
        <v>27</v>
      </c>
      <c r="S2206" s="1" t="s">
        <v>28</v>
      </c>
      <c r="T2206" s="1">
        <v>2016</v>
      </c>
      <c r="U2206" s="1">
        <v>9</v>
      </c>
      <c r="V2206" s="50">
        <v>42614</v>
      </c>
      <c r="W2206" s="4">
        <v>3987.62</v>
      </c>
      <c r="X2206" s="48">
        <v>4382</v>
      </c>
    </row>
    <row r="2207" spans="2:24" x14ac:dyDescent="0.35">
      <c r="B2207" s="8" t="s">
        <v>12</v>
      </c>
      <c r="C2207" s="8" t="s">
        <v>34</v>
      </c>
      <c r="D2207" s="8" t="s">
        <v>35</v>
      </c>
      <c r="E2207" s="8" t="s">
        <v>27</v>
      </c>
      <c r="F2207" s="8" t="s">
        <v>31</v>
      </c>
      <c r="G2207" s="8">
        <v>2016</v>
      </c>
      <c r="H2207" s="8">
        <v>9</v>
      </c>
      <c r="I2207" s="10">
        <v>42614</v>
      </c>
      <c r="J2207" s="11">
        <v>4405</v>
      </c>
      <c r="K2207" s="51"/>
      <c r="O2207" s="1" t="s">
        <v>12</v>
      </c>
      <c r="P2207" s="1" t="s">
        <v>34</v>
      </c>
      <c r="Q2207" s="1" t="s">
        <v>35</v>
      </c>
      <c r="R2207" s="1" t="s">
        <v>27</v>
      </c>
      <c r="S2207" s="1" t="s">
        <v>31</v>
      </c>
      <c r="T2207" s="1">
        <v>2016</v>
      </c>
      <c r="U2207" s="1">
        <v>9</v>
      </c>
      <c r="V2207" s="50">
        <v>42614</v>
      </c>
      <c r="W2207" s="4">
        <v>3788.3</v>
      </c>
      <c r="X2207" s="48">
        <v>4405</v>
      </c>
    </row>
    <row r="2208" spans="2:24" x14ac:dyDescent="0.35">
      <c r="B2208" s="8" t="s">
        <v>12</v>
      </c>
      <c r="C2208" s="8" t="s">
        <v>34</v>
      </c>
      <c r="D2208" s="8" t="s">
        <v>35</v>
      </c>
      <c r="E2208" s="8" t="s">
        <v>27</v>
      </c>
      <c r="F2208" s="8" t="s">
        <v>33</v>
      </c>
      <c r="G2208" s="8">
        <v>2016</v>
      </c>
      <c r="H2208" s="8">
        <v>9</v>
      </c>
      <c r="I2208" s="10">
        <v>42614</v>
      </c>
      <c r="J2208" s="11">
        <v>3581</v>
      </c>
      <c r="K2208" s="51"/>
      <c r="O2208" s="1" t="s">
        <v>12</v>
      </c>
      <c r="P2208" s="1" t="s">
        <v>34</v>
      </c>
      <c r="Q2208" s="1" t="s">
        <v>35</v>
      </c>
      <c r="R2208" s="1" t="s">
        <v>27</v>
      </c>
      <c r="S2208" s="1" t="s">
        <v>33</v>
      </c>
      <c r="T2208" s="1">
        <v>2016</v>
      </c>
      <c r="U2208" s="1">
        <v>9</v>
      </c>
      <c r="V2208" s="50">
        <v>42614</v>
      </c>
      <c r="W2208" s="4">
        <v>3222.8999999999996</v>
      </c>
      <c r="X2208" s="48">
        <v>3581</v>
      </c>
    </row>
    <row r="2209" spans="2:24" x14ac:dyDescent="0.35">
      <c r="B2209" s="8" t="s">
        <v>14</v>
      </c>
      <c r="C2209" s="8" t="s">
        <v>37</v>
      </c>
      <c r="D2209" s="8" t="s">
        <v>38</v>
      </c>
      <c r="E2209" s="8" t="s">
        <v>23</v>
      </c>
      <c r="F2209" s="6" t="s">
        <v>36</v>
      </c>
      <c r="G2209" s="8">
        <v>2016</v>
      </c>
      <c r="H2209" s="8">
        <v>9</v>
      </c>
      <c r="I2209" s="10">
        <v>42614</v>
      </c>
      <c r="J2209" s="11">
        <v>1519</v>
      </c>
      <c r="K2209" s="51"/>
      <c r="O2209" s="1" t="s">
        <v>14</v>
      </c>
      <c r="P2209" s="1" t="s">
        <v>37</v>
      </c>
      <c r="Q2209" s="1" t="s">
        <v>38</v>
      </c>
      <c r="R2209" s="1" t="s">
        <v>23</v>
      </c>
      <c r="S2209" t="s">
        <v>36</v>
      </c>
      <c r="T2209" s="1">
        <v>2016</v>
      </c>
      <c r="U2209" s="1">
        <v>9</v>
      </c>
      <c r="V2209" s="50">
        <v>42614</v>
      </c>
      <c r="W2209" s="4">
        <v>1306.3400000000001</v>
      </c>
      <c r="X2209" s="48">
        <v>1519</v>
      </c>
    </row>
    <row r="2210" spans="2:24" x14ac:dyDescent="0.35">
      <c r="B2210" s="8" t="s">
        <v>12</v>
      </c>
      <c r="C2210" s="8" t="s">
        <v>44</v>
      </c>
      <c r="D2210" s="8" t="s">
        <v>13</v>
      </c>
      <c r="E2210" s="8" t="s">
        <v>23</v>
      </c>
      <c r="F2210" s="6" t="s">
        <v>39</v>
      </c>
      <c r="G2210" s="8">
        <v>2016</v>
      </c>
      <c r="H2210" s="8">
        <v>9</v>
      </c>
      <c r="I2210" s="10">
        <v>42614</v>
      </c>
      <c r="J2210" s="11">
        <v>1611</v>
      </c>
      <c r="K2210" s="51"/>
      <c r="O2210" s="1" t="s">
        <v>12</v>
      </c>
      <c r="P2210" s="1" t="s">
        <v>44</v>
      </c>
      <c r="Q2210" s="1" t="s">
        <v>13</v>
      </c>
      <c r="R2210" s="1" t="s">
        <v>23</v>
      </c>
      <c r="S2210" t="s">
        <v>39</v>
      </c>
      <c r="T2210" s="1">
        <v>2016</v>
      </c>
      <c r="U2210" s="1">
        <v>9</v>
      </c>
      <c r="V2210" s="50">
        <v>42614</v>
      </c>
      <c r="W2210" s="4">
        <v>1466.0099999999998</v>
      </c>
      <c r="X2210" s="48">
        <v>1611</v>
      </c>
    </row>
    <row r="2211" spans="2:24" x14ac:dyDescent="0.35">
      <c r="B2211" s="8" t="s">
        <v>12</v>
      </c>
      <c r="C2211" s="8" t="s">
        <v>44</v>
      </c>
      <c r="D2211" s="8" t="s">
        <v>13</v>
      </c>
      <c r="E2211" s="8" t="s">
        <v>0</v>
      </c>
      <c r="F2211" s="6" t="s">
        <v>42</v>
      </c>
      <c r="G2211" s="8">
        <v>2016</v>
      </c>
      <c r="H2211" s="8">
        <v>9</v>
      </c>
      <c r="I2211" s="10">
        <v>42614</v>
      </c>
      <c r="J2211" s="11">
        <v>4161</v>
      </c>
      <c r="K2211" s="51"/>
      <c r="O2211" s="1" t="s">
        <v>12</v>
      </c>
      <c r="P2211" s="1" t="s">
        <v>44</v>
      </c>
      <c r="Q2211" s="1" t="s">
        <v>13</v>
      </c>
      <c r="R2211" s="1" t="s">
        <v>0</v>
      </c>
      <c r="S2211" t="s">
        <v>42</v>
      </c>
      <c r="T2211" s="1">
        <v>2016</v>
      </c>
      <c r="U2211" s="1">
        <v>9</v>
      </c>
      <c r="V2211" s="50">
        <v>42614</v>
      </c>
      <c r="W2211" s="4">
        <v>3703.2899999999995</v>
      </c>
      <c r="X2211" s="48">
        <v>4161</v>
      </c>
    </row>
    <row r="2212" spans="2:24" x14ac:dyDescent="0.35">
      <c r="B2212" s="8" t="s">
        <v>14</v>
      </c>
      <c r="C2212" s="8" t="s">
        <v>46</v>
      </c>
      <c r="D2212" s="8" t="s">
        <v>47</v>
      </c>
      <c r="E2212" s="9" t="s">
        <v>0</v>
      </c>
      <c r="F2212" s="9" t="s">
        <v>26</v>
      </c>
      <c r="G2212" s="8">
        <v>2016</v>
      </c>
      <c r="H2212" s="8">
        <v>9</v>
      </c>
      <c r="I2212" s="10">
        <v>42614</v>
      </c>
      <c r="J2212" s="11">
        <v>5224</v>
      </c>
      <c r="K2212" s="51"/>
      <c r="O2212" s="1" t="s">
        <v>14</v>
      </c>
      <c r="P2212" s="1" t="s">
        <v>46</v>
      </c>
      <c r="Q2212" s="1" t="s">
        <v>47</v>
      </c>
      <c r="R2212" s="2" t="s">
        <v>0</v>
      </c>
      <c r="S2212" s="2" t="s">
        <v>26</v>
      </c>
      <c r="T2212" s="1">
        <v>2016</v>
      </c>
      <c r="U2212" s="1">
        <v>9</v>
      </c>
      <c r="V2212" s="50">
        <v>42614</v>
      </c>
      <c r="W2212" s="4">
        <v>4649.3599999999997</v>
      </c>
      <c r="X2212" s="48">
        <v>5224</v>
      </c>
    </row>
    <row r="2213" spans="2:24" x14ac:dyDescent="0.35">
      <c r="B2213" s="8" t="s">
        <v>14</v>
      </c>
      <c r="C2213" s="8" t="s">
        <v>46</v>
      </c>
      <c r="D2213" s="8" t="s">
        <v>47</v>
      </c>
      <c r="E2213" s="8" t="s">
        <v>0</v>
      </c>
      <c r="F2213" s="9" t="s">
        <v>45</v>
      </c>
      <c r="G2213" s="8">
        <v>2016</v>
      </c>
      <c r="H2213" s="8">
        <v>9</v>
      </c>
      <c r="I2213" s="10">
        <v>42614</v>
      </c>
      <c r="J2213" s="11">
        <v>3210</v>
      </c>
      <c r="K2213" s="51"/>
      <c r="O2213" s="1" t="s">
        <v>14</v>
      </c>
      <c r="P2213" s="1" t="s">
        <v>46</v>
      </c>
      <c r="Q2213" s="1" t="s">
        <v>47</v>
      </c>
      <c r="R2213" s="1" t="s">
        <v>0</v>
      </c>
      <c r="S2213" s="2" t="s">
        <v>45</v>
      </c>
      <c r="T2213" s="1">
        <v>2016</v>
      </c>
      <c r="U2213" s="1">
        <v>9</v>
      </c>
      <c r="V2213" s="50">
        <v>42614</v>
      </c>
      <c r="W2213" s="4">
        <v>2921.1</v>
      </c>
      <c r="X2213" s="48">
        <v>3210</v>
      </c>
    </row>
    <row r="2214" spans="2:24" x14ac:dyDescent="0.35">
      <c r="B2214" s="8" t="s">
        <v>3</v>
      </c>
      <c r="C2214" s="8" t="s">
        <v>25</v>
      </c>
      <c r="D2214" s="8" t="s">
        <v>4</v>
      </c>
      <c r="E2214" s="8" t="s">
        <v>27</v>
      </c>
      <c r="F2214" s="6" t="s">
        <v>33</v>
      </c>
      <c r="G2214" s="8">
        <v>2016</v>
      </c>
      <c r="H2214" s="8">
        <v>9</v>
      </c>
      <c r="I2214" s="10">
        <v>42614</v>
      </c>
      <c r="J2214" s="11">
        <v>3286</v>
      </c>
      <c r="K2214" s="51"/>
      <c r="O2214" s="1" t="s">
        <v>3</v>
      </c>
      <c r="P2214" s="1" t="s">
        <v>25</v>
      </c>
      <c r="Q2214" s="1" t="s">
        <v>4</v>
      </c>
      <c r="R2214" s="1" t="s">
        <v>27</v>
      </c>
      <c r="S2214" t="s">
        <v>33</v>
      </c>
      <c r="T2214" s="1">
        <v>2016</v>
      </c>
      <c r="U2214" s="1">
        <v>9</v>
      </c>
      <c r="V2214" s="50">
        <v>42614</v>
      </c>
      <c r="W2214" s="4">
        <v>2924.5399999999995</v>
      </c>
      <c r="X2214" s="48">
        <v>3286</v>
      </c>
    </row>
    <row r="2215" spans="2:24" x14ac:dyDescent="0.35">
      <c r="B2215" s="8" t="s">
        <v>3</v>
      </c>
      <c r="C2215" s="8" t="s">
        <v>25</v>
      </c>
      <c r="D2215" s="8" t="s">
        <v>4</v>
      </c>
      <c r="E2215" s="8" t="s">
        <v>23</v>
      </c>
      <c r="F2215" s="8" t="s">
        <v>36</v>
      </c>
      <c r="G2215" s="8">
        <v>2016</v>
      </c>
      <c r="H2215" s="8">
        <v>9</v>
      </c>
      <c r="I2215" s="10">
        <v>42614</v>
      </c>
      <c r="J2215" s="11">
        <v>2683</v>
      </c>
      <c r="K2215" s="51"/>
      <c r="O2215" s="1" t="s">
        <v>3</v>
      </c>
      <c r="P2215" s="1" t="s">
        <v>25</v>
      </c>
      <c r="Q2215" s="1" t="s">
        <v>4</v>
      </c>
      <c r="R2215" s="1" t="s">
        <v>23</v>
      </c>
      <c r="S2215" s="1" t="s">
        <v>36</v>
      </c>
      <c r="T2215" s="1">
        <v>2016</v>
      </c>
      <c r="U2215" s="1">
        <v>9</v>
      </c>
      <c r="V2215" s="50">
        <v>42614</v>
      </c>
      <c r="W2215" s="4">
        <v>2334.21</v>
      </c>
      <c r="X2215" s="48">
        <v>2683</v>
      </c>
    </row>
    <row r="2216" spans="2:24" x14ac:dyDescent="0.35">
      <c r="B2216" s="8" t="s">
        <v>6</v>
      </c>
      <c r="C2216" s="8" t="s">
        <v>40</v>
      </c>
      <c r="D2216" s="8" t="s">
        <v>41</v>
      </c>
      <c r="E2216" s="8" t="s">
        <v>23</v>
      </c>
      <c r="F2216" s="8" t="s">
        <v>39</v>
      </c>
      <c r="G2216" s="8">
        <v>2016</v>
      </c>
      <c r="H2216" s="8">
        <v>9</v>
      </c>
      <c r="I2216" s="10">
        <v>42614</v>
      </c>
      <c r="J2216" s="11">
        <v>1498</v>
      </c>
      <c r="K2216" s="51"/>
      <c r="O2216" s="1" t="s">
        <v>6</v>
      </c>
      <c r="P2216" s="1" t="s">
        <v>40</v>
      </c>
      <c r="Q2216" s="1" t="s">
        <v>41</v>
      </c>
      <c r="R2216" s="1" t="s">
        <v>23</v>
      </c>
      <c r="S2216" s="1" t="s">
        <v>39</v>
      </c>
      <c r="T2216" s="1">
        <v>2016</v>
      </c>
      <c r="U2216" s="1">
        <v>9</v>
      </c>
      <c r="V2216" s="50">
        <v>42614</v>
      </c>
      <c r="W2216" s="4">
        <v>1303.2600000000002</v>
      </c>
      <c r="X2216" s="48">
        <v>1498</v>
      </c>
    </row>
    <row r="2217" spans="2:24" x14ac:dyDescent="0.35">
      <c r="B2217" s="8" t="s">
        <v>7</v>
      </c>
      <c r="C2217" s="8" t="s">
        <v>48</v>
      </c>
      <c r="D2217" s="8" t="s">
        <v>9</v>
      </c>
      <c r="E2217" s="8" t="s">
        <v>0</v>
      </c>
      <c r="F2217" s="8" t="s">
        <v>45</v>
      </c>
      <c r="G2217" s="8">
        <v>2016</v>
      </c>
      <c r="H2217" s="8">
        <v>9</v>
      </c>
      <c r="I2217" s="10">
        <v>42614</v>
      </c>
      <c r="J2217" s="11">
        <v>4226</v>
      </c>
      <c r="K2217" s="51"/>
      <c r="O2217" s="1" t="s">
        <v>7</v>
      </c>
      <c r="P2217" s="1" t="s">
        <v>48</v>
      </c>
      <c r="Q2217" s="1" t="s">
        <v>9</v>
      </c>
      <c r="R2217" s="1" t="s">
        <v>0</v>
      </c>
      <c r="S2217" s="1" t="s">
        <v>45</v>
      </c>
      <c r="T2217" s="1">
        <v>2016</v>
      </c>
      <c r="U2217" s="1">
        <v>9</v>
      </c>
      <c r="V2217" s="50">
        <v>42614</v>
      </c>
      <c r="W2217" s="4">
        <v>3845.66</v>
      </c>
      <c r="X2217" s="48">
        <v>4226</v>
      </c>
    </row>
    <row r="2218" spans="2:24" x14ac:dyDescent="0.35">
      <c r="B2218" s="8" t="s">
        <v>7</v>
      </c>
      <c r="C2218" s="8" t="s">
        <v>49</v>
      </c>
      <c r="D2218" s="8" t="s">
        <v>11</v>
      </c>
      <c r="E2218" s="8" t="s">
        <v>27</v>
      </c>
      <c r="F2218" s="6" t="s">
        <v>31</v>
      </c>
      <c r="G2218" s="8">
        <v>2016</v>
      </c>
      <c r="H2218" s="8">
        <v>9</v>
      </c>
      <c r="I2218" s="10">
        <v>42614</v>
      </c>
      <c r="J2218" s="11">
        <v>3613</v>
      </c>
      <c r="K2218" s="51"/>
      <c r="O2218" s="1" t="s">
        <v>7</v>
      </c>
      <c r="P2218" s="1" t="s">
        <v>49</v>
      </c>
      <c r="Q2218" s="1" t="s">
        <v>11</v>
      </c>
      <c r="R2218" s="1" t="s">
        <v>27</v>
      </c>
      <c r="S2218" t="s">
        <v>31</v>
      </c>
      <c r="T2218" s="1">
        <v>2016</v>
      </c>
      <c r="U2218" s="1">
        <v>9</v>
      </c>
      <c r="V2218" s="50">
        <v>42614</v>
      </c>
      <c r="W2218" s="4">
        <v>3287.83</v>
      </c>
      <c r="X2218" s="48">
        <v>3613</v>
      </c>
    </row>
    <row r="2219" spans="2:24" x14ac:dyDescent="0.35">
      <c r="B2219" s="8" t="s">
        <v>7</v>
      </c>
      <c r="C2219" s="8" t="s">
        <v>43</v>
      </c>
      <c r="D2219" s="8" t="s">
        <v>10</v>
      </c>
      <c r="E2219" s="8" t="s">
        <v>27</v>
      </c>
      <c r="F2219" s="6" t="s">
        <v>33</v>
      </c>
      <c r="G2219" s="8">
        <v>2016</v>
      </c>
      <c r="H2219" s="8">
        <v>9</v>
      </c>
      <c r="I2219" s="10">
        <v>42614</v>
      </c>
      <c r="J2219" s="11">
        <v>3562</v>
      </c>
      <c r="K2219" s="51"/>
      <c r="O2219" s="1" t="s">
        <v>7</v>
      </c>
      <c r="P2219" s="1" t="s">
        <v>43</v>
      </c>
      <c r="Q2219" s="1" t="s">
        <v>10</v>
      </c>
      <c r="R2219" s="1" t="s">
        <v>27</v>
      </c>
      <c r="S2219" t="s">
        <v>33</v>
      </c>
      <c r="T2219" s="1">
        <v>2016</v>
      </c>
      <c r="U2219" s="1">
        <v>9</v>
      </c>
      <c r="V2219" s="50">
        <v>42614</v>
      </c>
      <c r="W2219" s="4">
        <v>3098.9400000000005</v>
      </c>
      <c r="X2219" s="48">
        <v>3562</v>
      </c>
    </row>
    <row r="2220" spans="2:24" x14ac:dyDescent="0.35">
      <c r="B2220" s="8" t="s">
        <v>7</v>
      </c>
      <c r="C2220" s="8" t="s">
        <v>32</v>
      </c>
      <c r="D2220" s="8" t="s">
        <v>8</v>
      </c>
      <c r="E2220" s="8" t="s">
        <v>0</v>
      </c>
      <c r="F2220" s="6" t="s">
        <v>45</v>
      </c>
      <c r="G2220" s="8">
        <v>2016</v>
      </c>
      <c r="H2220" s="8">
        <v>9</v>
      </c>
      <c r="I2220" s="10">
        <v>42614</v>
      </c>
      <c r="J2220" s="11">
        <v>4483</v>
      </c>
      <c r="K2220" s="51"/>
      <c r="O2220" s="1" t="s">
        <v>7</v>
      </c>
      <c r="P2220" s="1" t="s">
        <v>32</v>
      </c>
      <c r="Q2220" s="1" t="s">
        <v>8</v>
      </c>
      <c r="R2220" s="1" t="s">
        <v>0</v>
      </c>
      <c r="S2220" t="s">
        <v>45</v>
      </c>
      <c r="T2220" s="1">
        <v>2016</v>
      </c>
      <c r="U2220" s="1">
        <v>9</v>
      </c>
      <c r="V2220" s="50">
        <v>42614</v>
      </c>
      <c r="W2220" s="4">
        <v>4079.5299999999997</v>
      </c>
      <c r="X2220" s="48">
        <v>4483</v>
      </c>
    </row>
    <row r="2221" spans="2:24" x14ac:dyDescent="0.35">
      <c r="B2221" s="8" t="s">
        <v>7</v>
      </c>
      <c r="C2221" s="8" t="s">
        <v>48</v>
      </c>
      <c r="D2221" s="8" t="s">
        <v>9</v>
      </c>
      <c r="E2221" s="9" t="s">
        <v>23</v>
      </c>
      <c r="F2221" s="9" t="s">
        <v>39</v>
      </c>
      <c r="G2221" s="8">
        <v>2016</v>
      </c>
      <c r="H2221" s="8">
        <v>9</v>
      </c>
      <c r="I2221" s="10">
        <v>42614</v>
      </c>
      <c r="J2221" s="11">
        <v>1460</v>
      </c>
      <c r="K2221" s="51"/>
      <c r="O2221" s="1" t="s">
        <v>7</v>
      </c>
      <c r="P2221" s="1" t="s">
        <v>48</v>
      </c>
      <c r="Q2221" s="1" t="s">
        <v>9</v>
      </c>
      <c r="R2221" s="2" t="s">
        <v>23</v>
      </c>
      <c r="S2221" s="2" t="s">
        <v>39</v>
      </c>
      <c r="T2221" s="1">
        <v>2016</v>
      </c>
      <c r="U2221" s="1">
        <v>9</v>
      </c>
      <c r="V2221" s="50">
        <v>42614</v>
      </c>
      <c r="W2221" s="4">
        <v>1299.3999999999999</v>
      </c>
      <c r="X2221" s="48">
        <v>1460</v>
      </c>
    </row>
    <row r="2222" spans="2:24" x14ac:dyDescent="0.35">
      <c r="B2222" s="8" t="s">
        <v>7</v>
      </c>
      <c r="C2222" s="8" t="s">
        <v>49</v>
      </c>
      <c r="D2222" s="8" t="s">
        <v>11</v>
      </c>
      <c r="E2222" s="8" t="s">
        <v>0</v>
      </c>
      <c r="F2222" s="9" t="s">
        <v>26</v>
      </c>
      <c r="G2222" s="8">
        <v>2016</v>
      </c>
      <c r="H2222" s="8">
        <v>9</v>
      </c>
      <c r="I2222" s="10">
        <v>42614</v>
      </c>
      <c r="J2222" s="11">
        <v>4748</v>
      </c>
      <c r="K2222" s="51"/>
      <c r="O2222" s="1" t="s">
        <v>7</v>
      </c>
      <c r="P2222" s="1" t="s">
        <v>49</v>
      </c>
      <c r="Q2222" s="1" t="s">
        <v>11</v>
      </c>
      <c r="R2222" s="1" t="s">
        <v>0</v>
      </c>
      <c r="S2222" s="2" t="s">
        <v>26</v>
      </c>
      <c r="T2222" s="1">
        <v>2016</v>
      </c>
      <c r="U2222" s="1">
        <v>9</v>
      </c>
      <c r="V2222" s="50">
        <v>42614</v>
      </c>
      <c r="W2222" s="4">
        <v>4368.16</v>
      </c>
      <c r="X2222" s="48">
        <v>4748</v>
      </c>
    </row>
    <row r="2223" spans="2:24" x14ac:dyDescent="0.35">
      <c r="B2223" s="8" t="s">
        <v>12</v>
      </c>
      <c r="C2223" s="8" t="s">
        <v>34</v>
      </c>
      <c r="D2223" s="8" t="s">
        <v>35</v>
      </c>
      <c r="E2223" s="8" t="s">
        <v>27</v>
      </c>
      <c r="F2223" s="6" t="s">
        <v>28</v>
      </c>
      <c r="G2223" s="8">
        <v>2016</v>
      </c>
      <c r="H2223" s="8">
        <v>9</v>
      </c>
      <c r="I2223" s="10">
        <v>42614</v>
      </c>
      <c r="J2223" s="11">
        <v>4527</v>
      </c>
      <c r="K2223" s="51"/>
      <c r="O2223" s="1" t="s">
        <v>12</v>
      </c>
      <c r="P2223" s="1" t="s">
        <v>34</v>
      </c>
      <c r="Q2223" s="1" t="s">
        <v>35</v>
      </c>
      <c r="R2223" s="1" t="s">
        <v>27</v>
      </c>
      <c r="S2223" t="s">
        <v>28</v>
      </c>
      <c r="T2223" s="1">
        <v>2016</v>
      </c>
      <c r="U2223" s="1">
        <v>9</v>
      </c>
      <c r="V2223" s="50">
        <v>42614</v>
      </c>
      <c r="W2223" s="4">
        <v>4119.57</v>
      </c>
      <c r="X2223" s="48">
        <v>4527</v>
      </c>
    </row>
    <row r="2224" spans="2:24" x14ac:dyDescent="0.35">
      <c r="B2224" s="8" t="s">
        <v>14</v>
      </c>
      <c r="C2224" s="8" t="s">
        <v>37</v>
      </c>
      <c r="D2224" s="8" t="s">
        <v>38</v>
      </c>
      <c r="E2224" s="8" t="s">
        <v>27</v>
      </c>
      <c r="F2224" s="8" t="s">
        <v>33</v>
      </c>
      <c r="G2224" s="8">
        <v>2016</v>
      </c>
      <c r="H2224" s="8">
        <v>9</v>
      </c>
      <c r="I2224" s="10">
        <v>42614</v>
      </c>
      <c r="J2224" s="11">
        <v>3668</v>
      </c>
      <c r="K2224" s="51"/>
      <c r="O2224" s="1" t="s">
        <v>14</v>
      </c>
      <c r="P2224" s="1" t="s">
        <v>37</v>
      </c>
      <c r="Q2224" s="1" t="s">
        <v>38</v>
      </c>
      <c r="R2224" s="1" t="s">
        <v>27</v>
      </c>
      <c r="S2224" s="1" t="s">
        <v>33</v>
      </c>
      <c r="T2224" s="1">
        <v>2016</v>
      </c>
      <c r="U2224" s="1">
        <v>9</v>
      </c>
      <c r="V2224" s="50">
        <v>42614</v>
      </c>
      <c r="W2224" s="4">
        <v>3301.2</v>
      </c>
      <c r="X2224" s="48">
        <v>3668</v>
      </c>
    </row>
    <row r="2225" spans="2:24" x14ac:dyDescent="0.35">
      <c r="B2225" s="8" t="s">
        <v>12</v>
      </c>
      <c r="C2225" s="8" t="s">
        <v>44</v>
      </c>
      <c r="D2225" s="8" t="s">
        <v>13</v>
      </c>
      <c r="E2225" s="8" t="s">
        <v>23</v>
      </c>
      <c r="F2225" s="8" t="s">
        <v>24</v>
      </c>
      <c r="G2225" s="8">
        <v>2016</v>
      </c>
      <c r="H2225" s="8">
        <v>9</v>
      </c>
      <c r="I2225" s="10">
        <v>42614</v>
      </c>
      <c r="J2225" s="11">
        <v>1986</v>
      </c>
      <c r="K2225" s="51"/>
      <c r="O2225" s="1" t="s">
        <v>12</v>
      </c>
      <c r="P2225" s="1" t="s">
        <v>44</v>
      </c>
      <c r="Q2225" s="1" t="s">
        <v>13</v>
      </c>
      <c r="R2225" s="1" t="s">
        <v>23</v>
      </c>
      <c r="S2225" s="1" t="s">
        <v>24</v>
      </c>
      <c r="T2225" s="1">
        <v>2016</v>
      </c>
      <c r="U2225" s="1">
        <v>9</v>
      </c>
      <c r="V2225" s="50">
        <v>42614</v>
      </c>
      <c r="W2225" s="4">
        <v>1866.84</v>
      </c>
      <c r="X2225" s="48">
        <v>1986</v>
      </c>
    </row>
    <row r="2226" spans="2:24" x14ac:dyDescent="0.35">
      <c r="B2226" s="8" t="s">
        <v>14</v>
      </c>
      <c r="C2226" s="8" t="s">
        <v>46</v>
      </c>
      <c r="D2226" s="8" t="s">
        <v>47</v>
      </c>
      <c r="E2226" s="8" t="s">
        <v>0</v>
      </c>
      <c r="F2226" s="8" t="s">
        <v>42</v>
      </c>
      <c r="G2226" s="8">
        <v>2016</v>
      </c>
      <c r="H2226" s="8">
        <v>9</v>
      </c>
      <c r="I2226" s="10">
        <v>42614</v>
      </c>
      <c r="J2226" s="11">
        <v>5638</v>
      </c>
      <c r="K2226" s="51"/>
      <c r="O2226" s="1" t="s">
        <v>14</v>
      </c>
      <c r="P2226" s="1" t="s">
        <v>46</v>
      </c>
      <c r="Q2226" s="1" t="s">
        <v>47</v>
      </c>
      <c r="R2226" s="1" t="s">
        <v>0</v>
      </c>
      <c r="S2226" s="1" t="s">
        <v>42</v>
      </c>
      <c r="T2226" s="1">
        <v>2016</v>
      </c>
      <c r="U2226" s="1">
        <v>9</v>
      </c>
      <c r="V2226" s="50">
        <v>42614</v>
      </c>
      <c r="W2226" s="4">
        <v>5186.9599999999991</v>
      </c>
      <c r="X2226" s="48">
        <v>5638</v>
      </c>
    </row>
    <row r="2227" spans="2:24" x14ac:dyDescent="0.35">
      <c r="B2227" s="8" t="s">
        <v>7</v>
      </c>
      <c r="C2227" s="8" t="s">
        <v>48</v>
      </c>
      <c r="D2227" s="8" t="s">
        <v>9</v>
      </c>
      <c r="E2227" s="8" t="s">
        <v>27</v>
      </c>
      <c r="F2227" s="6" t="s">
        <v>33</v>
      </c>
      <c r="G2227" s="8">
        <v>2016</v>
      </c>
      <c r="H2227" s="8">
        <v>9</v>
      </c>
      <c r="I2227" s="10">
        <v>42614</v>
      </c>
      <c r="J2227" s="11">
        <v>3372</v>
      </c>
      <c r="K2227" s="51"/>
      <c r="O2227" s="1" t="s">
        <v>7</v>
      </c>
      <c r="P2227" s="1" t="s">
        <v>48</v>
      </c>
      <c r="Q2227" s="1" t="s">
        <v>9</v>
      </c>
      <c r="R2227" s="1" t="s">
        <v>27</v>
      </c>
      <c r="S2227" t="s">
        <v>33</v>
      </c>
      <c r="T2227" s="1">
        <v>2016</v>
      </c>
      <c r="U2227" s="1">
        <v>9</v>
      </c>
      <c r="V2227" s="50">
        <v>42614</v>
      </c>
      <c r="W2227" s="4">
        <v>2866.2000000000003</v>
      </c>
      <c r="X2227" s="48">
        <v>3372</v>
      </c>
    </row>
    <row r="2228" spans="2:24" x14ac:dyDescent="0.35">
      <c r="B2228" s="8" t="s">
        <v>7</v>
      </c>
      <c r="C2228" s="8" t="s">
        <v>49</v>
      </c>
      <c r="D2228" s="8" t="s">
        <v>11</v>
      </c>
      <c r="E2228" s="8" t="s">
        <v>23</v>
      </c>
      <c r="F2228" s="6" t="s">
        <v>24</v>
      </c>
      <c r="G2228" s="8">
        <v>2016</v>
      </c>
      <c r="H2228" s="8">
        <v>9</v>
      </c>
      <c r="I2228" s="10">
        <v>42614</v>
      </c>
      <c r="J2228" s="11">
        <v>2695</v>
      </c>
      <c r="K2228" s="51"/>
      <c r="O2228" s="1" t="s">
        <v>7</v>
      </c>
      <c r="P2228" s="1" t="s">
        <v>49</v>
      </c>
      <c r="Q2228" s="1" t="s">
        <v>11</v>
      </c>
      <c r="R2228" s="1" t="s">
        <v>23</v>
      </c>
      <c r="S2228" t="s">
        <v>24</v>
      </c>
      <c r="T2228" s="1">
        <v>2016</v>
      </c>
      <c r="U2228" s="1">
        <v>9</v>
      </c>
      <c r="V2228" s="50">
        <v>42614</v>
      </c>
      <c r="W2228" s="4">
        <v>2506.35</v>
      </c>
      <c r="X2228" s="48">
        <v>2695</v>
      </c>
    </row>
    <row r="2229" spans="2:24" x14ac:dyDescent="0.35">
      <c r="B2229" s="8" t="s">
        <v>3</v>
      </c>
      <c r="C2229" s="8" t="s">
        <v>22</v>
      </c>
      <c r="D2229" s="8" t="s">
        <v>5</v>
      </c>
      <c r="E2229" s="8" t="s">
        <v>23</v>
      </c>
      <c r="F2229" s="6" t="s">
        <v>24</v>
      </c>
      <c r="G2229" s="8">
        <v>2016</v>
      </c>
      <c r="H2229" s="8">
        <v>10</v>
      </c>
      <c r="I2229" s="10">
        <v>42644</v>
      </c>
      <c r="J2229" s="11">
        <v>2895</v>
      </c>
      <c r="K2229" s="51"/>
      <c r="O2229" s="1" t="s">
        <v>3</v>
      </c>
      <c r="P2229" s="1" t="s">
        <v>22</v>
      </c>
      <c r="Q2229" s="1" t="s">
        <v>5</v>
      </c>
      <c r="R2229" s="1" t="s">
        <v>23</v>
      </c>
      <c r="S2229" t="s">
        <v>24</v>
      </c>
      <c r="T2229" s="1">
        <v>2016</v>
      </c>
      <c r="U2229" s="1">
        <v>10</v>
      </c>
      <c r="V2229" s="50">
        <v>42644</v>
      </c>
      <c r="W2229" s="4">
        <v>2692.35</v>
      </c>
      <c r="X2229" s="48">
        <v>2895</v>
      </c>
    </row>
    <row r="2230" spans="2:24" x14ac:dyDescent="0.35">
      <c r="B2230" s="8" t="s">
        <v>3</v>
      </c>
      <c r="C2230" s="8" t="s">
        <v>25</v>
      </c>
      <c r="D2230" s="8" t="s">
        <v>4</v>
      </c>
      <c r="E2230" s="9" t="s">
        <v>23</v>
      </c>
      <c r="F2230" s="9" t="s">
        <v>24</v>
      </c>
      <c r="G2230" s="8">
        <v>2016</v>
      </c>
      <c r="H2230" s="8">
        <v>10</v>
      </c>
      <c r="I2230" s="10">
        <v>42644</v>
      </c>
      <c r="J2230" s="11">
        <v>2670</v>
      </c>
      <c r="K2230" s="51"/>
      <c r="O2230" s="1" t="s">
        <v>3</v>
      </c>
      <c r="P2230" s="1" t="s">
        <v>25</v>
      </c>
      <c r="Q2230" s="1" t="s">
        <v>4</v>
      </c>
      <c r="R2230" s="2" t="s">
        <v>23</v>
      </c>
      <c r="S2230" s="2" t="s">
        <v>24</v>
      </c>
      <c r="T2230" s="1">
        <v>2016</v>
      </c>
      <c r="U2230" s="1">
        <v>10</v>
      </c>
      <c r="V2230" s="50">
        <v>42644</v>
      </c>
      <c r="W2230" s="4">
        <v>2403</v>
      </c>
      <c r="X2230" s="48">
        <v>2670</v>
      </c>
    </row>
    <row r="2231" spans="2:24" x14ac:dyDescent="0.35">
      <c r="B2231" s="8" t="s">
        <v>3</v>
      </c>
      <c r="C2231" s="8" t="s">
        <v>25</v>
      </c>
      <c r="D2231" s="8" t="s">
        <v>4</v>
      </c>
      <c r="E2231" s="8" t="s">
        <v>0</v>
      </c>
      <c r="F2231" s="9" t="s">
        <v>26</v>
      </c>
      <c r="G2231" s="8">
        <v>2016</v>
      </c>
      <c r="H2231" s="8">
        <v>10</v>
      </c>
      <c r="I2231" s="10">
        <v>42644</v>
      </c>
      <c r="J2231" s="11">
        <v>4198</v>
      </c>
      <c r="K2231" s="51"/>
      <c r="O2231" s="1" t="s">
        <v>3</v>
      </c>
      <c r="P2231" s="1" t="s">
        <v>25</v>
      </c>
      <c r="Q2231" s="1" t="s">
        <v>4</v>
      </c>
      <c r="R2231" s="1" t="s">
        <v>0</v>
      </c>
      <c r="S2231" s="2" t="s">
        <v>26</v>
      </c>
      <c r="T2231" s="1">
        <v>2016</v>
      </c>
      <c r="U2231" s="1">
        <v>10</v>
      </c>
      <c r="V2231" s="50">
        <v>42644</v>
      </c>
      <c r="W2231" s="4">
        <v>3820.18</v>
      </c>
      <c r="X2231" s="48">
        <v>4198</v>
      </c>
    </row>
    <row r="2232" spans="2:24" x14ac:dyDescent="0.35">
      <c r="B2232" s="8" t="s">
        <v>3</v>
      </c>
      <c r="C2232" s="8" t="s">
        <v>22</v>
      </c>
      <c r="D2232" s="8" t="s">
        <v>5</v>
      </c>
      <c r="E2232" s="8" t="s">
        <v>0</v>
      </c>
      <c r="F2232" s="6" t="s">
        <v>26</v>
      </c>
      <c r="G2232" s="8">
        <v>2016</v>
      </c>
      <c r="H2232" s="8">
        <v>10</v>
      </c>
      <c r="I2232" s="10">
        <v>42644</v>
      </c>
      <c r="J2232" s="11">
        <v>3189</v>
      </c>
      <c r="K2232" s="51"/>
      <c r="O2232" s="1" t="s">
        <v>3</v>
      </c>
      <c r="P2232" s="1" t="s">
        <v>22</v>
      </c>
      <c r="Q2232" s="1" t="s">
        <v>5</v>
      </c>
      <c r="R2232" s="1" t="s">
        <v>0</v>
      </c>
      <c r="S2232" t="s">
        <v>26</v>
      </c>
      <c r="T2232" s="1">
        <v>2016</v>
      </c>
      <c r="U2232" s="1">
        <v>10</v>
      </c>
      <c r="V2232" s="50">
        <v>42644</v>
      </c>
      <c r="W2232" s="4">
        <v>2997.66</v>
      </c>
      <c r="X2232" s="48">
        <v>3189</v>
      </c>
    </row>
    <row r="2233" spans="2:24" x14ac:dyDescent="0.35">
      <c r="B2233" s="8" t="s">
        <v>3</v>
      </c>
      <c r="C2233" s="8" t="s">
        <v>22</v>
      </c>
      <c r="D2233" s="8" t="s">
        <v>5</v>
      </c>
      <c r="E2233" s="8" t="s">
        <v>27</v>
      </c>
      <c r="F2233" s="8" t="s">
        <v>28</v>
      </c>
      <c r="G2233" s="8">
        <v>2016</v>
      </c>
      <c r="H2233" s="8">
        <v>10</v>
      </c>
      <c r="I2233" s="10">
        <v>42644</v>
      </c>
      <c r="J2233" s="11">
        <v>3888</v>
      </c>
      <c r="K2233" s="51"/>
      <c r="O2233" s="1" t="s">
        <v>3</v>
      </c>
      <c r="P2233" s="1" t="s">
        <v>22</v>
      </c>
      <c r="Q2233" s="1" t="s">
        <v>5</v>
      </c>
      <c r="R2233" s="1" t="s">
        <v>27</v>
      </c>
      <c r="S2233" s="1" t="s">
        <v>28</v>
      </c>
      <c r="T2233" s="1">
        <v>2016</v>
      </c>
      <c r="U2233" s="1">
        <v>10</v>
      </c>
      <c r="V2233" s="50">
        <v>42644</v>
      </c>
      <c r="W2233" s="4">
        <v>3654.72</v>
      </c>
      <c r="X2233" s="48">
        <v>3888</v>
      </c>
    </row>
    <row r="2234" spans="2:24" x14ac:dyDescent="0.35">
      <c r="B2234" s="8" t="s">
        <v>6</v>
      </c>
      <c r="C2234" s="8" t="s">
        <v>29</v>
      </c>
      <c r="D2234" s="8" t="s">
        <v>30</v>
      </c>
      <c r="E2234" s="8" t="s">
        <v>27</v>
      </c>
      <c r="F2234" s="8" t="s">
        <v>31</v>
      </c>
      <c r="G2234" s="8">
        <v>2016</v>
      </c>
      <c r="H2234" s="8">
        <v>10</v>
      </c>
      <c r="I2234" s="10">
        <v>42644</v>
      </c>
      <c r="J2234" s="11">
        <v>4419</v>
      </c>
      <c r="K2234" s="51"/>
      <c r="O2234" s="1" t="s">
        <v>6</v>
      </c>
      <c r="P2234" s="1" t="s">
        <v>29</v>
      </c>
      <c r="Q2234" s="1" t="s">
        <v>30</v>
      </c>
      <c r="R2234" s="1" t="s">
        <v>27</v>
      </c>
      <c r="S2234" s="1" t="s">
        <v>31</v>
      </c>
      <c r="T2234" s="1">
        <v>2016</v>
      </c>
      <c r="U2234" s="1">
        <v>10</v>
      </c>
      <c r="V2234" s="50">
        <v>42644</v>
      </c>
      <c r="W2234" s="4">
        <v>3932.9099999999994</v>
      </c>
      <c r="X2234" s="48">
        <v>4419</v>
      </c>
    </row>
    <row r="2235" spans="2:24" x14ac:dyDescent="0.35">
      <c r="B2235" s="8" t="s">
        <v>7</v>
      </c>
      <c r="C2235" s="8" t="s">
        <v>32</v>
      </c>
      <c r="D2235" s="8" t="s">
        <v>8</v>
      </c>
      <c r="E2235" s="8" t="s">
        <v>27</v>
      </c>
      <c r="F2235" s="8" t="s">
        <v>33</v>
      </c>
      <c r="G2235" s="8">
        <v>2016</v>
      </c>
      <c r="H2235" s="8">
        <v>10</v>
      </c>
      <c r="I2235" s="10">
        <v>42644</v>
      </c>
      <c r="J2235" s="11">
        <v>4041</v>
      </c>
      <c r="K2235" s="51"/>
      <c r="O2235" s="1" t="s">
        <v>7</v>
      </c>
      <c r="P2235" s="1" t="s">
        <v>32</v>
      </c>
      <c r="Q2235" s="1" t="s">
        <v>8</v>
      </c>
      <c r="R2235" s="1" t="s">
        <v>27</v>
      </c>
      <c r="S2235" s="1" t="s">
        <v>33</v>
      </c>
      <c r="T2235" s="1">
        <v>2016</v>
      </c>
      <c r="U2235" s="1">
        <v>10</v>
      </c>
      <c r="V2235" s="50">
        <v>42644</v>
      </c>
      <c r="W2235" s="4">
        <v>3475.26</v>
      </c>
      <c r="X2235" s="48">
        <v>4041</v>
      </c>
    </row>
    <row r="2236" spans="2:24" x14ac:dyDescent="0.35">
      <c r="B2236" s="8" t="s">
        <v>12</v>
      </c>
      <c r="C2236" s="8" t="s">
        <v>34</v>
      </c>
      <c r="D2236" s="8" t="s">
        <v>35</v>
      </c>
      <c r="E2236" s="8" t="s">
        <v>23</v>
      </c>
      <c r="F2236" s="6" t="s">
        <v>36</v>
      </c>
      <c r="G2236" s="8">
        <v>2016</v>
      </c>
      <c r="H2236" s="8">
        <v>10</v>
      </c>
      <c r="I2236" s="10">
        <v>42644</v>
      </c>
      <c r="J2236" s="11">
        <v>1576</v>
      </c>
      <c r="K2236" s="51"/>
      <c r="O2236" s="1" t="s">
        <v>12</v>
      </c>
      <c r="P2236" s="1" t="s">
        <v>34</v>
      </c>
      <c r="Q2236" s="1" t="s">
        <v>35</v>
      </c>
      <c r="R2236" s="1" t="s">
        <v>23</v>
      </c>
      <c r="S2236" t="s">
        <v>36</v>
      </c>
      <c r="T2236" s="1">
        <v>2016</v>
      </c>
      <c r="U2236" s="1">
        <v>10</v>
      </c>
      <c r="V2236" s="50">
        <v>42644</v>
      </c>
      <c r="W2236" s="4">
        <v>1339.6000000000001</v>
      </c>
      <c r="X2236" s="48">
        <v>1576</v>
      </c>
    </row>
    <row r="2237" spans="2:24" x14ac:dyDescent="0.35">
      <c r="B2237" s="8" t="s">
        <v>14</v>
      </c>
      <c r="C2237" s="8" t="s">
        <v>37</v>
      </c>
      <c r="D2237" s="8" t="s">
        <v>38</v>
      </c>
      <c r="E2237" s="8" t="s">
        <v>23</v>
      </c>
      <c r="F2237" s="6" t="s">
        <v>24</v>
      </c>
      <c r="G2237" s="8">
        <v>2016</v>
      </c>
      <c r="H2237" s="8">
        <v>10</v>
      </c>
      <c r="I2237" s="10">
        <v>42644</v>
      </c>
      <c r="J2237" s="11">
        <v>1618</v>
      </c>
      <c r="K2237" s="51"/>
      <c r="O2237" s="1" t="s">
        <v>14</v>
      </c>
      <c r="P2237" s="1" t="s">
        <v>37</v>
      </c>
      <c r="Q2237" s="1" t="s">
        <v>38</v>
      </c>
      <c r="R2237" s="1" t="s">
        <v>23</v>
      </c>
      <c r="S2237" t="s">
        <v>24</v>
      </c>
      <c r="T2237" s="1">
        <v>2016</v>
      </c>
      <c r="U2237" s="1">
        <v>10</v>
      </c>
      <c r="V2237" s="50">
        <v>42644</v>
      </c>
      <c r="W2237" s="4">
        <v>1423.84</v>
      </c>
      <c r="X2237" s="48">
        <v>1618</v>
      </c>
    </row>
    <row r="2238" spans="2:24" x14ac:dyDescent="0.35">
      <c r="B2238" s="8" t="s">
        <v>3</v>
      </c>
      <c r="C2238" s="8" t="s">
        <v>25</v>
      </c>
      <c r="D2238" s="8" t="s">
        <v>4</v>
      </c>
      <c r="E2238" s="8" t="s">
        <v>23</v>
      </c>
      <c r="F2238" s="6" t="s">
        <v>39</v>
      </c>
      <c r="G2238" s="8">
        <v>2016</v>
      </c>
      <c r="H2238" s="8">
        <v>10</v>
      </c>
      <c r="I2238" s="10">
        <v>42644</v>
      </c>
      <c r="J2238" s="11">
        <v>2276</v>
      </c>
      <c r="K2238" s="51"/>
      <c r="O2238" s="1" t="s">
        <v>3</v>
      </c>
      <c r="P2238" s="1" t="s">
        <v>25</v>
      </c>
      <c r="Q2238" s="1" t="s">
        <v>4</v>
      </c>
      <c r="R2238" s="1" t="s">
        <v>23</v>
      </c>
      <c r="S2238" t="s">
        <v>39</v>
      </c>
      <c r="T2238" s="1">
        <v>2016</v>
      </c>
      <c r="U2238" s="1">
        <v>10</v>
      </c>
      <c r="V2238" s="50">
        <v>42644</v>
      </c>
      <c r="W2238" s="4">
        <v>1957.3600000000001</v>
      </c>
      <c r="X2238" s="48">
        <v>2276</v>
      </c>
    </row>
    <row r="2239" spans="2:24" x14ac:dyDescent="0.35">
      <c r="B2239" s="8" t="s">
        <v>6</v>
      </c>
      <c r="C2239" s="8" t="s">
        <v>40</v>
      </c>
      <c r="D2239" s="8" t="s">
        <v>41</v>
      </c>
      <c r="E2239" s="9" t="s">
        <v>0</v>
      </c>
      <c r="F2239" s="9" t="s">
        <v>42</v>
      </c>
      <c r="G2239" s="8">
        <v>2016</v>
      </c>
      <c r="H2239" s="8">
        <v>10</v>
      </c>
      <c r="I2239" s="10">
        <v>42644</v>
      </c>
      <c r="J2239" s="11">
        <v>5321</v>
      </c>
      <c r="K2239" s="51"/>
      <c r="O2239" s="1" t="s">
        <v>6</v>
      </c>
      <c r="P2239" s="1" t="s">
        <v>40</v>
      </c>
      <c r="Q2239" s="1" t="s">
        <v>41</v>
      </c>
      <c r="R2239" s="2" t="s">
        <v>0</v>
      </c>
      <c r="S2239" s="2" t="s">
        <v>42</v>
      </c>
      <c r="T2239" s="1">
        <v>2016</v>
      </c>
      <c r="U2239" s="1">
        <v>10</v>
      </c>
      <c r="V2239" s="50">
        <v>42644</v>
      </c>
      <c r="W2239" s="4">
        <v>4735.6899999999996</v>
      </c>
      <c r="X2239" s="48">
        <v>5321</v>
      </c>
    </row>
    <row r="2240" spans="2:24" x14ac:dyDescent="0.35">
      <c r="B2240" s="8" t="s">
        <v>7</v>
      </c>
      <c r="C2240" s="8" t="s">
        <v>43</v>
      </c>
      <c r="D2240" s="8" t="s">
        <v>10</v>
      </c>
      <c r="E2240" s="8" t="s">
        <v>0</v>
      </c>
      <c r="F2240" s="9" t="s">
        <v>26</v>
      </c>
      <c r="G2240" s="8">
        <v>2016</v>
      </c>
      <c r="H2240" s="8">
        <v>10</v>
      </c>
      <c r="I2240" s="10">
        <v>42644</v>
      </c>
      <c r="J2240" s="11">
        <v>4616</v>
      </c>
      <c r="K2240" s="51"/>
      <c r="O2240" s="1" t="s">
        <v>7</v>
      </c>
      <c r="P2240" s="1" t="s">
        <v>43</v>
      </c>
      <c r="Q2240" s="1" t="s">
        <v>10</v>
      </c>
      <c r="R2240" s="1" t="s">
        <v>0</v>
      </c>
      <c r="S2240" s="2" t="s">
        <v>26</v>
      </c>
      <c r="T2240" s="1">
        <v>2016</v>
      </c>
      <c r="U2240" s="1">
        <v>10</v>
      </c>
      <c r="V2240" s="50">
        <v>42644</v>
      </c>
      <c r="W2240" s="4">
        <v>3923.6000000000004</v>
      </c>
      <c r="X2240" s="48">
        <v>4616</v>
      </c>
    </row>
    <row r="2241" spans="2:24" x14ac:dyDescent="0.35">
      <c r="B2241" s="8" t="s">
        <v>12</v>
      </c>
      <c r="C2241" s="8" t="s">
        <v>44</v>
      </c>
      <c r="D2241" s="8" t="s">
        <v>13</v>
      </c>
      <c r="E2241" s="8" t="s">
        <v>0</v>
      </c>
      <c r="F2241" s="6" t="s">
        <v>45</v>
      </c>
      <c r="G2241" s="8">
        <v>2016</v>
      </c>
      <c r="H2241" s="8">
        <v>10</v>
      </c>
      <c r="I2241" s="10">
        <v>42644</v>
      </c>
      <c r="J2241" s="11">
        <v>4631</v>
      </c>
      <c r="K2241" s="51"/>
      <c r="O2241" s="1" t="s">
        <v>12</v>
      </c>
      <c r="P2241" s="1" t="s">
        <v>44</v>
      </c>
      <c r="Q2241" s="1" t="s">
        <v>13</v>
      </c>
      <c r="R2241" s="1" t="s">
        <v>0</v>
      </c>
      <c r="S2241" t="s">
        <v>45</v>
      </c>
      <c r="T2241" s="1">
        <v>2016</v>
      </c>
      <c r="U2241" s="1">
        <v>10</v>
      </c>
      <c r="V2241" s="50">
        <v>42644</v>
      </c>
      <c r="W2241" s="4">
        <v>3982.6600000000003</v>
      </c>
      <c r="X2241" s="48">
        <v>4631</v>
      </c>
    </row>
    <row r="2242" spans="2:24" x14ac:dyDescent="0.35">
      <c r="B2242" s="8" t="s">
        <v>14</v>
      </c>
      <c r="C2242" s="8" t="s">
        <v>46</v>
      </c>
      <c r="D2242" s="8" t="s">
        <v>47</v>
      </c>
      <c r="E2242" s="8" t="s">
        <v>27</v>
      </c>
      <c r="F2242" s="8" t="s">
        <v>28</v>
      </c>
      <c r="G2242" s="8">
        <v>2016</v>
      </c>
      <c r="H2242" s="8">
        <v>10</v>
      </c>
      <c r="I2242" s="10">
        <v>42644</v>
      </c>
      <c r="J2242" s="11">
        <v>4054</v>
      </c>
      <c r="K2242" s="51"/>
      <c r="O2242" s="1" t="s">
        <v>14</v>
      </c>
      <c r="P2242" s="1" t="s">
        <v>46</v>
      </c>
      <c r="Q2242" s="1" t="s">
        <v>47</v>
      </c>
      <c r="R2242" s="1" t="s">
        <v>27</v>
      </c>
      <c r="S2242" s="1" t="s">
        <v>28</v>
      </c>
      <c r="T2242" s="1">
        <v>2016</v>
      </c>
      <c r="U2242" s="1">
        <v>10</v>
      </c>
      <c r="V2242" s="50">
        <v>42644</v>
      </c>
      <c r="W2242" s="4">
        <v>3567.5199999999995</v>
      </c>
      <c r="X2242" s="48">
        <v>4054</v>
      </c>
    </row>
    <row r="2243" spans="2:24" x14ac:dyDescent="0.35">
      <c r="B2243" s="8" t="s">
        <v>3</v>
      </c>
      <c r="C2243" s="8" t="s">
        <v>22</v>
      </c>
      <c r="D2243" s="8" t="s">
        <v>5</v>
      </c>
      <c r="E2243" s="8" t="s">
        <v>27</v>
      </c>
      <c r="F2243" s="8" t="s">
        <v>31</v>
      </c>
      <c r="G2243" s="8">
        <v>2016</v>
      </c>
      <c r="H2243" s="8">
        <v>10</v>
      </c>
      <c r="I2243" s="10">
        <v>42644</v>
      </c>
      <c r="J2243" s="11">
        <v>4834</v>
      </c>
      <c r="K2243" s="51"/>
      <c r="O2243" s="1" t="s">
        <v>3</v>
      </c>
      <c r="P2243" s="1" t="s">
        <v>22</v>
      </c>
      <c r="Q2243" s="1" t="s">
        <v>5</v>
      </c>
      <c r="R2243" s="1" t="s">
        <v>27</v>
      </c>
      <c r="S2243" s="1" t="s">
        <v>31</v>
      </c>
      <c r="T2243" s="1">
        <v>2016</v>
      </c>
      <c r="U2243" s="1">
        <v>10</v>
      </c>
      <c r="V2243" s="50">
        <v>42644</v>
      </c>
      <c r="W2243" s="4">
        <v>4108.9000000000005</v>
      </c>
      <c r="X2243" s="48">
        <v>4834</v>
      </c>
    </row>
    <row r="2244" spans="2:24" x14ac:dyDescent="0.35">
      <c r="B2244" s="8" t="s">
        <v>6</v>
      </c>
      <c r="C2244" s="8" t="s">
        <v>29</v>
      </c>
      <c r="D2244" s="8" t="s">
        <v>30</v>
      </c>
      <c r="E2244" s="8" t="s">
        <v>27</v>
      </c>
      <c r="F2244" s="8" t="s">
        <v>33</v>
      </c>
      <c r="G2244" s="8">
        <v>2016</v>
      </c>
      <c r="H2244" s="8">
        <v>10</v>
      </c>
      <c r="I2244" s="10">
        <v>42644</v>
      </c>
      <c r="J2244" s="11">
        <v>2848</v>
      </c>
      <c r="K2244" s="51"/>
      <c r="O2244" s="1" t="s">
        <v>6</v>
      </c>
      <c r="P2244" s="1" t="s">
        <v>29</v>
      </c>
      <c r="Q2244" s="1" t="s">
        <v>30</v>
      </c>
      <c r="R2244" s="1" t="s">
        <v>27</v>
      </c>
      <c r="S2244" s="1" t="s">
        <v>33</v>
      </c>
      <c r="T2244" s="1">
        <v>2016</v>
      </c>
      <c r="U2244" s="1">
        <v>10</v>
      </c>
      <c r="V2244" s="50">
        <v>42644</v>
      </c>
      <c r="W2244" s="4">
        <v>2420.8000000000002</v>
      </c>
      <c r="X2244" s="48">
        <v>2848</v>
      </c>
    </row>
    <row r="2245" spans="2:24" x14ac:dyDescent="0.35">
      <c r="B2245" s="8" t="s">
        <v>7</v>
      </c>
      <c r="C2245" s="8" t="s">
        <v>32</v>
      </c>
      <c r="D2245" s="8" t="s">
        <v>8</v>
      </c>
      <c r="E2245" s="8" t="s">
        <v>23</v>
      </c>
      <c r="F2245" s="6" t="s">
        <v>36</v>
      </c>
      <c r="G2245" s="8">
        <v>2016</v>
      </c>
      <c r="H2245" s="8">
        <v>10</v>
      </c>
      <c r="I2245" s="10">
        <v>42644</v>
      </c>
      <c r="J2245" s="11">
        <v>2427</v>
      </c>
      <c r="K2245" s="51"/>
      <c r="O2245" s="1" t="s">
        <v>7</v>
      </c>
      <c r="P2245" s="1" t="s">
        <v>32</v>
      </c>
      <c r="Q2245" s="1" t="s">
        <v>8</v>
      </c>
      <c r="R2245" s="1" t="s">
        <v>23</v>
      </c>
      <c r="S2245" t="s">
        <v>36</v>
      </c>
      <c r="T2245" s="1">
        <v>2016</v>
      </c>
      <c r="U2245" s="1">
        <v>10</v>
      </c>
      <c r="V2245" s="50">
        <v>42644</v>
      </c>
      <c r="W2245" s="4">
        <v>2160.0299999999997</v>
      </c>
      <c r="X2245" s="48">
        <v>2427</v>
      </c>
    </row>
    <row r="2246" spans="2:24" x14ac:dyDescent="0.35">
      <c r="B2246" s="8" t="s">
        <v>12</v>
      </c>
      <c r="C2246" s="8" t="s">
        <v>34</v>
      </c>
      <c r="D2246" s="8" t="s">
        <v>35</v>
      </c>
      <c r="E2246" s="8" t="s">
        <v>23</v>
      </c>
      <c r="F2246" s="6" t="s">
        <v>24</v>
      </c>
      <c r="G2246" s="8">
        <v>2016</v>
      </c>
      <c r="H2246" s="8">
        <v>10</v>
      </c>
      <c r="I2246" s="10">
        <v>42644</v>
      </c>
      <c r="J2246" s="11">
        <v>1643</v>
      </c>
      <c r="K2246" s="51"/>
      <c r="O2246" s="1" t="s">
        <v>12</v>
      </c>
      <c r="P2246" s="1" t="s">
        <v>34</v>
      </c>
      <c r="Q2246" s="1" t="s">
        <v>35</v>
      </c>
      <c r="R2246" s="1" t="s">
        <v>23</v>
      </c>
      <c r="S2246" t="s">
        <v>24</v>
      </c>
      <c r="T2246" s="1">
        <v>2016</v>
      </c>
      <c r="U2246" s="1">
        <v>10</v>
      </c>
      <c r="V2246" s="50">
        <v>42644</v>
      </c>
      <c r="W2246" s="4">
        <v>1396.5500000000002</v>
      </c>
      <c r="X2246" s="48">
        <v>1643</v>
      </c>
    </row>
    <row r="2247" spans="2:24" x14ac:dyDescent="0.35">
      <c r="B2247" s="8" t="s">
        <v>14</v>
      </c>
      <c r="C2247" s="8" t="s">
        <v>37</v>
      </c>
      <c r="D2247" s="8" t="s">
        <v>38</v>
      </c>
      <c r="E2247" s="8" t="s">
        <v>23</v>
      </c>
      <c r="F2247" s="6" t="s">
        <v>39</v>
      </c>
      <c r="G2247" s="8">
        <v>2016</v>
      </c>
      <c r="H2247" s="8">
        <v>10</v>
      </c>
      <c r="I2247" s="10">
        <v>42644</v>
      </c>
      <c r="J2247" s="11">
        <v>1940</v>
      </c>
      <c r="K2247" s="51"/>
      <c r="O2247" s="1" t="s">
        <v>14</v>
      </c>
      <c r="P2247" s="1" t="s">
        <v>37</v>
      </c>
      <c r="Q2247" s="1" t="s">
        <v>38</v>
      </c>
      <c r="R2247" s="1" t="s">
        <v>23</v>
      </c>
      <c r="S2247" t="s">
        <v>39</v>
      </c>
      <c r="T2247" s="1">
        <v>2016</v>
      </c>
      <c r="U2247" s="1">
        <v>10</v>
      </c>
      <c r="V2247" s="50">
        <v>42644</v>
      </c>
      <c r="W2247" s="4">
        <v>1823.6</v>
      </c>
      <c r="X2247" s="48">
        <v>1940</v>
      </c>
    </row>
    <row r="2248" spans="2:24" x14ac:dyDescent="0.35">
      <c r="B2248" s="8" t="s">
        <v>3</v>
      </c>
      <c r="C2248" s="8" t="s">
        <v>25</v>
      </c>
      <c r="D2248" s="8" t="s">
        <v>4</v>
      </c>
      <c r="E2248" s="9" t="s">
        <v>0</v>
      </c>
      <c r="F2248" s="9" t="s">
        <v>42</v>
      </c>
      <c r="G2248" s="8">
        <v>2016</v>
      </c>
      <c r="H2248" s="8">
        <v>10</v>
      </c>
      <c r="I2248" s="10">
        <v>42644</v>
      </c>
      <c r="J2248" s="11">
        <v>4051</v>
      </c>
      <c r="K2248" s="51"/>
      <c r="O2248" s="1" t="s">
        <v>3</v>
      </c>
      <c r="P2248" s="1" t="s">
        <v>25</v>
      </c>
      <c r="Q2248" s="1" t="s">
        <v>4</v>
      </c>
      <c r="R2248" s="2" t="s">
        <v>0</v>
      </c>
      <c r="S2248" s="2" t="s">
        <v>42</v>
      </c>
      <c r="T2248" s="1">
        <v>2016</v>
      </c>
      <c r="U2248" s="1">
        <v>10</v>
      </c>
      <c r="V2248" s="50">
        <v>42644</v>
      </c>
      <c r="W2248" s="4">
        <v>3726.9199999999996</v>
      </c>
      <c r="X2248" s="48">
        <v>4051</v>
      </c>
    </row>
    <row r="2249" spans="2:24" x14ac:dyDescent="0.35">
      <c r="B2249" s="8" t="s">
        <v>6</v>
      </c>
      <c r="C2249" s="8" t="s">
        <v>40</v>
      </c>
      <c r="D2249" s="8" t="s">
        <v>41</v>
      </c>
      <c r="E2249" s="8" t="s">
        <v>0</v>
      </c>
      <c r="F2249" s="9" t="s">
        <v>26</v>
      </c>
      <c r="G2249" s="8">
        <v>2016</v>
      </c>
      <c r="H2249" s="8">
        <v>10</v>
      </c>
      <c r="I2249" s="10">
        <v>42644</v>
      </c>
      <c r="J2249" s="11">
        <v>3963</v>
      </c>
      <c r="K2249" s="51"/>
      <c r="O2249" s="1" t="s">
        <v>6</v>
      </c>
      <c r="P2249" s="1" t="s">
        <v>40</v>
      </c>
      <c r="Q2249" s="1" t="s">
        <v>41</v>
      </c>
      <c r="R2249" s="1" t="s">
        <v>0</v>
      </c>
      <c r="S2249" s="2" t="s">
        <v>26</v>
      </c>
      <c r="T2249" s="1">
        <v>2016</v>
      </c>
      <c r="U2249" s="1">
        <v>10</v>
      </c>
      <c r="V2249" s="50">
        <v>42644</v>
      </c>
      <c r="W2249" s="4">
        <v>3447.8100000000004</v>
      </c>
      <c r="X2249" s="48">
        <v>3963</v>
      </c>
    </row>
    <row r="2250" spans="2:24" x14ac:dyDescent="0.35">
      <c r="B2250" s="8" t="s">
        <v>7</v>
      </c>
      <c r="C2250" s="8" t="s">
        <v>43</v>
      </c>
      <c r="D2250" s="8" t="s">
        <v>10</v>
      </c>
      <c r="E2250" s="8" t="s">
        <v>0</v>
      </c>
      <c r="F2250" s="6" t="s">
        <v>45</v>
      </c>
      <c r="G2250" s="8">
        <v>2016</v>
      </c>
      <c r="H2250" s="8">
        <v>10</v>
      </c>
      <c r="I2250" s="10">
        <v>42644</v>
      </c>
      <c r="J2250" s="11">
        <v>4520</v>
      </c>
      <c r="K2250" s="51"/>
      <c r="O2250" s="1" t="s">
        <v>7</v>
      </c>
      <c r="P2250" s="1" t="s">
        <v>43</v>
      </c>
      <c r="Q2250" s="1" t="s">
        <v>10</v>
      </c>
      <c r="R2250" s="1" t="s">
        <v>0</v>
      </c>
      <c r="S2250" t="s">
        <v>45</v>
      </c>
      <c r="T2250" s="1">
        <v>2016</v>
      </c>
      <c r="U2250" s="1">
        <v>10</v>
      </c>
      <c r="V2250" s="50">
        <v>42644</v>
      </c>
      <c r="W2250" s="4">
        <v>3842.0000000000005</v>
      </c>
      <c r="X2250" s="48">
        <v>4520</v>
      </c>
    </row>
    <row r="2251" spans="2:24" x14ac:dyDescent="0.35">
      <c r="B2251" s="8" t="s">
        <v>12</v>
      </c>
      <c r="C2251" s="8" t="s">
        <v>44</v>
      </c>
      <c r="D2251" s="8" t="s">
        <v>13</v>
      </c>
      <c r="E2251" s="8" t="s">
        <v>27</v>
      </c>
      <c r="F2251" s="8" t="s">
        <v>28</v>
      </c>
      <c r="G2251" s="8">
        <v>2016</v>
      </c>
      <c r="H2251" s="8">
        <v>10</v>
      </c>
      <c r="I2251" s="10">
        <v>42644</v>
      </c>
      <c r="J2251" s="11">
        <v>4816</v>
      </c>
      <c r="K2251" s="51"/>
      <c r="O2251" s="1" t="s">
        <v>12</v>
      </c>
      <c r="P2251" s="1" t="s">
        <v>44</v>
      </c>
      <c r="Q2251" s="1" t="s">
        <v>13</v>
      </c>
      <c r="R2251" s="1" t="s">
        <v>27</v>
      </c>
      <c r="S2251" s="1" t="s">
        <v>28</v>
      </c>
      <c r="T2251" s="1">
        <v>2016</v>
      </c>
      <c r="U2251" s="1">
        <v>10</v>
      </c>
      <c r="V2251" s="50">
        <v>42644</v>
      </c>
      <c r="W2251" s="4">
        <v>4430.7199999999993</v>
      </c>
      <c r="X2251" s="48">
        <v>4816</v>
      </c>
    </row>
    <row r="2252" spans="2:24" x14ac:dyDescent="0.35">
      <c r="B2252" s="8" t="s">
        <v>14</v>
      </c>
      <c r="C2252" s="8" t="s">
        <v>46</v>
      </c>
      <c r="D2252" s="8" t="s">
        <v>47</v>
      </c>
      <c r="E2252" s="8" t="s">
        <v>27</v>
      </c>
      <c r="F2252" s="8" t="s">
        <v>31</v>
      </c>
      <c r="G2252" s="8">
        <v>2016</v>
      </c>
      <c r="H2252" s="8">
        <v>10</v>
      </c>
      <c r="I2252" s="10">
        <v>42644</v>
      </c>
      <c r="J2252" s="11">
        <v>3354</v>
      </c>
      <c r="K2252" s="51"/>
      <c r="O2252" s="1" t="s">
        <v>14</v>
      </c>
      <c r="P2252" s="1" t="s">
        <v>46</v>
      </c>
      <c r="Q2252" s="1" t="s">
        <v>47</v>
      </c>
      <c r="R2252" s="1" t="s">
        <v>27</v>
      </c>
      <c r="S2252" s="1" t="s">
        <v>31</v>
      </c>
      <c r="T2252" s="1">
        <v>2016</v>
      </c>
      <c r="U2252" s="1">
        <v>10</v>
      </c>
      <c r="V2252" s="50">
        <v>42644</v>
      </c>
      <c r="W2252" s="4">
        <v>3052.14</v>
      </c>
      <c r="X2252" s="48">
        <v>3354</v>
      </c>
    </row>
    <row r="2253" spans="2:24" x14ac:dyDescent="0.35">
      <c r="B2253" s="8" t="s">
        <v>3</v>
      </c>
      <c r="C2253" s="8" t="s">
        <v>22</v>
      </c>
      <c r="D2253" s="8" t="s">
        <v>5</v>
      </c>
      <c r="E2253" s="8" t="s">
        <v>27</v>
      </c>
      <c r="F2253" s="8" t="s">
        <v>33</v>
      </c>
      <c r="G2253" s="8">
        <v>2016</v>
      </c>
      <c r="H2253" s="8">
        <v>10</v>
      </c>
      <c r="I2253" s="10">
        <v>42644</v>
      </c>
      <c r="J2253" s="11">
        <v>3317</v>
      </c>
      <c r="K2253" s="51"/>
      <c r="O2253" s="1" t="s">
        <v>3</v>
      </c>
      <c r="P2253" s="1" t="s">
        <v>22</v>
      </c>
      <c r="Q2253" s="1" t="s">
        <v>5</v>
      </c>
      <c r="R2253" s="1" t="s">
        <v>27</v>
      </c>
      <c r="S2253" s="1" t="s">
        <v>33</v>
      </c>
      <c r="T2253" s="1">
        <v>2016</v>
      </c>
      <c r="U2253" s="1">
        <v>10</v>
      </c>
      <c r="V2253" s="50">
        <v>42644</v>
      </c>
      <c r="W2253" s="4">
        <v>2985.2999999999997</v>
      </c>
      <c r="X2253" s="48">
        <v>3317</v>
      </c>
    </row>
    <row r="2254" spans="2:24" x14ac:dyDescent="0.35">
      <c r="B2254" s="8" t="s">
        <v>6</v>
      </c>
      <c r="C2254" s="8" t="s">
        <v>29</v>
      </c>
      <c r="D2254" s="8" t="s">
        <v>30</v>
      </c>
      <c r="E2254" s="8" t="s">
        <v>23</v>
      </c>
      <c r="F2254" s="6" t="s">
        <v>36</v>
      </c>
      <c r="G2254" s="8">
        <v>2016</v>
      </c>
      <c r="H2254" s="8">
        <v>10</v>
      </c>
      <c r="I2254" s="10">
        <v>42644</v>
      </c>
      <c r="J2254" s="11">
        <v>2665</v>
      </c>
      <c r="K2254" s="51"/>
      <c r="O2254" s="1" t="s">
        <v>6</v>
      </c>
      <c r="P2254" s="1" t="s">
        <v>29</v>
      </c>
      <c r="Q2254" s="1" t="s">
        <v>30</v>
      </c>
      <c r="R2254" s="1" t="s">
        <v>23</v>
      </c>
      <c r="S2254" t="s">
        <v>36</v>
      </c>
      <c r="T2254" s="1">
        <v>2016</v>
      </c>
      <c r="U2254" s="1">
        <v>10</v>
      </c>
      <c r="V2254" s="50">
        <v>42644</v>
      </c>
      <c r="W2254" s="4">
        <v>2478.4499999999998</v>
      </c>
      <c r="X2254" s="48">
        <v>2665</v>
      </c>
    </row>
    <row r="2255" spans="2:24" x14ac:dyDescent="0.35">
      <c r="B2255" s="8" t="s">
        <v>7</v>
      </c>
      <c r="C2255" s="8" t="s">
        <v>32</v>
      </c>
      <c r="D2255" s="8" t="s">
        <v>8</v>
      </c>
      <c r="E2255" s="8" t="s">
        <v>23</v>
      </c>
      <c r="F2255" s="6" t="s">
        <v>24</v>
      </c>
      <c r="G2255" s="8">
        <v>2016</v>
      </c>
      <c r="H2255" s="8">
        <v>10</v>
      </c>
      <c r="I2255" s="10">
        <v>42644</v>
      </c>
      <c r="J2255" s="11">
        <v>2679</v>
      </c>
      <c r="K2255" s="51"/>
      <c r="O2255" s="1" t="s">
        <v>7</v>
      </c>
      <c r="P2255" s="1" t="s">
        <v>32</v>
      </c>
      <c r="Q2255" s="1" t="s">
        <v>8</v>
      </c>
      <c r="R2255" s="1" t="s">
        <v>23</v>
      </c>
      <c r="S2255" t="s">
        <v>24</v>
      </c>
      <c r="T2255" s="1">
        <v>2016</v>
      </c>
      <c r="U2255" s="1">
        <v>10</v>
      </c>
      <c r="V2255" s="50">
        <v>42644</v>
      </c>
      <c r="W2255" s="4">
        <v>2303.9400000000005</v>
      </c>
      <c r="X2255" s="48">
        <v>2679</v>
      </c>
    </row>
    <row r="2256" spans="2:24" x14ac:dyDescent="0.35">
      <c r="B2256" s="8" t="s">
        <v>12</v>
      </c>
      <c r="C2256" s="8" t="s">
        <v>34</v>
      </c>
      <c r="D2256" s="8" t="s">
        <v>35</v>
      </c>
      <c r="E2256" s="8" t="s">
        <v>23</v>
      </c>
      <c r="F2256" s="6" t="s">
        <v>39</v>
      </c>
      <c r="G2256" s="8">
        <v>2016</v>
      </c>
      <c r="H2256" s="8">
        <v>10</v>
      </c>
      <c r="I2256" s="10">
        <v>42644</v>
      </c>
      <c r="J2256" s="11">
        <v>1520</v>
      </c>
      <c r="K2256" s="51"/>
      <c r="O2256" s="1" t="s">
        <v>12</v>
      </c>
      <c r="P2256" s="1" t="s">
        <v>34</v>
      </c>
      <c r="Q2256" s="1" t="s">
        <v>35</v>
      </c>
      <c r="R2256" s="1" t="s">
        <v>23</v>
      </c>
      <c r="S2256" t="s">
        <v>39</v>
      </c>
      <c r="T2256" s="1">
        <v>2016</v>
      </c>
      <c r="U2256" s="1">
        <v>10</v>
      </c>
      <c r="V2256" s="50">
        <v>42644</v>
      </c>
      <c r="W2256" s="4">
        <v>1307.2000000000003</v>
      </c>
      <c r="X2256" s="48">
        <v>1520</v>
      </c>
    </row>
    <row r="2257" spans="2:24" x14ac:dyDescent="0.35">
      <c r="B2257" s="8" t="s">
        <v>14</v>
      </c>
      <c r="C2257" s="8" t="s">
        <v>37</v>
      </c>
      <c r="D2257" s="8" t="s">
        <v>38</v>
      </c>
      <c r="E2257" s="9" t="s">
        <v>0</v>
      </c>
      <c r="F2257" s="9" t="s">
        <v>42</v>
      </c>
      <c r="G2257" s="8">
        <v>2016</v>
      </c>
      <c r="H2257" s="8">
        <v>10</v>
      </c>
      <c r="I2257" s="10">
        <v>42644</v>
      </c>
      <c r="J2257" s="11">
        <v>5688</v>
      </c>
      <c r="K2257" s="51"/>
      <c r="O2257" s="1" t="s">
        <v>14</v>
      </c>
      <c r="P2257" s="1" t="s">
        <v>37</v>
      </c>
      <c r="Q2257" s="1" t="s">
        <v>38</v>
      </c>
      <c r="R2257" s="2" t="s">
        <v>0</v>
      </c>
      <c r="S2257" s="2" t="s">
        <v>42</v>
      </c>
      <c r="T2257" s="1">
        <v>2016</v>
      </c>
      <c r="U2257" s="1">
        <v>10</v>
      </c>
      <c r="V2257" s="50">
        <v>42644</v>
      </c>
      <c r="W2257" s="4">
        <v>4948.5600000000004</v>
      </c>
      <c r="X2257" s="48">
        <v>5688</v>
      </c>
    </row>
    <row r="2258" spans="2:24" x14ac:dyDescent="0.35">
      <c r="B2258" s="8" t="s">
        <v>6</v>
      </c>
      <c r="C2258" s="8" t="s">
        <v>29</v>
      </c>
      <c r="D2258" s="8" t="s">
        <v>30</v>
      </c>
      <c r="E2258" s="8" t="s">
        <v>0</v>
      </c>
      <c r="F2258" s="9" t="s">
        <v>45</v>
      </c>
      <c r="G2258" s="8">
        <v>2016</v>
      </c>
      <c r="H2258" s="8">
        <v>10</v>
      </c>
      <c r="I2258" s="10">
        <v>42644</v>
      </c>
      <c r="J2258" s="11">
        <v>4462</v>
      </c>
      <c r="K2258" s="51"/>
      <c r="O2258" s="1" t="s">
        <v>6</v>
      </c>
      <c r="P2258" s="1" t="s">
        <v>29</v>
      </c>
      <c r="Q2258" s="1" t="s">
        <v>30</v>
      </c>
      <c r="R2258" s="1" t="s">
        <v>0</v>
      </c>
      <c r="S2258" s="2" t="s">
        <v>45</v>
      </c>
      <c r="T2258" s="1">
        <v>2016</v>
      </c>
      <c r="U2258" s="1">
        <v>10</v>
      </c>
      <c r="V2258" s="50">
        <v>42644</v>
      </c>
      <c r="W2258" s="4">
        <v>4194.28</v>
      </c>
      <c r="X2258" s="48">
        <v>4462</v>
      </c>
    </row>
    <row r="2259" spans="2:24" x14ac:dyDescent="0.35">
      <c r="B2259" s="8" t="s">
        <v>7</v>
      </c>
      <c r="C2259" s="8" t="s">
        <v>43</v>
      </c>
      <c r="D2259" s="8" t="s">
        <v>10</v>
      </c>
      <c r="E2259" s="8" t="s">
        <v>27</v>
      </c>
      <c r="F2259" s="6" t="s">
        <v>28</v>
      </c>
      <c r="G2259" s="8">
        <v>2016</v>
      </c>
      <c r="H2259" s="8">
        <v>10</v>
      </c>
      <c r="I2259" s="10">
        <v>42644</v>
      </c>
      <c r="J2259" s="11">
        <v>3420</v>
      </c>
      <c r="K2259" s="51"/>
      <c r="O2259" s="1" t="s">
        <v>7</v>
      </c>
      <c r="P2259" s="1" t="s">
        <v>43</v>
      </c>
      <c r="Q2259" s="1" t="s">
        <v>10</v>
      </c>
      <c r="R2259" s="1" t="s">
        <v>27</v>
      </c>
      <c r="S2259" t="s">
        <v>28</v>
      </c>
      <c r="T2259" s="1">
        <v>2016</v>
      </c>
      <c r="U2259" s="1">
        <v>10</v>
      </c>
      <c r="V2259" s="50">
        <v>42644</v>
      </c>
      <c r="W2259" s="4">
        <v>3043.7999999999997</v>
      </c>
      <c r="X2259" s="48">
        <v>3420</v>
      </c>
    </row>
    <row r="2260" spans="2:24" x14ac:dyDescent="0.35">
      <c r="B2260" s="8" t="s">
        <v>12</v>
      </c>
      <c r="C2260" s="8" t="s">
        <v>44</v>
      </c>
      <c r="D2260" s="8" t="s">
        <v>13</v>
      </c>
      <c r="E2260" s="8" t="s">
        <v>27</v>
      </c>
      <c r="F2260" s="8" t="s">
        <v>31</v>
      </c>
      <c r="G2260" s="8">
        <v>2016</v>
      </c>
      <c r="H2260" s="8">
        <v>10</v>
      </c>
      <c r="I2260" s="10">
        <v>42644</v>
      </c>
      <c r="J2260" s="11">
        <v>4080</v>
      </c>
      <c r="K2260" s="51"/>
      <c r="O2260" s="1" t="s">
        <v>12</v>
      </c>
      <c r="P2260" s="1" t="s">
        <v>44</v>
      </c>
      <c r="Q2260" s="1" t="s">
        <v>13</v>
      </c>
      <c r="R2260" s="1" t="s">
        <v>27</v>
      </c>
      <c r="S2260" s="1" t="s">
        <v>31</v>
      </c>
      <c r="T2260" s="1">
        <v>2016</v>
      </c>
      <c r="U2260" s="1">
        <v>10</v>
      </c>
      <c r="V2260" s="50">
        <v>42644</v>
      </c>
      <c r="W2260" s="4">
        <v>3508.8</v>
      </c>
      <c r="X2260" s="48">
        <v>4080</v>
      </c>
    </row>
    <row r="2261" spans="2:24" x14ac:dyDescent="0.35">
      <c r="B2261" s="8" t="s">
        <v>14</v>
      </c>
      <c r="C2261" s="8" t="s">
        <v>46</v>
      </c>
      <c r="D2261" s="8" t="s">
        <v>47</v>
      </c>
      <c r="E2261" s="8" t="s">
        <v>27</v>
      </c>
      <c r="F2261" s="8" t="s">
        <v>33</v>
      </c>
      <c r="G2261" s="8">
        <v>2016</v>
      </c>
      <c r="H2261" s="8">
        <v>10</v>
      </c>
      <c r="I2261" s="10">
        <v>42644</v>
      </c>
      <c r="J2261" s="11">
        <v>2871</v>
      </c>
      <c r="K2261" s="51"/>
      <c r="O2261" s="1" t="s">
        <v>14</v>
      </c>
      <c r="P2261" s="1" t="s">
        <v>46</v>
      </c>
      <c r="Q2261" s="1" t="s">
        <v>47</v>
      </c>
      <c r="R2261" s="1" t="s">
        <v>27</v>
      </c>
      <c r="S2261" s="1" t="s">
        <v>33</v>
      </c>
      <c r="T2261" s="1">
        <v>2016</v>
      </c>
      <c r="U2261" s="1">
        <v>10</v>
      </c>
      <c r="V2261" s="50">
        <v>42644</v>
      </c>
      <c r="W2261" s="4">
        <v>2670.0299999999997</v>
      </c>
      <c r="X2261" s="48">
        <v>2871</v>
      </c>
    </row>
    <row r="2262" spans="2:24" x14ac:dyDescent="0.35">
      <c r="B2262" s="8" t="s">
        <v>3</v>
      </c>
      <c r="C2262" s="8" t="s">
        <v>22</v>
      </c>
      <c r="D2262" s="8" t="s">
        <v>5</v>
      </c>
      <c r="E2262" s="8" t="s">
        <v>23</v>
      </c>
      <c r="F2262" s="8" t="s">
        <v>36</v>
      </c>
      <c r="G2262" s="8">
        <v>2016</v>
      </c>
      <c r="H2262" s="8">
        <v>10</v>
      </c>
      <c r="I2262" s="10">
        <v>42644</v>
      </c>
      <c r="J2262" s="11">
        <v>2733</v>
      </c>
      <c r="K2262" s="51"/>
      <c r="O2262" s="1" t="s">
        <v>3</v>
      </c>
      <c r="P2262" s="1" t="s">
        <v>22</v>
      </c>
      <c r="Q2262" s="1" t="s">
        <v>5</v>
      </c>
      <c r="R2262" s="1" t="s">
        <v>23</v>
      </c>
      <c r="S2262" s="1" t="s">
        <v>36</v>
      </c>
      <c r="T2262" s="1">
        <v>2016</v>
      </c>
      <c r="U2262" s="1">
        <v>10</v>
      </c>
      <c r="V2262" s="50">
        <v>42644</v>
      </c>
      <c r="W2262" s="4">
        <v>2487.0299999999997</v>
      </c>
      <c r="X2262" s="48">
        <v>2733</v>
      </c>
    </row>
    <row r="2263" spans="2:24" x14ac:dyDescent="0.35">
      <c r="B2263" s="8" t="s">
        <v>6</v>
      </c>
      <c r="C2263" s="8" t="s">
        <v>40</v>
      </c>
      <c r="D2263" s="8" t="s">
        <v>41</v>
      </c>
      <c r="E2263" s="8" t="s">
        <v>23</v>
      </c>
      <c r="F2263" s="6" t="s">
        <v>24</v>
      </c>
      <c r="G2263" s="8">
        <v>2016</v>
      </c>
      <c r="H2263" s="8">
        <v>10</v>
      </c>
      <c r="I2263" s="10">
        <v>42644</v>
      </c>
      <c r="J2263" s="11">
        <v>1809</v>
      </c>
      <c r="K2263" s="51"/>
      <c r="O2263" s="1" t="s">
        <v>6</v>
      </c>
      <c r="P2263" s="1" t="s">
        <v>40</v>
      </c>
      <c r="Q2263" s="1" t="s">
        <v>41</v>
      </c>
      <c r="R2263" s="1" t="s">
        <v>23</v>
      </c>
      <c r="S2263" t="s">
        <v>24</v>
      </c>
      <c r="T2263" s="1">
        <v>2016</v>
      </c>
      <c r="U2263" s="1">
        <v>10</v>
      </c>
      <c r="V2263" s="50">
        <v>42644</v>
      </c>
      <c r="W2263" s="4">
        <v>1646.1899999999998</v>
      </c>
      <c r="X2263" s="48">
        <v>1809</v>
      </c>
    </row>
    <row r="2264" spans="2:24" x14ac:dyDescent="0.35">
      <c r="B2264" s="8" t="s">
        <v>7</v>
      </c>
      <c r="C2264" s="8" t="s">
        <v>32</v>
      </c>
      <c r="D2264" s="8" t="s">
        <v>8</v>
      </c>
      <c r="E2264" s="8" t="s">
        <v>23</v>
      </c>
      <c r="F2264" s="6" t="s">
        <v>39</v>
      </c>
      <c r="G2264" s="8">
        <v>2016</v>
      </c>
      <c r="H2264" s="8">
        <v>10</v>
      </c>
      <c r="I2264" s="10">
        <v>42644</v>
      </c>
      <c r="J2264" s="11">
        <v>1621</v>
      </c>
      <c r="K2264" s="51"/>
      <c r="O2264" s="1" t="s">
        <v>7</v>
      </c>
      <c r="P2264" s="1" t="s">
        <v>32</v>
      </c>
      <c r="Q2264" s="1" t="s">
        <v>8</v>
      </c>
      <c r="R2264" s="1" t="s">
        <v>23</v>
      </c>
      <c r="S2264" t="s">
        <v>39</v>
      </c>
      <c r="T2264" s="1">
        <v>2016</v>
      </c>
      <c r="U2264" s="1">
        <v>10</v>
      </c>
      <c r="V2264" s="50">
        <v>42644</v>
      </c>
      <c r="W2264" s="4">
        <v>1410.2700000000002</v>
      </c>
      <c r="X2264" s="48">
        <v>1621</v>
      </c>
    </row>
    <row r="2265" spans="2:24" x14ac:dyDescent="0.35">
      <c r="B2265" s="8" t="s">
        <v>12</v>
      </c>
      <c r="C2265" s="8" t="s">
        <v>34</v>
      </c>
      <c r="D2265" s="8" t="s">
        <v>35</v>
      </c>
      <c r="E2265" s="8" t="s">
        <v>0</v>
      </c>
      <c r="F2265" s="6" t="s">
        <v>42</v>
      </c>
      <c r="G2265" s="8">
        <v>2016</v>
      </c>
      <c r="H2265" s="8">
        <v>10</v>
      </c>
      <c r="I2265" s="10">
        <v>42644</v>
      </c>
      <c r="J2265" s="11">
        <v>5148</v>
      </c>
      <c r="K2265" s="51"/>
      <c r="O2265" s="1" t="s">
        <v>12</v>
      </c>
      <c r="P2265" s="1" t="s">
        <v>34</v>
      </c>
      <c r="Q2265" s="1" t="s">
        <v>35</v>
      </c>
      <c r="R2265" s="1" t="s">
        <v>0</v>
      </c>
      <c r="S2265" t="s">
        <v>42</v>
      </c>
      <c r="T2265" s="1">
        <v>2016</v>
      </c>
      <c r="U2265" s="1">
        <v>10</v>
      </c>
      <c r="V2265" s="50">
        <v>42644</v>
      </c>
      <c r="W2265" s="4">
        <v>4530.24</v>
      </c>
      <c r="X2265" s="48">
        <v>5148</v>
      </c>
    </row>
    <row r="2266" spans="2:24" x14ac:dyDescent="0.35">
      <c r="B2266" s="8" t="s">
        <v>14</v>
      </c>
      <c r="C2266" s="8" t="s">
        <v>37</v>
      </c>
      <c r="D2266" s="8" t="s">
        <v>38</v>
      </c>
      <c r="E2266" s="9" t="s">
        <v>0</v>
      </c>
      <c r="F2266" s="9" t="s">
        <v>26</v>
      </c>
      <c r="G2266" s="8">
        <v>2016</v>
      </c>
      <c r="H2266" s="8">
        <v>10</v>
      </c>
      <c r="I2266" s="10">
        <v>42644</v>
      </c>
      <c r="J2266" s="11">
        <v>4897</v>
      </c>
      <c r="K2266" s="51"/>
      <c r="O2266" s="1" t="s">
        <v>14</v>
      </c>
      <c r="P2266" s="1" t="s">
        <v>37</v>
      </c>
      <c r="Q2266" s="1" t="s">
        <v>38</v>
      </c>
      <c r="R2266" s="2" t="s">
        <v>0</v>
      </c>
      <c r="S2266" s="2" t="s">
        <v>26</v>
      </c>
      <c r="T2266" s="1">
        <v>2016</v>
      </c>
      <c r="U2266" s="1">
        <v>10</v>
      </c>
      <c r="V2266" s="50">
        <v>42644</v>
      </c>
      <c r="W2266" s="4">
        <v>4260.3900000000003</v>
      </c>
      <c r="X2266" s="48">
        <v>4897</v>
      </c>
    </row>
    <row r="2267" spans="2:24" x14ac:dyDescent="0.35">
      <c r="B2267" s="8" t="s">
        <v>3</v>
      </c>
      <c r="C2267" s="8" t="s">
        <v>25</v>
      </c>
      <c r="D2267" s="8" t="s">
        <v>4</v>
      </c>
      <c r="E2267" s="8" t="s">
        <v>0</v>
      </c>
      <c r="F2267" s="9" t="s">
        <v>45</v>
      </c>
      <c r="G2267" s="8">
        <v>2016</v>
      </c>
      <c r="H2267" s="8">
        <v>10</v>
      </c>
      <c r="I2267" s="10">
        <v>42644</v>
      </c>
      <c r="J2267" s="11">
        <v>2441</v>
      </c>
      <c r="K2267" s="51"/>
      <c r="O2267" s="1" t="s">
        <v>3</v>
      </c>
      <c r="P2267" s="1" t="s">
        <v>25</v>
      </c>
      <c r="Q2267" s="1" t="s">
        <v>4</v>
      </c>
      <c r="R2267" s="1" t="s">
        <v>0</v>
      </c>
      <c r="S2267" s="2" t="s">
        <v>45</v>
      </c>
      <c r="T2267" s="1">
        <v>2016</v>
      </c>
      <c r="U2267" s="1">
        <v>10</v>
      </c>
      <c r="V2267" s="50">
        <v>42644</v>
      </c>
      <c r="W2267" s="4">
        <v>2099.2600000000002</v>
      </c>
      <c r="X2267" s="48">
        <v>2441</v>
      </c>
    </row>
    <row r="2268" spans="2:24" x14ac:dyDescent="0.35">
      <c r="B2268" s="8" t="s">
        <v>6</v>
      </c>
      <c r="C2268" s="8" t="s">
        <v>29</v>
      </c>
      <c r="D2268" s="8" t="s">
        <v>30</v>
      </c>
      <c r="E2268" s="8" t="s">
        <v>27</v>
      </c>
      <c r="F2268" s="6" t="s">
        <v>28</v>
      </c>
      <c r="G2268" s="8">
        <v>2016</v>
      </c>
      <c r="H2268" s="8">
        <v>10</v>
      </c>
      <c r="I2268" s="10">
        <v>42644</v>
      </c>
      <c r="J2268" s="11">
        <v>3481</v>
      </c>
      <c r="K2268" s="51"/>
      <c r="O2268" s="1" t="s">
        <v>6</v>
      </c>
      <c r="P2268" s="1" t="s">
        <v>29</v>
      </c>
      <c r="Q2268" s="1" t="s">
        <v>30</v>
      </c>
      <c r="R2268" s="1" t="s">
        <v>27</v>
      </c>
      <c r="S2268" t="s">
        <v>28</v>
      </c>
      <c r="T2268" s="1">
        <v>2016</v>
      </c>
      <c r="U2268" s="1">
        <v>10</v>
      </c>
      <c r="V2268" s="50">
        <v>42644</v>
      </c>
      <c r="W2268" s="4">
        <v>3063.2799999999997</v>
      </c>
      <c r="X2268" s="48">
        <v>3481</v>
      </c>
    </row>
    <row r="2269" spans="2:24" x14ac:dyDescent="0.35">
      <c r="B2269" s="8" t="s">
        <v>7</v>
      </c>
      <c r="C2269" s="8" t="s">
        <v>43</v>
      </c>
      <c r="D2269" s="8" t="s">
        <v>10</v>
      </c>
      <c r="E2269" s="8" t="s">
        <v>27</v>
      </c>
      <c r="F2269" s="8" t="s">
        <v>31</v>
      </c>
      <c r="G2269" s="8">
        <v>2016</v>
      </c>
      <c r="H2269" s="8">
        <v>10</v>
      </c>
      <c r="I2269" s="10">
        <v>42644</v>
      </c>
      <c r="J2269" s="11">
        <v>5274</v>
      </c>
      <c r="K2269" s="51"/>
      <c r="O2269" s="1" t="s">
        <v>7</v>
      </c>
      <c r="P2269" s="1" t="s">
        <v>43</v>
      </c>
      <c r="Q2269" s="1" t="s">
        <v>10</v>
      </c>
      <c r="R2269" s="1" t="s">
        <v>27</v>
      </c>
      <c r="S2269" s="1" t="s">
        <v>31</v>
      </c>
      <c r="T2269" s="1">
        <v>2016</v>
      </c>
      <c r="U2269" s="1">
        <v>10</v>
      </c>
      <c r="V2269" s="50">
        <v>42644</v>
      </c>
      <c r="W2269" s="4">
        <v>4799.3399999999992</v>
      </c>
      <c r="X2269" s="48">
        <v>5274</v>
      </c>
    </row>
    <row r="2270" spans="2:24" x14ac:dyDescent="0.35">
      <c r="B2270" s="8" t="s">
        <v>12</v>
      </c>
      <c r="C2270" s="8" t="s">
        <v>44</v>
      </c>
      <c r="D2270" s="8" t="s">
        <v>13</v>
      </c>
      <c r="E2270" s="8" t="s">
        <v>27</v>
      </c>
      <c r="F2270" s="8" t="s">
        <v>33</v>
      </c>
      <c r="G2270" s="8">
        <v>2016</v>
      </c>
      <c r="H2270" s="8">
        <v>10</v>
      </c>
      <c r="I2270" s="10">
        <v>42644</v>
      </c>
      <c r="J2270" s="11">
        <v>3686</v>
      </c>
      <c r="K2270" s="51"/>
      <c r="O2270" s="1" t="s">
        <v>12</v>
      </c>
      <c r="P2270" s="1" t="s">
        <v>44</v>
      </c>
      <c r="Q2270" s="1" t="s">
        <v>13</v>
      </c>
      <c r="R2270" s="1" t="s">
        <v>27</v>
      </c>
      <c r="S2270" s="1" t="s">
        <v>33</v>
      </c>
      <c r="T2270" s="1">
        <v>2016</v>
      </c>
      <c r="U2270" s="1">
        <v>10</v>
      </c>
      <c r="V2270" s="50">
        <v>42644</v>
      </c>
      <c r="W2270" s="4">
        <v>3317.3999999999996</v>
      </c>
      <c r="X2270" s="48">
        <v>3686</v>
      </c>
    </row>
    <row r="2271" spans="2:24" x14ac:dyDescent="0.35">
      <c r="B2271" s="8" t="s">
        <v>14</v>
      </c>
      <c r="C2271" s="8" t="s">
        <v>46</v>
      </c>
      <c r="D2271" s="8" t="s">
        <v>47</v>
      </c>
      <c r="E2271" s="8" t="s">
        <v>23</v>
      </c>
      <c r="F2271" s="8" t="s">
        <v>36</v>
      </c>
      <c r="G2271" s="8">
        <v>2016</v>
      </c>
      <c r="H2271" s="8">
        <v>10</v>
      </c>
      <c r="I2271" s="10">
        <v>42644</v>
      </c>
      <c r="J2271" s="11">
        <v>2120</v>
      </c>
      <c r="K2271" s="51"/>
      <c r="O2271" s="1" t="s">
        <v>14</v>
      </c>
      <c r="P2271" s="1" t="s">
        <v>46</v>
      </c>
      <c r="Q2271" s="1" t="s">
        <v>47</v>
      </c>
      <c r="R2271" s="1" t="s">
        <v>23</v>
      </c>
      <c r="S2271" s="1" t="s">
        <v>36</v>
      </c>
      <c r="T2271" s="1">
        <v>2016</v>
      </c>
      <c r="U2271" s="1">
        <v>10</v>
      </c>
      <c r="V2271" s="50">
        <v>42644</v>
      </c>
      <c r="W2271" s="4">
        <v>1802.0000000000002</v>
      </c>
      <c r="X2271" s="48">
        <v>2120</v>
      </c>
    </row>
    <row r="2272" spans="2:24" x14ac:dyDescent="0.35">
      <c r="B2272" s="8" t="s">
        <v>6</v>
      </c>
      <c r="C2272" s="8" t="s">
        <v>29</v>
      </c>
      <c r="D2272" s="8" t="s">
        <v>30</v>
      </c>
      <c r="E2272" s="8" t="s">
        <v>23</v>
      </c>
      <c r="F2272" s="6" t="s">
        <v>39</v>
      </c>
      <c r="G2272" s="8">
        <v>2016</v>
      </c>
      <c r="H2272" s="8">
        <v>10</v>
      </c>
      <c r="I2272" s="10">
        <v>42644</v>
      </c>
      <c r="J2272" s="11">
        <v>1900</v>
      </c>
      <c r="K2272" s="51"/>
      <c r="O2272" s="1" t="s">
        <v>6</v>
      </c>
      <c r="P2272" s="1" t="s">
        <v>29</v>
      </c>
      <c r="Q2272" s="1" t="s">
        <v>30</v>
      </c>
      <c r="R2272" s="1" t="s">
        <v>23</v>
      </c>
      <c r="S2272" t="s">
        <v>39</v>
      </c>
      <c r="T2272" s="1">
        <v>2016</v>
      </c>
      <c r="U2272" s="1">
        <v>10</v>
      </c>
      <c r="V2272" s="50">
        <v>42644</v>
      </c>
      <c r="W2272" s="4">
        <v>1786</v>
      </c>
      <c r="X2272" s="48">
        <v>1900</v>
      </c>
    </row>
    <row r="2273" spans="2:24" x14ac:dyDescent="0.35">
      <c r="B2273" s="8" t="s">
        <v>7</v>
      </c>
      <c r="C2273" s="8" t="s">
        <v>32</v>
      </c>
      <c r="D2273" s="8" t="s">
        <v>8</v>
      </c>
      <c r="E2273" s="8" t="s">
        <v>0</v>
      </c>
      <c r="F2273" s="6" t="s">
        <v>42</v>
      </c>
      <c r="G2273" s="8">
        <v>2016</v>
      </c>
      <c r="H2273" s="8">
        <v>10</v>
      </c>
      <c r="I2273" s="10">
        <v>42644</v>
      </c>
      <c r="J2273" s="11">
        <v>6788</v>
      </c>
      <c r="K2273" s="51"/>
      <c r="O2273" s="1" t="s">
        <v>7</v>
      </c>
      <c r="P2273" s="1" t="s">
        <v>32</v>
      </c>
      <c r="Q2273" s="1" t="s">
        <v>8</v>
      </c>
      <c r="R2273" s="1" t="s">
        <v>0</v>
      </c>
      <c r="S2273" t="s">
        <v>42</v>
      </c>
      <c r="T2273" s="1">
        <v>2016</v>
      </c>
      <c r="U2273" s="1">
        <v>10</v>
      </c>
      <c r="V2273" s="50">
        <v>42644</v>
      </c>
      <c r="W2273" s="4">
        <v>6244.9599999999991</v>
      </c>
      <c r="X2273" s="48">
        <v>6788</v>
      </c>
    </row>
    <row r="2274" spans="2:24" x14ac:dyDescent="0.35">
      <c r="B2274" s="8" t="s">
        <v>12</v>
      </c>
      <c r="C2274" s="8" t="s">
        <v>44</v>
      </c>
      <c r="D2274" s="8" t="s">
        <v>13</v>
      </c>
      <c r="E2274" s="8" t="s">
        <v>0</v>
      </c>
      <c r="F2274" s="6" t="s">
        <v>26</v>
      </c>
      <c r="G2274" s="8">
        <v>2016</v>
      </c>
      <c r="H2274" s="8">
        <v>10</v>
      </c>
      <c r="I2274" s="10">
        <v>42644</v>
      </c>
      <c r="J2274" s="11">
        <v>3334</v>
      </c>
      <c r="K2274" s="51"/>
      <c r="O2274" s="1" t="s">
        <v>12</v>
      </c>
      <c r="P2274" s="1" t="s">
        <v>44</v>
      </c>
      <c r="Q2274" s="1" t="s">
        <v>13</v>
      </c>
      <c r="R2274" s="1" t="s">
        <v>0</v>
      </c>
      <c r="S2274" t="s">
        <v>26</v>
      </c>
      <c r="T2274" s="1">
        <v>2016</v>
      </c>
      <c r="U2274" s="1">
        <v>10</v>
      </c>
      <c r="V2274" s="50">
        <v>42644</v>
      </c>
      <c r="W2274" s="4">
        <v>2967.2599999999998</v>
      </c>
      <c r="X2274" s="48">
        <v>3334</v>
      </c>
    </row>
    <row r="2275" spans="2:24" x14ac:dyDescent="0.35">
      <c r="B2275" s="8" t="s">
        <v>14</v>
      </c>
      <c r="C2275" s="8" t="s">
        <v>37</v>
      </c>
      <c r="D2275" s="8" t="s">
        <v>38</v>
      </c>
      <c r="E2275" s="9" t="s">
        <v>0</v>
      </c>
      <c r="F2275" s="9" t="s">
        <v>45</v>
      </c>
      <c r="G2275" s="8">
        <v>2016</v>
      </c>
      <c r="H2275" s="8">
        <v>10</v>
      </c>
      <c r="I2275" s="10">
        <v>42644</v>
      </c>
      <c r="J2275" s="11">
        <v>3065</v>
      </c>
      <c r="K2275" s="51"/>
      <c r="O2275" s="1" t="s">
        <v>14</v>
      </c>
      <c r="P2275" s="1" t="s">
        <v>37</v>
      </c>
      <c r="Q2275" s="1" t="s">
        <v>38</v>
      </c>
      <c r="R2275" s="2" t="s">
        <v>0</v>
      </c>
      <c r="S2275" s="2" t="s">
        <v>45</v>
      </c>
      <c r="T2275" s="1">
        <v>2016</v>
      </c>
      <c r="U2275" s="1">
        <v>10</v>
      </c>
      <c r="V2275" s="50">
        <v>42644</v>
      </c>
      <c r="W2275" s="4">
        <v>2605.2500000000005</v>
      </c>
      <c r="X2275" s="48">
        <v>3065</v>
      </c>
    </row>
    <row r="2276" spans="2:24" x14ac:dyDescent="0.35">
      <c r="B2276" s="8" t="s">
        <v>3</v>
      </c>
      <c r="C2276" s="8" t="s">
        <v>25</v>
      </c>
      <c r="D2276" s="8" t="s">
        <v>4</v>
      </c>
      <c r="E2276" s="8" t="s">
        <v>27</v>
      </c>
      <c r="F2276" s="9" t="s">
        <v>28</v>
      </c>
      <c r="G2276" s="8">
        <v>2016</v>
      </c>
      <c r="H2276" s="8">
        <v>10</v>
      </c>
      <c r="I2276" s="10">
        <v>42644</v>
      </c>
      <c r="J2276" s="11">
        <v>4208</v>
      </c>
      <c r="K2276" s="51"/>
      <c r="O2276" s="1" t="s">
        <v>3</v>
      </c>
      <c r="P2276" s="1" t="s">
        <v>25</v>
      </c>
      <c r="Q2276" s="1" t="s">
        <v>4</v>
      </c>
      <c r="R2276" s="1" t="s">
        <v>27</v>
      </c>
      <c r="S2276" s="2" t="s">
        <v>28</v>
      </c>
      <c r="T2276" s="1">
        <v>2016</v>
      </c>
      <c r="U2276" s="1">
        <v>10</v>
      </c>
      <c r="V2276" s="50">
        <v>42644</v>
      </c>
      <c r="W2276" s="4">
        <v>3955.52</v>
      </c>
      <c r="X2276" s="48">
        <v>4208</v>
      </c>
    </row>
    <row r="2277" spans="2:24" x14ac:dyDescent="0.35">
      <c r="B2277" s="8" t="s">
        <v>3</v>
      </c>
      <c r="C2277" s="8" t="s">
        <v>25</v>
      </c>
      <c r="D2277" s="8" t="s">
        <v>4</v>
      </c>
      <c r="E2277" s="8" t="s">
        <v>27</v>
      </c>
      <c r="F2277" s="6" t="s">
        <v>31</v>
      </c>
      <c r="G2277" s="8">
        <v>2016</v>
      </c>
      <c r="H2277" s="8">
        <v>10</v>
      </c>
      <c r="I2277" s="10">
        <v>42644</v>
      </c>
      <c r="J2277" s="11">
        <v>3697</v>
      </c>
      <c r="K2277" s="51"/>
      <c r="O2277" s="1" t="s">
        <v>3</v>
      </c>
      <c r="P2277" s="1" t="s">
        <v>25</v>
      </c>
      <c r="Q2277" s="1" t="s">
        <v>4</v>
      </c>
      <c r="R2277" s="1" t="s">
        <v>27</v>
      </c>
      <c r="S2277" t="s">
        <v>31</v>
      </c>
      <c r="T2277" s="1">
        <v>2016</v>
      </c>
      <c r="U2277" s="1">
        <v>10</v>
      </c>
      <c r="V2277" s="50">
        <v>42644</v>
      </c>
      <c r="W2277" s="4">
        <v>3216.3900000000003</v>
      </c>
      <c r="X2277" s="48">
        <v>3697</v>
      </c>
    </row>
    <row r="2278" spans="2:24" x14ac:dyDescent="0.35">
      <c r="B2278" s="8" t="s">
        <v>6</v>
      </c>
      <c r="C2278" s="8" t="s">
        <v>40</v>
      </c>
      <c r="D2278" s="8" t="s">
        <v>41</v>
      </c>
      <c r="E2278" s="8" t="s">
        <v>27</v>
      </c>
      <c r="F2278" s="8" t="s">
        <v>33</v>
      </c>
      <c r="G2278" s="8">
        <v>2016</v>
      </c>
      <c r="H2278" s="8">
        <v>10</v>
      </c>
      <c r="I2278" s="10">
        <v>42644</v>
      </c>
      <c r="J2278" s="11">
        <v>3465</v>
      </c>
      <c r="K2278" s="51"/>
      <c r="O2278" s="1" t="s">
        <v>6</v>
      </c>
      <c r="P2278" s="1" t="s">
        <v>40</v>
      </c>
      <c r="Q2278" s="1" t="s">
        <v>41</v>
      </c>
      <c r="R2278" s="1" t="s">
        <v>27</v>
      </c>
      <c r="S2278" s="1" t="s">
        <v>33</v>
      </c>
      <c r="T2278" s="1">
        <v>2016</v>
      </c>
      <c r="U2278" s="1">
        <v>10</v>
      </c>
      <c r="V2278" s="50">
        <v>42644</v>
      </c>
      <c r="W2278" s="4">
        <v>3257.1</v>
      </c>
      <c r="X2278" s="48">
        <v>3465</v>
      </c>
    </row>
    <row r="2279" spans="2:24" x14ac:dyDescent="0.35">
      <c r="B2279" s="8" t="s">
        <v>6</v>
      </c>
      <c r="C2279" s="8" t="s">
        <v>40</v>
      </c>
      <c r="D2279" s="8" t="s">
        <v>41</v>
      </c>
      <c r="E2279" s="8" t="s">
        <v>23</v>
      </c>
      <c r="F2279" s="8" t="s">
        <v>36</v>
      </c>
      <c r="G2279" s="8">
        <v>2016</v>
      </c>
      <c r="H2279" s="8">
        <v>10</v>
      </c>
      <c r="I2279" s="10">
        <v>42644</v>
      </c>
      <c r="J2279" s="11">
        <v>2833</v>
      </c>
      <c r="K2279" s="51"/>
      <c r="O2279" s="1" t="s">
        <v>6</v>
      </c>
      <c r="P2279" s="1" t="s">
        <v>40</v>
      </c>
      <c r="Q2279" s="1" t="s">
        <v>41</v>
      </c>
      <c r="R2279" s="1" t="s">
        <v>23</v>
      </c>
      <c r="S2279" s="1" t="s">
        <v>36</v>
      </c>
      <c r="T2279" s="1">
        <v>2016</v>
      </c>
      <c r="U2279" s="1">
        <v>10</v>
      </c>
      <c r="V2279" s="50">
        <v>42644</v>
      </c>
      <c r="W2279" s="4">
        <v>2493.0399999999995</v>
      </c>
      <c r="X2279" s="48">
        <v>2833</v>
      </c>
    </row>
    <row r="2280" spans="2:24" x14ac:dyDescent="0.35">
      <c r="B2280" s="8" t="s">
        <v>7</v>
      </c>
      <c r="C2280" s="8" t="s">
        <v>43</v>
      </c>
      <c r="D2280" s="8" t="s">
        <v>10</v>
      </c>
      <c r="E2280" s="8" t="s">
        <v>23</v>
      </c>
      <c r="F2280" s="8" t="s">
        <v>24</v>
      </c>
      <c r="G2280" s="8">
        <v>2016</v>
      </c>
      <c r="H2280" s="8">
        <v>10</v>
      </c>
      <c r="I2280" s="10">
        <v>42644</v>
      </c>
      <c r="J2280" s="11">
        <v>1952</v>
      </c>
      <c r="K2280" s="51"/>
      <c r="O2280" s="1" t="s">
        <v>7</v>
      </c>
      <c r="P2280" s="1" t="s">
        <v>43</v>
      </c>
      <c r="Q2280" s="1" t="s">
        <v>10</v>
      </c>
      <c r="R2280" s="1" t="s">
        <v>23</v>
      </c>
      <c r="S2280" s="1" t="s">
        <v>24</v>
      </c>
      <c r="T2280" s="1">
        <v>2016</v>
      </c>
      <c r="U2280" s="1">
        <v>10</v>
      </c>
      <c r="V2280" s="50">
        <v>42644</v>
      </c>
      <c r="W2280" s="4">
        <v>1815.36</v>
      </c>
      <c r="X2280" s="48">
        <v>1952</v>
      </c>
    </row>
    <row r="2281" spans="2:24" x14ac:dyDescent="0.35">
      <c r="B2281" s="8" t="s">
        <v>7</v>
      </c>
      <c r="C2281" s="8" t="s">
        <v>43</v>
      </c>
      <c r="D2281" s="8" t="s">
        <v>10</v>
      </c>
      <c r="E2281" s="8" t="s">
        <v>23</v>
      </c>
      <c r="F2281" s="6" t="s">
        <v>39</v>
      </c>
      <c r="G2281" s="8">
        <v>2016</v>
      </c>
      <c r="H2281" s="8">
        <v>10</v>
      </c>
      <c r="I2281" s="10">
        <v>42644</v>
      </c>
      <c r="J2281" s="11">
        <v>1688</v>
      </c>
      <c r="K2281" s="51"/>
      <c r="O2281" s="1" t="s">
        <v>7</v>
      </c>
      <c r="P2281" s="1" t="s">
        <v>43</v>
      </c>
      <c r="Q2281" s="1" t="s">
        <v>10</v>
      </c>
      <c r="R2281" s="1" t="s">
        <v>23</v>
      </c>
      <c r="S2281" t="s">
        <v>39</v>
      </c>
      <c r="T2281" s="1">
        <v>2016</v>
      </c>
      <c r="U2281" s="1">
        <v>10</v>
      </c>
      <c r="V2281" s="50">
        <v>42644</v>
      </c>
      <c r="W2281" s="4">
        <v>1536.08</v>
      </c>
      <c r="X2281" s="48">
        <v>1688</v>
      </c>
    </row>
    <row r="2282" spans="2:24" x14ac:dyDescent="0.35">
      <c r="B2282" s="8" t="s">
        <v>7</v>
      </c>
      <c r="C2282" s="8" t="s">
        <v>32</v>
      </c>
      <c r="D2282" s="8" t="s">
        <v>8</v>
      </c>
      <c r="E2282" s="8" t="s">
        <v>0</v>
      </c>
      <c r="F2282" s="6" t="s">
        <v>26</v>
      </c>
      <c r="G2282" s="8">
        <v>2016</v>
      </c>
      <c r="H2282" s="8">
        <v>10</v>
      </c>
      <c r="I2282" s="10">
        <v>42644</v>
      </c>
      <c r="J2282" s="11">
        <v>4306</v>
      </c>
      <c r="K2282" s="51"/>
      <c r="O2282" s="1" t="s">
        <v>7</v>
      </c>
      <c r="P2282" s="1" t="s">
        <v>32</v>
      </c>
      <c r="Q2282" s="1" t="s">
        <v>8</v>
      </c>
      <c r="R2282" s="1" t="s">
        <v>0</v>
      </c>
      <c r="S2282" t="s">
        <v>26</v>
      </c>
      <c r="T2282" s="1">
        <v>2016</v>
      </c>
      <c r="U2282" s="1">
        <v>10</v>
      </c>
      <c r="V2282" s="50">
        <v>42644</v>
      </c>
      <c r="W2282" s="4">
        <v>3789.2799999999997</v>
      </c>
      <c r="X2282" s="48">
        <v>4306</v>
      </c>
    </row>
    <row r="2283" spans="2:24" x14ac:dyDescent="0.35">
      <c r="B2283" s="8" t="s">
        <v>3</v>
      </c>
      <c r="C2283" s="8" t="s">
        <v>22</v>
      </c>
      <c r="D2283" s="8" t="s">
        <v>5</v>
      </c>
      <c r="E2283" s="8" t="s">
        <v>0</v>
      </c>
      <c r="F2283" s="6" t="s">
        <v>45</v>
      </c>
      <c r="G2283" s="8">
        <v>2016</v>
      </c>
      <c r="H2283" s="8">
        <v>10</v>
      </c>
      <c r="I2283" s="10">
        <v>42644</v>
      </c>
      <c r="J2283" s="11">
        <v>4805</v>
      </c>
      <c r="K2283" s="51"/>
      <c r="O2283" s="1" t="s">
        <v>3</v>
      </c>
      <c r="P2283" s="1" t="s">
        <v>22</v>
      </c>
      <c r="Q2283" s="1" t="s">
        <v>5</v>
      </c>
      <c r="R2283" s="1" t="s">
        <v>0</v>
      </c>
      <c r="S2283" t="s">
        <v>45</v>
      </c>
      <c r="T2283" s="1">
        <v>2016</v>
      </c>
      <c r="U2283" s="1">
        <v>10</v>
      </c>
      <c r="V2283" s="50">
        <v>42644</v>
      </c>
      <c r="W2283" s="4">
        <v>4276.45</v>
      </c>
      <c r="X2283" s="48">
        <v>4805</v>
      </c>
    </row>
    <row r="2284" spans="2:24" x14ac:dyDescent="0.35">
      <c r="B2284" s="8" t="s">
        <v>7</v>
      </c>
      <c r="C2284" s="8" t="s">
        <v>48</v>
      </c>
      <c r="D2284" s="8" t="s">
        <v>9</v>
      </c>
      <c r="E2284" s="9" t="s">
        <v>23</v>
      </c>
      <c r="F2284" s="9" t="s">
        <v>36</v>
      </c>
      <c r="G2284" s="8">
        <v>2016</v>
      </c>
      <c r="H2284" s="8">
        <v>10</v>
      </c>
      <c r="I2284" s="10">
        <v>42644</v>
      </c>
      <c r="J2284" s="11">
        <v>2435</v>
      </c>
      <c r="K2284" s="51"/>
      <c r="O2284" s="1" t="s">
        <v>7</v>
      </c>
      <c r="P2284" s="1" t="s">
        <v>48</v>
      </c>
      <c r="Q2284" s="1" t="s">
        <v>9</v>
      </c>
      <c r="R2284" s="2" t="s">
        <v>23</v>
      </c>
      <c r="S2284" s="2" t="s">
        <v>36</v>
      </c>
      <c r="T2284" s="1">
        <v>2016</v>
      </c>
      <c r="U2284" s="1">
        <v>10</v>
      </c>
      <c r="V2284" s="50">
        <v>42644</v>
      </c>
      <c r="W2284" s="4">
        <v>2118.4500000000003</v>
      </c>
      <c r="X2284" s="48">
        <v>2435</v>
      </c>
    </row>
    <row r="2285" spans="2:24" x14ac:dyDescent="0.35">
      <c r="B2285" s="8" t="s">
        <v>7</v>
      </c>
      <c r="C2285" s="8" t="s">
        <v>48</v>
      </c>
      <c r="D2285" s="8" t="s">
        <v>9</v>
      </c>
      <c r="E2285" s="8" t="s">
        <v>23</v>
      </c>
      <c r="F2285" s="9" t="s">
        <v>24</v>
      </c>
      <c r="G2285" s="8">
        <v>2016</v>
      </c>
      <c r="H2285" s="8">
        <v>10</v>
      </c>
      <c r="I2285" s="10">
        <v>42644</v>
      </c>
      <c r="J2285" s="11">
        <v>2028</v>
      </c>
      <c r="K2285" s="51"/>
      <c r="O2285" s="1" t="s">
        <v>7</v>
      </c>
      <c r="P2285" s="1" t="s">
        <v>48</v>
      </c>
      <c r="Q2285" s="1" t="s">
        <v>9</v>
      </c>
      <c r="R2285" s="1" t="s">
        <v>23</v>
      </c>
      <c r="S2285" s="2" t="s">
        <v>24</v>
      </c>
      <c r="T2285" s="1">
        <v>2016</v>
      </c>
      <c r="U2285" s="1">
        <v>10</v>
      </c>
      <c r="V2285" s="50">
        <v>42644</v>
      </c>
      <c r="W2285" s="4">
        <v>1723.8000000000002</v>
      </c>
      <c r="X2285" s="48">
        <v>2028</v>
      </c>
    </row>
    <row r="2286" spans="2:24" x14ac:dyDescent="0.35">
      <c r="B2286" s="8" t="s">
        <v>7</v>
      </c>
      <c r="C2286" s="8" t="s">
        <v>49</v>
      </c>
      <c r="D2286" s="8" t="s">
        <v>11</v>
      </c>
      <c r="E2286" s="8" t="s">
        <v>23</v>
      </c>
      <c r="F2286" s="6" t="s">
        <v>39</v>
      </c>
      <c r="G2286" s="8">
        <v>2016</v>
      </c>
      <c r="H2286" s="8">
        <v>10</v>
      </c>
      <c r="I2286" s="10">
        <v>42644</v>
      </c>
      <c r="J2286" s="11">
        <v>2763</v>
      </c>
      <c r="K2286" s="51"/>
      <c r="O2286" s="1" t="s">
        <v>7</v>
      </c>
      <c r="P2286" s="1" t="s">
        <v>49</v>
      </c>
      <c r="Q2286" s="1" t="s">
        <v>11</v>
      </c>
      <c r="R2286" s="1" t="s">
        <v>23</v>
      </c>
      <c r="S2286" t="s">
        <v>39</v>
      </c>
      <c r="T2286" s="1">
        <v>2016</v>
      </c>
      <c r="U2286" s="1">
        <v>10</v>
      </c>
      <c r="V2286" s="50">
        <v>42644</v>
      </c>
      <c r="W2286" s="4">
        <v>2541.96</v>
      </c>
      <c r="X2286" s="48">
        <v>2763</v>
      </c>
    </row>
    <row r="2287" spans="2:24" x14ac:dyDescent="0.35">
      <c r="B2287" s="8" t="s">
        <v>7</v>
      </c>
      <c r="C2287" s="8" t="s">
        <v>49</v>
      </c>
      <c r="D2287" s="8" t="s">
        <v>11</v>
      </c>
      <c r="E2287" s="8" t="s">
        <v>0</v>
      </c>
      <c r="F2287" s="8" t="s">
        <v>42</v>
      </c>
      <c r="G2287" s="8">
        <v>2016</v>
      </c>
      <c r="H2287" s="8">
        <v>10</v>
      </c>
      <c r="I2287" s="10">
        <v>42644</v>
      </c>
      <c r="J2287" s="11">
        <v>5491</v>
      </c>
      <c r="K2287" s="51"/>
      <c r="O2287" s="1" t="s">
        <v>7</v>
      </c>
      <c r="P2287" s="1" t="s">
        <v>49</v>
      </c>
      <c r="Q2287" s="1" t="s">
        <v>11</v>
      </c>
      <c r="R2287" s="1" t="s">
        <v>0</v>
      </c>
      <c r="S2287" s="1" t="s">
        <v>42</v>
      </c>
      <c r="T2287" s="1">
        <v>2016</v>
      </c>
      <c r="U2287" s="1">
        <v>10</v>
      </c>
      <c r="V2287" s="50">
        <v>42644</v>
      </c>
      <c r="W2287" s="4">
        <v>4996.8099999999995</v>
      </c>
      <c r="X2287" s="48">
        <v>5491</v>
      </c>
    </row>
    <row r="2288" spans="2:24" x14ac:dyDescent="0.35">
      <c r="B2288" s="8" t="s">
        <v>12</v>
      </c>
      <c r="C2288" s="8" t="s">
        <v>34</v>
      </c>
      <c r="D2288" s="8" t="s">
        <v>35</v>
      </c>
      <c r="E2288" s="8" t="s">
        <v>0</v>
      </c>
      <c r="F2288" s="8" t="s">
        <v>26</v>
      </c>
      <c r="G2288" s="8">
        <v>2016</v>
      </c>
      <c r="H2288" s="8">
        <v>10</v>
      </c>
      <c r="I2288" s="10">
        <v>42644</v>
      </c>
      <c r="J2288" s="11">
        <v>5301</v>
      </c>
      <c r="K2288" s="51"/>
      <c r="O2288" s="1" t="s">
        <v>12</v>
      </c>
      <c r="P2288" s="1" t="s">
        <v>34</v>
      </c>
      <c r="Q2288" s="1" t="s">
        <v>35</v>
      </c>
      <c r="R2288" s="1" t="s">
        <v>0</v>
      </c>
      <c r="S2288" s="1" t="s">
        <v>26</v>
      </c>
      <c r="T2288" s="1">
        <v>2016</v>
      </c>
      <c r="U2288" s="1">
        <v>10</v>
      </c>
      <c r="V2288" s="50">
        <v>42644</v>
      </c>
      <c r="W2288" s="4">
        <v>4505.8500000000004</v>
      </c>
      <c r="X2288" s="48">
        <v>5301</v>
      </c>
    </row>
    <row r="2289" spans="2:24" x14ac:dyDescent="0.35">
      <c r="B2289" s="8" t="s">
        <v>12</v>
      </c>
      <c r="C2289" s="8" t="s">
        <v>34</v>
      </c>
      <c r="D2289" s="8" t="s">
        <v>35</v>
      </c>
      <c r="E2289" s="8" t="s">
        <v>0</v>
      </c>
      <c r="F2289" s="8" t="s">
        <v>45</v>
      </c>
      <c r="G2289" s="8">
        <v>2016</v>
      </c>
      <c r="H2289" s="8">
        <v>10</v>
      </c>
      <c r="I2289" s="10">
        <v>42644</v>
      </c>
      <c r="J2289" s="11">
        <v>2663</v>
      </c>
      <c r="K2289" s="51"/>
      <c r="O2289" s="1" t="s">
        <v>12</v>
      </c>
      <c r="P2289" s="1" t="s">
        <v>34</v>
      </c>
      <c r="Q2289" s="1" t="s">
        <v>35</v>
      </c>
      <c r="R2289" s="1" t="s">
        <v>0</v>
      </c>
      <c r="S2289" s="1" t="s">
        <v>45</v>
      </c>
      <c r="T2289" s="1">
        <v>2016</v>
      </c>
      <c r="U2289" s="1">
        <v>10</v>
      </c>
      <c r="V2289" s="50">
        <v>42644</v>
      </c>
      <c r="W2289" s="4">
        <v>2503.2199999999998</v>
      </c>
      <c r="X2289" s="48">
        <v>2663</v>
      </c>
    </row>
    <row r="2290" spans="2:24" x14ac:dyDescent="0.35">
      <c r="B2290" s="8" t="s">
        <v>14</v>
      </c>
      <c r="C2290" s="8" t="s">
        <v>37</v>
      </c>
      <c r="D2290" s="8" t="s">
        <v>38</v>
      </c>
      <c r="E2290" s="8" t="s">
        <v>27</v>
      </c>
      <c r="F2290" s="6" t="s">
        <v>28</v>
      </c>
      <c r="G2290" s="8">
        <v>2016</v>
      </c>
      <c r="H2290" s="8">
        <v>10</v>
      </c>
      <c r="I2290" s="10">
        <v>42644</v>
      </c>
      <c r="J2290" s="11">
        <v>4017</v>
      </c>
      <c r="K2290" s="51"/>
      <c r="O2290" s="1" t="s">
        <v>14</v>
      </c>
      <c r="P2290" s="1" t="s">
        <v>37</v>
      </c>
      <c r="Q2290" s="1" t="s">
        <v>38</v>
      </c>
      <c r="R2290" s="1" t="s">
        <v>27</v>
      </c>
      <c r="S2290" t="s">
        <v>28</v>
      </c>
      <c r="T2290" s="1">
        <v>2016</v>
      </c>
      <c r="U2290" s="1">
        <v>10</v>
      </c>
      <c r="V2290" s="50">
        <v>42644</v>
      </c>
      <c r="W2290" s="4">
        <v>3775.9799999999996</v>
      </c>
      <c r="X2290" s="48">
        <v>4017</v>
      </c>
    </row>
    <row r="2291" spans="2:24" x14ac:dyDescent="0.35">
      <c r="B2291" s="8" t="s">
        <v>14</v>
      </c>
      <c r="C2291" s="8" t="s">
        <v>37</v>
      </c>
      <c r="D2291" s="8" t="s">
        <v>38</v>
      </c>
      <c r="E2291" s="8" t="s">
        <v>27</v>
      </c>
      <c r="F2291" s="6" t="s">
        <v>31</v>
      </c>
      <c r="G2291" s="8">
        <v>2016</v>
      </c>
      <c r="H2291" s="8">
        <v>10</v>
      </c>
      <c r="I2291" s="10">
        <v>42644</v>
      </c>
      <c r="J2291" s="11">
        <v>3226</v>
      </c>
      <c r="K2291" s="51"/>
      <c r="O2291" s="1" t="s">
        <v>14</v>
      </c>
      <c r="P2291" s="1" t="s">
        <v>37</v>
      </c>
      <c r="Q2291" s="1" t="s">
        <v>38</v>
      </c>
      <c r="R2291" s="1" t="s">
        <v>27</v>
      </c>
      <c r="S2291" t="s">
        <v>31</v>
      </c>
      <c r="T2291" s="1">
        <v>2016</v>
      </c>
      <c r="U2291" s="1">
        <v>10</v>
      </c>
      <c r="V2291" s="50">
        <v>42644</v>
      </c>
      <c r="W2291" s="4">
        <v>2967.9199999999996</v>
      </c>
      <c r="X2291" s="48">
        <v>3226</v>
      </c>
    </row>
    <row r="2292" spans="2:24" x14ac:dyDescent="0.35">
      <c r="B2292" s="8" t="s">
        <v>12</v>
      </c>
      <c r="C2292" s="8" t="s">
        <v>44</v>
      </c>
      <c r="D2292" s="8" t="s">
        <v>13</v>
      </c>
      <c r="E2292" s="8" t="s">
        <v>23</v>
      </c>
      <c r="F2292" s="6" t="s">
        <v>36</v>
      </c>
      <c r="G2292" s="8">
        <v>2016</v>
      </c>
      <c r="H2292" s="8">
        <v>10</v>
      </c>
      <c r="I2292" s="10">
        <v>42644</v>
      </c>
      <c r="J2292" s="11">
        <v>2084</v>
      </c>
      <c r="K2292" s="51"/>
      <c r="O2292" s="1" t="s">
        <v>12</v>
      </c>
      <c r="P2292" s="1" t="s">
        <v>44</v>
      </c>
      <c r="Q2292" s="1" t="s">
        <v>13</v>
      </c>
      <c r="R2292" s="1" t="s">
        <v>23</v>
      </c>
      <c r="S2292" t="s">
        <v>36</v>
      </c>
      <c r="T2292" s="1">
        <v>2016</v>
      </c>
      <c r="U2292" s="1">
        <v>10</v>
      </c>
      <c r="V2292" s="50">
        <v>42644</v>
      </c>
      <c r="W2292" s="4">
        <v>1854.7599999999998</v>
      </c>
      <c r="X2292" s="48">
        <v>2084</v>
      </c>
    </row>
    <row r="2293" spans="2:24" x14ac:dyDescent="0.35">
      <c r="B2293" s="8" t="s">
        <v>14</v>
      </c>
      <c r="C2293" s="8" t="s">
        <v>46</v>
      </c>
      <c r="D2293" s="8" t="s">
        <v>47</v>
      </c>
      <c r="E2293" s="9" t="s">
        <v>23</v>
      </c>
      <c r="F2293" s="9" t="s">
        <v>24</v>
      </c>
      <c r="G2293" s="8">
        <v>2016</v>
      </c>
      <c r="H2293" s="8">
        <v>10</v>
      </c>
      <c r="I2293" s="10">
        <v>42644</v>
      </c>
      <c r="J2293" s="11">
        <v>2941</v>
      </c>
      <c r="K2293" s="51"/>
      <c r="O2293" s="1" t="s">
        <v>14</v>
      </c>
      <c r="P2293" s="1" t="s">
        <v>46</v>
      </c>
      <c r="Q2293" s="1" t="s">
        <v>47</v>
      </c>
      <c r="R2293" s="2" t="s">
        <v>23</v>
      </c>
      <c r="S2293" s="2" t="s">
        <v>24</v>
      </c>
      <c r="T2293" s="1">
        <v>2016</v>
      </c>
      <c r="U2293" s="1">
        <v>10</v>
      </c>
      <c r="V2293" s="50">
        <v>42644</v>
      </c>
      <c r="W2293" s="4">
        <v>2676.31</v>
      </c>
      <c r="X2293" s="48">
        <v>2941</v>
      </c>
    </row>
    <row r="2294" spans="2:24" x14ac:dyDescent="0.35">
      <c r="B2294" s="8" t="s">
        <v>14</v>
      </c>
      <c r="C2294" s="8" t="s">
        <v>46</v>
      </c>
      <c r="D2294" s="8" t="s">
        <v>47</v>
      </c>
      <c r="E2294" s="8" t="s">
        <v>23</v>
      </c>
      <c r="F2294" s="9" t="s">
        <v>39</v>
      </c>
      <c r="G2294" s="8">
        <v>2016</v>
      </c>
      <c r="H2294" s="8">
        <v>10</v>
      </c>
      <c r="I2294" s="10">
        <v>42644</v>
      </c>
      <c r="J2294" s="11">
        <v>2004</v>
      </c>
      <c r="K2294" s="51"/>
      <c r="O2294" s="1" t="s">
        <v>14</v>
      </c>
      <c r="P2294" s="1" t="s">
        <v>46</v>
      </c>
      <c r="Q2294" s="1" t="s">
        <v>47</v>
      </c>
      <c r="R2294" s="1" t="s">
        <v>23</v>
      </c>
      <c r="S2294" s="2" t="s">
        <v>39</v>
      </c>
      <c r="T2294" s="1">
        <v>2016</v>
      </c>
      <c r="U2294" s="1">
        <v>10</v>
      </c>
      <c r="V2294" s="50">
        <v>42644</v>
      </c>
      <c r="W2294" s="4">
        <v>1883.76</v>
      </c>
      <c r="X2294" s="48">
        <v>2004</v>
      </c>
    </row>
    <row r="2295" spans="2:24" x14ac:dyDescent="0.35">
      <c r="B2295" s="8" t="s">
        <v>7</v>
      </c>
      <c r="C2295" s="8" t="s">
        <v>43</v>
      </c>
      <c r="D2295" s="8" t="s">
        <v>10</v>
      </c>
      <c r="E2295" s="8" t="s">
        <v>0</v>
      </c>
      <c r="F2295" s="6" t="s">
        <v>42</v>
      </c>
      <c r="G2295" s="8">
        <v>2016</v>
      </c>
      <c r="H2295" s="8">
        <v>10</v>
      </c>
      <c r="I2295" s="10">
        <v>42644</v>
      </c>
      <c r="J2295" s="11">
        <v>6919</v>
      </c>
      <c r="K2295" s="51"/>
      <c r="O2295" s="1" t="s">
        <v>7</v>
      </c>
      <c r="P2295" s="1" t="s">
        <v>43</v>
      </c>
      <c r="Q2295" s="1" t="s">
        <v>10</v>
      </c>
      <c r="R2295" s="1" t="s">
        <v>0</v>
      </c>
      <c r="S2295" t="s">
        <v>42</v>
      </c>
      <c r="T2295" s="1">
        <v>2016</v>
      </c>
      <c r="U2295" s="1">
        <v>10</v>
      </c>
      <c r="V2295" s="50">
        <v>42644</v>
      </c>
      <c r="W2295" s="4">
        <v>6157.9099999999989</v>
      </c>
      <c r="X2295" s="48">
        <v>6919</v>
      </c>
    </row>
    <row r="2296" spans="2:24" x14ac:dyDescent="0.35">
      <c r="B2296" s="8" t="s">
        <v>6</v>
      </c>
      <c r="C2296" s="8" t="s">
        <v>40</v>
      </c>
      <c r="D2296" s="8" t="s">
        <v>41</v>
      </c>
      <c r="E2296" s="8" t="s">
        <v>27</v>
      </c>
      <c r="F2296" s="8" t="s">
        <v>31</v>
      </c>
      <c r="G2296" s="8">
        <v>2016</v>
      </c>
      <c r="H2296" s="8">
        <v>10</v>
      </c>
      <c r="I2296" s="10">
        <v>42644</v>
      </c>
      <c r="J2296" s="11">
        <v>5081</v>
      </c>
      <c r="K2296" s="51"/>
      <c r="O2296" s="1" t="s">
        <v>6</v>
      </c>
      <c r="P2296" s="1" t="s">
        <v>40</v>
      </c>
      <c r="Q2296" s="1" t="s">
        <v>41</v>
      </c>
      <c r="R2296" s="1" t="s">
        <v>27</v>
      </c>
      <c r="S2296" s="1" t="s">
        <v>31</v>
      </c>
      <c r="T2296" s="1">
        <v>2016</v>
      </c>
      <c r="U2296" s="1">
        <v>10</v>
      </c>
      <c r="V2296" s="50">
        <v>42644</v>
      </c>
      <c r="W2296" s="4">
        <v>4420.47</v>
      </c>
      <c r="X2296" s="48">
        <v>5081</v>
      </c>
    </row>
    <row r="2297" spans="2:24" x14ac:dyDescent="0.35">
      <c r="B2297" s="8" t="s">
        <v>3</v>
      </c>
      <c r="C2297" s="8" t="s">
        <v>22</v>
      </c>
      <c r="D2297" s="8" t="s">
        <v>5</v>
      </c>
      <c r="E2297" s="8" t="s">
        <v>23</v>
      </c>
      <c r="F2297" s="8" t="s">
        <v>39</v>
      </c>
      <c r="G2297" s="8">
        <v>2016</v>
      </c>
      <c r="H2297" s="8">
        <v>10</v>
      </c>
      <c r="I2297" s="10">
        <v>42644</v>
      </c>
      <c r="J2297" s="11">
        <v>2355</v>
      </c>
      <c r="K2297" s="51"/>
      <c r="O2297" s="1" t="s">
        <v>3</v>
      </c>
      <c r="P2297" s="1" t="s">
        <v>22</v>
      </c>
      <c r="Q2297" s="1" t="s">
        <v>5</v>
      </c>
      <c r="R2297" s="1" t="s">
        <v>23</v>
      </c>
      <c r="S2297" s="1" t="s">
        <v>39</v>
      </c>
      <c r="T2297" s="1">
        <v>2016</v>
      </c>
      <c r="U2297" s="1">
        <v>10</v>
      </c>
      <c r="V2297" s="50">
        <v>42644</v>
      </c>
      <c r="W2297" s="4">
        <v>2095.9499999999998</v>
      </c>
      <c r="X2297" s="48">
        <v>2355</v>
      </c>
    </row>
    <row r="2298" spans="2:24" x14ac:dyDescent="0.35">
      <c r="B2298" s="8" t="s">
        <v>3</v>
      </c>
      <c r="C2298" s="8" t="s">
        <v>22</v>
      </c>
      <c r="D2298" s="8" t="s">
        <v>5</v>
      </c>
      <c r="E2298" s="8" t="s">
        <v>0</v>
      </c>
      <c r="F2298" s="8" t="s">
        <v>42</v>
      </c>
      <c r="G2298" s="8">
        <v>2016</v>
      </c>
      <c r="H2298" s="8">
        <v>10</v>
      </c>
      <c r="I2298" s="10">
        <v>42644</v>
      </c>
      <c r="J2298" s="11">
        <v>4342</v>
      </c>
      <c r="K2298" s="51"/>
      <c r="O2298" s="1" t="s">
        <v>3</v>
      </c>
      <c r="P2298" s="1" t="s">
        <v>22</v>
      </c>
      <c r="Q2298" s="1" t="s">
        <v>5</v>
      </c>
      <c r="R2298" s="1" t="s">
        <v>0</v>
      </c>
      <c r="S2298" s="1" t="s">
        <v>42</v>
      </c>
      <c r="T2298" s="1">
        <v>2016</v>
      </c>
      <c r="U2298" s="1">
        <v>10</v>
      </c>
      <c r="V2298" s="50">
        <v>42644</v>
      </c>
      <c r="W2298" s="4">
        <v>3864.3799999999997</v>
      </c>
      <c r="X2298" s="48">
        <v>4342</v>
      </c>
    </row>
    <row r="2299" spans="2:24" x14ac:dyDescent="0.35">
      <c r="B2299" s="8" t="s">
        <v>6</v>
      </c>
      <c r="C2299" s="8" t="s">
        <v>29</v>
      </c>
      <c r="D2299" s="8" t="s">
        <v>30</v>
      </c>
      <c r="E2299" s="8" t="s">
        <v>0</v>
      </c>
      <c r="F2299" s="6" t="s">
        <v>26</v>
      </c>
      <c r="G2299" s="8">
        <v>2016</v>
      </c>
      <c r="H2299" s="8">
        <v>10</v>
      </c>
      <c r="I2299" s="10">
        <v>42644</v>
      </c>
      <c r="J2299" s="11">
        <v>3393</v>
      </c>
      <c r="K2299" s="51"/>
      <c r="O2299" s="1" t="s">
        <v>6</v>
      </c>
      <c r="P2299" s="1" t="s">
        <v>29</v>
      </c>
      <c r="Q2299" s="1" t="s">
        <v>30</v>
      </c>
      <c r="R2299" s="1" t="s">
        <v>0</v>
      </c>
      <c r="S2299" t="s">
        <v>26</v>
      </c>
      <c r="T2299" s="1">
        <v>2016</v>
      </c>
      <c r="U2299" s="1">
        <v>10</v>
      </c>
      <c r="V2299" s="50">
        <v>42644</v>
      </c>
      <c r="W2299" s="4">
        <v>3053.7</v>
      </c>
      <c r="X2299" s="48">
        <v>3393</v>
      </c>
    </row>
    <row r="2300" spans="2:24" x14ac:dyDescent="0.35">
      <c r="B2300" s="8" t="s">
        <v>7</v>
      </c>
      <c r="C2300" s="8" t="s">
        <v>48</v>
      </c>
      <c r="D2300" s="8" t="s">
        <v>9</v>
      </c>
      <c r="E2300" s="8" t="s">
        <v>27</v>
      </c>
      <c r="F2300" s="6" t="s">
        <v>28</v>
      </c>
      <c r="G2300" s="8">
        <v>2016</v>
      </c>
      <c r="H2300" s="8">
        <v>10</v>
      </c>
      <c r="I2300" s="10">
        <v>42644</v>
      </c>
      <c r="J2300" s="11">
        <v>4185</v>
      </c>
      <c r="K2300" s="51"/>
      <c r="O2300" s="1" t="s">
        <v>7</v>
      </c>
      <c r="P2300" s="1" t="s">
        <v>48</v>
      </c>
      <c r="Q2300" s="1" t="s">
        <v>9</v>
      </c>
      <c r="R2300" s="1" t="s">
        <v>27</v>
      </c>
      <c r="S2300" t="s">
        <v>28</v>
      </c>
      <c r="T2300" s="1">
        <v>2016</v>
      </c>
      <c r="U2300" s="1">
        <v>10</v>
      </c>
      <c r="V2300" s="50">
        <v>42644</v>
      </c>
      <c r="W2300" s="4">
        <v>3850.2</v>
      </c>
      <c r="X2300" s="48">
        <v>4185</v>
      </c>
    </row>
    <row r="2301" spans="2:24" x14ac:dyDescent="0.35">
      <c r="B2301" s="8" t="s">
        <v>7</v>
      </c>
      <c r="C2301" s="8" t="s">
        <v>48</v>
      </c>
      <c r="D2301" s="8" t="s">
        <v>9</v>
      </c>
      <c r="E2301" s="8" t="s">
        <v>27</v>
      </c>
      <c r="F2301" s="6" t="s">
        <v>31</v>
      </c>
      <c r="G2301" s="8">
        <v>2016</v>
      </c>
      <c r="H2301" s="8">
        <v>10</v>
      </c>
      <c r="I2301" s="10">
        <v>42644</v>
      </c>
      <c r="J2301" s="11">
        <v>4362</v>
      </c>
      <c r="K2301" s="51"/>
      <c r="O2301" s="1" t="s">
        <v>7</v>
      </c>
      <c r="P2301" s="1" t="s">
        <v>48</v>
      </c>
      <c r="Q2301" s="1" t="s">
        <v>9</v>
      </c>
      <c r="R2301" s="1" t="s">
        <v>27</v>
      </c>
      <c r="S2301" t="s">
        <v>31</v>
      </c>
      <c r="T2301" s="1">
        <v>2016</v>
      </c>
      <c r="U2301" s="1">
        <v>10</v>
      </c>
      <c r="V2301" s="50">
        <v>42644</v>
      </c>
      <c r="W2301" s="4">
        <v>3794.9400000000005</v>
      </c>
      <c r="X2301" s="48">
        <v>4362</v>
      </c>
    </row>
    <row r="2302" spans="2:24" x14ac:dyDescent="0.35">
      <c r="B2302" s="8" t="s">
        <v>7</v>
      </c>
      <c r="C2302" s="8" t="s">
        <v>49</v>
      </c>
      <c r="D2302" s="8" t="s">
        <v>11</v>
      </c>
      <c r="E2302" s="9" t="s">
        <v>27</v>
      </c>
      <c r="F2302" s="9" t="s">
        <v>33</v>
      </c>
      <c r="G2302" s="8">
        <v>2016</v>
      </c>
      <c r="H2302" s="8">
        <v>10</v>
      </c>
      <c r="I2302" s="10">
        <v>42644</v>
      </c>
      <c r="J2302" s="11">
        <v>2855</v>
      </c>
      <c r="K2302" s="51"/>
      <c r="O2302" s="1" t="s">
        <v>7</v>
      </c>
      <c r="P2302" s="1" t="s">
        <v>49</v>
      </c>
      <c r="Q2302" s="1" t="s">
        <v>11</v>
      </c>
      <c r="R2302" s="2" t="s">
        <v>27</v>
      </c>
      <c r="S2302" s="2" t="s">
        <v>33</v>
      </c>
      <c r="T2302" s="1">
        <v>2016</v>
      </c>
      <c r="U2302" s="1">
        <v>10</v>
      </c>
      <c r="V2302" s="50">
        <v>42644</v>
      </c>
      <c r="W2302" s="4">
        <v>2569.5</v>
      </c>
      <c r="X2302" s="48">
        <v>2855</v>
      </c>
    </row>
    <row r="2303" spans="2:24" x14ac:dyDescent="0.35">
      <c r="B2303" s="8" t="s">
        <v>7</v>
      </c>
      <c r="C2303" s="8" t="s">
        <v>49</v>
      </c>
      <c r="D2303" s="8" t="s">
        <v>11</v>
      </c>
      <c r="E2303" s="8" t="s">
        <v>23</v>
      </c>
      <c r="F2303" s="9" t="s">
        <v>36</v>
      </c>
      <c r="G2303" s="8">
        <v>2016</v>
      </c>
      <c r="H2303" s="8">
        <v>10</v>
      </c>
      <c r="I2303" s="10">
        <v>42644</v>
      </c>
      <c r="J2303" s="11">
        <v>2291</v>
      </c>
      <c r="K2303" s="51"/>
      <c r="O2303" s="1" t="s">
        <v>7</v>
      </c>
      <c r="P2303" s="1" t="s">
        <v>49</v>
      </c>
      <c r="Q2303" s="1" t="s">
        <v>11</v>
      </c>
      <c r="R2303" s="1" t="s">
        <v>23</v>
      </c>
      <c r="S2303" s="2" t="s">
        <v>36</v>
      </c>
      <c r="T2303" s="1">
        <v>2016</v>
      </c>
      <c r="U2303" s="1">
        <v>10</v>
      </c>
      <c r="V2303" s="50">
        <v>42644</v>
      </c>
      <c r="W2303" s="4">
        <v>2153.54</v>
      </c>
      <c r="X2303" s="48">
        <v>2291</v>
      </c>
    </row>
    <row r="2304" spans="2:24" x14ac:dyDescent="0.35">
      <c r="B2304" s="8" t="s">
        <v>7</v>
      </c>
      <c r="C2304" s="8" t="s">
        <v>43</v>
      </c>
      <c r="D2304" s="8" t="s">
        <v>10</v>
      </c>
      <c r="E2304" s="8" t="s">
        <v>23</v>
      </c>
      <c r="F2304" s="6" t="s">
        <v>36</v>
      </c>
      <c r="G2304" s="8">
        <v>2016</v>
      </c>
      <c r="H2304" s="8">
        <v>10</v>
      </c>
      <c r="I2304" s="10">
        <v>42644</v>
      </c>
      <c r="J2304" s="11">
        <v>2361</v>
      </c>
      <c r="K2304" s="51"/>
      <c r="O2304" s="1" t="s">
        <v>7</v>
      </c>
      <c r="P2304" s="1" t="s">
        <v>43</v>
      </c>
      <c r="Q2304" s="1" t="s">
        <v>10</v>
      </c>
      <c r="R2304" s="1" t="s">
        <v>23</v>
      </c>
      <c r="S2304" t="s">
        <v>36</v>
      </c>
      <c r="T2304" s="1">
        <v>2016</v>
      </c>
      <c r="U2304" s="1">
        <v>10</v>
      </c>
      <c r="V2304" s="50">
        <v>42644</v>
      </c>
      <c r="W2304" s="4">
        <v>2172.12</v>
      </c>
      <c r="X2304" s="48">
        <v>2361</v>
      </c>
    </row>
    <row r="2305" spans="2:24" x14ac:dyDescent="0.35">
      <c r="B2305" s="8" t="s">
        <v>6</v>
      </c>
      <c r="C2305" s="8" t="s">
        <v>40</v>
      </c>
      <c r="D2305" s="8" t="s">
        <v>41</v>
      </c>
      <c r="E2305" s="8" t="s">
        <v>0</v>
      </c>
      <c r="F2305" s="8" t="s">
        <v>45</v>
      </c>
      <c r="G2305" s="8">
        <v>2016</v>
      </c>
      <c r="H2305" s="8">
        <v>10</v>
      </c>
      <c r="I2305" s="10">
        <v>42644</v>
      </c>
      <c r="J2305" s="11">
        <v>4256</v>
      </c>
      <c r="K2305" s="51"/>
      <c r="O2305" s="1" t="s">
        <v>6</v>
      </c>
      <c r="P2305" s="1" t="s">
        <v>40</v>
      </c>
      <c r="Q2305" s="1" t="s">
        <v>41</v>
      </c>
      <c r="R2305" s="1" t="s">
        <v>0</v>
      </c>
      <c r="S2305" s="1" t="s">
        <v>45</v>
      </c>
      <c r="T2305" s="1">
        <v>2016</v>
      </c>
      <c r="U2305" s="1">
        <v>10</v>
      </c>
      <c r="V2305" s="50">
        <v>42644</v>
      </c>
      <c r="W2305" s="4">
        <v>3958.08</v>
      </c>
      <c r="X2305" s="48">
        <v>4256</v>
      </c>
    </row>
    <row r="2306" spans="2:24" x14ac:dyDescent="0.35">
      <c r="B2306" s="8" t="s">
        <v>7</v>
      </c>
      <c r="C2306" s="8" t="s">
        <v>32</v>
      </c>
      <c r="D2306" s="8" t="s">
        <v>8</v>
      </c>
      <c r="E2306" s="8" t="s">
        <v>27</v>
      </c>
      <c r="F2306" s="8" t="s">
        <v>28</v>
      </c>
      <c r="G2306" s="8">
        <v>2016</v>
      </c>
      <c r="H2306" s="8">
        <v>10</v>
      </c>
      <c r="I2306" s="10">
        <v>42644</v>
      </c>
      <c r="J2306" s="11">
        <v>3308</v>
      </c>
      <c r="K2306" s="51"/>
      <c r="O2306" s="1" t="s">
        <v>7</v>
      </c>
      <c r="P2306" s="1" t="s">
        <v>32</v>
      </c>
      <c r="Q2306" s="1" t="s">
        <v>8</v>
      </c>
      <c r="R2306" s="1" t="s">
        <v>27</v>
      </c>
      <c r="S2306" s="1" t="s">
        <v>28</v>
      </c>
      <c r="T2306" s="1">
        <v>2016</v>
      </c>
      <c r="U2306" s="1">
        <v>10</v>
      </c>
      <c r="V2306" s="50">
        <v>42644</v>
      </c>
      <c r="W2306" s="4">
        <v>3076.4399999999996</v>
      </c>
      <c r="X2306" s="48">
        <v>3308</v>
      </c>
    </row>
    <row r="2307" spans="2:24" x14ac:dyDescent="0.35">
      <c r="B2307" s="8" t="s">
        <v>7</v>
      </c>
      <c r="C2307" s="8" t="s">
        <v>32</v>
      </c>
      <c r="D2307" s="8" t="s">
        <v>8</v>
      </c>
      <c r="E2307" s="8" t="s">
        <v>27</v>
      </c>
      <c r="F2307" s="8" t="s">
        <v>31</v>
      </c>
      <c r="G2307" s="8">
        <v>2016</v>
      </c>
      <c r="H2307" s="8">
        <v>10</v>
      </c>
      <c r="I2307" s="10">
        <v>42644</v>
      </c>
      <c r="J2307" s="11">
        <v>5361</v>
      </c>
      <c r="K2307" s="51"/>
      <c r="O2307" s="1" t="s">
        <v>7</v>
      </c>
      <c r="P2307" s="1" t="s">
        <v>32</v>
      </c>
      <c r="Q2307" s="1" t="s">
        <v>8</v>
      </c>
      <c r="R2307" s="1" t="s">
        <v>27</v>
      </c>
      <c r="S2307" s="1" t="s">
        <v>31</v>
      </c>
      <c r="T2307" s="1">
        <v>2016</v>
      </c>
      <c r="U2307" s="1">
        <v>10</v>
      </c>
      <c r="V2307" s="50">
        <v>42644</v>
      </c>
      <c r="W2307" s="4">
        <v>4985.7299999999996</v>
      </c>
      <c r="X2307" s="48">
        <v>5361</v>
      </c>
    </row>
    <row r="2308" spans="2:24" x14ac:dyDescent="0.35">
      <c r="B2308" s="8" t="s">
        <v>6</v>
      </c>
      <c r="C2308" s="8" t="s">
        <v>29</v>
      </c>
      <c r="D2308" s="8" t="s">
        <v>30</v>
      </c>
      <c r="E2308" s="8" t="s">
        <v>23</v>
      </c>
      <c r="F2308" s="6" t="s">
        <v>24</v>
      </c>
      <c r="G2308" s="8">
        <v>2016</v>
      </c>
      <c r="H2308" s="8">
        <v>10</v>
      </c>
      <c r="I2308" s="10">
        <v>42644</v>
      </c>
      <c r="J2308" s="11">
        <v>2974</v>
      </c>
      <c r="K2308" s="51"/>
      <c r="O2308" s="1" t="s">
        <v>6</v>
      </c>
      <c r="P2308" s="1" t="s">
        <v>29</v>
      </c>
      <c r="Q2308" s="1" t="s">
        <v>30</v>
      </c>
      <c r="R2308" s="1" t="s">
        <v>23</v>
      </c>
      <c r="S2308" t="s">
        <v>24</v>
      </c>
      <c r="T2308" s="1">
        <v>2016</v>
      </c>
      <c r="U2308" s="1">
        <v>10</v>
      </c>
      <c r="V2308" s="50">
        <v>42644</v>
      </c>
      <c r="W2308" s="4">
        <v>2676.6</v>
      </c>
      <c r="X2308" s="48">
        <v>2974</v>
      </c>
    </row>
    <row r="2309" spans="2:24" x14ac:dyDescent="0.35">
      <c r="B2309" s="8" t="s">
        <v>7</v>
      </c>
      <c r="C2309" s="8" t="s">
        <v>48</v>
      </c>
      <c r="D2309" s="8" t="s">
        <v>9</v>
      </c>
      <c r="E2309" s="8" t="s">
        <v>0</v>
      </c>
      <c r="F2309" s="6" t="s">
        <v>42</v>
      </c>
      <c r="G2309" s="8">
        <v>2016</v>
      </c>
      <c r="H2309" s="8">
        <v>10</v>
      </c>
      <c r="I2309" s="10">
        <v>42644</v>
      </c>
      <c r="J2309" s="11">
        <v>6165</v>
      </c>
      <c r="K2309" s="51"/>
      <c r="O2309" s="1" t="s">
        <v>7</v>
      </c>
      <c r="P2309" s="1" t="s">
        <v>48</v>
      </c>
      <c r="Q2309" s="1" t="s">
        <v>9</v>
      </c>
      <c r="R2309" s="1" t="s">
        <v>0</v>
      </c>
      <c r="S2309" t="s">
        <v>42</v>
      </c>
      <c r="T2309" s="1">
        <v>2016</v>
      </c>
      <c r="U2309" s="1">
        <v>10</v>
      </c>
      <c r="V2309" s="50">
        <v>42644</v>
      </c>
      <c r="W2309" s="4">
        <v>5240.2500000000009</v>
      </c>
      <c r="X2309" s="48">
        <v>6165</v>
      </c>
    </row>
    <row r="2310" spans="2:24" x14ac:dyDescent="0.35">
      <c r="B2310" s="8" t="s">
        <v>7</v>
      </c>
      <c r="C2310" s="8" t="s">
        <v>48</v>
      </c>
      <c r="D2310" s="8" t="s">
        <v>9</v>
      </c>
      <c r="E2310" s="8" t="s">
        <v>0</v>
      </c>
      <c r="F2310" s="6" t="s">
        <v>26</v>
      </c>
      <c r="G2310" s="8">
        <v>2016</v>
      </c>
      <c r="H2310" s="8">
        <v>10</v>
      </c>
      <c r="I2310" s="10">
        <v>42644</v>
      </c>
      <c r="J2310" s="11">
        <v>4764</v>
      </c>
      <c r="K2310" s="51"/>
      <c r="O2310" s="1" t="s">
        <v>7</v>
      </c>
      <c r="P2310" s="1" t="s">
        <v>48</v>
      </c>
      <c r="Q2310" s="1" t="s">
        <v>9</v>
      </c>
      <c r="R2310" s="1" t="s">
        <v>0</v>
      </c>
      <c r="S2310" t="s">
        <v>26</v>
      </c>
      <c r="T2310" s="1">
        <v>2016</v>
      </c>
      <c r="U2310" s="1">
        <v>10</v>
      </c>
      <c r="V2310" s="50">
        <v>42644</v>
      </c>
      <c r="W2310" s="4">
        <v>4478.16</v>
      </c>
      <c r="X2310" s="48">
        <v>4764</v>
      </c>
    </row>
    <row r="2311" spans="2:24" x14ac:dyDescent="0.35">
      <c r="B2311" s="8" t="s">
        <v>7</v>
      </c>
      <c r="C2311" s="8" t="s">
        <v>49</v>
      </c>
      <c r="D2311" s="8" t="s">
        <v>11</v>
      </c>
      <c r="E2311" s="9" t="s">
        <v>0</v>
      </c>
      <c r="F2311" s="9" t="s">
        <v>45</v>
      </c>
      <c r="G2311" s="8">
        <v>2016</v>
      </c>
      <c r="H2311" s="8">
        <v>10</v>
      </c>
      <c r="I2311" s="10">
        <v>42644</v>
      </c>
      <c r="J2311" s="11">
        <v>2530</v>
      </c>
      <c r="K2311" s="51"/>
      <c r="O2311" s="1" t="s">
        <v>7</v>
      </c>
      <c r="P2311" s="1" t="s">
        <v>49</v>
      </c>
      <c r="Q2311" s="1" t="s">
        <v>11</v>
      </c>
      <c r="R2311" s="2" t="s">
        <v>0</v>
      </c>
      <c r="S2311" s="2" t="s">
        <v>45</v>
      </c>
      <c r="T2311" s="1">
        <v>2016</v>
      </c>
      <c r="U2311" s="1">
        <v>10</v>
      </c>
      <c r="V2311" s="50">
        <v>42644</v>
      </c>
      <c r="W2311" s="4">
        <v>2226.3999999999996</v>
      </c>
      <c r="X2311" s="48">
        <v>2530</v>
      </c>
    </row>
    <row r="2312" spans="2:24" x14ac:dyDescent="0.35">
      <c r="B2312" s="8" t="s">
        <v>7</v>
      </c>
      <c r="C2312" s="8" t="s">
        <v>49</v>
      </c>
      <c r="D2312" s="8" t="s">
        <v>11</v>
      </c>
      <c r="E2312" s="8" t="s">
        <v>27</v>
      </c>
      <c r="F2312" s="9" t="s">
        <v>28</v>
      </c>
      <c r="G2312" s="8">
        <v>2016</v>
      </c>
      <c r="H2312" s="8">
        <v>10</v>
      </c>
      <c r="I2312" s="10">
        <v>42644</v>
      </c>
      <c r="J2312" s="11">
        <v>5001</v>
      </c>
      <c r="K2312" s="51"/>
      <c r="O2312" s="1" t="s">
        <v>7</v>
      </c>
      <c r="P2312" s="1" t="s">
        <v>49</v>
      </c>
      <c r="Q2312" s="1" t="s">
        <v>11</v>
      </c>
      <c r="R2312" s="1" t="s">
        <v>27</v>
      </c>
      <c r="S2312" s="2" t="s">
        <v>28</v>
      </c>
      <c r="T2312" s="1">
        <v>2016</v>
      </c>
      <c r="U2312" s="1">
        <v>10</v>
      </c>
      <c r="V2312" s="50">
        <v>42644</v>
      </c>
      <c r="W2312" s="4">
        <v>4400.8799999999992</v>
      </c>
      <c r="X2312" s="48">
        <v>5001</v>
      </c>
    </row>
    <row r="2313" spans="2:24" x14ac:dyDescent="0.35">
      <c r="B2313" s="8" t="s">
        <v>12</v>
      </c>
      <c r="C2313" s="8" t="s">
        <v>34</v>
      </c>
      <c r="D2313" s="8" t="s">
        <v>35</v>
      </c>
      <c r="E2313" s="8" t="s">
        <v>27</v>
      </c>
      <c r="F2313" s="6" t="s">
        <v>31</v>
      </c>
      <c r="G2313" s="8">
        <v>2016</v>
      </c>
      <c r="H2313" s="8">
        <v>10</v>
      </c>
      <c r="I2313" s="10">
        <v>42644</v>
      </c>
      <c r="J2313" s="11">
        <v>3548</v>
      </c>
      <c r="K2313" s="51"/>
      <c r="O2313" s="1" t="s">
        <v>12</v>
      </c>
      <c r="P2313" s="1" t="s">
        <v>34</v>
      </c>
      <c r="Q2313" s="1" t="s">
        <v>35</v>
      </c>
      <c r="R2313" s="1" t="s">
        <v>27</v>
      </c>
      <c r="S2313" t="s">
        <v>31</v>
      </c>
      <c r="T2313" s="1">
        <v>2016</v>
      </c>
      <c r="U2313" s="1">
        <v>10</v>
      </c>
      <c r="V2313" s="50">
        <v>42644</v>
      </c>
      <c r="W2313" s="4">
        <v>3157.72</v>
      </c>
      <c r="X2313" s="48">
        <v>3548</v>
      </c>
    </row>
    <row r="2314" spans="2:24" x14ac:dyDescent="0.35">
      <c r="B2314" s="8" t="s">
        <v>12</v>
      </c>
      <c r="C2314" s="8" t="s">
        <v>34</v>
      </c>
      <c r="D2314" s="8" t="s">
        <v>35</v>
      </c>
      <c r="E2314" s="8" t="s">
        <v>27</v>
      </c>
      <c r="F2314" s="8" t="s">
        <v>33</v>
      </c>
      <c r="G2314" s="8">
        <v>2016</v>
      </c>
      <c r="H2314" s="8">
        <v>10</v>
      </c>
      <c r="I2314" s="10">
        <v>42644</v>
      </c>
      <c r="J2314" s="11">
        <v>3873</v>
      </c>
      <c r="K2314" s="51"/>
      <c r="O2314" s="1" t="s">
        <v>12</v>
      </c>
      <c r="P2314" s="1" t="s">
        <v>34</v>
      </c>
      <c r="Q2314" s="1" t="s">
        <v>35</v>
      </c>
      <c r="R2314" s="1" t="s">
        <v>27</v>
      </c>
      <c r="S2314" s="1" t="s">
        <v>33</v>
      </c>
      <c r="T2314" s="1">
        <v>2016</v>
      </c>
      <c r="U2314" s="1">
        <v>10</v>
      </c>
      <c r="V2314" s="50">
        <v>42644</v>
      </c>
      <c r="W2314" s="4">
        <v>3330.7800000000007</v>
      </c>
      <c r="X2314" s="48">
        <v>3873</v>
      </c>
    </row>
    <row r="2315" spans="2:24" x14ac:dyDescent="0.35">
      <c r="B2315" s="8" t="s">
        <v>14</v>
      </c>
      <c r="C2315" s="8" t="s">
        <v>37</v>
      </c>
      <c r="D2315" s="8" t="s">
        <v>38</v>
      </c>
      <c r="E2315" s="8" t="s">
        <v>23</v>
      </c>
      <c r="F2315" s="8" t="s">
        <v>36</v>
      </c>
      <c r="G2315" s="8">
        <v>2016</v>
      </c>
      <c r="H2315" s="8">
        <v>10</v>
      </c>
      <c r="I2315" s="10">
        <v>42644</v>
      </c>
      <c r="J2315" s="11">
        <v>2548</v>
      </c>
      <c r="K2315" s="51"/>
      <c r="O2315" s="1" t="s">
        <v>14</v>
      </c>
      <c r="P2315" s="1" t="s">
        <v>37</v>
      </c>
      <c r="Q2315" s="1" t="s">
        <v>38</v>
      </c>
      <c r="R2315" s="1" t="s">
        <v>23</v>
      </c>
      <c r="S2315" s="1" t="s">
        <v>36</v>
      </c>
      <c r="T2315" s="1">
        <v>2016</v>
      </c>
      <c r="U2315" s="1">
        <v>10</v>
      </c>
      <c r="V2315" s="50">
        <v>42644</v>
      </c>
      <c r="W2315" s="4">
        <v>2293.1999999999998</v>
      </c>
      <c r="X2315" s="48">
        <v>2548</v>
      </c>
    </row>
    <row r="2316" spans="2:24" x14ac:dyDescent="0.35">
      <c r="B2316" s="8" t="s">
        <v>12</v>
      </c>
      <c r="C2316" s="8" t="s">
        <v>44</v>
      </c>
      <c r="D2316" s="8" t="s">
        <v>13</v>
      </c>
      <c r="E2316" s="8" t="s">
        <v>23</v>
      </c>
      <c r="F2316" s="8" t="s">
        <v>39</v>
      </c>
      <c r="G2316" s="8">
        <v>2016</v>
      </c>
      <c r="H2316" s="8">
        <v>10</v>
      </c>
      <c r="I2316" s="10">
        <v>42644</v>
      </c>
      <c r="J2316" s="11">
        <v>1368</v>
      </c>
      <c r="K2316" s="51"/>
      <c r="O2316" s="1" t="s">
        <v>12</v>
      </c>
      <c r="P2316" s="1" t="s">
        <v>44</v>
      </c>
      <c r="Q2316" s="1" t="s">
        <v>13</v>
      </c>
      <c r="R2316" s="1" t="s">
        <v>23</v>
      </c>
      <c r="S2316" s="1" t="s">
        <v>39</v>
      </c>
      <c r="T2316" s="1">
        <v>2016</v>
      </c>
      <c r="U2316" s="1">
        <v>10</v>
      </c>
      <c r="V2316" s="50">
        <v>42644</v>
      </c>
      <c r="W2316" s="4">
        <v>1190.1600000000001</v>
      </c>
      <c r="X2316" s="48">
        <v>1368</v>
      </c>
    </row>
    <row r="2317" spans="2:24" x14ac:dyDescent="0.35">
      <c r="B2317" s="8" t="s">
        <v>12</v>
      </c>
      <c r="C2317" s="8" t="s">
        <v>44</v>
      </c>
      <c r="D2317" s="8" t="s">
        <v>13</v>
      </c>
      <c r="E2317" s="8" t="s">
        <v>0</v>
      </c>
      <c r="F2317" s="6" t="s">
        <v>42</v>
      </c>
      <c r="G2317" s="8">
        <v>2016</v>
      </c>
      <c r="H2317" s="8">
        <v>10</v>
      </c>
      <c r="I2317" s="10">
        <v>42644</v>
      </c>
      <c r="J2317" s="11">
        <v>6486</v>
      </c>
      <c r="K2317" s="51"/>
      <c r="O2317" s="1" t="s">
        <v>12</v>
      </c>
      <c r="P2317" s="1" t="s">
        <v>44</v>
      </c>
      <c r="Q2317" s="1" t="s">
        <v>13</v>
      </c>
      <c r="R2317" s="1" t="s">
        <v>0</v>
      </c>
      <c r="S2317" t="s">
        <v>42</v>
      </c>
      <c r="T2317" s="1">
        <v>2016</v>
      </c>
      <c r="U2317" s="1">
        <v>10</v>
      </c>
      <c r="V2317" s="50">
        <v>42644</v>
      </c>
      <c r="W2317" s="4">
        <v>5513.1</v>
      </c>
      <c r="X2317" s="48">
        <v>6486</v>
      </c>
    </row>
    <row r="2318" spans="2:24" x14ac:dyDescent="0.35">
      <c r="B2318" s="8" t="s">
        <v>14</v>
      </c>
      <c r="C2318" s="8" t="s">
        <v>46</v>
      </c>
      <c r="D2318" s="8" t="s">
        <v>47</v>
      </c>
      <c r="E2318" s="8" t="s">
        <v>0</v>
      </c>
      <c r="F2318" s="6" t="s">
        <v>26</v>
      </c>
      <c r="G2318" s="8">
        <v>2016</v>
      </c>
      <c r="H2318" s="8">
        <v>10</v>
      </c>
      <c r="I2318" s="10">
        <v>42644</v>
      </c>
      <c r="J2318" s="11">
        <v>3167</v>
      </c>
      <c r="K2318" s="51"/>
      <c r="O2318" s="1" t="s">
        <v>14</v>
      </c>
      <c r="P2318" s="1" t="s">
        <v>46</v>
      </c>
      <c r="Q2318" s="1" t="s">
        <v>47</v>
      </c>
      <c r="R2318" s="1" t="s">
        <v>0</v>
      </c>
      <c r="S2318" t="s">
        <v>26</v>
      </c>
      <c r="T2318" s="1">
        <v>2016</v>
      </c>
      <c r="U2318" s="1">
        <v>10</v>
      </c>
      <c r="V2318" s="50">
        <v>42644</v>
      </c>
      <c r="W2318" s="4">
        <v>2945.31</v>
      </c>
      <c r="X2318" s="48">
        <v>3167</v>
      </c>
    </row>
    <row r="2319" spans="2:24" x14ac:dyDescent="0.35">
      <c r="B2319" s="8" t="s">
        <v>14</v>
      </c>
      <c r="C2319" s="8" t="s">
        <v>46</v>
      </c>
      <c r="D2319" s="8" t="s">
        <v>47</v>
      </c>
      <c r="E2319" s="8" t="s">
        <v>0</v>
      </c>
      <c r="F2319" s="6" t="s">
        <v>45</v>
      </c>
      <c r="G2319" s="8">
        <v>2016</v>
      </c>
      <c r="H2319" s="8">
        <v>10</v>
      </c>
      <c r="I2319" s="10">
        <v>42644</v>
      </c>
      <c r="J2319" s="11">
        <v>3022</v>
      </c>
      <c r="K2319" s="51"/>
      <c r="O2319" s="1" t="s">
        <v>14</v>
      </c>
      <c r="P2319" s="1" t="s">
        <v>46</v>
      </c>
      <c r="Q2319" s="1" t="s">
        <v>47</v>
      </c>
      <c r="R2319" s="1" t="s">
        <v>0</v>
      </c>
      <c r="S2319" t="s">
        <v>45</v>
      </c>
      <c r="T2319" s="1">
        <v>2016</v>
      </c>
      <c r="U2319" s="1">
        <v>10</v>
      </c>
      <c r="V2319" s="50">
        <v>42644</v>
      </c>
      <c r="W2319" s="4">
        <v>2780.24</v>
      </c>
      <c r="X2319" s="48">
        <v>3022</v>
      </c>
    </row>
    <row r="2320" spans="2:24" x14ac:dyDescent="0.35">
      <c r="B2320" s="8" t="s">
        <v>3</v>
      </c>
      <c r="C2320" s="8" t="s">
        <v>25</v>
      </c>
      <c r="D2320" s="8" t="s">
        <v>4</v>
      </c>
      <c r="E2320" s="9" t="s">
        <v>27</v>
      </c>
      <c r="F2320" s="9" t="s">
        <v>33</v>
      </c>
      <c r="G2320" s="8">
        <v>2016</v>
      </c>
      <c r="H2320" s="8">
        <v>10</v>
      </c>
      <c r="I2320" s="10">
        <v>42644</v>
      </c>
      <c r="J2320" s="11">
        <v>3535</v>
      </c>
      <c r="K2320" s="51"/>
      <c r="O2320" s="1" t="s">
        <v>3</v>
      </c>
      <c r="P2320" s="1" t="s">
        <v>25</v>
      </c>
      <c r="Q2320" s="1" t="s">
        <v>4</v>
      </c>
      <c r="R2320" s="2" t="s">
        <v>27</v>
      </c>
      <c r="S2320" s="2" t="s">
        <v>33</v>
      </c>
      <c r="T2320" s="1">
        <v>2016</v>
      </c>
      <c r="U2320" s="1">
        <v>10</v>
      </c>
      <c r="V2320" s="50">
        <v>42644</v>
      </c>
      <c r="W2320" s="4">
        <v>3146.1499999999996</v>
      </c>
      <c r="X2320" s="48">
        <v>3535</v>
      </c>
    </row>
    <row r="2321" spans="2:24" x14ac:dyDescent="0.35">
      <c r="B2321" s="8" t="s">
        <v>3</v>
      </c>
      <c r="C2321" s="8" t="s">
        <v>25</v>
      </c>
      <c r="D2321" s="8" t="s">
        <v>4</v>
      </c>
      <c r="E2321" s="8" t="s">
        <v>23</v>
      </c>
      <c r="F2321" s="9" t="s">
        <v>36</v>
      </c>
      <c r="G2321" s="8">
        <v>2016</v>
      </c>
      <c r="H2321" s="8">
        <v>10</v>
      </c>
      <c r="I2321" s="10">
        <v>42644</v>
      </c>
      <c r="J2321" s="11">
        <v>2915</v>
      </c>
      <c r="K2321" s="51"/>
      <c r="O2321" s="1" t="s">
        <v>3</v>
      </c>
      <c r="P2321" s="1" t="s">
        <v>25</v>
      </c>
      <c r="Q2321" s="1" t="s">
        <v>4</v>
      </c>
      <c r="R2321" s="1" t="s">
        <v>23</v>
      </c>
      <c r="S2321" s="2" t="s">
        <v>36</v>
      </c>
      <c r="T2321" s="1">
        <v>2016</v>
      </c>
      <c r="U2321" s="1">
        <v>10</v>
      </c>
      <c r="V2321" s="50">
        <v>42644</v>
      </c>
      <c r="W2321" s="4">
        <v>2710.95</v>
      </c>
      <c r="X2321" s="48">
        <v>2915</v>
      </c>
    </row>
    <row r="2322" spans="2:24" x14ac:dyDescent="0.35">
      <c r="B2322" s="8" t="s">
        <v>6</v>
      </c>
      <c r="C2322" s="8" t="s">
        <v>40</v>
      </c>
      <c r="D2322" s="8" t="s">
        <v>41</v>
      </c>
      <c r="E2322" s="8" t="s">
        <v>23</v>
      </c>
      <c r="F2322" s="6" t="s">
        <v>39</v>
      </c>
      <c r="G2322" s="8">
        <v>2016</v>
      </c>
      <c r="H2322" s="8">
        <v>10</v>
      </c>
      <c r="I2322" s="10">
        <v>42644</v>
      </c>
      <c r="J2322" s="11">
        <v>1922</v>
      </c>
      <c r="K2322" s="51"/>
      <c r="O2322" s="1" t="s">
        <v>6</v>
      </c>
      <c r="P2322" s="1" t="s">
        <v>40</v>
      </c>
      <c r="Q2322" s="1" t="s">
        <v>41</v>
      </c>
      <c r="R2322" s="1" t="s">
        <v>23</v>
      </c>
      <c r="S2322" t="s">
        <v>39</v>
      </c>
      <c r="T2322" s="1">
        <v>2016</v>
      </c>
      <c r="U2322" s="1">
        <v>10</v>
      </c>
      <c r="V2322" s="50">
        <v>42644</v>
      </c>
      <c r="W2322" s="4">
        <v>1729.7999999999997</v>
      </c>
      <c r="X2322" s="48">
        <v>1922</v>
      </c>
    </row>
    <row r="2323" spans="2:24" x14ac:dyDescent="0.35">
      <c r="B2323" s="8" t="s">
        <v>7</v>
      </c>
      <c r="C2323" s="8" t="s">
        <v>48</v>
      </c>
      <c r="D2323" s="8" t="s">
        <v>9</v>
      </c>
      <c r="E2323" s="8" t="s">
        <v>0</v>
      </c>
      <c r="F2323" s="8" t="s">
        <v>45</v>
      </c>
      <c r="G2323" s="8">
        <v>2016</v>
      </c>
      <c r="H2323" s="8">
        <v>10</v>
      </c>
      <c r="I2323" s="10">
        <v>42644</v>
      </c>
      <c r="J2323" s="11">
        <v>3100</v>
      </c>
      <c r="K2323" s="51"/>
      <c r="O2323" s="1" t="s">
        <v>7</v>
      </c>
      <c r="P2323" s="1" t="s">
        <v>48</v>
      </c>
      <c r="Q2323" s="1" t="s">
        <v>9</v>
      </c>
      <c r="R2323" s="1" t="s">
        <v>0</v>
      </c>
      <c r="S2323" s="1" t="s">
        <v>45</v>
      </c>
      <c r="T2323" s="1">
        <v>2016</v>
      </c>
      <c r="U2323" s="1">
        <v>10</v>
      </c>
      <c r="V2323" s="50">
        <v>42644</v>
      </c>
      <c r="W2323" s="4">
        <v>2697.0000000000005</v>
      </c>
      <c r="X2323" s="48">
        <v>3100</v>
      </c>
    </row>
    <row r="2324" spans="2:24" x14ac:dyDescent="0.35">
      <c r="B2324" s="8" t="s">
        <v>7</v>
      </c>
      <c r="C2324" s="8" t="s">
        <v>49</v>
      </c>
      <c r="D2324" s="8" t="s">
        <v>11</v>
      </c>
      <c r="E2324" s="8" t="s">
        <v>27</v>
      </c>
      <c r="F2324" s="8" t="s">
        <v>31</v>
      </c>
      <c r="G2324" s="8">
        <v>2016</v>
      </c>
      <c r="H2324" s="8">
        <v>10</v>
      </c>
      <c r="I2324" s="10">
        <v>42644</v>
      </c>
      <c r="J2324" s="11">
        <v>5087</v>
      </c>
      <c r="K2324" s="51"/>
      <c r="O2324" s="1" t="s">
        <v>7</v>
      </c>
      <c r="P2324" s="1" t="s">
        <v>49</v>
      </c>
      <c r="Q2324" s="1" t="s">
        <v>11</v>
      </c>
      <c r="R2324" s="1" t="s">
        <v>27</v>
      </c>
      <c r="S2324" s="1" t="s">
        <v>31</v>
      </c>
      <c r="T2324" s="1">
        <v>2016</v>
      </c>
      <c r="U2324" s="1">
        <v>10</v>
      </c>
      <c r="V2324" s="50">
        <v>42644</v>
      </c>
      <c r="W2324" s="4">
        <v>4781.78</v>
      </c>
      <c r="X2324" s="48">
        <v>5087</v>
      </c>
    </row>
    <row r="2325" spans="2:24" x14ac:dyDescent="0.35">
      <c r="B2325" s="8" t="s">
        <v>7</v>
      </c>
      <c r="C2325" s="8" t="s">
        <v>43</v>
      </c>
      <c r="D2325" s="8" t="s">
        <v>10</v>
      </c>
      <c r="E2325" s="8" t="s">
        <v>27</v>
      </c>
      <c r="F2325" s="8" t="s">
        <v>33</v>
      </c>
      <c r="G2325" s="8">
        <v>2016</v>
      </c>
      <c r="H2325" s="8">
        <v>10</v>
      </c>
      <c r="I2325" s="10">
        <v>42644</v>
      </c>
      <c r="J2325" s="11">
        <v>3599</v>
      </c>
      <c r="K2325" s="51"/>
      <c r="O2325" s="1" t="s">
        <v>7</v>
      </c>
      <c r="P2325" s="1" t="s">
        <v>43</v>
      </c>
      <c r="Q2325" s="1" t="s">
        <v>10</v>
      </c>
      <c r="R2325" s="1" t="s">
        <v>27</v>
      </c>
      <c r="S2325" s="1" t="s">
        <v>33</v>
      </c>
      <c r="T2325" s="1">
        <v>2016</v>
      </c>
      <c r="U2325" s="1">
        <v>10</v>
      </c>
      <c r="V2325" s="50">
        <v>42644</v>
      </c>
      <c r="W2325" s="4">
        <v>3059.1500000000005</v>
      </c>
      <c r="X2325" s="48">
        <v>3599</v>
      </c>
    </row>
    <row r="2326" spans="2:24" x14ac:dyDescent="0.35">
      <c r="B2326" s="8" t="s">
        <v>7</v>
      </c>
      <c r="C2326" s="8" t="s">
        <v>32</v>
      </c>
      <c r="D2326" s="8" t="s">
        <v>8</v>
      </c>
      <c r="E2326" s="8" t="s">
        <v>0</v>
      </c>
      <c r="F2326" s="6" t="s">
        <v>45</v>
      </c>
      <c r="G2326" s="8">
        <v>2016</v>
      </c>
      <c r="H2326" s="8">
        <v>10</v>
      </c>
      <c r="I2326" s="10">
        <v>42644</v>
      </c>
      <c r="J2326" s="11">
        <v>2845</v>
      </c>
      <c r="K2326" s="51"/>
      <c r="O2326" s="1" t="s">
        <v>7</v>
      </c>
      <c r="P2326" s="1" t="s">
        <v>32</v>
      </c>
      <c r="Q2326" s="1" t="s">
        <v>8</v>
      </c>
      <c r="R2326" s="1" t="s">
        <v>0</v>
      </c>
      <c r="S2326" t="s">
        <v>45</v>
      </c>
      <c r="T2326" s="1">
        <v>2016</v>
      </c>
      <c r="U2326" s="1">
        <v>10</v>
      </c>
      <c r="V2326" s="50">
        <v>42644</v>
      </c>
      <c r="W2326" s="4">
        <v>2674.2999999999997</v>
      </c>
      <c r="X2326" s="48">
        <v>2845</v>
      </c>
    </row>
    <row r="2327" spans="2:24" x14ac:dyDescent="0.35">
      <c r="B2327" s="8" t="s">
        <v>7</v>
      </c>
      <c r="C2327" s="8" t="s">
        <v>48</v>
      </c>
      <c r="D2327" s="8" t="s">
        <v>9</v>
      </c>
      <c r="E2327" s="8" t="s">
        <v>23</v>
      </c>
      <c r="F2327" s="6" t="s">
        <v>39</v>
      </c>
      <c r="G2327" s="8">
        <v>2016</v>
      </c>
      <c r="H2327" s="8">
        <v>10</v>
      </c>
      <c r="I2327" s="10">
        <v>42644</v>
      </c>
      <c r="J2327" s="11">
        <v>2307</v>
      </c>
      <c r="K2327" s="51"/>
      <c r="O2327" s="1" t="s">
        <v>7</v>
      </c>
      <c r="P2327" s="1" t="s">
        <v>48</v>
      </c>
      <c r="Q2327" s="1" t="s">
        <v>9</v>
      </c>
      <c r="R2327" s="1" t="s">
        <v>23</v>
      </c>
      <c r="S2327" t="s">
        <v>39</v>
      </c>
      <c r="T2327" s="1">
        <v>2016</v>
      </c>
      <c r="U2327" s="1">
        <v>10</v>
      </c>
      <c r="V2327" s="50">
        <v>42644</v>
      </c>
      <c r="W2327" s="4">
        <v>2053.2299999999996</v>
      </c>
      <c r="X2327" s="48">
        <v>2307</v>
      </c>
    </row>
    <row r="2328" spans="2:24" x14ac:dyDescent="0.35">
      <c r="B2328" s="8" t="s">
        <v>7</v>
      </c>
      <c r="C2328" s="8" t="s">
        <v>49</v>
      </c>
      <c r="D2328" s="8" t="s">
        <v>11</v>
      </c>
      <c r="E2328" s="8" t="s">
        <v>0</v>
      </c>
      <c r="F2328" s="6" t="s">
        <v>26</v>
      </c>
      <c r="G2328" s="8">
        <v>2016</v>
      </c>
      <c r="H2328" s="8">
        <v>10</v>
      </c>
      <c r="I2328" s="10">
        <v>42644</v>
      </c>
      <c r="J2328" s="11">
        <v>5551</v>
      </c>
      <c r="K2328" s="51"/>
      <c r="O2328" s="1" t="s">
        <v>7</v>
      </c>
      <c r="P2328" s="1" t="s">
        <v>49</v>
      </c>
      <c r="Q2328" s="1" t="s">
        <v>11</v>
      </c>
      <c r="R2328" s="1" t="s">
        <v>0</v>
      </c>
      <c r="S2328" t="s">
        <v>26</v>
      </c>
      <c r="T2328" s="1">
        <v>2016</v>
      </c>
      <c r="U2328" s="1">
        <v>10</v>
      </c>
      <c r="V2328" s="50">
        <v>42644</v>
      </c>
      <c r="W2328" s="4">
        <v>4884.8799999999992</v>
      </c>
      <c r="X2328" s="48">
        <v>5551</v>
      </c>
    </row>
    <row r="2329" spans="2:24" x14ac:dyDescent="0.35">
      <c r="B2329" s="8" t="s">
        <v>12</v>
      </c>
      <c r="C2329" s="8" t="s">
        <v>34</v>
      </c>
      <c r="D2329" s="8" t="s">
        <v>35</v>
      </c>
      <c r="E2329" s="9" t="s">
        <v>27</v>
      </c>
      <c r="F2329" s="9" t="s">
        <v>28</v>
      </c>
      <c r="G2329" s="8">
        <v>2016</v>
      </c>
      <c r="H2329" s="8">
        <v>10</v>
      </c>
      <c r="I2329" s="10">
        <v>42644</v>
      </c>
      <c r="J2329" s="11">
        <v>4400</v>
      </c>
      <c r="K2329" s="51"/>
      <c r="O2329" s="1" t="s">
        <v>12</v>
      </c>
      <c r="P2329" s="1" t="s">
        <v>34</v>
      </c>
      <c r="Q2329" s="1" t="s">
        <v>35</v>
      </c>
      <c r="R2329" s="2" t="s">
        <v>27</v>
      </c>
      <c r="S2329" s="2" t="s">
        <v>28</v>
      </c>
      <c r="T2329" s="1">
        <v>2016</v>
      </c>
      <c r="U2329" s="1">
        <v>10</v>
      </c>
      <c r="V2329" s="50">
        <v>42644</v>
      </c>
      <c r="W2329" s="4">
        <v>3784.0000000000005</v>
      </c>
      <c r="X2329" s="48">
        <v>4400</v>
      </c>
    </row>
    <row r="2330" spans="2:24" x14ac:dyDescent="0.35">
      <c r="B2330" s="8" t="s">
        <v>14</v>
      </c>
      <c r="C2330" s="8" t="s">
        <v>37</v>
      </c>
      <c r="D2330" s="8" t="s">
        <v>38</v>
      </c>
      <c r="E2330" s="8" t="s">
        <v>27</v>
      </c>
      <c r="F2330" s="9" t="s">
        <v>33</v>
      </c>
      <c r="G2330" s="8">
        <v>2016</v>
      </c>
      <c r="H2330" s="8">
        <v>10</v>
      </c>
      <c r="I2330" s="10">
        <v>42644</v>
      </c>
      <c r="J2330" s="11">
        <v>3355</v>
      </c>
      <c r="K2330" s="51"/>
      <c r="O2330" s="1" t="s">
        <v>14</v>
      </c>
      <c r="P2330" s="1" t="s">
        <v>37</v>
      </c>
      <c r="Q2330" s="1" t="s">
        <v>38</v>
      </c>
      <c r="R2330" s="1" t="s">
        <v>27</v>
      </c>
      <c r="S2330" s="2" t="s">
        <v>33</v>
      </c>
      <c r="T2330" s="1">
        <v>2016</v>
      </c>
      <c r="U2330" s="1">
        <v>10</v>
      </c>
      <c r="V2330" s="50">
        <v>42644</v>
      </c>
      <c r="W2330" s="4">
        <v>3019.4999999999995</v>
      </c>
      <c r="X2330" s="48">
        <v>3355</v>
      </c>
    </row>
    <row r="2331" spans="2:24" x14ac:dyDescent="0.35">
      <c r="B2331" s="8" t="s">
        <v>12</v>
      </c>
      <c r="C2331" s="8" t="s">
        <v>44</v>
      </c>
      <c r="D2331" s="8" t="s">
        <v>13</v>
      </c>
      <c r="E2331" s="8" t="s">
        <v>23</v>
      </c>
      <c r="F2331" s="6" t="s">
        <v>24</v>
      </c>
      <c r="G2331" s="8">
        <v>2016</v>
      </c>
      <c r="H2331" s="8">
        <v>10</v>
      </c>
      <c r="I2331" s="10">
        <v>42644</v>
      </c>
      <c r="J2331" s="11">
        <v>1881</v>
      </c>
      <c r="K2331" s="51"/>
      <c r="O2331" s="1" t="s">
        <v>12</v>
      </c>
      <c r="P2331" s="1" t="s">
        <v>44</v>
      </c>
      <c r="Q2331" s="1" t="s">
        <v>13</v>
      </c>
      <c r="R2331" s="1" t="s">
        <v>23</v>
      </c>
      <c r="S2331" t="s">
        <v>24</v>
      </c>
      <c r="T2331" s="1">
        <v>2016</v>
      </c>
      <c r="U2331" s="1">
        <v>10</v>
      </c>
      <c r="V2331" s="50">
        <v>42644</v>
      </c>
      <c r="W2331" s="4">
        <v>1674.0899999999997</v>
      </c>
      <c r="X2331" s="48">
        <v>1881</v>
      </c>
    </row>
    <row r="2332" spans="2:24" x14ac:dyDescent="0.35">
      <c r="B2332" s="8" t="s">
        <v>14</v>
      </c>
      <c r="C2332" s="8" t="s">
        <v>46</v>
      </c>
      <c r="D2332" s="8" t="s">
        <v>47</v>
      </c>
      <c r="E2332" s="8" t="s">
        <v>0</v>
      </c>
      <c r="F2332" s="8" t="s">
        <v>42</v>
      </c>
      <c r="G2332" s="8">
        <v>2016</v>
      </c>
      <c r="H2332" s="8">
        <v>10</v>
      </c>
      <c r="I2332" s="10">
        <v>42644</v>
      </c>
      <c r="J2332" s="11">
        <v>6799</v>
      </c>
      <c r="K2332" s="51"/>
      <c r="O2332" s="1" t="s">
        <v>14</v>
      </c>
      <c r="P2332" s="1" t="s">
        <v>46</v>
      </c>
      <c r="Q2332" s="1" t="s">
        <v>47</v>
      </c>
      <c r="R2332" s="1" t="s">
        <v>0</v>
      </c>
      <c r="S2332" s="1" t="s">
        <v>42</v>
      </c>
      <c r="T2332" s="1">
        <v>2016</v>
      </c>
      <c r="U2332" s="1">
        <v>10</v>
      </c>
      <c r="V2332" s="50">
        <v>42644</v>
      </c>
      <c r="W2332" s="4">
        <v>6187.0899999999992</v>
      </c>
      <c r="X2332" s="48">
        <v>6799</v>
      </c>
    </row>
    <row r="2333" spans="2:24" x14ac:dyDescent="0.35">
      <c r="B2333" s="8" t="s">
        <v>7</v>
      </c>
      <c r="C2333" s="8" t="s">
        <v>48</v>
      </c>
      <c r="D2333" s="8" t="s">
        <v>9</v>
      </c>
      <c r="E2333" s="8" t="s">
        <v>27</v>
      </c>
      <c r="F2333" s="8" t="s">
        <v>33</v>
      </c>
      <c r="G2333" s="8">
        <v>2016</v>
      </c>
      <c r="H2333" s="8">
        <v>10</v>
      </c>
      <c r="I2333" s="10">
        <v>42644</v>
      </c>
      <c r="J2333" s="11">
        <v>3803</v>
      </c>
      <c r="K2333" s="51"/>
      <c r="O2333" s="1" t="s">
        <v>7</v>
      </c>
      <c r="P2333" s="1" t="s">
        <v>48</v>
      </c>
      <c r="Q2333" s="1" t="s">
        <v>9</v>
      </c>
      <c r="R2333" s="1" t="s">
        <v>27</v>
      </c>
      <c r="S2333" s="1" t="s">
        <v>33</v>
      </c>
      <c r="T2333" s="1">
        <v>2016</v>
      </c>
      <c r="U2333" s="1">
        <v>10</v>
      </c>
      <c r="V2333" s="50">
        <v>42644</v>
      </c>
      <c r="W2333" s="4">
        <v>3346.6399999999994</v>
      </c>
      <c r="X2333" s="48">
        <v>3803</v>
      </c>
    </row>
    <row r="2334" spans="2:24" x14ac:dyDescent="0.35">
      <c r="B2334" s="8" t="s">
        <v>7</v>
      </c>
      <c r="C2334" s="8" t="s">
        <v>49</v>
      </c>
      <c r="D2334" s="8" t="s">
        <v>11</v>
      </c>
      <c r="E2334" s="8" t="s">
        <v>23</v>
      </c>
      <c r="F2334" s="8" t="s">
        <v>24</v>
      </c>
      <c r="G2334" s="8">
        <v>2016</v>
      </c>
      <c r="H2334" s="8">
        <v>10</v>
      </c>
      <c r="I2334" s="10">
        <v>42644</v>
      </c>
      <c r="J2334" s="11">
        <v>2522</v>
      </c>
      <c r="K2334" s="51"/>
      <c r="O2334" s="1" t="s">
        <v>7</v>
      </c>
      <c r="P2334" s="1" t="s">
        <v>49</v>
      </c>
      <c r="Q2334" s="1" t="s">
        <v>11</v>
      </c>
      <c r="R2334" s="1" t="s">
        <v>23</v>
      </c>
      <c r="S2334" s="1" t="s">
        <v>24</v>
      </c>
      <c r="T2334" s="1">
        <v>2016</v>
      </c>
      <c r="U2334" s="1">
        <v>10</v>
      </c>
      <c r="V2334" s="50">
        <v>42644</v>
      </c>
      <c r="W2334" s="4">
        <v>2219.3599999999997</v>
      </c>
      <c r="X2334" s="48">
        <v>2522</v>
      </c>
    </row>
    <row r="2335" spans="2:24" x14ac:dyDescent="0.35">
      <c r="B2335" s="8" t="s">
        <v>3</v>
      </c>
      <c r="C2335" s="8" t="s">
        <v>22</v>
      </c>
      <c r="D2335" s="8" t="s">
        <v>5</v>
      </c>
      <c r="E2335" s="8" t="s">
        <v>23</v>
      </c>
      <c r="F2335" s="6" t="s">
        <v>24</v>
      </c>
      <c r="G2335" s="8">
        <v>2016</v>
      </c>
      <c r="H2335" s="8">
        <v>11</v>
      </c>
      <c r="I2335" s="10">
        <v>42675</v>
      </c>
      <c r="J2335" s="11">
        <v>3245</v>
      </c>
      <c r="K2335" s="51"/>
      <c r="O2335" s="1" t="s">
        <v>3</v>
      </c>
      <c r="P2335" s="1" t="s">
        <v>22</v>
      </c>
      <c r="Q2335" s="1" t="s">
        <v>5</v>
      </c>
      <c r="R2335" s="1" t="s">
        <v>23</v>
      </c>
      <c r="S2335" t="s">
        <v>24</v>
      </c>
      <c r="T2335" s="1">
        <v>2016</v>
      </c>
      <c r="U2335" s="1">
        <v>11</v>
      </c>
      <c r="V2335" s="50">
        <v>42675</v>
      </c>
      <c r="W2335" s="4">
        <v>2758.2500000000005</v>
      </c>
      <c r="X2335" s="48">
        <v>3245</v>
      </c>
    </row>
    <row r="2336" spans="2:24" x14ac:dyDescent="0.35">
      <c r="B2336" s="8" t="s">
        <v>3</v>
      </c>
      <c r="C2336" s="8" t="s">
        <v>25</v>
      </c>
      <c r="D2336" s="8" t="s">
        <v>4</v>
      </c>
      <c r="E2336" s="8" t="s">
        <v>23</v>
      </c>
      <c r="F2336" s="6" t="s">
        <v>24</v>
      </c>
      <c r="G2336" s="8">
        <v>2016</v>
      </c>
      <c r="H2336" s="8">
        <v>11</v>
      </c>
      <c r="I2336" s="10">
        <v>42675</v>
      </c>
      <c r="J2336" s="11">
        <v>2875</v>
      </c>
      <c r="K2336" s="51"/>
      <c r="O2336" s="1" t="s">
        <v>3</v>
      </c>
      <c r="P2336" s="1" t="s">
        <v>25</v>
      </c>
      <c r="Q2336" s="1" t="s">
        <v>4</v>
      </c>
      <c r="R2336" s="1" t="s">
        <v>23</v>
      </c>
      <c r="S2336" t="s">
        <v>24</v>
      </c>
      <c r="T2336" s="1">
        <v>2016</v>
      </c>
      <c r="U2336" s="1">
        <v>11</v>
      </c>
      <c r="V2336" s="50">
        <v>42675</v>
      </c>
      <c r="W2336" s="4">
        <v>2501.2500000000005</v>
      </c>
      <c r="X2336" s="48">
        <v>2875</v>
      </c>
    </row>
    <row r="2337" spans="2:24" x14ac:dyDescent="0.35">
      <c r="B2337" s="8" t="s">
        <v>3</v>
      </c>
      <c r="C2337" s="8" t="s">
        <v>25</v>
      </c>
      <c r="D2337" s="8" t="s">
        <v>4</v>
      </c>
      <c r="E2337" s="8" t="s">
        <v>0</v>
      </c>
      <c r="F2337" s="6" t="s">
        <v>26</v>
      </c>
      <c r="G2337" s="8">
        <v>2016</v>
      </c>
      <c r="H2337" s="8">
        <v>11</v>
      </c>
      <c r="I2337" s="10">
        <v>42675</v>
      </c>
      <c r="J2337" s="11">
        <v>4506</v>
      </c>
      <c r="K2337" s="51"/>
      <c r="O2337" s="1" t="s">
        <v>3</v>
      </c>
      <c r="P2337" s="1" t="s">
        <v>25</v>
      </c>
      <c r="Q2337" s="1" t="s">
        <v>4</v>
      </c>
      <c r="R2337" s="1" t="s">
        <v>0</v>
      </c>
      <c r="S2337" t="s">
        <v>26</v>
      </c>
      <c r="T2337" s="1">
        <v>2016</v>
      </c>
      <c r="U2337" s="1">
        <v>11</v>
      </c>
      <c r="V2337" s="50">
        <v>42675</v>
      </c>
      <c r="W2337" s="4">
        <v>4100.46</v>
      </c>
      <c r="X2337" s="48">
        <v>4506</v>
      </c>
    </row>
    <row r="2338" spans="2:24" x14ac:dyDescent="0.35">
      <c r="B2338" s="8" t="s">
        <v>3</v>
      </c>
      <c r="C2338" s="8" t="s">
        <v>22</v>
      </c>
      <c r="D2338" s="8" t="s">
        <v>5</v>
      </c>
      <c r="E2338" s="9" t="s">
        <v>0</v>
      </c>
      <c r="F2338" s="9" t="s">
        <v>26</v>
      </c>
      <c r="G2338" s="8">
        <v>2016</v>
      </c>
      <c r="H2338" s="8">
        <v>11</v>
      </c>
      <c r="I2338" s="10">
        <v>42675</v>
      </c>
      <c r="J2338" s="11">
        <v>5015</v>
      </c>
      <c r="K2338" s="51"/>
      <c r="O2338" s="1" t="s">
        <v>3</v>
      </c>
      <c r="P2338" s="1" t="s">
        <v>22</v>
      </c>
      <c r="Q2338" s="1" t="s">
        <v>5</v>
      </c>
      <c r="R2338" s="2" t="s">
        <v>0</v>
      </c>
      <c r="S2338" s="2" t="s">
        <v>26</v>
      </c>
      <c r="T2338" s="1">
        <v>2016</v>
      </c>
      <c r="U2338" s="1">
        <v>11</v>
      </c>
      <c r="V2338" s="50">
        <v>42675</v>
      </c>
      <c r="W2338" s="4">
        <v>4413.2</v>
      </c>
      <c r="X2338" s="48">
        <v>5015</v>
      </c>
    </row>
    <row r="2339" spans="2:24" x14ac:dyDescent="0.35">
      <c r="B2339" s="8" t="s">
        <v>3</v>
      </c>
      <c r="C2339" s="8" t="s">
        <v>22</v>
      </c>
      <c r="D2339" s="8" t="s">
        <v>5</v>
      </c>
      <c r="E2339" s="8" t="s">
        <v>27</v>
      </c>
      <c r="F2339" s="9" t="s">
        <v>28</v>
      </c>
      <c r="G2339" s="8">
        <v>2016</v>
      </c>
      <c r="H2339" s="8">
        <v>11</v>
      </c>
      <c r="I2339" s="10">
        <v>42675</v>
      </c>
      <c r="J2339" s="11">
        <v>3520</v>
      </c>
      <c r="K2339" s="51"/>
      <c r="O2339" s="1" t="s">
        <v>3</v>
      </c>
      <c r="P2339" s="1" t="s">
        <v>22</v>
      </c>
      <c r="Q2339" s="1" t="s">
        <v>5</v>
      </c>
      <c r="R2339" s="1" t="s">
        <v>27</v>
      </c>
      <c r="S2339" s="2" t="s">
        <v>28</v>
      </c>
      <c r="T2339" s="1">
        <v>2016</v>
      </c>
      <c r="U2339" s="1">
        <v>11</v>
      </c>
      <c r="V2339" s="50">
        <v>42675</v>
      </c>
      <c r="W2339" s="4">
        <v>2992.0000000000005</v>
      </c>
      <c r="X2339" s="48">
        <v>3520</v>
      </c>
    </row>
    <row r="2340" spans="2:24" x14ac:dyDescent="0.35">
      <c r="B2340" s="8" t="s">
        <v>6</v>
      </c>
      <c r="C2340" s="8" t="s">
        <v>29</v>
      </c>
      <c r="D2340" s="8" t="s">
        <v>30</v>
      </c>
      <c r="E2340" s="8" t="s">
        <v>27</v>
      </c>
      <c r="F2340" s="6" t="s">
        <v>31</v>
      </c>
      <c r="G2340" s="8">
        <v>2016</v>
      </c>
      <c r="H2340" s="8">
        <v>11</v>
      </c>
      <c r="I2340" s="10">
        <v>42675</v>
      </c>
      <c r="J2340" s="11">
        <v>3800</v>
      </c>
      <c r="K2340" s="51"/>
      <c r="O2340" s="1" t="s">
        <v>6</v>
      </c>
      <c r="P2340" s="1" t="s">
        <v>29</v>
      </c>
      <c r="Q2340" s="1" t="s">
        <v>30</v>
      </c>
      <c r="R2340" s="1" t="s">
        <v>27</v>
      </c>
      <c r="S2340" t="s">
        <v>31</v>
      </c>
      <c r="T2340" s="1">
        <v>2016</v>
      </c>
      <c r="U2340" s="1">
        <v>11</v>
      </c>
      <c r="V2340" s="50">
        <v>42675</v>
      </c>
      <c r="W2340" s="4">
        <v>3457.9999999999995</v>
      </c>
      <c r="X2340" s="48">
        <v>3800</v>
      </c>
    </row>
    <row r="2341" spans="2:24" x14ac:dyDescent="0.35">
      <c r="B2341" s="8" t="s">
        <v>7</v>
      </c>
      <c r="C2341" s="8" t="s">
        <v>32</v>
      </c>
      <c r="D2341" s="8" t="s">
        <v>8</v>
      </c>
      <c r="E2341" s="8" t="s">
        <v>27</v>
      </c>
      <c r="F2341" s="8" t="s">
        <v>33</v>
      </c>
      <c r="G2341" s="8">
        <v>2016</v>
      </c>
      <c r="H2341" s="8">
        <v>11</v>
      </c>
      <c r="I2341" s="10">
        <v>42675</v>
      </c>
      <c r="J2341" s="11">
        <v>2855</v>
      </c>
      <c r="K2341" s="51"/>
      <c r="O2341" s="1" t="s">
        <v>7</v>
      </c>
      <c r="P2341" s="1" t="s">
        <v>32</v>
      </c>
      <c r="Q2341" s="1" t="s">
        <v>8</v>
      </c>
      <c r="R2341" s="1" t="s">
        <v>27</v>
      </c>
      <c r="S2341" s="1" t="s">
        <v>33</v>
      </c>
      <c r="T2341" s="1">
        <v>2016</v>
      </c>
      <c r="U2341" s="1">
        <v>11</v>
      </c>
      <c r="V2341" s="50">
        <v>42675</v>
      </c>
      <c r="W2341" s="4">
        <v>2455.3000000000002</v>
      </c>
      <c r="X2341" s="48">
        <v>2855</v>
      </c>
    </row>
    <row r="2342" spans="2:24" x14ac:dyDescent="0.35">
      <c r="B2342" s="8" t="s">
        <v>12</v>
      </c>
      <c r="C2342" s="8" t="s">
        <v>34</v>
      </c>
      <c r="D2342" s="8" t="s">
        <v>35</v>
      </c>
      <c r="E2342" s="8" t="s">
        <v>23</v>
      </c>
      <c r="F2342" s="8" t="s">
        <v>36</v>
      </c>
      <c r="G2342" s="8">
        <v>2016</v>
      </c>
      <c r="H2342" s="8">
        <v>11</v>
      </c>
      <c r="I2342" s="10">
        <v>42675</v>
      </c>
      <c r="J2342" s="11">
        <v>2605</v>
      </c>
      <c r="K2342" s="51"/>
      <c r="O2342" s="1" t="s">
        <v>12</v>
      </c>
      <c r="P2342" s="1" t="s">
        <v>34</v>
      </c>
      <c r="Q2342" s="1" t="s">
        <v>35</v>
      </c>
      <c r="R2342" s="1" t="s">
        <v>23</v>
      </c>
      <c r="S2342" s="1" t="s">
        <v>36</v>
      </c>
      <c r="T2342" s="1">
        <v>2016</v>
      </c>
      <c r="U2342" s="1">
        <v>11</v>
      </c>
      <c r="V2342" s="50">
        <v>42675</v>
      </c>
      <c r="W2342" s="4">
        <v>2292.3999999999996</v>
      </c>
      <c r="X2342" s="48">
        <v>2605</v>
      </c>
    </row>
    <row r="2343" spans="2:24" x14ac:dyDescent="0.35">
      <c r="B2343" s="8" t="s">
        <v>14</v>
      </c>
      <c r="C2343" s="8" t="s">
        <v>37</v>
      </c>
      <c r="D2343" s="8" t="s">
        <v>38</v>
      </c>
      <c r="E2343" s="8" t="s">
        <v>23</v>
      </c>
      <c r="F2343" s="8" t="s">
        <v>24</v>
      </c>
      <c r="G2343" s="8">
        <v>2016</v>
      </c>
      <c r="H2343" s="8">
        <v>11</v>
      </c>
      <c r="I2343" s="10">
        <v>42675</v>
      </c>
      <c r="J2343" s="11">
        <v>2324</v>
      </c>
      <c r="K2343" s="51"/>
      <c r="O2343" s="1" t="s">
        <v>14</v>
      </c>
      <c r="P2343" s="1" t="s">
        <v>37</v>
      </c>
      <c r="Q2343" s="1" t="s">
        <v>38</v>
      </c>
      <c r="R2343" s="1" t="s">
        <v>23</v>
      </c>
      <c r="S2343" s="1" t="s">
        <v>24</v>
      </c>
      <c r="T2343" s="1">
        <v>2016</v>
      </c>
      <c r="U2343" s="1">
        <v>11</v>
      </c>
      <c r="V2343" s="50">
        <v>42675</v>
      </c>
      <c r="W2343" s="4">
        <v>1998.6400000000003</v>
      </c>
      <c r="X2343" s="48">
        <v>2324</v>
      </c>
    </row>
    <row r="2344" spans="2:24" x14ac:dyDescent="0.35">
      <c r="B2344" s="8" t="s">
        <v>3</v>
      </c>
      <c r="C2344" s="8" t="s">
        <v>25</v>
      </c>
      <c r="D2344" s="8" t="s">
        <v>4</v>
      </c>
      <c r="E2344" s="8" t="s">
        <v>23</v>
      </c>
      <c r="F2344" s="6" t="s">
        <v>39</v>
      </c>
      <c r="G2344" s="8">
        <v>2016</v>
      </c>
      <c r="H2344" s="8">
        <v>11</v>
      </c>
      <c r="I2344" s="10">
        <v>42675</v>
      </c>
      <c r="J2344" s="11">
        <v>2178</v>
      </c>
      <c r="K2344" s="51"/>
      <c r="O2344" s="1" t="s">
        <v>3</v>
      </c>
      <c r="P2344" s="1" t="s">
        <v>25</v>
      </c>
      <c r="Q2344" s="1" t="s">
        <v>4</v>
      </c>
      <c r="R2344" s="1" t="s">
        <v>23</v>
      </c>
      <c r="S2344" t="s">
        <v>39</v>
      </c>
      <c r="T2344" s="1">
        <v>2016</v>
      </c>
      <c r="U2344" s="1">
        <v>11</v>
      </c>
      <c r="V2344" s="50">
        <v>42675</v>
      </c>
      <c r="W2344" s="4">
        <v>2025.54</v>
      </c>
      <c r="X2344" s="48">
        <v>2178</v>
      </c>
    </row>
    <row r="2345" spans="2:24" x14ac:dyDescent="0.35">
      <c r="B2345" s="8" t="s">
        <v>6</v>
      </c>
      <c r="C2345" s="8" t="s">
        <v>40</v>
      </c>
      <c r="D2345" s="8" t="s">
        <v>41</v>
      </c>
      <c r="E2345" s="8" t="s">
        <v>0</v>
      </c>
      <c r="F2345" s="6" t="s">
        <v>42</v>
      </c>
      <c r="G2345" s="8">
        <v>2016</v>
      </c>
      <c r="H2345" s="8">
        <v>11</v>
      </c>
      <c r="I2345" s="10">
        <v>42675</v>
      </c>
      <c r="J2345" s="11">
        <v>5665</v>
      </c>
      <c r="K2345" s="51"/>
      <c r="O2345" s="1" t="s">
        <v>6</v>
      </c>
      <c r="P2345" s="1" t="s">
        <v>40</v>
      </c>
      <c r="Q2345" s="1" t="s">
        <v>41</v>
      </c>
      <c r="R2345" s="1" t="s">
        <v>0</v>
      </c>
      <c r="S2345" t="s">
        <v>42</v>
      </c>
      <c r="T2345" s="1">
        <v>2016</v>
      </c>
      <c r="U2345" s="1">
        <v>11</v>
      </c>
      <c r="V2345" s="50">
        <v>42675</v>
      </c>
      <c r="W2345" s="4">
        <v>5098.5</v>
      </c>
      <c r="X2345" s="48">
        <v>5665</v>
      </c>
    </row>
    <row r="2346" spans="2:24" x14ac:dyDescent="0.35">
      <c r="B2346" s="8" t="s">
        <v>7</v>
      </c>
      <c r="C2346" s="8" t="s">
        <v>43</v>
      </c>
      <c r="D2346" s="8" t="s">
        <v>10</v>
      </c>
      <c r="E2346" s="8" t="s">
        <v>0</v>
      </c>
      <c r="F2346" s="6" t="s">
        <v>26</v>
      </c>
      <c r="G2346" s="8">
        <v>2016</v>
      </c>
      <c r="H2346" s="8">
        <v>11</v>
      </c>
      <c r="I2346" s="10">
        <v>42675</v>
      </c>
      <c r="J2346" s="11">
        <v>4415</v>
      </c>
      <c r="K2346" s="51"/>
      <c r="O2346" s="1" t="s">
        <v>7</v>
      </c>
      <c r="P2346" s="1" t="s">
        <v>43</v>
      </c>
      <c r="Q2346" s="1" t="s">
        <v>10</v>
      </c>
      <c r="R2346" s="1" t="s">
        <v>0</v>
      </c>
      <c r="S2346" t="s">
        <v>26</v>
      </c>
      <c r="T2346" s="1">
        <v>2016</v>
      </c>
      <c r="U2346" s="1">
        <v>11</v>
      </c>
      <c r="V2346" s="50">
        <v>42675</v>
      </c>
      <c r="W2346" s="4">
        <v>3973.4999999999995</v>
      </c>
      <c r="X2346" s="48">
        <v>4415</v>
      </c>
    </row>
    <row r="2347" spans="2:24" x14ac:dyDescent="0.35">
      <c r="B2347" s="8" t="s">
        <v>12</v>
      </c>
      <c r="C2347" s="8" t="s">
        <v>44</v>
      </c>
      <c r="D2347" s="8" t="s">
        <v>13</v>
      </c>
      <c r="E2347" s="9" t="s">
        <v>0</v>
      </c>
      <c r="F2347" s="9" t="s">
        <v>45</v>
      </c>
      <c r="G2347" s="8">
        <v>2016</v>
      </c>
      <c r="H2347" s="8">
        <v>11</v>
      </c>
      <c r="I2347" s="10">
        <v>42675</v>
      </c>
      <c r="J2347" s="11">
        <v>2863</v>
      </c>
      <c r="K2347" s="51"/>
      <c r="O2347" s="1" t="s">
        <v>12</v>
      </c>
      <c r="P2347" s="1" t="s">
        <v>44</v>
      </c>
      <c r="Q2347" s="1" t="s">
        <v>13</v>
      </c>
      <c r="R2347" s="2" t="s">
        <v>0</v>
      </c>
      <c r="S2347" s="2" t="s">
        <v>45</v>
      </c>
      <c r="T2347" s="1">
        <v>2016</v>
      </c>
      <c r="U2347" s="1">
        <v>11</v>
      </c>
      <c r="V2347" s="50">
        <v>42675</v>
      </c>
      <c r="W2347" s="4">
        <v>2490.8100000000004</v>
      </c>
      <c r="X2347" s="48">
        <v>2863</v>
      </c>
    </row>
    <row r="2348" spans="2:24" x14ac:dyDescent="0.35">
      <c r="B2348" s="8" t="s">
        <v>14</v>
      </c>
      <c r="C2348" s="8" t="s">
        <v>46</v>
      </c>
      <c r="D2348" s="8" t="s">
        <v>47</v>
      </c>
      <c r="E2348" s="8" t="s">
        <v>27</v>
      </c>
      <c r="F2348" s="9" t="s">
        <v>28</v>
      </c>
      <c r="G2348" s="8">
        <v>2016</v>
      </c>
      <c r="H2348" s="8">
        <v>11</v>
      </c>
      <c r="I2348" s="10">
        <v>42675</v>
      </c>
      <c r="J2348" s="11">
        <v>3735</v>
      </c>
      <c r="K2348" s="51"/>
      <c r="O2348" s="1" t="s">
        <v>14</v>
      </c>
      <c r="P2348" s="1" t="s">
        <v>46</v>
      </c>
      <c r="Q2348" s="1" t="s">
        <v>47</v>
      </c>
      <c r="R2348" s="1" t="s">
        <v>27</v>
      </c>
      <c r="S2348" s="2" t="s">
        <v>28</v>
      </c>
      <c r="T2348" s="1">
        <v>2016</v>
      </c>
      <c r="U2348" s="1">
        <v>11</v>
      </c>
      <c r="V2348" s="50">
        <v>42675</v>
      </c>
      <c r="W2348" s="4">
        <v>3361.4999999999995</v>
      </c>
      <c r="X2348" s="48">
        <v>3735</v>
      </c>
    </row>
    <row r="2349" spans="2:24" x14ac:dyDescent="0.35">
      <c r="B2349" s="8" t="s">
        <v>3</v>
      </c>
      <c r="C2349" s="8" t="s">
        <v>22</v>
      </c>
      <c r="D2349" s="8" t="s">
        <v>5</v>
      </c>
      <c r="E2349" s="8" t="s">
        <v>27</v>
      </c>
      <c r="F2349" s="6" t="s">
        <v>31</v>
      </c>
      <c r="G2349" s="8">
        <v>2016</v>
      </c>
      <c r="H2349" s="8">
        <v>11</v>
      </c>
      <c r="I2349" s="10">
        <v>42675</v>
      </c>
      <c r="J2349" s="11">
        <v>2819</v>
      </c>
      <c r="K2349" s="51"/>
      <c r="O2349" s="1" t="s">
        <v>3</v>
      </c>
      <c r="P2349" s="1" t="s">
        <v>22</v>
      </c>
      <c r="Q2349" s="1" t="s">
        <v>5</v>
      </c>
      <c r="R2349" s="1" t="s">
        <v>27</v>
      </c>
      <c r="S2349" t="s">
        <v>31</v>
      </c>
      <c r="T2349" s="1">
        <v>2016</v>
      </c>
      <c r="U2349" s="1">
        <v>11</v>
      </c>
      <c r="V2349" s="50">
        <v>42675</v>
      </c>
      <c r="W2349" s="4">
        <v>2396.15</v>
      </c>
      <c r="X2349" s="48">
        <v>2819</v>
      </c>
    </row>
    <row r="2350" spans="2:24" x14ac:dyDescent="0.35">
      <c r="B2350" s="8" t="s">
        <v>6</v>
      </c>
      <c r="C2350" s="8" t="s">
        <v>29</v>
      </c>
      <c r="D2350" s="8" t="s">
        <v>30</v>
      </c>
      <c r="E2350" s="8" t="s">
        <v>27</v>
      </c>
      <c r="F2350" s="8" t="s">
        <v>33</v>
      </c>
      <c r="G2350" s="8">
        <v>2016</v>
      </c>
      <c r="H2350" s="8">
        <v>11</v>
      </c>
      <c r="I2350" s="10">
        <v>42675</v>
      </c>
      <c r="J2350" s="11">
        <v>3070</v>
      </c>
      <c r="K2350" s="51"/>
      <c r="O2350" s="1" t="s">
        <v>6</v>
      </c>
      <c r="P2350" s="1" t="s">
        <v>29</v>
      </c>
      <c r="Q2350" s="1" t="s">
        <v>30</v>
      </c>
      <c r="R2350" s="1" t="s">
        <v>27</v>
      </c>
      <c r="S2350" s="1" t="s">
        <v>33</v>
      </c>
      <c r="T2350" s="1">
        <v>2016</v>
      </c>
      <c r="U2350" s="1">
        <v>11</v>
      </c>
      <c r="V2350" s="50">
        <v>42675</v>
      </c>
      <c r="W2350" s="4">
        <v>2701.5999999999995</v>
      </c>
      <c r="X2350" s="48">
        <v>3070</v>
      </c>
    </row>
    <row r="2351" spans="2:24" x14ac:dyDescent="0.35">
      <c r="B2351" s="8" t="s">
        <v>7</v>
      </c>
      <c r="C2351" s="8" t="s">
        <v>32</v>
      </c>
      <c r="D2351" s="8" t="s">
        <v>8</v>
      </c>
      <c r="E2351" s="8" t="s">
        <v>23</v>
      </c>
      <c r="F2351" s="8" t="s">
        <v>36</v>
      </c>
      <c r="G2351" s="8">
        <v>2016</v>
      </c>
      <c r="H2351" s="8">
        <v>11</v>
      </c>
      <c r="I2351" s="10">
        <v>42675</v>
      </c>
      <c r="J2351" s="11">
        <v>2785</v>
      </c>
      <c r="K2351" s="51"/>
      <c r="O2351" s="1" t="s">
        <v>7</v>
      </c>
      <c r="P2351" s="1" t="s">
        <v>32</v>
      </c>
      <c r="Q2351" s="1" t="s">
        <v>8</v>
      </c>
      <c r="R2351" s="1" t="s">
        <v>23</v>
      </c>
      <c r="S2351" s="1" t="s">
        <v>36</v>
      </c>
      <c r="T2351" s="1">
        <v>2016</v>
      </c>
      <c r="U2351" s="1">
        <v>11</v>
      </c>
      <c r="V2351" s="50">
        <v>42675</v>
      </c>
      <c r="W2351" s="4">
        <v>2478.6499999999996</v>
      </c>
      <c r="X2351" s="48">
        <v>2785</v>
      </c>
    </row>
    <row r="2352" spans="2:24" x14ac:dyDescent="0.35">
      <c r="B2352" s="8" t="s">
        <v>12</v>
      </c>
      <c r="C2352" s="8" t="s">
        <v>34</v>
      </c>
      <c r="D2352" s="8" t="s">
        <v>35</v>
      </c>
      <c r="E2352" s="8" t="s">
        <v>23</v>
      </c>
      <c r="F2352" s="8" t="s">
        <v>24</v>
      </c>
      <c r="G2352" s="8">
        <v>2016</v>
      </c>
      <c r="H2352" s="8">
        <v>11</v>
      </c>
      <c r="I2352" s="10">
        <v>42675</v>
      </c>
      <c r="J2352" s="11">
        <v>2263</v>
      </c>
      <c r="K2352" s="51"/>
      <c r="O2352" s="1" t="s">
        <v>12</v>
      </c>
      <c r="P2352" s="1" t="s">
        <v>34</v>
      </c>
      <c r="Q2352" s="1" t="s">
        <v>35</v>
      </c>
      <c r="R2352" s="1" t="s">
        <v>23</v>
      </c>
      <c r="S2352" s="1" t="s">
        <v>24</v>
      </c>
      <c r="T2352" s="1">
        <v>2016</v>
      </c>
      <c r="U2352" s="1">
        <v>11</v>
      </c>
      <c r="V2352" s="50">
        <v>42675</v>
      </c>
      <c r="W2352" s="4">
        <v>2127.2199999999998</v>
      </c>
      <c r="X2352" s="48">
        <v>2263</v>
      </c>
    </row>
    <row r="2353" spans="2:24" x14ac:dyDescent="0.35">
      <c r="B2353" s="8" t="s">
        <v>14</v>
      </c>
      <c r="C2353" s="8" t="s">
        <v>37</v>
      </c>
      <c r="D2353" s="8" t="s">
        <v>38</v>
      </c>
      <c r="E2353" s="8" t="s">
        <v>23</v>
      </c>
      <c r="F2353" s="6" t="s">
        <v>39</v>
      </c>
      <c r="G2353" s="8">
        <v>2016</v>
      </c>
      <c r="H2353" s="8">
        <v>11</v>
      </c>
      <c r="I2353" s="10">
        <v>42675</v>
      </c>
      <c r="J2353" s="11">
        <v>1705</v>
      </c>
      <c r="K2353" s="51"/>
      <c r="O2353" s="1" t="s">
        <v>14</v>
      </c>
      <c r="P2353" s="1" t="s">
        <v>37</v>
      </c>
      <c r="Q2353" s="1" t="s">
        <v>38</v>
      </c>
      <c r="R2353" s="1" t="s">
        <v>23</v>
      </c>
      <c r="S2353" t="s">
        <v>39</v>
      </c>
      <c r="T2353" s="1">
        <v>2016</v>
      </c>
      <c r="U2353" s="1">
        <v>11</v>
      </c>
      <c r="V2353" s="50">
        <v>42675</v>
      </c>
      <c r="W2353" s="4">
        <v>1551.55</v>
      </c>
      <c r="X2353" s="48">
        <v>1705</v>
      </c>
    </row>
    <row r="2354" spans="2:24" x14ac:dyDescent="0.35">
      <c r="B2354" s="8" t="s">
        <v>3</v>
      </c>
      <c r="C2354" s="8" t="s">
        <v>25</v>
      </c>
      <c r="D2354" s="8" t="s">
        <v>4</v>
      </c>
      <c r="E2354" s="8" t="s">
        <v>0</v>
      </c>
      <c r="F2354" s="6" t="s">
        <v>42</v>
      </c>
      <c r="G2354" s="8">
        <v>2016</v>
      </c>
      <c r="H2354" s="8">
        <v>11</v>
      </c>
      <c r="I2354" s="10">
        <v>42675</v>
      </c>
      <c r="J2354" s="11">
        <v>5385</v>
      </c>
      <c r="K2354" s="51"/>
      <c r="O2354" s="1" t="s">
        <v>3</v>
      </c>
      <c r="P2354" s="1" t="s">
        <v>25</v>
      </c>
      <c r="Q2354" s="1" t="s">
        <v>4</v>
      </c>
      <c r="R2354" s="1" t="s">
        <v>0</v>
      </c>
      <c r="S2354" t="s">
        <v>42</v>
      </c>
      <c r="T2354" s="1">
        <v>2016</v>
      </c>
      <c r="U2354" s="1">
        <v>11</v>
      </c>
      <c r="V2354" s="50">
        <v>42675</v>
      </c>
      <c r="W2354" s="4">
        <v>4631.1000000000004</v>
      </c>
      <c r="X2354" s="48">
        <v>5385</v>
      </c>
    </row>
    <row r="2355" spans="2:24" x14ac:dyDescent="0.35">
      <c r="B2355" s="8" t="s">
        <v>6</v>
      </c>
      <c r="C2355" s="8" t="s">
        <v>40</v>
      </c>
      <c r="D2355" s="8" t="s">
        <v>41</v>
      </c>
      <c r="E2355" s="8" t="s">
        <v>0</v>
      </c>
      <c r="F2355" s="6" t="s">
        <v>26</v>
      </c>
      <c r="G2355" s="8">
        <v>2016</v>
      </c>
      <c r="H2355" s="8">
        <v>11</v>
      </c>
      <c r="I2355" s="10">
        <v>42675</v>
      </c>
      <c r="J2355" s="11">
        <v>2953</v>
      </c>
      <c r="K2355" s="51"/>
      <c r="O2355" s="1" t="s">
        <v>6</v>
      </c>
      <c r="P2355" s="1" t="s">
        <v>40</v>
      </c>
      <c r="Q2355" s="1" t="s">
        <v>41</v>
      </c>
      <c r="R2355" s="1" t="s">
        <v>0</v>
      </c>
      <c r="S2355" t="s">
        <v>26</v>
      </c>
      <c r="T2355" s="1">
        <v>2016</v>
      </c>
      <c r="U2355" s="1">
        <v>11</v>
      </c>
      <c r="V2355" s="50">
        <v>42675</v>
      </c>
      <c r="W2355" s="4">
        <v>2598.64</v>
      </c>
      <c r="X2355" s="48">
        <v>2953</v>
      </c>
    </row>
    <row r="2356" spans="2:24" x14ac:dyDescent="0.35">
      <c r="B2356" s="8" t="s">
        <v>7</v>
      </c>
      <c r="C2356" s="8" t="s">
        <v>43</v>
      </c>
      <c r="D2356" s="8" t="s">
        <v>10</v>
      </c>
      <c r="E2356" s="9" t="s">
        <v>0</v>
      </c>
      <c r="F2356" s="9" t="s">
        <v>45</v>
      </c>
      <c r="G2356" s="8">
        <v>2016</v>
      </c>
      <c r="H2356" s="8">
        <v>11</v>
      </c>
      <c r="I2356" s="10">
        <v>42675</v>
      </c>
      <c r="J2356" s="11">
        <v>2610</v>
      </c>
      <c r="K2356" s="51"/>
      <c r="O2356" s="1" t="s">
        <v>7</v>
      </c>
      <c r="P2356" s="1" t="s">
        <v>43</v>
      </c>
      <c r="Q2356" s="1" t="s">
        <v>10</v>
      </c>
      <c r="R2356" s="2" t="s">
        <v>0</v>
      </c>
      <c r="S2356" s="2" t="s">
        <v>45</v>
      </c>
      <c r="T2356" s="1">
        <v>2016</v>
      </c>
      <c r="U2356" s="1">
        <v>11</v>
      </c>
      <c r="V2356" s="50">
        <v>42675</v>
      </c>
      <c r="W2356" s="4">
        <v>2218.5</v>
      </c>
      <c r="X2356" s="48">
        <v>2610</v>
      </c>
    </row>
    <row r="2357" spans="2:24" x14ac:dyDescent="0.35">
      <c r="B2357" s="8" t="s">
        <v>12</v>
      </c>
      <c r="C2357" s="8" t="s">
        <v>44</v>
      </c>
      <c r="D2357" s="8" t="s">
        <v>13</v>
      </c>
      <c r="E2357" s="8" t="s">
        <v>27</v>
      </c>
      <c r="F2357" s="9" t="s">
        <v>28</v>
      </c>
      <c r="G2357" s="8">
        <v>2016</v>
      </c>
      <c r="H2357" s="8">
        <v>11</v>
      </c>
      <c r="I2357" s="10">
        <v>42675</v>
      </c>
      <c r="J2357" s="11">
        <v>4253</v>
      </c>
      <c r="K2357" s="51"/>
      <c r="O2357" s="1" t="s">
        <v>12</v>
      </c>
      <c r="P2357" s="1" t="s">
        <v>44</v>
      </c>
      <c r="Q2357" s="1" t="s">
        <v>13</v>
      </c>
      <c r="R2357" s="1" t="s">
        <v>27</v>
      </c>
      <c r="S2357" s="2" t="s">
        <v>28</v>
      </c>
      <c r="T2357" s="1">
        <v>2016</v>
      </c>
      <c r="U2357" s="1">
        <v>11</v>
      </c>
      <c r="V2357" s="50">
        <v>42675</v>
      </c>
      <c r="W2357" s="4">
        <v>3912.7599999999998</v>
      </c>
      <c r="X2357" s="48">
        <v>4253</v>
      </c>
    </row>
    <row r="2358" spans="2:24" x14ac:dyDescent="0.35">
      <c r="B2358" s="8" t="s">
        <v>14</v>
      </c>
      <c r="C2358" s="8" t="s">
        <v>46</v>
      </c>
      <c r="D2358" s="8" t="s">
        <v>47</v>
      </c>
      <c r="E2358" s="8" t="s">
        <v>27</v>
      </c>
      <c r="F2358" s="6" t="s">
        <v>31</v>
      </c>
      <c r="G2358" s="8">
        <v>2016</v>
      </c>
      <c r="H2358" s="8">
        <v>11</v>
      </c>
      <c r="I2358" s="10">
        <v>42675</v>
      </c>
      <c r="J2358" s="11">
        <v>3184</v>
      </c>
      <c r="K2358" s="51"/>
      <c r="O2358" s="1" t="s">
        <v>14</v>
      </c>
      <c r="P2358" s="1" t="s">
        <v>46</v>
      </c>
      <c r="Q2358" s="1" t="s">
        <v>47</v>
      </c>
      <c r="R2358" s="1" t="s">
        <v>27</v>
      </c>
      <c r="S2358" t="s">
        <v>31</v>
      </c>
      <c r="T2358" s="1">
        <v>2016</v>
      </c>
      <c r="U2358" s="1">
        <v>11</v>
      </c>
      <c r="V2358" s="50">
        <v>42675</v>
      </c>
      <c r="W2358" s="4">
        <v>2992.96</v>
      </c>
      <c r="X2358" s="48">
        <v>3184</v>
      </c>
    </row>
    <row r="2359" spans="2:24" x14ac:dyDescent="0.35">
      <c r="B2359" s="8" t="s">
        <v>3</v>
      </c>
      <c r="C2359" s="8" t="s">
        <v>22</v>
      </c>
      <c r="D2359" s="8" t="s">
        <v>5</v>
      </c>
      <c r="E2359" s="8" t="s">
        <v>27</v>
      </c>
      <c r="F2359" s="8" t="s">
        <v>33</v>
      </c>
      <c r="G2359" s="8">
        <v>2016</v>
      </c>
      <c r="H2359" s="8">
        <v>11</v>
      </c>
      <c r="I2359" s="10">
        <v>42675</v>
      </c>
      <c r="J2359" s="11">
        <v>3627</v>
      </c>
      <c r="K2359" s="51"/>
      <c r="O2359" s="1" t="s">
        <v>3</v>
      </c>
      <c r="P2359" s="1" t="s">
        <v>22</v>
      </c>
      <c r="Q2359" s="1" t="s">
        <v>5</v>
      </c>
      <c r="R2359" s="1" t="s">
        <v>27</v>
      </c>
      <c r="S2359" s="1" t="s">
        <v>33</v>
      </c>
      <c r="T2359" s="1">
        <v>2016</v>
      </c>
      <c r="U2359" s="1">
        <v>11</v>
      </c>
      <c r="V2359" s="50">
        <v>42675</v>
      </c>
      <c r="W2359" s="4">
        <v>3228.0299999999997</v>
      </c>
      <c r="X2359" s="48">
        <v>3627</v>
      </c>
    </row>
    <row r="2360" spans="2:24" x14ac:dyDescent="0.35">
      <c r="B2360" s="8" t="s">
        <v>6</v>
      </c>
      <c r="C2360" s="8" t="s">
        <v>29</v>
      </c>
      <c r="D2360" s="8" t="s">
        <v>30</v>
      </c>
      <c r="E2360" s="8" t="s">
        <v>23</v>
      </c>
      <c r="F2360" s="8" t="s">
        <v>36</v>
      </c>
      <c r="G2360" s="8">
        <v>2016</v>
      </c>
      <c r="H2360" s="8">
        <v>11</v>
      </c>
      <c r="I2360" s="10">
        <v>42675</v>
      </c>
      <c r="J2360" s="11">
        <v>1525</v>
      </c>
      <c r="K2360" s="51"/>
      <c r="O2360" s="1" t="s">
        <v>6</v>
      </c>
      <c r="P2360" s="1" t="s">
        <v>29</v>
      </c>
      <c r="Q2360" s="1" t="s">
        <v>30</v>
      </c>
      <c r="R2360" s="1" t="s">
        <v>23</v>
      </c>
      <c r="S2360" s="1" t="s">
        <v>36</v>
      </c>
      <c r="T2360" s="1">
        <v>2016</v>
      </c>
      <c r="U2360" s="1">
        <v>11</v>
      </c>
      <c r="V2360" s="50">
        <v>42675</v>
      </c>
      <c r="W2360" s="4">
        <v>1418.25</v>
      </c>
      <c r="X2360" s="48">
        <v>1525</v>
      </c>
    </row>
    <row r="2361" spans="2:24" x14ac:dyDescent="0.35">
      <c r="B2361" s="8" t="s">
        <v>7</v>
      </c>
      <c r="C2361" s="8" t="s">
        <v>32</v>
      </c>
      <c r="D2361" s="8" t="s">
        <v>8</v>
      </c>
      <c r="E2361" s="8" t="s">
        <v>23</v>
      </c>
      <c r="F2361" s="8" t="s">
        <v>24</v>
      </c>
      <c r="G2361" s="8">
        <v>2016</v>
      </c>
      <c r="H2361" s="8">
        <v>11</v>
      </c>
      <c r="I2361" s="10">
        <v>42675</v>
      </c>
      <c r="J2361" s="11">
        <v>1860</v>
      </c>
      <c r="K2361" s="51"/>
      <c r="O2361" s="1" t="s">
        <v>7</v>
      </c>
      <c r="P2361" s="1" t="s">
        <v>32</v>
      </c>
      <c r="Q2361" s="1" t="s">
        <v>8</v>
      </c>
      <c r="R2361" s="1" t="s">
        <v>23</v>
      </c>
      <c r="S2361" s="1" t="s">
        <v>24</v>
      </c>
      <c r="T2361" s="1">
        <v>2016</v>
      </c>
      <c r="U2361" s="1">
        <v>11</v>
      </c>
      <c r="V2361" s="50">
        <v>42675</v>
      </c>
      <c r="W2361" s="4">
        <v>1673.9999999999998</v>
      </c>
      <c r="X2361" s="48">
        <v>1860</v>
      </c>
    </row>
    <row r="2362" spans="2:24" x14ac:dyDescent="0.35">
      <c r="B2362" s="8" t="s">
        <v>12</v>
      </c>
      <c r="C2362" s="8" t="s">
        <v>34</v>
      </c>
      <c r="D2362" s="8" t="s">
        <v>35</v>
      </c>
      <c r="E2362" s="8" t="s">
        <v>23</v>
      </c>
      <c r="F2362" s="6" t="s">
        <v>39</v>
      </c>
      <c r="G2362" s="8">
        <v>2016</v>
      </c>
      <c r="H2362" s="8">
        <v>11</v>
      </c>
      <c r="I2362" s="10">
        <v>42675</v>
      </c>
      <c r="J2362" s="11">
        <v>1372</v>
      </c>
      <c r="K2362" s="51"/>
      <c r="O2362" s="1" t="s">
        <v>12</v>
      </c>
      <c r="P2362" s="1" t="s">
        <v>34</v>
      </c>
      <c r="Q2362" s="1" t="s">
        <v>35</v>
      </c>
      <c r="R2362" s="1" t="s">
        <v>23</v>
      </c>
      <c r="S2362" t="s">
        <v>39</v>
      </c>
      <c r="T2362" s="1">
        <v>2016</v>
      </c>
      <c r="U2362" s="1">
        <v>11</v>
      </c>
      <c r="V2362" s="50">
        <v>42675</v>
      </c>
      <c r="W2362" s="4">
        <v>1248.52</v>
      </c>
      <c r="X2362" s="48">
        <v>1372</v>
      </c>
    </row>
    <row r="2363" spans="2:24" x14ac:dyDescent="0.35">
      <c r="B2363" s="8" t="s">
        <v>14</v>
      </c>
      <c r="C2363" s="8" t="s">
        <v>37</v>
      </c>
      <c r="D2363" s="8" t="s">
        <v>38</v>
      </c>
      <c r="E2363" s="8" t="s">
        <v>0</v>
      </c>
      <c r="F2363" s="6" t="s">
        <v>42</v>
      </c>
      <c r="G2363" s="8">
        <v>2016</v>
      </c>
      <c r="H2363" s="8">
        <v>11</v>
      </c>
      <c r="I2363" s="10">
        <v>42675</v>
      </c>
      <c r="J2363" s="11">
        <v>4652</v>
      </c>
      <c r="K2363" s="51"/>
      <c r="O2363" s="1" t="s">
        <v>14</v>
      </c>
      <c r="P2363" s="1" t="s">
        <v>37</v>
      </c>
      <c r="Q2363" s="1" t="s">
        <v>38</v>
      </c>
      <c r="R2363" s="1" t="s">
        <v>0</v>
      </c>
      <c r="S2363" t="s">
        <v>42</v>
      </c>
      <c r="T2363" s="1">
        <v>2016</v>
      </c>
      <c r="U2363" s="1">
        <v>11</v>
      </c>
      <c r="V2363" s="50">
        <v>42675</v>
      </c>
      <c r="W2363" s="4">
        <v>4093.7599999999993</v>
      </c>
      <c r="X2363" s="48">
        <v>4652</v>
      </c>
    </row>
    <row r="2364" spans="2:24" x14ac:dyDescent="0.35">
      <c r="B2364" s="8" t="s">
        <v>6</v>
      </c>
      <c r="C2364" s="8" t="s">
        <v>29</v>
      </c>
      <c r="D2364" s="8" t="s">
        <v>30</v>
      </c>
      <c r="E2364" s="8" t="s">
        <v>0</v>
      </c>
      <c r="F2364" s="6" t="s">
        <v>45</v>
      </c>
      <c r="G2364" s="8">
        <v>2016</v>
      </c>
      <c r="H2364" s="8">
        <v>11</v>
      </c>
      <c r="I2364" s="10">
        <v>42675</v>
      </c>
      <c r="J2364" s="11">
        <v>2687</v>
      </c>
      <c r="K2364" s="51"/>
      <c r="O2364" s="1" t="s">
        <v>6</v>
      </c>
      <c r="P2364" s="1" t="s">
        <v>29</v>
      </c>
      <c r="Q2364" s="1" t="s">
        <v>30</v>
      </c>
      <c r="R2364" s="1" t="s">
        <v>0</v>
      </c>
      <c r="S2364" t="s">
        <v>45</v>
      </c>
      <c r="T2364" s="1">
        <v>2016</v>
      </c>
      <c r="U2364" s="1">
        <v>11</v>
      </c>
      <c r="V2364" s="50">
        <v>42675</v>
      </c>
      <c r="W2364" s="4">
        <v>2472.04</v>
      </c>
      <c r="X2364" s="48">
        <v>2687</v>
      </c>
    </row>
    <row r="2365" spans="2:24" x14ac:dyDescent="0.35">
      <c r="B2365" s="8" t="s">
        <v>7</v>
      </c>
      <c r="C2365" s="8" t="s">
        <v>43</v>
      </c>
      <c r="D2365" s="8" t="s">
        <v>10</v>
      </c>
      <c r="E2365" s="9" t="s">
        <v>27</v>
      </c>
      <c r="F2365" s="9" t="s">
        <v>28</v>
      </c>
      <c r="G2365" s="8">
        <v>2016</v>
      </c>
      <c r="H2365" s="8">
        <v>11</v>
      </c>
      <c r="I2365" s="10">
        <v>42675</v>
      </c>
      <c r="J2365" s="11">
        <v>4638</v>
      </c>
      <c r="K2365" s="51"/>
      <c r="O2365" s="1" t="s">
        <v>7</v>
      </c>
      <c r="P2365" s="1" t="s">
        <v>43</v>
      </c>
      <c r="Q2365" s="1" t="s">
        <v>10</v>
      </c>
      <c r="R2365" s="2" t="s">
        <v>27</v>
      </c>
      <c r="S2365" s="2" t="s">
        <v>28</v>
      </c>
      <c r="T2365" s="1">
        <v>2016</v>
      </c>
      <c r="U2365" s="1">
        <v>11</v>
      </c>
      <c r="V2365" s="50">
        <v>42675</v>
      </c>
      <c r="W2365" s="4">
        <v>3988.6800000000003</v>
      </c>
      <c r="X2365" s="48">
        <v>4638</v>
      </c>
    </row>
    <row r="2366" spans="2:24" x14ac:dyDescent="0.35">
      <c r="B2366" s="8" t="s">
        <v>12</v>
      </c>
      <c r="C2366" s="8" t="s">
        <v>44</v>
      </c>
      <c r="D2366" s="8" t="s">
        <v>13</v>
      </c>
      <c r="E2366" s="8" t="s">
        <v>27</v>
      </c>
      <c r="F2366" s="9" t="s">
        <v>31</v>
      </c>
      <c r="G2366" s="8">
        <v>2016</v>
      </c>
      <c r="H2366" s="8">
        <v>11</v>
      </c>
      <c r="I2366" s="10">
        <v>42675</v>
      </c>
      <c r="J2366" s="11">
        <v>4560</v>
      </c>
      <c r="K2366" s="51"/>
      <c r="O2366" s="1" t="s">
        <v>12</v>
      </c>
      <c r="P2366" s="1" t="s">
        <v>44</v>
      </c>
      <c r="Q2366" s="1" t="s">
        <v>13</v>
      </c>
      <c r="R2366" s="1" t="s">
        <v>27</v>
      </c>
      <c r="S2366" s="2" t="s">
        <v>31</v>
      </c>
      <c r="T2366" s="1">
        <v>2016</v>
      </c>
      <c r="U2366" s="1">
        <v>11</v>
      </c>
      <c r="V2366" s="50">
        <v>42675</v>
      </c>
      <c r="W2366" s="4">
        <v>4149.5999999999995</v>
      </c>
      <c r="X2366" s="48">
        <v>4560</v>
      </c>
    </row>
    <row r="2367" spans="2:24" x14ac:dyDescent="0.35">
      <c r="B2367" s="8" t="s">
        <v>14</v>
      </c>
      <c r="C2367" s="8" t="s">
        <v>46</v>
      </c>
      <c r="D2367" s="8" t="s">
        <v>47</v>
      </c>
      <c r="E2367" s="8" t="s">
        <v>27</v>
      </c>
      <c r="F2367" s="6" t="s">
        <v>33</v>
      </c>
      <c r="G2367" s="8">
        <v>2016</v>
      </c>
      <c r="H2367" s="8">
        <v>11</v>
      </c>
      <c r="I2367" s="10">
        <v>42675</v>
      </c>
      <c r="J2367" s="11">
        <v>3987</v>
      </c>
      <c r="K2367" s="51"/>
      <c r="O2367" s="1" t="s">
        <v>14</v>
      </c>
      <c r="P2367" s="1" t="s">
        <v>46</v>
      </c>
      <c r="Q2367" s="1" t="s">
        <v>47</v>
      </c>
      <c r="R2367" s="1" t="s">
        <v>27</v>
      </c>
      <c r="S2367" t="s">
        <v>33</v>
      </c>
      <c r="T2367" s="1">
        <v>2016</v>
      </c>
      <c r="U2367" s="1">
        <v>11</v>
      </c>
      <c r="V2367" s="50">
        <v>42675</v>
      </c>
      <c r="W2367" s="4">
        <v>3668.04</v>
      </c>
      <c r="X2367" s="48">
        <v>3987</v>
      </c>
    </row>
    <row r="2368" spans="2:24" x14ac:dyDescent="0.35">
      <c r="B2368" s="8" t="s">
        <v>3</v>
      </c>
      <c r="C2368" s="8" t="s">
        <v>22</v>
      </c>
      <c r="D2368" s="8" t="s">
        <v>5</v>
      </c>
      <c r="E2368" s="8" t="s">
        <v>23</v>
      </c>
      <c r="F2368" s="8" t="s">
        <v>36</v>
      </c>
      <c r="G2368" s="8">
        <v>2016</v>
      </c>
      <c r="H2368" s="8">
        <v>11</v>
      </c>
      <c r="I2368" s="10">
        <v>42675</v>
      </c>
      <c r="J2368" s="11">
        <v>2420</v>
      </c>
      <c r="K2368" s="51"/>
      <c r="O2368" s="1" t="s">
        <v>3</v>
      </c>
      <c r="P2368" s="1" t="s">
        <v>22</v>
      </c>
      <c r="Q2368" s="1" t="s">
        <v>5</v>
      </c>
      <c r="R2368" s="1" t="s">
        <v>23</v>
      </c>
      <c r="S2368" s="1" t="s">
        <v>36</v>
      </c>
      <c r="T2368" s="1">
        <v>2016</v>
      </c>
      <c r="U2368" s="1">
        <v>11</v>
      </c>
      <c r="V2368" s="50">
        <v>42675</v>
      </c>
      <c r="W2368" s="4">
        <v>2274.7999999999997</v>
      </c>
      <c r="X2368" s="48">
        <v>2420</v>
      </c>
    </row>
    <row r="2369" spans="2:24" x14ac:dyDescent="0.35">
      <c r="B2369" s="8" t="s">
        <v>6</v>
      </c>
      <c r="C2369" s="8" t="s">
        <v>40</v>
      </c>
      <c r="D2369" s="8" t="s">
        <v>41</v>
      </c>
      <c r="E2369" s="8" t="s">
        <v>23</v>
      </c>
      <c r="F2369" s="8" t="s">
        <v>24</v>
      </c>
      <c r="G2369" s="8">
        <v>2016</v>
      </c>
      <c r="H2369" s="8">
        <v>11</v>
      </c>
      <c r="I2369" s="10">
        <v>42675</v>
      </c>
      <c r="J2369" s="11">
        <v>2368</v>
      </c>
      <c r="K2369" s="51"/>
      <c r="O2369" s="1" t="s">
        <v>6</v>
      </c>
      <c r="P2369" s="1" t="s">
        <v>40</v>
      </c>
      <c r="Q2369" s="1" t="s">
        <v>41</v>
      </c>
      <c r="R2369" s="1" t="s">
        <v>23</v>
      </c>
      <c r="S2369" s="1" t="s">
        <v>24</v>
      </c>
      <c r="T2369" s="1">
        <v>2016</v>
      </c>
      <c r="U2369" s="1">
        <v>11</v>
      </c>
      <c r="V2369" s="50">
        <v>42675</v>
      </c>
      <c r="W2369" s="4">
        <v>2107.5199999999995</v>
      </c>
      <c r="X2369" s="48">
        <v>2368</v>
      </c>
    </row>
    <row r="2370" spans="2:24" x14ac:dyDescent="0.35">
      <c r="B2370" s="8" t="s">
        <v>7</v>
      </c>
      <c r="C2370" s="8" t="s">
        <v>32</v>
      </c>
      <c r="D2370" s="8" t="s">
        <v>8</v>
      </c>
      <c r="E2370" s="8" t="s">
        <v>23</v>
      </c>
      <c r="F2370" s="8" t="s">
        <v>39</v>
      </c>
      <c r="G2370" s="8">
        <v>2016</v>
      </c>
      <c r="H2370" s="8">
        <v>11</v>
      </c>
      <c r="I2370" s="10">
        <v>42675</v>
      </c>
      <c r="J2370" s="11">
        <v>2156</v>
      </c>
      <c r="K2370" s="51"/>
      <c r="O2370" s="1" t="s">
        <v>7</v>
      </c>
      <c r="P2370" s="1" t="s">
        <v>32</v>
      </c>
      <c r="Q2370" s="1" t="s">
        <v>8</v>
      </c>
      <c r="R2370" s="1" t="s">
        <v>23</v>
      </c>
      <c r="S2370" s="1" t="s">
        <v>39</v>
      </c>
      <c r="T2370" s="1">
        <v>2016</v>
      </c>
      <c r="U2370" s="1">
        <v>11</v>
      </c>
      <c r="V2370" s="50">
        <v>42675</v>
      </c>
      <c r="W2370" s="4">
        <v>1875.7200000000003</v>
      </c>
      <c r="X2370" s="48">
        <v>2156</v>
      </c>
    </row>
    <row r="2371" spans="2:24" x14ac:dyDescent="0.35">
      <c r="B2371" s="8" t="s">
        <v>12</v>
      </c>
      <c r="C2371" s="8" t="s">
        <v>34</v>
      </c>
      <c r="D2371" s="8" t="s">
        <v>35</v>
      </c>
      <c r="E2371" s="8" t="s">
        <v>0</v>
      </c>
      <c r="F2371" s="6" t="s">
        <v>42</v>
      </c>
      <c r="G2371" s="8">
        <v>2016</v>
      </c>
      <c r="H2371" s="8">
        <v>11</v>
      </c>
      <c r="I2371" s="10">
        <v>42675</v>
      </c>
      <c r="J2371" s="11">
        <v>5116</v>
      </c>
      <c r="K2371" s="51"/>
      <c r="O2371" s="1" t="s">
        <v>12</v>
      </c>
      <c r="P2371" s="1" t="s">
        <v>34</v>
      </c>
      <c r="Q2371" s="1" t="s">
        <v>35</v>
      </c>
      <c r="R2371" s="1" t="s">
        <v>0</v>
      </c>
      <c r="S2371" t="s">
        <v>42</v>
      </c>
      <c r="T2371" s="1">
        <v>2016</v>
      </c>
      <c r="U2371" s="1">
        <v>11</v>
      </c>
      <c r="V2371" s="50">
        <v>42675</v>
      </c>
      <c r="W2371" s="4">
        <v>4706.7199999999993</v>
      </c>
      <c r="X2371" s="48">
        <v>5116</v>
      </c>
    </row>
    <row r="2372" spans="2:24" x14ac:dyDescent="0.35">
      <c r="B2372" s="8" t="s">
        <v>14</v>
      </c>
      <c r="C2372" s="8" t="s">
        <v>37</v>
      </c>
      <c r="D2372" s="8" t="s">
        <v>38</v>
      </c>
      <c r="E2372" s="8" t="s">
        <v>0</v>
      </c>
      <c r="F2372" s="6" t="s">
        <v>26</v>
      </c>
      <c r="G2372" s="8">
        <v>2016</v>
      </c>
      <c r="H2372" s="8">
        <v>11</v>
      </c>
      <c r="I2372" s="10">
        <v>42675</v>
      </c>
      <c r="J2372" s="11">
        <v>3584</v>
      </c>
      <c r="K2372" s="51"/>
      <c r="O2372" s="1" t="s">
        <v>14</v>
      </c>
      <c r="P2372" s="1" t="s">
        <v>37</v>
      </c>
      <c r="Q2372" s="1" t="s">
        <v>38</v>
      </c>
      <c r="R2372" s="1" t="s">
        <v>0</v>
      </c>
      <c r="S2372" t="s">
        <v>26</v>
      </c>
      <c r="T2372" s="1">
        <v>2016</v>
      </c>
      <c r="U2372" s="1">
        <v>11</v>
      </c>
      <c r="V2372" s="50">
        <v>42675</v>
      </c>
      <c r="W2372" s="4">
        <v>3118.0800000000004</v>
      </c>
      <c r="X2372" s="48">
        <v>3584</v>
      </c>
    </row>
    <row r="2373" spans="2:24" x14ac:dyDescent="0.35">
      <c r="B2373" s="8" t="s">
        <v>3</v>
      </c>
      <c r="C2373" s="8" t="s">
        <v>25</v>
      </c>
      <c r="D2373" s="8" t="s">
        <v>4</v>
      </c>
      <c r="E2373" s="8" t="s">
        <v>0</v>
      </c>
      <c r="F2373" s="6" t="s">
        <v>45</v>
      </c>
      <c r="G2373" s="8">
        <v>2016</v>
      </c>
      <c r="H2373" s="8">
        <v>11</v>
      </c>
      <c r="I2373" s="10">
        <v>42675</v>
      </c>
      <c r="J2373" s="11">
        <v>4267</v>
      </c>
      <c r="K2373" s="51"/>
      <c r="O2373" s="1" t="s">
        <v>3</v>
      </c>
      <c r="P2373" s="1" t="s">
        <v>25</v>
      </c>
      <c r="Q2373" s="1" t="s">
        <v>4</v>
      </c>
      <c r="R2373" s="1" t="s">
        <v>0</v>
      </c>
      <c r="S2373" t="s">
        <v>45</v>
      </c>
      <c r="T2373" s="1">
        <v>2016</v>
      </c>
      <c r="U2373" s="1">
        <v>11</v>
      </c>
      <c r="V2373" s="50">
        <v>42675</v>
      </c>
      <c r="W2373" s="4">
        <v>3669.6200000000003</v>
      </c>
      <c r="X2373" s="48">
        <v>4267</v>
      </c>
    </row>
    <row r="2374" spans="2:24" x14ac:dyDescent="0.35">
      <c r="B2374" s="8" t="s">
        <v>6</v>
      </c>
      <c r="C2374" s="8" t="s">
        <v>29</v>
      </c>
      <c r="D2374" s="8" t="s">
        <v>30</v>
      </c>
      <c r="E2374" s="9" t="s">
        <v>27</v>
      </c>
      <c r="F2374" s="9" t="s">
        <v>28</v>
      </c>
      <c r="G2374" s="8">
        <v>2016</v>
      </c>
      <c r="H2374" s="8">
        <v>11</v>
      </c>
      <c r="I2374" s="10">
        <v>42675</v>
      </c>
      <c r="J2374" s="11">
        <v>4888</v>
      </c>
      <c r="K2374" s="51"/>
      <c r="O2374" s="1" t="s">
        <v>6</v>
      </c>
      <c r="P2374" s="1" t="s">
        <v>29</v>
      </c>
      <c r="Q2374" s="1" t="s">
        <v>30</v>
      </c>
      <c r="R2374" s="2" t="s">
        <v>27</v>
      </c>
      <c r="S2374" s="2" t="s">
        <v>28</v>
      </c>
      <c r="T2374" s="1">
        <v>2016</v>
      </c>
      <c r="U2374" s="1">
        <v>11</v>
      </c>
      <c r="V2374" s="50">
        <v>42675</v>
      </c>
      <c r="W2374" s="4">
        <v>4301.4399999999996</v>
      </c>
      <c r="X2374" s="48">
        <v>4888</v>
      </c>
    </row>
    <row r="2375" spans="2:24" x14ac:dyDescent="0.35">
      <c r="B2375" s="8" t="s">
        <v>7</v>
      </c>
      <c r="C2375" s="8" t="s">
        <v>43</v>
      </c>
      <c r="D2375" s="8" t="s">
        <v>10</v>
      </c>
      <c r="E2375" s="8" t="s">
        <v>27</v>
      </c>
      <c r="F2375" s="9" t="s">
        <v>31</v>
      </c>
      <c r="G2375" s="8">
        <v>2016</v>
      </c>
      <c r="H2375" s="8">
        <v>11</v>
      </c>
      <c r="I2375" s="10">
        <v>42675</v>
      </c>
      <c r="J2375" s="11">
        <v>2933</v>
      </c>
      <c r="K2375" s="51"/>
      <c r="O2375" s="1" t="s">
        <v>7</v>
      </c>
      <c r="P2375" s="1" t="s">
        <v>43</v>
      </c>
      <c r="Q2375" s="1" t="s">
        <v>10</v>
      </c>
      <c r="R2375" s="1" t="s">
        <v>27</v>
      </c>
      <c r="S2375" s="2" t="s">
        <v>31</v>
      </c>
      <c r="T2375" s="1">
        <v>2016</v>
      </c>
      <c r="U2375" s="1">
        <v>11</v>
      </c>
      <c r="V2375" s="50">
        <v>42675</v>
      </c>
      <c r="W2375" s="4">
        <v>2581.0399999999995</v>
      </c>
      <c r="X2375" s="48">
        <v>2933</v>
      </c>
    </row>
    <row r="2376" spans="2:24" x14ac:dyDescent="0.35">
      <c r="B2376" s="8" t="s">
        <v>12</v>
      </c>
      <c r="C2376" s="8" t="s">
        <v>44</v>
      </c>
      <c r="D2376" s="8" t="s">
        <v>13</v>
      </c>
      <c r="E2376" s="8" t="s">
        <v>27</v>
      </c>
      <c r="F2376" s="6" t="s">
        <v>33</v>
      </c>
      <c r="G2376" s="8">
        <v>2016</v>
      </c>
      <c r="H2376" s="8">
        <v>11</v>
      </c>
      <c r="I2376" s="10">
        <v>42675</v>
      </c>
      <c r="J2376" s="11">
        <v>4084</v>
      </c>
      <c r="K2376" s="51"/>
      <c r="O2376" s="1" t="s">
        <v>12</v>
      </c>
      <c r="P2376" s="1" t="s">
        <v>44</v>
      </c>
      <c r="Q2376" s="1" t="s">
        <v>13</v>
      </c>
      <c r="R2376" s="1" t="s">
        <v>27</v>
      </c>
      <c r="S2376" t="s">
        <v>33</v>
      </c>
      <c r="T2376" s="1">
        <v>2016</v>
      </c>
      <c r="U2376" s="1">
        <v>11</v>
      </c>
      <c r="V2376" s="50">
        <v>42675</v>
      </c>
      <c r="W2376" s="4">
        <v>3553.0800000000004</v>
      </c>
      <c r="X2376" s="48">
        <v>4084</v>
      </c>
    </row>
    <row r="2377" spans="2:24" x14ac:dyDescent="0.35">
      <c r="B2377" s="8" t="s">
        <v>14</v>
      </c>
      <c r="C2377" s="8" t="s">
        <v>46</v>
      </c>
      <c r="D2377" s="8" t="s">
        <v>47</v>
      </c>
      <c r="E2377" s="8" t="s">
        <v>23</v>
      </c>
      <c r="F2377" s="8" t="s">
        <v>36</v>
      </c>
      <c r="G2377" s="8">
        <v>2016</v>
      </c>
      <c r="H2377" s="8">
        <v>11</v>
      </c>
      <c r="I2377" s="10">
        <v>42675</v>
      </c>
      <c r="J2377" s="11">
        <v>2264</v>
      </c>
      <c r="K2377" s="51"/>
      <c r="O2377" s="1" t="s">
        <v>14</v>
      </c>
      <c r="P2377" s="1" t="s">
        <v>46</v>
      </c>
      <c r="Q2377" s="1" t="s">
        <v>47</v>
      </c>
      <c r="R2377" s="1" t="s">
        <v>23</v>
      </c>
      <c r="S2377" s="1" t="s">
        <v>36</v>
      </c>
      <c r="T2377" s="1">
        <v>2016</v>
      </c>
      <c r="U2377" s="1">
        <v>11</v>
      </c>
      <c r="V2377" s="50">
        <v>42675</v>
      </c>
      <c r="W2377" s="4">
        <v>2128.16</v>
      </c>
      <c r="X2377" s="48">
        <v>2264</v>
      </c>
    </row>
    <row r="2378" spans="2:24" x14ac:dyDescent="0.35">
      <c r="B2378" s="8" t="s">
        <v>6</v>
      </c>
      <c r="C2378" s="8" t="s">
        <v>29</v>
      </c>
      <c r="D2378" s="8" t="s">
        <v>30</v>
      </c>
      <c r="E2378" s="8" t="s">
        <v>23</v>
      </c>
      <c r="F2378" s="8" t="s">
        <v>39</v>
      </c>
      <c r="G2378" s="8">
        <v>2016</v>
      </c>
      <c r="H2378" s="8">
        <v>11</v>
      </c>
      <c r="I2378" s="10">
        <v>42675</v>
      </c>
      <c r="J2378" s="11">
        <v>2099</v>
      </c>
      <c r="K2378" s="51"/>
      <c r="O2378" s="1" t="s">
        <v>6</v>
      </c>
      <c r="P2378" s="1" t="s">
        <v>29</v>
      </c>
      <c r="Q2378" s="1" t="s">
        <v>30</v>
      </c>
      <c r="R2378" s="1" t="s">
        <v>23</v>
      </c>
      <c r="S2378" s="1" t="s">
        <v>39</v>
      </c>
      <c r="T2378" s="1">
        <v>2016</v>
      </c>
      <c r="U2378" s="1">
        <v>11</v>
      </c>
      <c r="V2378" s="50">
        <v>42675</v>
      </c>
      <c r="W2378" s="4">
        <v>1784.15</v>
      </c>
      <c r="X2378" s="48">
        <v>2099</v>
      </c>
    </row>
    <row r="2379" spans="2:24" x14ac:dyDescent="0.35">
      <c r="B2379" s="8" t="s">
        <v>7</v>
      </c>
      <c r="C2379" s="8" t="s">
        <v>32</v>
      </c>
      <c r="D2379" s="8" t="s">
        <v>8</v>
      </c>
      <c r="E2379" s="8" t="s">
        <v>0</v>
      </c>
      <c r="F2379" s="8" t="s">
        <v>42</v>
      </c>
      <c r="G2379" s="8">
        <v>2016</v>
      </c>
      <c r="H2379" s="8">
        <v>11</v>
      </c>
      <c r="I2379" s="10">
        <v>42675</v>
      </c>
      <c r="J2379" s="11">
        <v>5477</v>
      </c>
      <c r="K2379" s="51"/>
      <c r="O2379" s="1" t="s">
        <v>7</v>
      </c>
      <c r="P2379" s="1" t="s">
        <v>32</v>
      </c>
      <c r="Q2379" s="1" t="s">
        <v>8</v>
      </c>
      <c r="R2379" s="1" t="s">
        <v>0</v>
      </c>
      <c r="S2379" s="1" t="s">
        <v>42</v>
      </c>
      <c r="T2379" s="1">
        <v>2016</v>
      </c>
      <c r="U2379" s="1">
        <v>11</v>
      </c>
      <c r="V2379" s="50">
        <v>42675</v>
      </c>
      <c r="W2379" s="4">
        <v>4984.07</v>
      </c>
      <c r="X2379" s="48">
        <v>5477</v>
      </c>
    </row>
    <row r="2380" spans="2:24" x14ac:dyDescent="0.35">
      <c r="B2380" s="8" t="s">
        <v>12</v>
      </c>
      <c r="C2380" s="8" t="s">
        <v>44</v>
      </c>
      <c r="D2380" s="8" t="s">
        <v>13</v>
      </c>
      <c r="E2380" s="8" t="s">
        <v>0</v>
      </c>
      <c r="F2380" s="6" t="s">
        <v>26</v>
      </c>
      <c r="G2380" s="8">
        <v>2016</v>
      </c>
      <c r="H2380" s="8">
        <v>11</v>
      </c>
      <c r="I2380" s="10">
        <v>42675</v>
      </c>
      <c r="J2380" s="11">
        <v>5474</v>
      </c>
      <c r="K2380" s="51"/>
      <c r="O2380" s="1" t="s">
        <v>12</v>
      </c>
      <c r="P2380" s="1" t="s">
        <v>44</v>
      </c>
      <c r="Q2380" s="1" t="s">
        <v>13</v>
      </c>
      <c r="R2380" s="1" t="s">
        <v>0</v>
      </c>
      <c r="S2380" t="s">
        <v>26</v>
      </c>
      <c r="T2380" s="1">
        <v>2016</v>
      </c>
      <c r="U2380" s="1">
        <v>11</v>
      </c>
      <c r="V2380" s="50">
        <v>42675</v>
      </c>
      <c r="W2380" s="4">
        <v>4981.3399999999992</v>
      </c>
      <c r="X2380" s="48">
        <v>5474</v>
      </c>
    </row>
    <row r="2381" spans="2:24" x14ac:dyDescent="0.35">
      <c r="B2381" s="8" t="s">
        <v>14</v>
      </c>
      <c r="C2381" s="8" t="s">
        <v>37</v>
      </c>
      <c r="D2381" s="8" t="s">
        <v>38</v>
      </c>
      <c r="E2381" s="8" t="s">
        <v>0</v>
      </c>
      <c r="F2381" s="6" t="s">
        <v>45</v>
      </c>
      <c r="G2381" s="8">
        <v>2016</v>
      </c>
      <c r="H2381" s="8">
        <v>11</v>
      </c>
      <c r="I2381" s="10">
        <v>42675</v>
      </c>
      <c r="J2381" s="11">
        <v>4439</v>
      </c>
      <c r="K2381" s="51"/>
      <c r="O2381" s="1" t="s">
        <v>14</v>
      </c>
      <c r="P2381" s="1" t="s">
        <v>37</v>
      </c>
      <c r="Q2381" s="1" t="s">
        <v>38</v>
      </c>
      <c r="R2381" s="1" t="s">
        <v>0</v>
      </c>
      <c r="S2381" t="s">
        <v>45</v>
      </c>
      <c r="T2381" s="1">
        <v>2016</v>
      </c>
      <c r="U2381" s="1">
        <v>11</v>
      </c>
      <c r="V2381" s="50">
        <v>42675</v>
      </c>
      <c r="W2381" s="4">
        <v>3817.5400000000004</v>
      </c>
      <c r="X2381" s="48">
        <v>4439</v>
      </c>
    </row>
    <row r="2382" spans="2:24" x14ac:dyDescent="0.35">
      <c r="B2382" s="8" t="s">
        <v>3</v>
      </c>
      <c r="C2382" s="8" t="s">
        <v>25</v>
      </c>
      <c r="D2382" s="8" t="s">
        <v>4</v>
      </c>
      <c r="E2382" s="8" t="s">
        <v>27</v>
      </c>
      <c r="F2382" s="6" t="s">
        <v>28</v>
      </c>
      <c r="G2382" s="8">
        <v>2016</v>
      </c>
      <c r="H2382" s="8">
        <v>11</v>
      </c>
      <c r="I2382" s="10">
        <v>42675</v>
      </c>
      <c r="J2382" s="11">
        <v>4497</v>
      </c>
      <c r="K2382" s="51"/>
      <c r="O2382" s="1" t="s">
        <v>3</v>
      </c>
      <c r="P2382" s="1" t="s">
        <v>25</v>
      </c>
      <c r="Q2382" s="1" t="s">
        <v>4</v>
      </c>
      <c r="R2382" s="1" t="s">
        <v>27</v>
      </c>
      <c r="S2382" t="s">
        <v>28</v>
      </c>
      <c r="T2382" s="1">
        <v>2016</v>
      </c>
      <c r="U2382" s="1">
        <v>11</v>
      </c>
      <c r="V2382" s="50">
        <v>42675</v>
      </c>
      <c r="W2382" s="4">
        <v>3912.3900000000003</v>
      </c>
      <c r="X2382" s="48">
        <v>4497</v>
      </c>
    </row>
    <row r="2383" spans="2:24" x14ac:dyDescent="0.35">
      <c r="B2383" s="8" t="s">
        <v>3</v>
      </c>
      <c r="C2383" s="8" t="s">
        <v>25</v>
      </c>
      <c r="D2383" s="8" t="s">
        <v>4</v>
      </c>
      <c r="E2383" s="9" t="s">
        <v>27</v>
      </c>
      <c r="F2383" s="9" t="s">
        <v>31</v>
      </c>
      <c r="G2383" s="8">
        <v>2016</v>
      </c>
      <c r="H2383" s="8">
        <v>11</v>
      </c>
      <c r="I2383" s="10">
        <v>42675</v>
      </c>
      <c r="J2383" s="11">
        <v>2787</v>
      </c>
      <c r="K2383" s="51"/>
      <c r="O2383" s="1" t="s">
        <v>3</v>
      </c>
      <c r="P2383" s="1" t="s">
        <v>25</v>
      </c>
      <c r="Q2383" s="1" t="s">
        <v>4</v>
      </c>
      <c r="R2383" s="2" t="s">
        <v>27</v>
      </c>
      <c r="S2383" s="2" t="s">
        <v>31</v>
      </c>
      <c r="T2383" s="1">
        <v>2016</v>
      </c>
      <c r="U2383" s="1">
        <v>11</v>
      </c>
      <c r="V2383" s="50">
        <v>42675</v>
      </c>
      <c r="W2383" s="4">
        <v>2452.5599999999995</v>
      </c>
      <c r="X2383" s="48">
        <v>2787</v>
      </c>
    </row>
    <row r="2384" spans="2:24" x14ac:dyDescent="0.35">
      <c r="B2384" s="8" t="s">
        <v>6</v>
      </c>
      <c r="C2384" s="8" t="s">
        <v>40</v>
      </c>
      <c r="D2384" s="8" t="s">
        <v>41</v>
      </c>
      <c r="E2384" s="8" t="s">
        <v>27</v>
      </c>
      <c r="F2384" s="9" t="s">
        <v>33</v>
      </c>
      <c r="G2384" s="8">
        <v>2016</v>
      </c>
      <c r="H2384" s="8">
        <v>11</v>
      </c>
      <c r="I2384" s="10">
        <v>42675</v>
      </c>
      <c r="J2384" s="11">
        <v>3558</v>
      </c>
      <c r="K2384" s="51"/>
      <c r="O2384" s="1" t="s">
        <v>6</v>
      </c>
      <c r="P2384" s="1" t="s">
        <v>40</v>
      </c>
      <c r="Q2384" s="1" t="s">
        <v>41</v>
      </c>
      <c r="R2384" s="1" t="s">
        <v>27</v>
      </c>
      <c r="S2384" s="2" t="s">
        <v>33</v>
      </c>
      <c r="T2384" s="1">
        <v>2016</v>
      </c>
      <c r="U2384" s="1">
        <v>11</v>
      </c>
      <c r="V2384" s="50">
        <v>42675</v>
      </c>
      <c r="W2384" s="4">
        <v>3344.52</v>
      </c>
      <c r="X2384" s="48">
        <v>3558</v>
      </c>
    </row>
    <row r="2385" spans="2:24" x14ac:dyDescent="0.35">
      <c r="B2385" s="8" t="s">
        <v>6</v>
      </c>
      <c r="C2385" s="8" t="s">
        <v>40</v>
      </c>
      <c r="D2385" s="8" t="s">
        <v>41</v>
      </c>
      <c r="E2385" s="8" t="s">
        <v>23</v>
      </c>
      <c r="F2385" s="6" t="s">
        <v>36</v>
      </c>
      <c r="G2385" s="8">
        <v>2016</v>
      </c>
      <c r="H2385" s="8">
        <v>11</v>
      </c>
      <c r="I2385" s="10">
        <v>42675</v>
      </c>
      <c r="J2385" s="11">
        <v>2099</v>
      </c>
      <c r="K2385" s="51"/>
      <c r="O2385" s="1" t="s">
        <v>6</v>
      </c>
      <c r="P2385" s="1" t="s">
        <v>40</v>
      </c>
      <c r="Q2385" s="1" t="s">
        <v>41</v>
      </c>
      <c r="R2385" s="1" t="s">
        <v>23</v>
      </c>
      <c r="S2385" t="s">
        <v>36</v>
      </c>
      <c r="T2385" s="1">
        <v>2016</v>
      </c>
      <c r="U2385" s="1">
        <v>11</v>
      </c>
      <c r="V2385" s="50">
        <v>42675</v>
      </c>
      <c r="W2385" s="4">
        <v>1868.1099999999997</v>
      </c>
      <c r="X2385" s="48">
        <v>2099</v>
      </c>
    </row>
    <row r="2386" spans="2:24" x14ac:dyDescent="0.35">
      <c r="B2386" s="8" t="s">
        <v>7</v>
      </c>
      <c r="C2386" s="8" t="s">
        <v>43</v>
      </c>
      <c r="D2386" s="8" t="s">
        <v>10</v>
      </c>
      <c r="E2386" s="8" t="s">
        <v>23</v>
      </c>
      <c r="F2386" s="8" t="s">
        <v>24</v>
      </c>
      <c r="G2386" s="8">
        <v>2016</v>
      </c>
      <c r="H2386" s="8">
        <v>11</v>
      </c>
      <c r="I2386" s="10">
        <v>42675</v>
      </c>
      <c r="J2386" s="11">
        <v>1914</v>
      </c>
      <c r="K2386" s="51"/>
      <c r="O2386" s="1" t="s">
        <v>7</v>
      </c>
      <c r="P2386" s="1" t="s">
        <v>43</v>
      </c>
      <c r="Q2386" s="1" t="s">
        <v>10</v>
      </c>
      <c r="R2386" s="1" t="s">
        <v>23</v>
      </c>
      <c r="S2386" s="1" t="s">
        <v>24</v>
      </c>
      <c r="T2386" s="1">
        <v>2016</v>
      </c>
      <c r="U2386" s="1">
        <v>11</v>
      </c>
      <c r="V2386" s="50">
        <v>42675</v>
      </c>
      <c r="W2386" s="4">
        <v>1760.8799999999999</v>
      </c>
      <c r="X2386" s="48">
        <v>1914</v>
      </c>
    </row>
    <row r="2387" spans="2:24" x14ac:dyDescent="0.35">
      <c r="B2387" s="8" t="s">
        <v>7</v>
      </c>
      <c r="C2387" s="8" t="s">
        <v>43</v>
      </c>
      <c r="D2387" s="8" t="s">
        <v>10</v>
      </c>
      <c r="E2387" s="8" t="s">
        <v>23</v>
      </c>
      <c r="F2387" s="8" t="s">
        <v>39</v>
      </c>
      <c r="G2387" s="8">
        <v>2016</v>
      </c>
      <c r="H2387" s="8">
        <v>11</v>
      </c>
      <c r="I2387" s="10">
        <v>42675</v>
      </c>
      <c r="J2387" s="11">
        <v>1764</v>
      </c>
      <c r="K2387" s="51"/>
      <c r="O2387" s="1" t="s">
        <v>7</v>
      </c>
      <c r="P2387" s="1" t="s">
        <v>43</v>
      </c>
      <c r="Q2387" s="1" t="s">
        <v>10</v>
      </c>
      <c r="R2387" s="1" t="s">
        <v>23</v>
      </c>
      <c r="S2387" s="1" t="s">
        <v>39</v>
      </c>
      <c r="T2387" s="1">
        <v>2016</v>
      </c>
      <c r="U2387" s="1">
        <v>11</v>
      </c>
      <c r="V2387" s="50">
        <v>42675</v>
      </c>
      <c r="W2387" s="4">
        <v>1658.1599999999999</v>
      </c>
      <c r="X2387" s="48">
        <v>1764</v>
      </c>
    </row>
    <row r="2388" spans="2:24" x14ac:dyDescent="0.35">
      <c r="B2388" s="8" t="s">
        <v>7</v>
      </c>
      <c r="C2388" s="8" t="s">
        <v>32</v>
      </c>
      <c r="D2388" s="8" t="s">
        <v>8</v>
      </c>
      <c r="E2388" s="8" t="s">
        <v>0</v>
      </c>
      <c r="F2388" s="8" t="s">
        <v>26</v>
      </c>
      <c r="G2388" s="8">
        <v>2016</v>
      </c>
      <c r="H2388" s="8">
        <v>11</v>
      </c>
      <c r="I2388" s="10">
        <v>42675</v>
      </c>
      <c r="J2388" s="11">
        <v>3688</v>
      </c>
      <c r="K2388" s="51"/>
      <c r="O2388" s="1" t="s">
        <v>7</v>
      </c>
      <c r="P2388" s="1" t="s">
        <v>32</v>
      </c>
      <c r="Q2388" s="1" t="s">
        <v>8</v>
      </c>
      <c r="R2388" s="1" t="s">
        <v>0</v>
      </c>
      <c r="S2388" s="1" t="s">
        <v>26</v>
      </c>
      <c r="T2388" s="1">
        <v>2016</v>
      </c>
      <c r="U2388" s="1">
        <v>11</v>
      </c>
      <c r="V2388" s="50">
        <v>42675</v>
      </c>
      <c r="W2388" s="4">
        <v>3171.6800000000003</v>
      </c>
      <c r="X2388" s="48">
        <v>3688</v>
      </c>
    </row>
    <row r="2389" spans="2:24" x14ac:dyDescent="0.35">
      <c r="B2389" s="8" t="s">
        <v>3</v>
      </c>
      <c r="C2389" s="8" t="s">
        <v>22</v>
      </c>
      <c r="D2389" s="8" t="s">
        <v>5</v>
      </c>
      <c r="E2389" s="8" t="s">
        <v>0</v>
      </c>
      <c r="F2389" s="6" t="s">
        <v>45</v>
      </c>
      <c r="G2389" s="8">
        <v>2016</v>
      </c>
      <c r="H2389" s="8">
        <v>11</v>
      </c>
      <c r="I2389" s="10">
        <v>42675</v>
      </c>
      <c r="J2389" s="11">
        <v>4293</v>
      </c>
      <c r="K2389" s="51"/>
      <c r="O2389" s="1" t="s">
        <v>3</v>
      </c>
      <c r="P2389" s="1" t="s">
        <v>22</v>
      </c>
      <c r="Q2389" s="1" t="s">
        <v>5</v>
      </c>
      <c r="R2389" s="1" t="s">
        <v>0</v>
      </c>
      <c r="S2389" t="s">
        <v>45</v>
      </c>
      <c r="T2389" s="1">
        <v>2016</v>
      </c>
      <c r="U2389" s="1">
        <v>11</v>
      </c>
      <c r="V2389" s="50">
        <v>42675</v>
      </c>
      <c r="W2389" s="4">
        <v>3906.6299999999997</v>
      </c>
      <c r="X2389" s="48">
        <v>4293</v>
      </c>
    </row>
    <row r="2390" spans="2:24" x14ac:dyDescent="0.35">
      <c r="B2390" s="8" t="s">
        <v>7</v>
      </c>
      <c r="C2390" s="8" t="s">
        <v>48</v>
      </c>
      <c r="D2390" s="8" t="s">
        <v>9</v>
      </c>
      <c r="E2390" s="8" t="s">
        <v>23</v>
      </c>
      <c r="F2390" s="6" t="s">
        <v>36</v>
      </c>
      <c r="G2390" s="8">
        <v>2016</v>
      </c>
      <c r="H2390" s="8">
        <v>11</v>
      </c>
      <c r="I2390" s="10">
        <v>42675</v>
      </c>
      <c r="J2390" s="11">
        <v>2443</v>
      </c>
      <c r="K2390" s="51"/>
      <c r="O2390" s="1" t="s">
        <v>7</v>
      </c>
      <c r="P2390" s="1" t="s">
        <v>48</v>
      </c>
      <c r="Q2390" s="1" t="s">
        <v>9</v>
      </c>
      <c r="R2390" s="1" t="s">
        <v>23</v>
      </c>
      <c r="S2390" t="s">
        <v>36</v>
      </c>
      <c r="T2390" s="1">
        <v>2016</v>
      </c>
      <c r="U2390" s="1">
        <v>11</v>
      </c>
      <c r="V2390" s="50">
        <v>42675</v>
      </c>
      <c r="W2390" s="4">
        <v>2174.2699999999995</v>
      </c>
      <c r="X2390" s="48">
        <v>2443</v>
      </c>
    </row>
    <row r="2391" spans="2:24" x14ac:dyDescent="0.35">
      <c r="B2391" s="8" t="s">
        <v>7</v>
      </c>
      <c r="C2391" s="8" t="s">
        <v>48</v>
      </c>
      <c r="D2391" s="8" t="s">
        <v>9</v>
      </c>
      <c r="E2391" s="8" t="s">
        <v>23</v>
      </c>
      <c r="F2391" s="6" t="s">
        <v>24</v>
      </c>
      <c r="G2391" s="8">
        <v>2016</v>
      </c>
      <c r="H2391" s="8">
        <v>11</v>
      </c>
      <c r="I2391" s="10">
        <v>42675</v>
      </c>
      <c r="J2391" s="11">
        <v>2685</v>
      </c>
      <c r="K2391" s="51"/>
      <c r="O2391" s="1" t="s">
        <v>7</v>
      </c>
      <c r="P2391" s="1" t="s">
        <v>48</v>
      </c>
      <c r="Q2391" s="1" t="s">
        <v>9</v>
      </c>
      <c r="R2391" s="1" t="s">
        <v>23</v>
      </c>
      <c r="S2391" t="s">
        <v>24</v>
      </c>
      <c r="T2391" s="1">
        <v>2016</v>
      </c>
      <c r="U2391" s="1">
        <v>11</v>
      </c>
      <c r="V2391" s="50">
        <v>42675</v>
      </c>
      <c r="W2391" s="4">
        <v>2282.25</v>
      </c>
      <c r="X2391" s="48">
        <v>2685</v>
      </c>
    </row>
    <row r="2392" spans="2:24" x14ac:dyDescent="0.35">
      <c r="B2392" s="8" t="s">
        <v>7</v>
      </c>
      <c r="C2392" s="8" t="s">
        <v>49</v>
      </c>
      <c r="D2392" s="8" t="s">
        <v>11</v>
      </c>
      <c r="E2392" s="9" t="s">
        <v>23</v>
      </c>
      <c r="F2392" s="9" t="s">
        <v>39</v>
      </c>
      <c r="G2392" s="8">
        <v>2016</v>
      </c>
      <c r="H2392" s="8">
        <v>11</v>
      </c>
      <c r="I2392" s="10">
        <v>42675</v>
      </c>
      <c r="J2392" s="11">
        <v>2754</v>
      </c>
      <c r="K2392" s="51"/>
      <c r="O2392" s="1" t="s">
        <v>7</v>
      </c>
      <c r="P2392" s="1" t="s">
        <v>49</v>
      </c>
      <c r="Q2392" s="1" t="s">
        <v>11</v>
      </c>
      <c r="R2392" s="2" t="s">
        <v>23</v>
      </c>
      <c r="S2392" s="2" t="s">
        <v>39</v>
      </c>
      <c r="T2392" s="1">
        <v>2016</v>
      </c>
      <c r="U2392" s="1">
        <v>11</v>
      </c>
      <c r="V2392" s="50">
        <v>42675</v>
      </c>
      <c r="W2392" s="4">
        <v>2506.14</v>
      </c>
      <c r="X2392" s="48">
        <v>2754</v>
      </c>
    </row>
    <row r="2393" spans="2:24" x14ac:dyDescent="0.35">
      <c r="B2393" s="8" t="s">
        <v>7</v>
      </c>
      <c r="C2393" s="8" t="s">
        <v>49</v>
      </c>
      <c r="D2393" s="8" t="s">
        <v>11</v>
      </c>
      <c r="E2393" s="8" t="s">
        <v>0</v>
      </c>
      <c r="F2393" s="9" t="s">
        <v>42</v>
      </c>
      <c r="G2393" s="8">
        <v>2016</v>
      </c>
      <c r="H2393" s="8">
        <v>11</v>
      </c>
      <c r="I2393" s="10">
        <v>42675</v>
      </c>
      <c r="J2393" s="11">
        <v>5037</v>
      </c>
      <c r="K2393" s="51"/>
      <c r="O2393" s="1" t="s">
        <v>7</v>
      </c>
      <c r="P2393" s="1" t="s">
        <v>49</v>
      </c>
      <c r="Q2393" s="1" t="s">
        <v>11</v>
      </c>
      <c r="R2393" s="1" t="s">
        <v>0</v>
      </c>
      <c r="S2393" s="2" t="s">
        <v>42</v>
      </c>
      <c r="T2393" s="1">
        <v>2016</v>
      </c>
      <c r="U2393" s="1">
        <v>11</v>
      </c>
      <c r="V2393" s="50">
        <v>42675</v>
      </c>
      <c r="W2393" s="4">
        <v>4482.9299999999994</v>
      </c>
      <c r="X2393" s="48">
        <v>5037</v>
      </c>
    </row>
    <row r="2394" spans="2:24" x14ac:dyDescent="0.35">
      <c r="B2394" s="8" t="s">
        <v>12</v>
      </c>
      <c r="C2394" s="8" t="s">
        <v>34</v>
      </c>
      <c r="D2394" s="8" t="s">
        <v>35</v>
      </c>
      <c r="E2394" s="8" t="s">
        <v>0</v>
      </c>
      <c r="F2394" s="6" t="s">
        <v>26</v>
      </c>
      <c r="G2394" s="8">
        <v>2016</v>
      </c>
      <c r="H2394" s="8">
        <v>11</v>
      </c>
      <c r="I2394" s="10">
        <v>42675</v>
      </c>
      <c r="J2394" s="11">
        <v>5396</v>
      </c>
      <c r="K2394" s="51"/>
      <c r="O2394" s="1" t="s">
        <v>12</v>
      </c>
      <c r="P2394" s="1" t="s">
        <v>34</v>
      </c>
      <c r="Q2394" s="1" t="s">
        <v>35</v>
      </c>
      <c r="R2394" s="1" t="s">
        <v>0</v>
      </c>
      <c r="S2394" t="s">
        <v>26</v>
      </c>
      <c r="T2394" s="1">
        <v>2016</v>
      </c>
      <c r="U2394" s="1">
        <v>11</v>
      </c>
      <c r="V2394" s="50">
        <v>42675</v>
      </c>
      <c r="W2394" s="4">
        <v>4748.4799999999996</v>
      </c>
      <c r="X2394" s="48">
        <v>5396</v>
      </c>
    </row>
    <row r="2395" spans="2:24" x14ac:dyDescent="0.35">
      <c r="B2395" s="8" t="s">
        <v>12</v>
      </c>
      <c r="C2395" s="8" t="s">
        <v>34</v>
      </c>
      <c r="D2395" s="8" t="s">
        <v>35</v>
      </c>
      <c r="E2395" s="8" t="s">
        <v>0</v>
      </c>
      <c r="F2395" s="8" t="s">
        <v>45</v>
      </c>
      <c r="G2395" s="8">
        <v>2016</v>
      </c>
      <c r="H2395" s="8">
        <v>11</v>
      </c>
      <c r="I2395" s="10">
        <v>42675</v>
      </c>
      <c r="J2395" s="11">
        <v>3892</v>
      </c>
      <c r="K2395" s="51"/>
      <c r="O2395" s="1" t="s">
        <v>12</v>
      </c>
      <c r="P2395" s="1" t="s">
        <v>34</v>
      </c>
      <c r="Q2395" s="1" t="s">
        <v>35</v>
      </c>
      <c r="R2395" s="1" t="s">
        <v>0</v>
      </c>
      <c r="S2395" s="1" t="s">
        <v>45</v>
      </c>
      <c r="T2395" s="1">
        <v>2016</v>
      </c>
      <c r="U2395" s="1">
        <v>11</v>
      </c>
      <c r="V2395" s="50">
        <v>42675</v>
      </c>
      <c r="W2395" s="4">
        <v>3347.1200000000003</v>
      </c>
      <c r="X2395" s="48">
        <v>3892</v>
      </c>
    </row>
    <row r="2396" spans="2:24" x14ac:dyDescent="0.35">
      <c r="B2396" s="8" t="s">
        <v>14</v>
      </c>
      <c r="C2396" s="8" t="s">
        <v>37</v>
      </c>
      <c r="D2396" s="8" t="s">
        <v>38</v>
      </c>
      <c r="E2396" s="8" t="s">
        <v>27</v>
      </c>
      <c r="F2396" s="8" t="s">
        <v>28</v>
      </c>
      <c r="G2396" s="8">
        <v>2016</v>
      </c>
      <c r="H2396" s="8">
        <v>11</v>
      </c>
      <c r="I2396" s="10">
        <v>42675</v>
      </c>
      <c r="J2396" s="11">
        <v>4175</v>
      </c>
      <c r="K2396" s="51"/>
      <c r="O2396" s="1" t="s">
        <v>14</v>
      </c>
      <c r="P2396" s="1" t="s">
        <v>37</v>
      </c>
      <c r="Q2396" s="1" t="s">
        <v>38</v>
      </c>
      <c r="R2396" s="1" t="s">
        <v>27</v>
      </c>
      <c r="S2396" s="1" t="s">
        <v>28</v>
      </c>
      <c r="T2396" s="1">
        <v>2016</v>
      </c>
      <c r="U2396" s="1">
        <v>11</v>
      </c>
      <c r="V2396" s="50">
        <v>42675</v>
      </c>
      <c r="W2396" s="4">
        <v>3840.9999999999995</v>
      </c>
      <c r="X2396" s="48">
        <v>4175</v>
      </c>
    </row>
    <row r="2397" spans="2:24" x14ac:dyDescent="0.35">
      <c r="B2397" s="8" t="s">
        <v>14</v>
      </c>
      <c r="C2397" s="8" t="s">
        <v>37</v>
      </c>
      <c r="D2397" s="8" t="s">
        <v>38</v>
      </c>
      <c r="E2397" s="8" t="s">
        <v>27</v>
      </c>
      <c r="F2397" s="8" t="s">
        <v>31</v>
      </c>
      <c r="G2397" s="8">
        <v>2016</v>
      </c>
      <c r="H2397" s="8">
        <v>11</v>
      </c>
      <c r="I2397" s="10">
        <v>42675</v>
      </c>
      <c r="J2397" s="11">
        <v>4792</v>
      </c>
      <c r="K2397" s="51"/>
      <c r="O2397" s="1" t="s">
        <v>14</v>
      </c>
      <c r="P2397" s="1" t="s">
        <v>37</v>
      </c>
      <c r="Q2397" s="1" t="s">
        <v>38</v>
      </c>
      <c r="R2397" s="1" t="s">
        <v>27</v>
      </c>
      <c r="S2397" s="1" t="s">
        <v>31</v>
      </c>
      <c r="T2397" s="1">
        <v>2016</v>
      </c>
      <c r="U2397" s="1">
        <v>11</v>
      </c>
      <c r="V2397" s="50">
        <v>42675</v>
      </c>
      <c r="W2397" s="4">
        <v>4121.1200000000008</v>
      </c>
      <c r="X2397" s="48">
        <v>4792</v>
      </c>
    </row>
    <row r="2398" spans="2:24" x14ac:dyDescent="0.35">
      <c r="B2398" s="8" t="s">
        <v>12</v>
      </c>
      <c r="C2398" s="8" t="s">
        <v>44</v>
      </c>
      <c r="D2398" s="8" t="s">
        <v>13</v>
      </c>
      <c r="E2398" s="8" t="s">
        <v>23</v>
      </c>
      <c r="F2398" s="6" t="s">
        <v>36</v>
      </c>
      <c r="G2398" s="8">
        <v>2016</v>
      </c>
      <c r="H2398" s="8">
        <v>11</v>
      </c>
      <c r="I2398" s="10">
        <v>42675</v>
      </c>
      <c r="J2398" s="11">
        <v>2522</v>
      </c>
      <c r="K2398" s="51"/>
      <c r="O2398" s="1" t="s">
        <v>12</v>
      </c>
      <c r="P2398" s="1" t="s">
        <v>44</v>
      </c>
      <c r="Q2398" s="1" t="s">
        <v>13</v>
      </c>
      <c r="R2398" s="1" t="s">
        <v>23</v>
      </c>
      <c r="S2398" t="s">
        <v>36</v>
      </c>
      <c r="T2398" s="1">
        <v>2016</v>
      </c>
      <c r="U2398" s="1">
        <v>11</v>
      </c>
      <c r="V2398" s="50">
        <v>42675</v>
      </c>
      <c r="W2398" s="4">
        <v>2143.7000000000003</v>
      </c>
      <c r="X2398" s="48">
        <v>2522</v>
      </c>
    </row>
    <row r="2399" spans="2:24" x14ac:dyDescent="0.35">
      <c r="B2399" s="8" t="s">
        <v>14</v>
      </c>
      <c r="C2399" s="8" t="s">
        <v>46</v>
      </c>
      <c r="D2399" s="8" t="s">
        <v>47</v>
      </c>
      <c r="E2399" s="8" t="s">
        <v>23</v>
      </c>
      <c r="F2399" s="6" t="s">
        <v>24</v>
      </c>
      <c r="G2399" s="8">
        <v>2016</v>
      </c>
      <c r="H2399" s="8">
        <v>11</v>
      </c>
      <c r="I2399" s="10">
        <v>42675</v>
      </c>
      <c r="J2399" s="11">
        <v>1620</v>
      </c>
      <c r="K2399" s="51"/>
      <c r="O2399" s="1" t="s">
        <v>14</v>
      </c>
      <c r="P2399" s="1" t="s">
        <v>46</v>
      </c>
      <c r="Q2399" s="1" t="s">
        <v>47</v>
      </c>
      <c r="R2399" s="1" t="s">
        <v>23</v>
      </c>
      <c r="S2399" t="s">
        <v>24</v>
      </c>
      <c r="T2399" s="1">
        <v>2016</v>
      </c>
      <c r="U2399" s="1">
        <v>11</v>
      </c>
      <c r="V2399" s="50">
        <v>42675</v>
      </c>
      <c r="W2399" s="4">
        <v>1457.9999999999998</v>
      </c>
      <c r="X2399" s="48">
        <v>1620</v>
      </c>
    </row>
    <row r="2400" spans="2:24" x14ac:dyDescent="0.35">
      <c r="B2400" s="8" t="s">
        <v>14</v>
      </c>
      <c r="C2400" s="8" t="s">
        <v>46</v>
      </c>
      <c r="D2400" s="8" t="s">
        <v>47</v>
      </c>
      <c r="E2400" s="8" t="s">
        <v>23</v>
      </c>
      <c r="F2400" s="6" t="s">
        <v>39</v>
      </c>
      <c r="G2400" s="8">
        <v>2016</v>
      </c>
      <c r="H2400" s="8">
        <v>11</v>
      </c>
      <c r="I2400" s="10">
        <v>42675</v>
      </c>
      <c r="J2400" s="11">
        <v>1637</v>
      </c>
      <c r="K2400" s="51"/>
      <c r="O2400" s="1" t="s">
        <v>14</v>
      </c>
      <c r="P2400" s="1" t="s">
        <v>46</v>
      </c>
      <c r="Q2400" s="1" t="s">
        <v>47</v>
      </c>
      <c r="R2400" s="1" t="s">
        <v>23</v>
      </c>
      <c r="S2400" t="s">
        <v>39</v>
      </c>
      <c r="T2400" s="1">
        <v>2016</v>
      </c>
      <c r="U2400" s="1">
        <v>11</v>
      </c>
      <c r="V2400" s="50">
        <v>42675</v>
      </c>
      <c r="W2400" s="4">
        <v>1424.19</v>
      </c>
      <c r="X2400" s="48">
        <v>1637</v>
      </c>
    </row>
    <row r="2401" spans="2:24" x14ac:dyDescent="0.35">
      <c r="B2401" s="8" t="s">
        <v>7</v>
      </c>
      <c r="C2401" s="8" t="s">
        <v>43</v>
      </c>
      <c r="D2401" s="8" t="s">
        <v>10</v>
      </c>
      <c r="E2401" s="9" t="s">
        <v>0</v>
      </c>
      <c r="F2401" s="9" t="s">
        <v>42</v>
      </c>
      <c r="G2401" s="8">
        <v>2016</v>
      </c>
      <c r="H2401" s="8">
        <v>11</v>
      </c>
      <c r="I2401" s="10">
        <v>42675</v>
      </c>
      <c r="J2401" s="11">
        <v>5683</v>
      </c>
      <c r="K2401" s="51"/>
      <c r="O2401" s="1" t="s">
        <v>7</v>
      </c>
      <c r="P2401" s="1" t="s">
        <v>43</v>
      </c>
      <c r="Q2401" s="1" t="s">
        <v>10</v>
      </c>
      <c r="R2401" s="2" t="s">
        <v>0</v>
      </c>
      <c r="S2401" s="2" t="s">
        <v>42</v>
      </c>
      <c r="T2401" s="1">
        <v>2016</v>
      </c>
      <c r="U2401" s="1">
        <v>11</v>
      </c>
      <c r="V2401" s="50">
        <v>42675</v>
      </c>
      <c r="W2401" s="4">
        <v>5342.0199999999995</v>
      </c>
      <c r="X2401" s="48">
        <v>5683</v>
      </c>
    </row>
    <row r="2402" spans="2:24" x14ac:dyDescent="0.35">
      <c r="B2402" s="8" t="s">
        <v>6</v>
      </c>
      <c r="C2402" s="8" t="s">
        <v>40</v>
      </c>
      <c r="D2402" s="8" t="s">
        <v>41</v>
      </c>
      <c r="E2402" s="8" t="s">
        <v>27</v>
      </c>
      <c r="F2402" s="9" t="s">
        <v>31</v>
      </c>
      <c r="G2402" s="8">
        <v>2016</v>
      </c>
      <c r="H2402" s="8">
        <v>11</v>
      </c>
      <c r="I2402" s="10">
        <v>42675</v>
      </c>
      <c r="J2402" s="11">
        <v>5296</v>
      </c>
      <c r="K2402" s="51"/>
      <c r="O2402" s="1" t="s">
        <v>6</v>
      </c>
      <c r="P2402" s="1" t="s">
        <v>40</v>
      </c>
      <c r="Q2402" s="1" t="s">
        <v>41</v>
      </c>
      <c r="R2402" s="1" t="s">
        <v>27</v>
      </c>
      <c r="S2402" s="2" t="s">
        <v>31</v>
      </c>
      <c r="T2402" s="1">
        <v>2016</v>
      </c>
      <c r="U2402" s="1">
        <v>11</v>
      </c>
      <c r="V2402" s="50">
        <v>42675</v>
      </c>
      <c r="W2402" s="4">
        <v>4501.6000000000004</v>
      </c>
      <c r="X2402" s="48">
        <v>5296</v>
      </c>
    </row>
    <row r="2403" spans="2:24" x14ac:dyDescent="0.35">
      <c r="B2403" s="8" t="s">
        <v>3</v>
      </c>
      <c r="C2403" s="8" t="s">
        <v>22</v>
      </c>
      <c r="D2403" s="8" t="s">
        <v>5</v>
      </c>
      <c r="E2403" s="8" t="s">
        <v>23</v>
      </c>
      <c r="F2403" s="6" t="s">
        <v>39</v>
      </c>
      <c r="G2403" s="8">
        <v>2016</v>
      </c>
      <c r="H2403" s="8">
        <v>11</v>
      </c>
      <c r="I2403" s="10">
        <v>42675</v>
      </c>
      <c r="J2403" s="11">
        <v>2720</v>
      </c>
      <c r="K2403" s="51"/>
      <c r="O2403" s="1" t="s">
        <v>3</v>
      </c>
      <c r="P2403" s="1" t="s">
        <v>22</v>
      </c>
      <c r="Q2403" s="1" t="s">
        <v>5</v>
      </c>
      <c r="R2403" s="1" t="s">
        <v>23</v>
      </c>
      <c r="S2403" t="s">
        <v>39</v>
      </c>
      <c r="T2403" s="1">
        <v>2016</v>
      </c>
      <c r="U2403" s="1">
        <v>11</v>
      </c>
      <c r="V2403" s="50">
        <v>42675</v>
      </c>
      <c r="W2403" s="4">
        <v>2556.7999999999997</v>
      </c>
      <c r="X2403" s="48">
        <v>2720</v>
      </c>
    </row>
    <row r="2404" spans="2:24" x14ac:dyDescent="0.35">
      <c r="B2404" s="8" t="s">
        <v>3</v>
      </c>
      <c r="C2404" s="8" t="s">
        <v>22</v>
      </c>
      <c r="D2404" s="8" t="s">
        <v>5</v>
      </c>
      <c r="E2404" s="8" t="s">
        <v>0</v>
      </c>
      <c r="F2404" s="8" t="s">
        <v>42</v>
      </c>
      <c r="G2404" s="8">
        <v>2016</v>
      </c>
      <c r="H2404" s="8">
        <v>11</v>
      </c>
      <c r="I2404" s="10">
        <v>42675</v>
      </c>
      <c r="J2404" s="11">
        <v>5777</v>
      </c>
      <c r="K2404" s="51"/>
      <c r="O2404" s="1" t="s">
        <v>3</v>
      </c>
      <c r="P2404" s="1" t="s">
        <v>22</v>
      </c>
      <c r="Q2404" s="1" t="s">
        <v>5</v>
      </c>
      <c r="R2404" s="1" t="s">
        <v>0</v>
      </c>
      <c r="S2404" s="1" t="s">
        <v>42</v>
      </c>
      <c r="T2404" s="1">
        <v>2016</v>
      </c>
      <c r="U2404" s="1">
        <v>11</v>
      </c>
      <c r="V2404" s="50">
        <v>42675</v>
      </c>
      <c r="W2404" s="4">
        <v>5430.38</v>
      </c>
      <c r="X2404" s="48">
        <v>5777</v>
      </c>
    </row>
    <row r="2405" spans="2:24" x14ac:dyDescent="0.35">
      <c r="B2405" s="8" t="s">
        <v>6</v>
      </c>
      <c r="C2405" s="8" t="s">
        <v>29</v>
      </c>
      <c r="D2405" s="8" t="s">
        <v>30</v>
      </c>
      <c r="E2405" s="8" t="s">
        <v>0</v>
      </c>
      <c r="F2405" s="8" t="s">
        <v>26</v>
      </c>
      <c r="G2405" s="8">
        <v>2016</v>
      </c>
      <c r="H2405" s="8">
        <v>11</v>
      </c>
      <c r="I2405" s="10">
        <v>42675</v>
      </c>
      <c r="J2405" s="11">
        <v>4580</v>
      </c>
      <c r="K2405" s="51"/>
      <c r="O2405" s="1" t="s">
        <v>6</v>
      </c>
      <c r="P2405" s="1" t="s">
        <v>29</v>
      </c>
      <c r="Q2405" s="1" t="s">
        <v>30</v>
      </c>
      <c r="R2405" s="1" t="s">
        <v>0</v>
      </c>
      <c r="S2405" s="1" t="s">
        <v>26</v>
      </c>
      <c r="T2405" s="1">
        <v>2016</v>
      </c>
      <c r="U2405" s="1">
        <v>11</v>
      </c>
      <c r="V2405" s="50">
        <v>42675</v>
      </c>
      <c r="W2405" s="4">
        <v>4122</v>
      </c>
      <c r="X2405" s="48">
        <v>4580</v>
      </c>
    </row>
    <row r="2406" spans="2:24" x14ac:dyDescent="0.35">
      <c r="B2406" s="8" t="s">
        <v>7</v>
      </c>
      <c r="C2406" s="8" t="s">
        <v>48</v>
      </c>
      <c r="D2406" s="8" t="s">
        <v>9</v>
      </c>
      <c r="E2406" s="8" t="s">
        <v>27</v>
      </c>
      <c r="F2406" s="8" t="s">
        <v>28</v>
      </c>
      <c r="G2406" s="8">
        <v>2016</v>
      </c>
      <c r="H2406" s="8">
        <v>11</v>
      </c>
      <c r="I2406" s="10">
        <v>42675</v>
      </c>
      <c r="J2406" s="11">
        <v>4656</v>
      </c>
      <c r="K2406" s="51"/>
      <c r="O2406" s="1" t="s">
        <v>7</v>
      </c>
      <c r="P2406" s="1" t="s">
        <v>48</v>
      </c>
      <c r="Q2406" s="1" t="s">
        <v>9</v>
      </c>
      <c r="R2406" s="1" t="s">
        <v>27</v>
      </c>
      <c r="S2406" s="1" t="s">
        <v>28</v>
      </c>
      <c r="T2406" s="1">
        <v>2016</v>
      </c>
      <c r="U2406" s="1">
        <v>11</v>
      </c>
      <c r="V2406" s="50">
        <v>42675</v>
      </c>
      <c r="W2406" s="4">
        <v>4283.5199999999995</v>
      </c>
      <c r="X2406" s="48">
        <v>4656</v>
      </c>
    </row>
    <row r="2407" spans="2:24" x14ac:dyDescent="0.35">
      <c r="B2407" s="8" t="s">
        <v>7</v>
      </c>
      <c r="C2407" s="8" t="s">
        <v>48</v>
      </c>
      <c r="D2407" s="8" t="s">
        <v>9</v>
      </c>
      <c r="E2407" s="8" t="s">
        <v>27</v>
      </c>
      <c r="F2407" s="6" t="s">
        <v>31</v>
      </c>
      <c r="G2407" s="8">
        <v>2016</v>
      </c>
      <c r="H2407" s="8">
        <v>11</v>
      </c>
      <c r="I2407" s="10">
        <v>42675</v>
      </c>
      <c r="J2407" s="11">
        <v>5384</v>
      </c>
      <c r="K2407" s="51"/>
      <c r="O2407" s="1" t="s">
        <v>7</v>
      </c>
      <c r="P2407" s="1" t="s">
        <v>48</v>
      </c>
      <c r="Q2407" s="1" t="s">
        <v>9</v>
      </c>
      <c r="R2407" s="1" t="s">
        <v>27</v>
      </c>
      <c r="S2407" t="s">
        <v>31</v>
      </c>
      <c r="T2407" s="1">
        <v>2016</v>
      </c>
      <c r="U2407" s="1">
        <v>11</v>
      </c>
      <c r="V2407" s="50">
        <v>42675</v>
      </c>
      <c r="W2407" s="4">
        <v>4684.0800000000008</v>
      </c>
      <c r="X2407" s="48">
        <v>5384</v>
      </c>
    </row>
    <row r="2408" spans="2:24" x14ac:dyDescent="0.35">
      <c r="B2408" s="8" t="s">
        <v>7</v>
      </c>
      <c r="C2408" s="8" t="s">
        <v>49</v>
      </c>
      <c r="D2408" s="8" t="s">
        <v>11</v>
      </c>
      <c r="E2408" s="8" t="s">
        <v>27</v>
      </c>
      <c r="F2408" s="6" t="s">
        <v>33</v>
      </c>
      <c r="G2408" s="8">
        <v>2016</v>
      </c>
      <c r="H2408" s="8">
        <v>11</v>
      </c>
      <c r="I2408" s="10">
        <v>42675</v>
      </c>
      <c r="J2408" s="11">
        <v>3673</v>
      </c>
      <c r="K2408" s="51"/>
      <c r="O2408" s="1" t="s">
        <v>7</v>
      </c>
      <c r="P2408" s="1" t="s">
        <v>49</v>
      </c>
      <c r="Q2408" s="1" t="s">
        <v>11</v>
      </c>
      <c r="R2408" s="1" t="s">
        <v>27</v>
      </c>
      <c r="S2408" t="s">
        <v>33</v>
      </c>
      <c r="T2408" s="1">
        <v>2016</v>
      </c>
      <c r="U2408" s="1">
        <v>11</v>
      </c>
      <c r="V2408" s="50">
        <v>42675</v>
      </c>
      <c r="W2408" s="4">
        <v>3342.43</v>
      </c>
      <c r="X2408" s="48">
        <v>3673</v>
      </c>
    </row>
    <row r="2409" spans="2:24" x14ac:dyDescent="0.35">
      <c r="B2409" s="8" t="s">
        <v>7</v>
      </c>
      <c r="C2409" s="8" t="s">
        <v>49</v>
      </c>
      <c r="D2409" s="8" t="s">
        <v>11</v>
      </c>
      <c r="E2409" s="8" t="s">
        <v>23</v>
      </c>
      <c r="F2409" s="6" t="s">
        <v>36</v>
      </c>
      <c r="G2409" s="8">
        <v>2016</v>
      </c>
      <c r="H2409" s="8">
        <v>11</v>
      </c>
      <c r="I2409" s="10">
        <v>42675</v>
      </c>
      <c r="J2409" s="11">
        <v>2767</v>
      </c>
      <c r="K2409" s="51"/>
      <c r="O2409" s="1" t="s">
        <v>7</v>
      </c>
      <c r="P2409" s="1" t="s">
        <v>49</v>
      </c>
      <c r="Q2409" s="1" t="s">
        <v>11</v>
      </c>
      <c r="R2409" s="1" t="s">
        <v>23</v>
      </c>
      <c r="S2409" t="s">
        <v>36</v>
      </c>
      <c r="T2409" s="1">
        <v>2016</v>
      </c>
      <c r="U2409" s="1">
        <v>11</v>
      </c>
      <c r="V2409" s="50">
        <v>42675</v>
      </c>
      <c r="W2409" s="4">
        <v>2490.2999999999997</v>
      </c>
      <c r="X2409" s="48">
        <v>2767</v>
      </c>
    </row>
    <row r="2410" spans="2:24" x14ac:dyDescent="0.35">
      <c r="B2410" s="8" t="s">
        <v>7</v>
      </c>
      <c r="C2410" s="8" t="s">
        <v>43</v>
      </c>
      <c r="D2410" s="8" t="s">
        <v>10</v>
      </c>
      <c r="E2410" s="9" t="s">
        <v>23</v>
      </c>
      <c r="F2410" s="9" t="s">
        <v>36</v>
      </c>
      <c r="G2410" s="8">
        <v>2016</v>
      </c>
      <c r="H2410" s="8">
        <v>11</v>
      </c>
      <c r="I2410" s="10">
        <v>42675</v>
      </c>
      <c r="J2410" s="11">
        <v>2169</v>
      </c>
      <c r="K2410" s="51"/>
      <c r="O2410" s="1" t="s">
        <v>7</v>
      </c>
      <c r="P2410" s="1" t="s">
        <v>43</v>
      </c>
      <c r="Q2410" s="1" t="s">
        <v>10</v>
      </c>
      <c r="R2410" s="2" t="s">
        <v>23</v>
      </c>
      <c r="S2410" s="2" t="s">
        <v>36</v>
      </c>
      <c r="T2410" s="1">
        <v>2016</v>
      </c>
      <c r="U2410" s="1">
        <v>11</v>
      </c>
      <c r="V2410" s="50">
        <v>42675</v>
      </c>
      <c r="W2410" s="4">
        <v>1865.3400000000001</v>
      </c>
      <c r="X2410" s="48">
        <v>2169</v>
      </c>
    </row>
    <row r="2411" spans="2:24" x14ac:dyDescent="0.35">
      <c r="B2411" s="8" t="s">
        <v>6</v>
      </c>
      <c r="C2411" s="8" t="s">
        <v>40</v>
      </c>
      <c r="D2411" s="8" t="s">
        <v>41</v>
      </c>
      <c r="E2411" s="8" t="s">
        <v>0</v>
      </c>
      <c r="F2411" s="9" t="s">
        <v>45</v>
      </c>
      <c r="G2411" s="8">
        <v>2016</v>
      </c>
      <c r="H2411" s="8">
        <v>11</v>
      </c>
      <c r="I2411" s="10">
        <v>42675</v>
      </c>
      <c r="J2411" s="11">
        <v>3367</v>
      </c>
      <c r="K2411" s="51"/>
      <c r="O2411" s="1" t="s">
        <v>6</v>
      </c>
      <c r="P2411" s="1" t="s">
        <v>40</v>
      </c>
      <c r="Q2411" s="1" t="s">
        <v>41</v>
      </c>
      <c r="R2411" s="1" t="s">
        <v>0</v>
      </c>
      <c r="S2411" s="2" t="s">
        <v>45</v>
      </c>
      <c r="T2411" s="1">
        <v>2016</v>
      </c>
      <c r="U2411" s="1">
        <v>11</v>
      </c>
      <c r="V2411" s="50">
        <v>42675</v>
      </c>
      <c r="W2411" s="4">
        <v>3164.98</v>
      </c>
      <c r="X2411" s="48">
        <v>3367</v>
      </c>
    </row>
    <row r="2412" spans="2:24" x14ac:dyDescent="0.35">
      <c r="B2412" s="8" t="s">
        <v>7</v>
      </c>
      <c r="C2412" s="8" t="s">
        <v>32</v>
      </c>
      <c r="D2412" s="8" t="s">
        <v>8</v>
      </c>
      <c r="E2412" s="8" t="s">
        <v>27</v>
      </c>
      <c r="F2412" s="6" t="s">
        <v>28</v>
      </c>
      <c r="G2412" s="8">
        <v>2016</v>
      </c>
      <c r="H2412" s="8">
        <v>11</v>
      </c>
      <c r="I2412" s="10">
        <v>42675</v>
      </c>
      <c r="J2412" s="11">
        <v>4147</v>
      </c>
      <c r="K2412" s="51"/>
      <c r="O2412" s="1" t="s">
        <v>7</v>
      </c>
      <c r="P2412" s="1" t="s">
        <v>32</v>
      </c>
      <c r="Q2412" s="1" t="s">
        <v>8</v>
      </c>
      <c r="R2412" s="1" t="s">
        <v>27</v>
      </c>
      <c r="S2412" t="s">
        <v>28</v>
      </c>
      <c r="T2412" s="1">
        <v>2016</v>
      </c>
      <c r="U2412" s="1">
        <v>11</v>
      </c>
      <c r="V2412" s="50">
        <v>42675</v>
      </c>
      <c r="W2412" s="4">
        <v>3524.9500000000003</v>
      </c>
      <c r="X2412" s="48">
        <v>4147</v>
      </c>
    </row>
    <row r="2413" spans="2:24" x14ac:dyDescent="0.35">
      <c r="B2413" s="8" t="s">
        <v>7</v>
      </c>
      <c r="C2413" s="8" t="s">
        <v>32</v>
      </c>
      <c r="D2413" s="8" t="s">
        <v>8</v>
      </c>
      <c r="E2413" s="8" t="s">
        <v>27</v>
      </c>
      <c r="F2413" s="8" t="s">
        <v>31</v>
      </c>
      <c r="G2413" s="8">
        <v>2016</v>
      </c>
      <c r="H2413" s="8">
        <v>11</v>
      </c>
      <c r="I2413" s="10">
        <v>42675</v>
      </c>
      <c r="J2413" s="11">
        <v>5086</v>
      </c>
      <c r="K2413" s="51"/>
      <c r="O2413" s="1" t="s">
        <v>7</v>
      </c>
      <c r="P2413" s="1" t="s">
        <v>32</v>
      </c>
      <c r="Q2413" s="1" t="s">
        <v>8</v>
      </c>
      <c r="R2413" s="1" t="s">
        <v>27</v>
      </c>
      <c r="S2413" s="1" t="s">
        <v>31</v>
      </c>
      <c r="T2413" s="1">
        <v>2016</v>
      </c>
      <c r="U2413" s="1">
        <v>11</v>
      </c>
      <c r="V2413" s="50">
        <v>42675</v>
      </c>
      <c r="W2413" s="4">
        <v>4679.12</v>
      </c>
      <c r="X2413" s="48">
        <v>5086</v>
      </c>
    </row>
    <row r="2414" spans="2:24" x14ac:dyDescent="0.35">
      <c r="B2414" s="8" t="s">
        <v>6</v>
      </c>
      <c r="C2414" s="8" t="s">
        <v>29</v>
      </c>
      <c r="D2414" s="8" t="s">
        <v>30</v>
      </c>
      <c r="E2414" s="8" t="s">
        <v>23</v>
      </c>
      <c r="F2414" s="8" t="s">
        <v>24</v>
      </c>
      <c r="G2414" s="8">
        <v>2016</v>
      </c>
      <c r="H2414" s="8">
        <v>11</v>
      </c>
      <c r="I2414" s="10">
        <v>42675</v>
      </c>
      <c r="J2414" s="11">
        <v>2707</v>
      </c>
      <c r="K2414" s="51"/>
      <c r="O2414" s="1" t="s">
        <v>6</v>
      </c>
      <c r="P2414" s="1" t="s">
        <v>29</v>
      </c>
      <c r="Q2414" s="1" t="s">
        <v>30</v>
      </c>
      <c r="R2414" s="1" t="s">
        <v>23</v>
      </c>
      <c r="S2414" s="1" t="s">
        <v>24</v>
      </c>
      <c r="T2414" s="1">
        <v>2016</v>
      </c>
      <c r="U2414" s="1">
        <v>11</v>
      </c>
      <c r="V2414" s="50">
        <v>42675</v>
      </c>
      <c r="W2414" s="4">
        <v>2328.0200000000004</v>
      </c>
      <c r="X2414" s="48">
        <v>2707</v>
      </c>
    </row>
    <row r="2415" spans="2:24" x14ac:dyDescent="0.35">
      <c r="B2415" s="8" t="s">
        <v>7</v>
      </c>
      <c r="C2415" s="8" t="s">
        <v>48</v>
      </c>
      <c r="D2415" s="8" t="s">
        <v>9</v>
      </c>
      <c r="E2415" s="8" t="s">
        <v>0</v>
      </c>
      <c r="F2415" s="8" t="s">
        <v>42</v>
      </c>
      <c r="G2415" s="8">
        <v>2016</v>
      </c>
      <c r="H2415" s="8">
        <v>11</v>
      </c>
      <c r="I2415" s="10">
        <v>42675</v>
      </c>
      <c r="J2415" s="11">
        <v>4914</v>
      </c>
      <c r="K2415" s="51"/>
      <c r="O2415" s="1" t="s">
        <v>7</v>
      </c>
      <c r="P2415" s="1" t="s">
        <v>48</v>
      </c>
      <c r="Q2415" s="1" t="s">
        <v>9</v>
      </c>
      <c r="R2415" s="1" t="s">
        <v>0</v>
      </c>
      <c r="S2415" s="1" t="s">
        <v>42</v>
      </c>
      <c r="T2415" s="1">
        <v>2016</v>
      </c>
      <c r="U2415" s="1">
        <v>11</v>
      </c>
      <c r="V2415" s="50">
        <v>42675</v>
      </c>
      <c r="W2415" s="4">
        <v>4176.9000000000005</v>
      </c>
      <c r="X2415" s="48">
        <v>4914</v>
      </c>
    </row>
    <row r="2416" spans="2:24" x14ac:dyDescent="0.35">
      <c r="B2416" s="8" t="s">
        <v>7</v>
      </c>
      <c r="C2416" s="8" t="s">
        <v>48</v>
      </c>
      <c r="D2416" s="8" t="s">
        <v>9</v>
      </c>
      <c r="E2416" s="8" t="s">
        <v>0</v>
      </c>
      <c r="F2416" s="6" t="s">
        <v>26</v>
      </c>
      <c r="G2416" s="8">
        <v>2016</v>
      </c>
      <c r="H2416" s="8">
        <v>11</v>
      </c>
      <c r="I2416" s="10">
        <v>42675</v>
      </c>
      <c r="J2416" s="11">
        <v>3760</v>
      </c>
      <c r="K2416" s="51"/>
      <c r="O2416" s="1" t="s">
        <v>7</v>
      </c>
      <c r="P2416" s="1" t="s">
        <v>48</v>
      </c>
      <c r="Q2416" s="1" t="s">
        <v>9</v>
      </c>
      <c r="R2416" s="1" t="s">
        <v>0</v>
      </c>
      <c r="S2416" t="s">
        <v>26</v>
      </c>
      <c r="T2416" s="1">
        <v>2016</v>
      </c>
      <c r="U2416" s="1">
        <v>11</v>
      </c>
      <c r="V2416" s="50">
        <v>42675</v>
      </c>
      <c r="W2416" s="4">
        <v>3421.5999999999995</v>
      </c>
      <c r="X2416" s="48">
        <v>3760</v>
      </c>
    </row>
    <row r="2417" spans="2:24" x14ac:dyDescent="0.35">
      <c r="B2417" s="8" t="s">
        <v>7</v>
      </c>
      <c r="C2417" s="8" t="s">
        <v>49</v>
      </c>
      <c r="D2417" s="8" t="s">
        <v>11</v>
      </c>
      <c r="E2417" s="8" t="s">
        <v>0</v>
      </c>
      <c r="F2417" s="6" t="s">
        <v>45</v>
      </c>
      <c r="G2417" s="8">
        <v>2016</v>
      </c>
      <c r="H2417" s="8">
        <v>11</v>
      </c>
      <c r="I2417" s="10">
        <v>42675</v>
      </c>
      <c r="J2417" s="11">
        <v>2954</v>
      </c>
      <c r="K2417" s="51"/>
      <c r="O2417" s="1" t="s">
        <v>7</v>
      </c>
      <c r="P2417" s="1" t="s">
        <v>49</v>
      </c>
      <c r="Q2417" s="1" t="s">
        <v>11</v>
      </c>
      <c r="R2417" s="1" t="s">
        <v>0</v>
      </c>
      <c r="S2417" t="s">
        <v>45</v>
      </c>
      <c r="T2417" s="1">
        <v>2016</v>
      </c>
      <c r="U2417" s="1">
        <v>11</v>
      </c>
      <c r="V2417" s="50">
        <v>42675</v>
      </c>
      <c r="W2417" s="4">
        <v>2658.6</v>
      </c>
      <c r="X2417" s="48">
        <v>2954</v>
      </c>
    </row>
    <row r="2418" spans="2:24" x14ac:dyDescent="0.35">
      <c r="B2418" s="8" t="s">
        <v>7</v>
      </c>
      <c r="C2418" s="8" t="s">
        <v>49</v>
      </c>
      <c r="D2418" s="8" t="s">
        <v>11</v>
      </c>
      <c r="E2418" s="8" t="s">
        <v>27</v>
      </c>
      <c r="F2418" s="6" t="s">
        <v>28</v>
      </c>
      <c r="G2418" s="8">
        <v>2016</v>
      </c>
      <c r="H2418" s="8">
        <v>11</v>
      </c>
      <c r="I2418" s="10">
        <v>42675</v>
      </c>
      <c r="J2418" s="11">
        <v>3724</v>
      </c>
      <c r="K2418" s="51"/>
      <c r="O2418" s="1" t="s">
        <v>7</v>
      </c>
      <c r="P2418" s="1" t="s">
        <v>49</v>
      </c>
      <c r="Q2418" s="1" t="s">
        <v>11</v>
      </c>
      <c r="R2418" s="1" t="s">
        <v>27</v>
      </c>
      <c r="S2418" t="s">
        <v>28</v>
      </c>
      <c r="T2418" s="1">
        <v>2016</v>
      </c>
      <c r="U2418" s="1">
        <v>11</v>
      </c>
      <c r="V2418" s="50">
        <v>42675</v>
      </c>
      <c r="W2418" s="4">
        <v>3351.5999999999995</v>
      </c>
      <c r="X2418" s="48">
        <v>3724</v>
      </c>
    </row>
    <row r="2419" spans="2:24" x14ac:dyDescent="0.35">
      <c r="B2419" s="8" t="s">
        <v>12</v>
      </c>
      <c r="C2419" s="8" t="s">
        <v>34</v>
      </c>
      <c r="D2419" s="8" t="s">
        <v>35</v>
      </c>
      <c r="E2419" s="9" t="s">
        <v>27</v>
      </c>
      <c r="F2419" s="9" t="s">
        <v>31</v>
      </c>
      <c r="G2419" s="8">
        <v>2016</v>
      </c>
      <c r="H2419" s="8">
        <v>11</v>
      </c>
      <c r="I2419" s="10">
        <v>42675</v>
      </c>
      <c r="J2419" s="11">
        <v>5065</v>
      </c>
      <c r="K2419" s="51"/>
      <c r="O2419" s="1" t="s">
        <v>12</v>
      </c>
      <c r="P2419" s="1" t="s">
        <v>34</v>
      </c>
      <c r="Q2419" s="1" t="s">
        <v>35</v>
      </c>
      <c r="R2419" s="2" t="s">
        <v>27</v>
      </c>
      <c r="S2419" s="2" t="s">
        <v>31</v>
      </c>
      <c r="T2419" s="1">
        <v>2016</v>
      </c>
      <c r="U2419" s="1">
        <v>11</v>
      </c>
      <c r="V2419" s="50">
        <v>42675</v>
      </c>
      <c r="W2419" s="4">
        <v>4659.7999999999993</v>
      </c>
      <c r="X2419" s="48">
        <v>5065</v>
      </c>
    </row>
    <row r="2420" spans="2:24" x14ac:dyDescent="0.35">
      <c r="B2420" s="8" t="s">
        <v>12</v>
      </c>
      <c r="C2420" s="8" t="s">
        <v>34</v>
      </c>
      <c r="D2420" s="8" t="s">
        <v>35</v>
      </c>
      <c r="E2420" s="8" t="s">
        <v>27</v>
      </c>
      <c r="F2420" s="9" t="s">
        <v>33</v>
      </c>
      <c r="G2420" s="8">
        <v>2016</v>
      </c>
      <c r="H2420" s="8">
        <v>11</v>
      </c>
      <c r="I2420" s="10">
        <v>42675</v>
      </c>
      <c r="J2420" s="11">
        <v>3202</v>
      </c>
      <c r="K2420" s="51"/>
      <c r="O2420" s="1" t="s">
        <v>12</v>
      </c>
      <c r="P2420" s="1" t="s">
        <v>34</v>
      </c>
      <c r="Q2420" s="1" t="s">
        <v>35</v>
      </c>
      <c r="R2420" s="1" t="s">
        <v>27</v>
      </c>
      <c r="S2420" s="2" t="s">
        <v>33</v>
      </c>
      <c r="T2420" s="1">
        <v>2016</v>
      </c>
      <c r="U2420" s="1">
        <v>11</v>
      </c>
      <c r="V2420" s="50">
        <v>42675</v>
      </c>
      <c r="W2420" s="4">
        <v>2913.8199999999997</v>
      </c>
      <c r="X2420" s="48">
        <v>3202</v>
      </c>
    </row>
    <row r="2421" spans="2:24" x14ac:dyDescent="0.35">
      <c r="B2421" s="8" t="s">
        <v>14</v>
      </c>
      <c r="C2421" s="8" t="s">
        <v>37</v>
      </c>
      <c r="D2421" s="8" t="s">
        <v>38</v>
      </c>
      <c r="E2421" s="8" t="s">
        <v>23</v>
      </c>
      <c r="F2421" s="6" t="s">
        <v>36</v>
      </c>
      <c r="G2421" s="8">
        <v>2016</v>
      </c>
      <c r="H2421" s="8">
        <v>11</v>
      </c>
      <c r="I2421" s="10">
        <v>42675</v>
      </c>
      <c r="J2421" s="11">
        <v>1713</v>
      </c>
      <c r="K2421" s="51"/>
      <c r="O2421" s="1" t="s">
        <v>14</v>
      </c>
      <c r="P2421" s="1" t="s">
        <v>37</v>
      </c>
      <c r="Q2421" s="1" t="s">
        <v>38</v>
      </c>
      <c r="R2421" s="1" t="s">
        <v>23</v>
      </c>
      <c r="S2421" t="s">
        <v>36</v>
      </c>
      <c r="T2421" s="1">
        <v>2016</v>
      </c>
      <c r="U2421" s="1">
        <v>11</v>
      </c>
      <c r="V2421" s="50">
        <v>42675</v>
      </c>
      <c r="W2421" s="4">
        <v>1610.2199999999998</v>
      </c>
      <c r="X2421" s="48">
        <v>1713</v>
      </c>
    </row>
    <row r="2422" spans="2:24" x14ac:dyDescent="0.35">
      <c r="B2422" s="8" t="s">
        <v>12</v>
      </c>
      <c r="C2422" s="8" t="s">
        <v>44</v>
      </c>
      <c r="D2422" s="8" t="s">
        <v>13</v>
      </c>
      <c r="E2422" s="8" t="s">
        <v>23</v>
      </c>
      <c r="F2422" s="8" t="s">
        <v>39</v>
      </c>
      <c r="G2422" s="8">
        <v>2016</v>
      </c>
      <c r="H2422" s="8">
        <v>11</v>
      </c>
      <c r="I2422" s="10">
        <v>42675</v>
      </c>
      <c r="J2422" s="11">
        <v>1918</v>
      </c>
      <c r="K2422" s="51"/>
      <c r="O2422" s="1" t="s">
        <v>12</v>
      </c>
      <c r="P2422" s="1" t="s">
        <v>44</v>
      </c>
      <c r="Q2422" s="1" t="s">
        <v>13</v>
      </c>
      <c r="R2422" s="1" t="s">
        <v>23</v>
      </c>
      <c r="S2422" s="1" t="s">
        <v>39</v>
      </c>
      <c r="T2422" s="1">
        <v>2016</v>
      </c>
      <c r="U2422" s="1">
        <v>11</v>
      </c>
      <c r="V2422" s="50">
        <v>42675</v>
      </c>
      <c r="W2422" s="4">
        <v>1783.7399999999998</v>
      </c>
      <c r="X2422" s="48">
        <v>1918</v>
      </c>
    </row>
    <row r="2423" spans="2:24" x14ac:dyDescent="0.35">
      <c r="B2423" s="8" t="s">
        <v>12</v>
      </c>
      <c r="C2423" s="8" t="s">
        <v>44</v>
      </c>
      <c r="D2423" s="8" t="s">
        <v>13</v>
      </c>
      <c r="E2423" s="8" t="s">
        <v>0</v>
      </c>
      <c r="F2423" s="8" t="s">
        <v>42</v>
      </c>
      <c r="G2423" s="8">
        <v>2016</v>
      </c>
      <c r="H2423" s="8">
        <v>11</v>
      </c>
      <c r="I2423" s="10">
        <v>42675</v>
      </c>
      <c r="J2423" s="11">
        <v>4945</v>
      </c>
      <c r="K2423" s="51"/>
      <c r="O2423" s="1" t="s">
        <v>12</v>
      </c>
      <c r="P2423" s="1" t="s">
        <v>44</v>
      </c>
      <c r="Q2423" s="1" t="s">
        <v>13</v>
      </c>
      <c r="R2423" s="1" t="s">
        <v>0</v>
      </c>
      <c r="S2423" s="1" t="s">
        <v>42</v>
      </c>
      <c r="T2423" s="1">
        <v>2016</v>
      </c>
      <c r="U2423" s="1">
        <v>11</v>
      </c>
      <c r="V2423" s="50">
        <v>42675</v>
      </c>
      <c r="W2423" s="4">
        <v>4302.1500000000005</v>
      </c>
      <c r="X2423" s="48">
        <v>4945</v>
      </c>
    </row>
    <row r="2424" spans="2:24" x14ac:dyDescent="0.35">
      <c r="B2424" s="8" t="s">
        <v>14</v>
      </c>
      <c r="C2424" s="8" t="s">
        <v>46</v>
      </c>
      <c r="D2424" s="8" t="s">
        <v>47</v>
      </c>
      <c r="E2424" s="8" t="s">
        <v>0</v>
      </c>
      <c r="F2424" s="8" t="s">
        <v>26</v>
      </c>
      <c r="G2424" s="8">
        <v>2016</v>
      </c>
      <c r="H2424" s="8">
        <v>11</v>
      </c>
      <c r="I2424" s="10">
        <v>42675</v>
      </c>
      <c r="J2424" s="11">
        <v>3837</v>
      </c>
      <c r="K2424" s="51"/>
      <c r="O2424" s="1" t="s">
        <v>14</v>
      </c>
      <c r="P2424" s="1" t="s">
        <v>46</v>
      </c>
      <c r="Q2424" s="1" t="s">
        <v>47</v>
      </c>
      <c r="R2424" s="1" t="s">
        <v>0</v>
      </c>
      <c r="S2424" s="1" t="s">
        <v>26</v>
      </c>
      <c r="T2424" s="1">
        <v>2016</v>
      </c>
      <c r="U2424" s="1">
        <v>11</v>
      </c>
      <c r="V2424" s="50">
        <v>42675</v>
      </c>
      <c r="W2424" s="4">
        <v>3568.41</v>
      </c>
      <c r="X2424" s="48">
        <v>3837</v>
      </c>
    </row>
    <row r="2425" spans="2:24" x14ac:dyDescent="0.35">
      <c r="B2425" s="8" t="s">
        <v>14</v>
      </c>
      <c r="C2425" s="8" t="s">
        <v>46</v>
      </c>
      <c r="D2425" s="8" t="s">
        <v>47</v>
      </c>
      <c r="E2425" s="8" t="s">
        <v>0</v>
      </c>
      <c r="F2425" s="6" t="s">
        <v>45</v>
      </c>
      <c r="G2425" s="8">
        <v>2016</v>
      </c>
      <c r="H2425" s="8">
        <v>11</v>
      </c>
      <c r="I2425" s="10">
        <v>42675</v>
      </c>
      <c r="J2425" s="11">
        <v>3899</v>
      </c>
      <c r="K2425" s="51"/>
      <c r="O2425" s="1" t="s">
        <v>14</v>
      </c>
      <c r="P2425" s="1" t="s">
        <v>46</v>
      </c>
      <c r="Q2425" s="1" t="s">
        <v>47</v>
      </c>
      <c r="R2425" s="1" t="s">
        <v>0</v>
      </c>
      <c r="S2425" t="s">
        <v>45</v>
      </c>
      <c r="T2425" s="1">
        <v>2016</v>
      </c>
      <c r="U2425" s="1">
        <v>11</v>
      </c>
      <c r="V2425" s="50">
        <v>42675</v>
      </c>
      <c r="W2425" s="4">
        <v>3509.0999999999995</v>
      </c>
      <c r="X2425" s="48">
        <v>3899</v>
      </c>
    </row>
    <row r="2426" spans="2:24" x14ac:dyDescent="0.35">
      <c r="B2426" s="8" t="s">
        <v>3</v>
      </c>
      <c r="C2426" s="8" t="s">
        <v>25</v>
      </c>
      <c r="D2426" s="8" t="s">
        <v>4</v>
      </c>
      <c r="E2426" s="8" t="s">
        <v>27</v>
      </c>
      <c r="F2426" s="6" t="s">
        <v>33</v>
      </c>
      <c r="G2426" s="8">
        <v>2016</v>
      </c>
      <c r="H2426" s="8">
        <v>11</v>
      </c>
      <c r="I2426" s="10">
        <v>42675</v>
      </c>
      <c r="J2426" s="11">
        <v>3120</v>
      </c>
      <c r="K2426" s="51"/>
      <c r="O2426" s="1" t="s">
        <v>3</v>
      </c>
      <c r="P2426" s="1" t="s">
        <v>25</v>
      </c>
      <c r="Q2426" s="1" t="s">
        <v>4</v>
      </c>
      <c r="R2426" s="1" t="s">
        <v>27</v>
      </c>
      <c r="S2426" t="s">
        <v>33</v>
      </c>
      <c r="T2426" s="1">
        <v>2016</v>
      </c>
      <c r="U2426" s="1">
        <v>11</v>
      </c>
      <c r="V2426" s="50">
        <v>42675</v>
      </c>
      <c r="W2426" s="4">
        <v>2839.2</v>
      </c>
      <c r="X2426" s="48">
        <v>3120</v>
      </c>
    </row>
    <row r="2427" spans="2:24" x14ac:dyDescent="0.35">
      <c r="B2427" s="8" t="s">
        <v>3</v>
      </c>
      <c r="C2427" s="8" t="s">
        <v>25</v>
      </c>
      <c r="D2427" s="8" t="s">
        <v>4</v>
      </c>
      <c r="E2427" s="8" t="s">
        <v>23</v>
      </c>
      <c r="F2427" s="6" t="s">
        <v>36</v>
      </c>
      <c r="G2427" s="8">
        <v>2016</v>
      </c>
      <c r="H2427" s="8">
        <v>11</v>
      </c>
      <c r="I2427" s="10">
        <v>42675</v>
      </c>
      <c r="J2427" s="11">
        <v>2968</v>
      </c>
      <c r="K2427" s="51"/>
      <c r="O2427" s="1" t="s">
        <v>3</v>
      </c>
      <c r="P2427" s="1" t="s">
        <v>25</v>
      </c>
      <c r="Q2427" s="1" t="s">
        <v>4</v>
      </c>
      <c r="R2427" s="1" t="s">
        <v>23</v>
      </c>
      <c r="S2427" t="s">
        <v>36</v>
      </c>
      <c r="T2427" s="1">
        <v>2016</v>
      </c>
      <c r="U2427" s="1">
        <v>11</v>
      </c>
      <c r="V2427" s="50">
        <v>42675</v>
      </c>
      <c r="W2427" s="4">
        <v>2730.56</v>
      </c>
      <c r="X2427" s="48">
        <v>2968</v>
      </c>
    </row>
    <row r="2428" spans="2:24" x14ac:dyDescent="0.35">
      <c r="B2428" s="8" t="s">
        <v>6</v>
      </c>
      <c r="C2428" s="8" t="s">
        <v>40</v>
      </c>
      <c r="D2428" s="8" t="s">
        <v>41</v>
      </c>
      <c r="E2428" s="9" t="s">
        <v>23</v>
      </c>
      <c r="F2428" s="9" t="s">
        <v>39</v>
      </c>
      <c r="G2428" s="8">
        <v>2016</v>
      </c>
      <c r="H2428" s="8">
        <v>11</v>
      </c>
      <c r="I2428" s="10">
        <v>42675</v>
      </c>
      <c r="J2428" s="11">
        <v>2131</v>
      </c>
      <c r="K2428" s="51"/>
      <c r="O2428" s="1" t="s">
        <v>6</v>
      </c>
      <c r="P2428" s="1" t="s">
        <v>40</v>
      </c>
      <c r="Q2428" s="1" t="s">
        <v>41</v>
      </c>
      <c r="R2428" s="2" t="s">
        <v>23</v>
      </c>
      <c r="S2428" s="2" t="s">
        <v>39</v>
      </c>
      <c r="T2428" s="1">
        <v>2016</v>
      </c>
      <c r="U2428" s="1">
        <v>11</v>
      </c>
      <c r="V2428" s="50">
        <v>42675</v>
      </c>
      <c r="W2428" s="4">
        <v>1981.83</v>
      </c>
      <c r="X2428" s="48">
        <v>2131</v>
      </c>
    </row>
    <row r="2429" spans="2:24" x14ac:dyDescent="0.35">
      <c r="B2429" s="8" t="s">
        <v>7</v>
      </c>
      <c r="C2429" s="8" t="s">
        <v>48</v>
      </c>
      <c r="D2429" s="8" t="s">
        <v>9</v>
      </c>
      <c r="E2429" s="8" t="s">
        <v>0</v>
      </c>
      <c r="F2429" s="9" t="s">
        <v>45</v>
      </c>
      <c r="G2429" s="8">
        <v>2016</v>
      </c>
      <c r="H2429" s="8">
        <v>11</v>
      </c>
      <c r="I2429" s="10">
        <v>42675</v>
      </c>
      <c r="J2429" s="11">
        <v>3749</v>
      </c>
      <c r="K2429" s="51"/>
      <c r="O2429" s="1" t="s">
        <v>7</v>
      </c>
      <c r="P2429" s="1" t="s">
        <v>48</v>
      </c>
      <c r="Q2429" s="1" t="s">
        <v>9</v>
      </c>
      <c r="R2429" s="1" t="s">
        <v>0</v>
      </c>
      <c r="S2429" s="2" t="s">
        <v>45</v>
      </c>
      <c r="T2429" s="1">
        <v>2016</v>
      </c>
      <c r="U2429" s="1">
        <v>11</v>
      </c>
      <c r="V2429" s="50">
        <v>42675</v>
      </c>
      <c r="W2429" s="4">
        <v>3449.08</v>
      </c>
      <c r="X2429" s="48">
        <v>3749</v>
      </c>
    </row>
    <row r="2430" spans="2:24" x14ac:dyDescent="0.35">
      <c r="B2430" s="8" t="s">
        <v>7</v>
      </c>
      <c r="C2430" s="8" t="s">
        <v>49</v>
      </c>
      <c r="D2430" s="8" t="s">
        <v>11</v>
      </c>
      <c r="E2430" s="8" t="s">
        <v>27</v>
      </c>
      <c r="F2430" s="6" t="s">
        <v>31</v>
      </c>
      <c r="G2430" s="8">
        <v>2016</v>
      </c>
      <c r="H2430" s="8">
        <v>11</v>
      </c>
      <c r="I2430" s="10">
        <v>42675</v>
      </c>
      <c r="J2430" s="11">
        <v>4284</v>
      </c>
      <c r="K2430" s="51"/>
      <c r="O2430" s="1" t="s">
        <v>7</v>
      </c>
      <c r="P2430" s="1" t="s">
        <v>49</v>
      </c>
      <c r="Q2430" s="1" t="s">
        <v>11</v>
      </c>
      <c r="R2430" s="1" t="s">
        <v>27</v>
      </c>
      <c r="S2430" t="s">
        <v>31</v>
      </c>
      <c r="T2430" s="1">
        <v>2016</v>
      </c>
      <c r="U2430" s="1">
        <v>11</v>
      </c>
      <c r="V2430" s="50">
        <v>42675</v>
      </c>
      <c r="W2430" s="4">
        <v>3769.9199999999996</v>
      </c>
      <c r="X2430" s="48">
        <v>4284</v>
      </c>
    </row>
    <row r="2431" spans="2:24" x14ac:dyDescent="0.35">
      <c r="B2431" s="8" t="s">
        <v>7</v>
      </c>
      <c r="C2431" s="8" t="s">
        <v>43</v>
      </c>
      <c r="D2431" s="8" t="s">
        <v>10</v>
      </c>
      <c r="E2431" s="8" t="s">
        <v>27</v>
      </c>
      <c r="F2431" s="8" t="s">
        <v>33</v>
      </c>
      <c r="G2431" s="8">
        <v>2016</v>
      </c>
      <c r="H2431" s="8">
        <v>11</v>
      </c>
      <c r="I2431" s="10">
        <v>42675</v>
      </c>
      <c r="J2431" s="11">
        <v>3581</v>
      </c>
      <c r="K2431" s="51"/>
      <c r="O2431" s="1" t="s">
        <v>7</v>
      </c>
      <c r="P2431" s="1" t="s">
        <v>43</v>
      </c>
      <c r="Q2431" s="1" t="s">
        <v>10</v>
      </c>
      <c r="R2431" s="1" t="s">
        <v>27</v>
      </c>
      <c r="S2431" s="1" t="s">
        <v>33</v>
      </c>
      <c r="T2431" s="1">
        <v>2016</v>
      </c>
      <c r="U2431" s="1">
        <v>11</v>
      </c>
      <c r="V2431" s="50">
        <v>42675</v>
      </c>
      <c r="W2431" s="4">
        <v>3366.14</v>
      </c>
      <c r="X2431" s="48">
        <v>3581</v>
      </c>
    </row>
    <row r="2432" spans="2:24" x14ac:dyDescent="0.35">
      <c r="B2432" s="8" t="s">
        <v>7</v>
      </c>
      <c r="C2432" s="8" t="s">
        <v>32</v>
      </c>
      <c r="D2432" s="8" t="s">
        <v>8</v>
      </c>
      <c r="E2432" s="8" t="s">
        <v>0</v>
      </c>
      <c r="F2432" s="8" t="s">
        <v>45</v>
      </c>
      <c r="G2432" s="8">
        <v>2016</v>
      </c>
      <c r="H2432" s="8">
        <v>11</v>
      </c>
      <c r="I2432" s="10">
        <v>42675</v>
      </c>
      <c r="J2432" s="11">
        <v>4950</v>
      </c>
      <c r="K2432" s="51"/>
      <c r="O2432" s="1" t="s">
        <v>7</v>
      </c>
      <c r="P2432" s="1" t="s">
        <v>32</v>
      </c>
      <c r="Q2432" s="1" t="s">
        <v>8</v>
      </c>
      <c r="R2432" s="1" t="s">
        <v>0</v>
      </c>
      <c r="S2432" s="1" t="s">
        <v>45</v>
      </c>
      <c r="T2432" s="1">
        <v>2016</v>
      </c>
      <c r="U2432" s="1">
        <v>11</v>
      </c>
      <c r="V2432" s="50">
        <v>42675</v>
      </c>
      <c r="W2432" s="4">
        <v>4306.5000000000009</v>
      </c>
      <c r="X2432" s="48">
        <v>4950</v>
      </c>
    </row>
    <row r="2433" spans="2:24" x14ac:dyDescent="0.35">
      <c r="B2433" s="8" t="s">
        <v>7</v>
      </c>
      <c r="C2433" s="8" t="s">
        <v>48</v>
      </c>
      <c r="D2433" s="8" t="s">
        <v>9</v>
      </c>
      <c r="E2433" s="8" t="s">
        <v>23</v>
      </c>
      <c r="F2433" s="8" t="s">
        <v>39</v>
      </c>
      <c r="G2433" s="8">
        <v>2016</v>
      </c>
      <c r="H2433" s="8">
        <v>11</v>
      </c>
      <c r="I2433" s="10">
        <v>42675</v>
      </c>
      <c r="J2433" s="11">
        <v>2495</v>
      </c>
      <c r="K2433" s="51"/>
      <c r="O2433" s="1" t="s">
        <v>7</v>
      </c>
      <c r="P2433" s="1" t="s">
        <v>48</v>
      </c>
      <c r="Q2433" s="1" t="s">
        <v>9</v>
      </c>
      <c r="R2433" s="1" t="s">
        <v>23</v>
      </c>
      <c r="S2433" s="1" t="s">
        <v>39</v>
      </c>
      <c r="T2433" s="1">
        <v>2016</v>
      </c>
      <c r="U2433" s="1">
        <v>11</v>
      </c>
      <c r="V2433" s="50">
        <v>42675</v>
      </c>
      <c r="W2433" s="4">
        <v>2320.35</v>
      </c>
      <c r="X2433" s="48">
        <v>2495</v>
      </c>
    </row>
    <row r="2434" spans="2:24" x14ac:dyDescent="0.35">
      <c r="B2434" s="8" t="s">
        <v>7</v>
      </c>
      <c r="C2434" s="8" t="s">
        <v>49</v>
      </c>
      <c r="D2434" s="8" t="s">
        <v>11</v>
      </c>
      <c r="E2434" s="8" t="s">
        <v>0</v>
      </c>
      <c r="F2434" s="6" t="s">
        <v>26</v>
      </c>
      <c r="G2434" s="8">
        <v>2016</v>
      </c>
      <c r="H2434" s="8">
        <v>11</v>
      </c>
      <c r="I2434" s="10">
        <v>42675</v>
      </c>
      <c r="J2434" s="11">
        <v>5023</v>
      </c>
      <c r="K2434" s="51"/>
      <c r="O2434" s="1" t="s">
        <v>7</v>
      </c>
      <c r="P2434" s="1" t="s">
        <v>49</v>
      </c>
      <c r="Q2434" s="1" t="s">
        <v>11</v>
      </c>
      <c r="R2434" s="1" t="s">
        <v>0</v>
      </c>
      <c r="S2434" t="s">
        <v>26</v>
      </c>
      <c r="T2434" s="1">
        <v>2016</v>
      </c>
      <c r="U2434" s="1">
        <v>11</v>
      </c>
      <c r="V2434" s="50">
        <v>42675</v>
      </c>
      <c r="W2434" s="4">
        <v>4370.01</v>
      </c>
      <c r="X2434" s="48">
        <v>5023</v>
      </c>
    </row>
    <row r="2435" spans="2:24" x14ac:dyDescent="0.35">
      <c r="B2435" s="8" t="s">
        <v>12</v>
      </c>
      <c r="C2435" s="8" t="s">
        <v>34</v>
      </c>
      <c r="D2435" s="8" t="s">
        <v>35</v>
      </c>
      <c r="E2435" s="8" t="s">
        <v>27</v>
      </c>
      <c r="F2435" s="6" t="s">
        <v>28</v>
      </c>
      <c r="G2435" s="8">
        <v>2016</v>
      </c>
      <c r="H2435" s="8">
        <v>11</v>
      </c>
      <c r="I2435" s="10">
        <v>42675</v>
      </c>
      <c r="J2435" s="11">
        <v>4182</v>
      </c>
      <c r="K2435" s="51"/>
      <c r="O2435" s="1" t="s">
        <v>12</v>
      </c>
      <c r="P2435" s="1" t="s">
        <v>34</v>
      </c>
      <c r="Q2435" s="1" t="s">
        <v>35</v>
      </c>
      <c r="R2435" s="1" t="s">
        <v>27</v>
      </c>
      <c r="S2435" t="s">
        <v>28</v>
      </c>
      <c r="T2435" s="1">
        <v>2016</v>
      </c>
      <c r="U2435" s="1">
        <v>11</v>
      </c>
      <c r="V2435" s="50">
        <v>42675</v>
      </c>
      <c r="W2435" s="4">
        <v>3763.7999999999997</v>
      </c>
      <c r="X2435" s="48">
        <v>4182</v>
      </c>
    </row>
    <row r="2436" spans="2:24" x14ac:dyDescent="0.35">
      <c r="B2436" s="8" t="s">
        <v>14</v>
      </c>
      <c r="C2436" s="8" t="s">
        <v>37</v>
      </c>
      <c r="D2436" s="8" t="s">
        <v>38</v>
      </c>
      <c r="E2436" s="8" t="s">
        <v>27</v>
      </c>
      <c r="F2436" s="6" t="s">
        <v>33</v>
      </c>
      <c r="G2436" s="8">
        <v>2016</v>
      </c>
      <c r="H2436" s="8">
        <v>11</v>
      </c>
      <c r="I2436" s="10">
        <v>42675</v>
      </c>
      <c r="J2436" s="11">
        <v>3577</v>
      </c>
      <c r="K2436" s="51"/>
      <c r="O2436" s="1" t="s">
        <v>14</v>
      </c>
      <c r="P2436" s="1" t="s">
        <v>37</v>
      </c>
      <c r="Q2436" s="1" t="s">
        <v>38</v>
      </c>
      <c r="R2436" s="1" t="s">
        <v>27</v>
      </c>
      <c r="S2436" t="s">
        <v>33</v>
      </c>
      <c r="T2436" s="1">
        <v>2016</v>
      </c>
      <c r="U2436" s="1">
        <v>11</v>
      </c>
      <c r="V2436" s="50">
        <v>42675</v>
      </c>
      <c r="W2436" s="4">
        <v>3147.7599999999998</v>
      </c>
      <c r="X2436" s="48">
        <v>3577</v>
      </c>
    </row>
    <row r="2437" spans="2:24" x14ac:dyDescent="0.35">
      <c r="B2437" s="8" t="s">
        <v>12</v>
      </c>
      <c r="C2437" s="8" t="s">
        <v>44</v>
      </c>
      <c r="D2437" s="8" t="s">
        <v>13</v>
      </c>
      <c r="E2437" s="9" t="s">
        <v>23</v>
      </c>
      <c r="F2437" s="9" t="s">
        <v>24</v>
      </c>
      <c r="G2437" s="8">
        <v>2016</v>
      </c>
      <c r="H2437" s="8">
        <v>11</v>
      </c>
      <c r="I2437" s="10">
        <v>42675</v>
      </c>
      <c r="J2437" s="11">
        <v>2465</v>
      </c>
      <c r="K2437" s="51"/>
      <c r="O2437" s="1" t="s">
        <v>12</v>
      </c>
      <c r="P2437" s="1" t="s">
        <v>44</v>
      </c>
      <c r="Q2437" s="1" t="s">
        <v>13</v>
      </c>
      <c r="R2437" s="2" t="s">
        <v>23</v>
      </c>
      <c r="S2437" s="2" t="s">
        <v>24</v>
      </c>
      <c r="T2437" s="1">
        <v>2016</v>
      </c>
      <c r="U2437" s="1">
        <v>11</v>
      </c>
      <c r="V2437" s="50">
        <v>42675</v>
      </c>
      <c r="W2437" s="4">
        <v>2267.7999999999997</v>
      </c>
      <c r="X2437" s="48">
        <v>2465</v>
      </c>
    </row>
    <row r="2438" spans="2:24" x14ac:dyDescent="0.35">
      <c r="B2438" s="8" t="s">
        <v>14</v>
      </c>
      <c r="C2438" s="8" t="s">
        <v>46</v>
      </c>
      <c r="D2438" s="8" t="s">
        <v>47</v>
      </c>
      <c r="E2438" s="8" t="s">
        <v>0</v>
      </c>
      <c r="F2438" s="9" t="s">
        <v>42</v>
      </c>
      <c r="G2438" s="8">
        <v>2016</v>
      </c>
      <c r="H2438" s="8">
        <v>11</v>
      </c>
      <c r="I2438" s="10">
        <v>42675</v>
      </c>
      <c r="J2438" s="11">
        <v>4658</v>
      </c>
      <c r="K2438" s="51"/>
      <c r="O2438" s="1" t="s">
        <v>14</v>
      </c>
      <c r="P2438" s="1" t="s">
        <v>46</v>
      </c>
      <c r="Q2438" s="1" t="s">
        <v>47</v>
      </c>
      <c r="R2438" s="1" t="s">
        <v>0</v>
      </c>
      <c r="S2438" s="2" t="s">
        <v>42</v>
      </c>
      <c r="T2438" s="1">
        <v>2016</v>
      </c>
      <c r="U2438" s="1">
        <v>11</v>
      </c>
      <c r="V2438" s="50">
        <v>42675</v>
      </c>
      <c r="W2438" s="4">
        <v>4378.5199999999995</v>
      </c>
      <c r="X2438" s="48">
        <v>4658</v>
      </c>
    </row>
    <row r="2439" spans="2:24" x14ac:dyDescent="0.35">
      <c r="B2439" s="8" t="s">
        <v>7</v>
      </c>
      <c r="C2439" s="8" t="s">
        <v>48</v>
      </c>
      <c r="D2439" s="8" t="s">
        <v>9</v>
      </c>
      <c r="E2439" s="8" t="s">
        <v>27</v>
      </c>
      <c r="F2439" s="6" t="s">
        <v>33</v>
      </c>
      <c r="G2439" s="8">
        <v>2016</v>
      </c>
      <c r="H2439" s="8">
        <v>11</v>
      </c>
      <c r="I2439" s="10">
        <v>42675</v>
      </c>
      <c r="J2439" s="11">
        <v>3500</v>
      </c>
      <c r="K2439" s="51"/>
      <c r="O2439" s="1" t="s">
        <v>7</v>
      </c>
      <c r="P2439" s="1" t="s">
        <v>48</v>
      </c>
      <c r="Q2439" s="1" t="s">
        <v>9</v>
      </c>
      <c r="R2439" s="1" t="s">
        <v>27</v>
      </c>
      <c r="S2439" t="s">
        <v>33</v>
      </c>
      <c r="T2439" s="1">
        <v>2016</v>
      </c>
      <c r="U2439" s="1">
        <v>11</v>
      </c>
      <c r="V2439" s="50">
        <v>42675</v>
      </c>
      <c r="W2439" s="4">
        <v>3255</v>
      </c>
      <c r="X2439" s="48">
        <v>3500</v>
      </c>
    </row>
    <row r="2440" spans="2:24" x14ac:dyDescent="0.35">
      <c r="B2440" s="8" t="s">
        <v>7</v>
      </c>
      <c r="C2440" s="8" t="s">
        <v>49</v>
      </c>
      <c r="D2440" s="8" t="s">
        <v>11</v>
      </c>
      <c r="E2440" s="8" t="s">
        <v>23</v>
      </c>
      <c r="F2440" s="8" t="s">
        <v>24</v>
      </c>
      <c r="G2440" s="8">
        <v>2016</v>
      </c>
      <c r="H2440" s="8">
        <v>11</v>
      </c>
      <c r="I2440" s="10">
        <v>42675</v>
      </c>
      <c r="J2440" s="11">
        <v>3064</v>
      </c>
      <c r="K2440" s="51"/>
      <c r="O2440" s="1" t="s">
        <v>7</v>
      </c>
      <c r="P2440" s="1" t="s">
        <v>49</v>
      </c>
      <c r="Q2440" s="1" t="s">
        <v>11</v>
      </c>
      <c r="R2440" s="1" t="s">
        <v>23</v>
      </c>
      <c r="S2440" s="1" t="s">
        <v>24</v>
      </c>
      <c r="T2440" s="1">
        <v>2016</v>
      </c>
      <c r="U2440" s="1">
        <v>11</v>
      </c>
      <c r="V2440" s="50">
        <v>42675</v>
      </c>
      <c r="W2440" s="4">
        <v>2788.24</v>
      </c>
      <c r="X2440" s="48">
        <v>3064</v>
      </c>
    </row>
    <row r="2441" spans="2:24" x14ac:dyDescent="0.35">
      <c r="B2441" s="8" t="s">
        <v>3</v>
      </c>
      <c r="C2441" s="8" t="s">
        <v>22</v>
      </c>
      <c r="D2441" s="8" t="s">
        <v>5</v>
      </c>
      <c r="E2441" s="8" t="s">
        <v>23</v>
      </c>
      <c r="F2441" s="8" t="s">
        <v>24</v>
      </c>
      <c r="G2441" s="8">
        <v>2016</v>
      </c>
      <c r="H2441" s="8">
        <v>12</v>
      </c>
      <c r="I2441" s="10">
        <v>42705</v>
      </c>
      <c r="J2441" s="11">
        <v>2976</v>
      </c>
      <c r="K2441" s="51"/>
      <c r="O2441" s="1" t="s">
        <v>3</v>
      </c>
      <c r="P2441" s="1" t="s">
        <v>22</v>
      </c>
      <c r="Q2441" s="1" t="s">
        <v>5</v>
      </c>
      <c r="R2441" s="1" t="s">
        <v>23</v>
      </c>
      <c r="S2441" s="1" t="s">
        <v>24</v>
      </c>
      <c r="T2441" s="1">
        <v>2016</v>
      </c>
      <c r="U2441" s="1">
        <v>12</v>
      </c>
      <c r="V2441" s="50">
        <v>42705</v>
      </c>
      <c r="W2441" s="4">
        <v>2678.3999999999996</v>
      </c>
      <c r="X2441" s="48">
        <v>2976</v>
      </c>
    </row>
    <row r="2442" spans="2:24" x14ac:dyDescent="0.35">
      <c r="B2442" s="8" t="s">
        <v>3</v>
      </c>
      <c r="C2442" s="8" t="s">
        <v>25</v>
      </c>
      <c r="D2442" s="8" t="s">
        <v>4</v>
      </c>
      <c r="E2442" s="8" t="s">
        <v>23</v>
      </c>
      <c r="F2442" s="8" t="s">
        <v>24</v>
      </c>
      <c r="G2442" s="8">
        <v>2016</v>
      </c>
      <c r="H2442" s="8">
        <v>12</v>
      </c>
      <c r="I2442" s="10">
        <v>42705</v>
      </c>
      <c r="J2442" s="11">
        <v>2508</v>
      </c>
      <c r="K2442" s="51"/>
      <c r="O2442" s="1" t="s">
        <v>3</v>
      </c>
      <c r="P2442" s="1" t="s">
        <v>25</v>
      </c>
      <c r="Q2442" s="1" t="s">
        <v>4</v>
      </c>
      <c r="R2442" s="1" t="s">
        <v>23</v>
      </c>
      <c r="S2442" s="1" t="s">
        <v>24</v>
      </c>
      <c r="T2442" s="1">
        <v>2016</v>
      </c>
      <c r="U2442" s="1">
        <v>12</v>
      </c>
      <c r="V2442" s="50">
        <v>42705</v>
      </c>
      <c r="W2442" s="4">
        <v>2332.44</v>
      </c>
      <c r="X2442" s="48">
        <v>2508</v>
      </c>
    </row>
    <row r="2443" spans="2:24" x14ac:dyDescent="0.35">
      <c r="B2443" s="8" t="s">
        <v>3</v>
      </c>
      <c r="C2443" s="8" t="s">
        <v>25</v>
      </c>
      <c r="D2443" s="8" t="s">
        <v>4</v>
      </c>
      <c r="E2443" s="8" t="s">
        <v>0</v>
      </c>
      <c r="F2443" s="6" t="s">
        <v>26</v>
      </c>
      <c r="G2443" s="8">
        <v>2016</v>
      </c>
      <c r="H2443" s="8">
        <v>12</v>
      </c>
      <c r="I2443" s="10">
        <v>42705</v>
      </c>
      <c r="J2443" s="11">
        <v>4562</v>
      </c>
      <c r="K2443" s="51"/>
      <c r="O2443" s="1" t="s">
        <v>3</v>
      </c>
      <c r="P2443" s="1" t="s">
        <v>25</v>
      </c>
      <c r="Q2443" s="1" t="s">
        <v>4</v>
      </c>
      <c r="R2443" s="1" t="s">
        <v>0</v>
      </c>
      <c r="S2443" t="s">
        <v>26</v>
      </c>
      <c r="T2443" s="1">
        <v>2016</v>
      </c>
      <c r="U2443" s="1">
        <v>12</v>
      </c>
      <c r="V2443" s="50">
        <v>42705</v>
      </c>
      <c r="W2443" s="4">
        <v>4060.1799999999994</v>
      </c>
      <c r="X2443" s="48">
        <v>4562</v>
      </c>
    </row>
    <row r="2444" spans="2:24" x14ac:dyDescent="0.35">
      <c r="B2444" s="8" t="s">
        <v>3</v>
      </c>
      <c r="C2444" s="8" t="s">
        <v>22</v>
      </c>
      <c r="D2444" s="8" t="s">
        <v>5</v>
      </c>
      <c r="E2444" s="8" t="s">
        <v>0</v>
      </c>
      <c r="F2444" s="6" t="s">
        <v>26</v>
      </c>
      <c r="G2444" s="8">
        <v>2016</v>
      </c>
      <c r="H2444" s="8">
        <v>12</v>
      </c>
      <c r="I2444" s="10">
        <v>42705</v>
      </c>
      <c r="J2444" s="11">
        <v>2859</v>
      </c>
      <c r="K2444" s="51"/>
      <c r="O2444" s="1" t="s">
        <v>3</v>
      </c>
      <c r="P2444" s="1" t="s">
        <v>22</v>
      </c>
      <c r="Q2444" s="1" t="s">
        <v>5</v>
      </c>
      <c r="R2444" s="1" t="s">
        <v>0</v>
      </c>
      <c r="S2444" t="s">
        <v>26</v>
      </c>
      <c r="T2444" s="1">
        <v>2016</v>
      </c>
      <c r="U2444" s="1">
        <v>12</v>
      </c>
      <c r="V2444" s="50">
        <v>42705</v>
      </c>
      <c r="W2444" s="4">
        <v>2573.1</v>
      </c>
      <c r="X2444" s="48">
        <v>2859</v>
      </c>
    </row>
    <row r="2445" spans="2:24" x14ac:dyDescent="0.35">
      <c r="B2445" s="8" t="s">
        <v>3</v>
      </c>
      <c r="C2445" s="8" t="s">
        <v>22</v>
      </c>
      <c r="D2445" s="8" t="s">
        <v>5</v>
      </c>
      <c r="E2445" s="8" t="s">
        <v>27</v>
      </c>
      <c r="F2445" s="6" t="s">
        <v>28</v>
      </c>
      <c r="G2445" s="8">
        <v>2016</v>
      </c>
      <c r="H2445" s="8">
        <v>12</v>
      </c>
      <c r="I2445" s="10">
        <v>42705</v>
      </c>
      <c r="J2445" s="11">
        <v>4957</v>
      </c>
      <c r="K2445" s="51"/>
      <c r="O2445" s="1" t="s">
        <v>3</v>
      </c>
      <c r="P2445" s="1" t="s">
        <v>22</v>
      </c>
      <c r="Q2445" s="1" t="s">
        <v>5</v>
      </c>
      <c r="R2445" s="1" t="s">
        <v>27</v>
      </c>
      <c r="S2445" t="s">
        <v>28</v>
      </c>
      <c r="T2445" s="1">
        <v>2016</v>
      </c>
      <c r="U2445" s="1">
        <v>12</v>
      </c>
      <c r="V2445" s="50">
        <v>42705</v>
      </c>
      <c r="W2445" s="4">
        <v>4411.7299999999996</v>
      </c>
      <c r="X2445" s="48">
        <v>4957</v>
      </c>
    </row>
    <row r="2446" spans="2:24" x14ac:dyDescent="0.35">
      <c r="B2446" s="8" t="s">
        <v>6</v>
      </c>
      <c r="C2446" s="8" t="s">
        <v>29</v>
      </c>
      <c r="D2446" s="8" t="s">
        <v>30</v>
      </c>
      <c r="E2446" s="9" t="s">
        <v>27</v>
      </c>
      <c r="F2446" s="9" t="s">
        <v>31</v>
      </c>
      <c r="G2446" s="8">
        <v>2016</v>
      </c>
      <c r="H2446" s="8">
        <v>12</v>
      </c>
      <c r="I2446" s="10">
        <v>42705</v>
      </c>
      <c r="J2446" s="11">
        <v>5171</v>
      </c>
      <c r="K2446" s="51"/>
      <c r="O2446" s="1" t="s">
        <v>6</v>
      </c>
      <c r="P2446" s="1" t="s">
        <v>29</v>
      </c>
      <c r="Q2446" s="1" t="s">
        <v>30</v>
      </c>
      <c r="R2446" s="2" t="s">
        <v>27</v>
      </c>
      <c r="S2446" s="2" t="s">
        <v>31</v>
      </c>
      <c r="T2446" s="1">
        <v>2016</v>
      </c>
      <c r="U2446" s="1">
        <v>12</v>
      </c>
      <c r="V2446" s="50">
        <v>42705</v>
      </c>
      <c r="W2446" s="4">
        <v>4653.8999999999996</v>
      </c>
      <c r="X2446" s="48">
        <v>5171</v>
      </c>
    </row>
    <row r="2447" spans="2:24" x14ac:dyDescent="0.35">
      <c r="B2447" s="8" t="s">
        <v>7</v>
      </c>
      <c r="C2447" s="8" t="s">
        <v>32</v>
      </c>
      <c r="D2447" s="8" t="s">
        <v>8</v>
      </c>
      <c r="E2447" s="8" t="s">
        <v>27</v>
      </c>
      <c r="F2447" s="9" t="s">
        <v>33</v>
      </c>
      <c r="G2447" s="8">
        <v>2016</v>
      </c>
      <c r="H2447" s="8">
        <v>12</v>
      </c>
      <c r="I2447" s="10">
        <v>42705</v>
      </c>
      <c r="J2447" s="11">
        <v>3933</v>
      </c>
      <c r="K2447" s="51"/>
      <c r="O2447" s="1" t="s">
        <v>7</v>
      </c>
      <c r="P2447" s="1" t="s">
        <v>32</v>
      </c>
      <c r="Q2447" s="1" t="s">
        <v>8</v>
      </c>
      <c r="R2447" s="1" t="s">
        <v>27</v>
      </c>
      <c r="S2447" s="2" t="s">
        <v>33</v>
      </c>
      <c r="T2447" s="1">
        <v>2016</v>
      </c>
      <c r="U2447" s="1">
        <v>12</v>
      </c>
      <c r="V2447" s="50">
        <v>42705</v>
      </c>
      <c r="W2447" s="4">
        <v>3382.38</v>
      </c>
      <c r="X2447" s="48">
        <v>3933</v>
      </c>
    </row>
    <row r="2448" spans="2:24" x14ac:dyDescent="0.35">
      <c r="B2448" s="8" t="s">
        <v>12</v>
      </c>
      <c r="C2448" s="8" t="s">
        <v>34</v>
      </c>
      <c r="D2448" s="8" t="s">
        <v>35</v>
      </c>
      <c r="E2448" s="8" t="s">
        <v>23</v>
      </c>
      <c r="F2448" s="6" t="s">
        <v>36</v>
      </c>
      <c r="G2448" s="8">
        <v>2016</v>
      </c>
      <c r="H2448" s="8">
        <v>12</v>
      </c>
      <c r="I2448" s="10">
        <v>42705</v>
      </c>
      <c r="J2448" s="11">
        <v>2984</v>
      </c>
      <c r="K2448" s="51"/>
      <c r="O2448" s="1" t="s">
        <v>12</v>
      </c>
      <c r="P2448" s="1" t="s">
        <v>34</v>
      </c>
      <c r="Q2448" s="1" t="s">
        <v>35</v>
      </c>
      <c r="R2448" s="1" t="s">
        <v>23</v>
      </c>
      <c r="S2448" t="s">
        <v>36</v>
      </c>
      <c r="T2448" s="1">
        <v>2016</v>
      </c>
      <c r="U2448" s="1">
        <v>12</v>
      </c>
      <c r="V2448" s="50">
        <v>42705</v>
      </c>
      <c r="W2448" s="4">
        <v>2625.9199999999996</v>
      </c>
      <c r="X2448" s="48">
        <v>2984</v>
      </c>
    </row>
    <row r="2449" spans="2:24" x14ac:dyDescent="0.35">
      <c r="B2449" s="8" t="s">
        <v>14</v>
      </c>
      <c r="C2449" s="8" t="s">
        <v>37</v>
      </c>
      <c r="D2449" s="8" t="s">
        <v>38</v>
      </c>
      <c r="E2449" s="8" t="s">
        <v>23</v>
      </c>
      <c r="F2449" s="8" t="s">
        <v>24</v>
      </c>
      <c r="G2449" s="8">
        <v>2016</v>
      </c>
      <c r="H2449" s="8">
        <v>12</v>
      </c>
      <c r="I2449" s="10">
        <v>42705</v>
      </c>
      <c r="J2449" s="11">
        <v>1545</v>
      </c>
      <c r="K2449" s="51"/>
      <c r="O2449" s="1" t="s">
        <v>14</v>
      </c>
      <c r="P2449" s="1" t="s">
        <v>37</v>
      </c>
      <c r="Q2449" s="1" t="s">
        <v>38</v>
      </c>
      <c r="R2449" s="1" t="s">
        <v>23</v>
      </c>
      <c r="S2449" s="1" t="s">
        <v>24</v>
      </c>
      <c r="T2449" s="1">
        <v>2016</v>
      </c>
      <c r="U2449" s="1">
        <v>12</v>
      </c>
      <c r="V2449" s="50">
        <v>42705</v>
      </c>
      <c r="W2449" s="4">
        <v>1375.0499999999997</v>
      </c>
      <c r="X2449" s="48">
        <v>1545</v>
      </c>
    </row>
    <row r="2450" spans="2:24" x14ac:dyDescent="0.35">
      <c r="B2450" s="8" t="s">
        <v>3</v>
      </c>
      <c r="C2450" s="8" t="s">
        <v>25</v>
      </c>
      <c r="D2450" s="8" t="s">
        <v>4</v>
      </c>
      <c r="E2450" s="8" t="s">
        <v>23</v>
      </c>
      <c r="F2450" s="8" t="s">
        <v>39</v>
      </c>
      <c r="G2450" s="8">
        <v>2016</v>
      </c>
      <c r="H2450" s="8">
        <v>12</v>
      </c>
      <c r="I2450" s="10">
        <v>42705</v>
      </c>
      <c r="J2450" s="11">
        <v>2333</v>
      </c>
      <c r="K2450" s="51"/>
      <c r="O2450" s="1" t="s">
        <v>3</v>
      </c>
      <c r="P2450" s="1" t="s">
        <v>25</v>
      </c>
      <c r="Q2450" s="1" t="s">
        <v>4</v>
      </c>
      <c r="R2450" s="1" t="s">
        <v>23</v>
      </c>
      <c r="S2450" s="1" t="s">
        <v>39</v>
      </c>
      <c r="T2450" s="1">
        <v>2016</v>
      </c>
      <c r="U2450" s="1">
        <v>12</v>
      </c>
      <c r="V2450" s="50">
        <v>42705</v>
      </c>
      <c r="W2450" s="4">
        <v>2169.69</v>
      </c>
      <c r="X2450" s="48">
        <v>2333</v>
      </c>
    </row>
    <row r="2451" spans="2:24" x14ac:dyDescent="0.35">
      <c r="B2451" s="8" t="s">
        <v>6</v>
      </c>
      <c r="C2451" s="8" t="s">
        <v>40</v>
      </c>
      <c r="D2451" s="8" t="s">
        <v>41</v>
      </c>
      <c r="E2451" s="8" t="s">
        <v>0</v>
      </c>
      <c r="F2451" s="8" t="s">
        <v>42</v>
      </c>
      <c r="G2451" s="8">
        <v>2016</v>
      </c>
      <c r="H2451" s="8">
        <v>12</v>
      </c>
      <c r="I2451" s="10">
        <v>42705</v>
      </c>
      <c r="J2451" s="11">
        <v>4907</v>
      </c>
      <c r="K2451" s="51"/>
      <c r="O2451" s="1" t="s">
        <v>6</v>
      </c>
      <c r="P2451" s="1" t="s">
        <v>40</v>
      </c>
      <c r="Q2451" s="1" t="s">
        <v>41</v>
      </c>
      <c r="R2451" s="1" t="s">
        <v>0</v>
      </c>
      <c r="S2451" s="1" t="s">
        <v>42</v>
      </c>
      <c r="T2451" s="1">
        <v>2016</v>
      </c>
      <c r="U2451" s="1">
        <v>12</v>
      </c>
      <c r="V2451" s="50">
        <v>42705</v>
      </c>
      <c r="W2451" s="4">
        <v>4269.09</v>
      </c>
      <c r="X2451" s="48">
        <v>4907</v>
      </c>
    </row>
    <row r="2452" spans="2:24" x14ac:dyDescent="0.35">
      <c r="B2452" s="8" t="s">
        <v>7</v>
      </c>
      <c r="C2452" s="8" t="s">
        <v>43</v>
      </c>
      <c r="D2452" s="8" t="s">
        <v>10</v>
      </c>
      <c r="E2452" s="8" t="s">
        <v>0</v>
      </c>
      <c r="F2452" s="6" t="s">
        <v>26</v>
      </c>
      <c r="G2452" s="8">
        <v>2016</v>
      </c>
      <c r="H2452" s="8">
        <v>12</v>
      </c>
      <c r="I2452" s="10">
        <v>42705</v>
      </c>
      <c r="J2452" s="11">
        <v>3825</v>
      </c>
      <c r="K2452" s="51"/>
      <c r="O2452" s="1" t="s">
        <v>7</v>
      </c>
      <c r="P2452" s="1" t="s">
        <v>43</v>
      </c>
      <c r="Q2452" s="1" t="s">
        <v>10</v>
      </c>
      <c r="R2452" s="1" t="s">
        <v>0</v>
      </c>
      <c r="S2452" t="s">
        <v>26</v>
      </c>
      <c r="T2452" s="1">
        <v>2016</v>
      </c>
      <c r="U2452" s="1">
        <v>12</v>
      </c>
      <c r="V2452" s="50">
        <v>42705</v>
      </c>
      <c r="W2452" s="4">
        <v>3251.2500000000005</v>
      </c>
      <c r="X2452" s="48">
        <v>3825</v>
      </c>
    </row>
    <row r="2453" spans="2:24" x14ac:dyDescent="0.35">
      <c r="B2453" s="8" t="s">
        <v>12</v>
      </c>
      <c r="C2453" s="8" t="s">
        <v>44</v>
      </c>
      <c r="D2453" s="8" t="s">
        <v>13</v>
      </c>
      <c r="E2453" s="8" t="s">
        <v>0</v>
      </c>
      <c r="F2453" s="6" t="s">
        <v>45</v>
      </c>
      <c r="G2453" s="8">
        <v>2016</v>
      </c>
      <c r="H2453" s="8">
        <v>12</v>
      </c>
      <c r="I2453" s="10">
        <v>42705</v>
      </c>
      <c r="J2453" s="11">
        <v>4039</v>
      </c>
      <c r="K2453" s="51"/>
      <c r="O2453" s="1" t="s">
        <v>12</v>
      </c>
      <c r="P2453" s="1" t="s">
        <v>44</v>
      </c>
      <c r="Q2453" s="1" t="s">
        <v>13</v>
      </c>
      <c r="R2453" s="1" t="s">
        <v>0</v>
      </c>
      <c r="S2453" t="s">
        <v>45</v>
      </c>
      <c r="T2453" s="1">
        <v>2016</v>
      </c>
      <c r="U2453" s="1">
        <v>12</v>
      </c>
      <c r="V2453" s="50">
        <v>42705</v>
      </c>
      <c r="W2453" s="4">
        <v>3756.2699999999995</v>
      </c>
      <c r="X2453" s="48">
        <v>4039</v>
      </c>
    </row>
    <row r="2454" spans="2:24" x14ac:dyDescent="0.35">
      <c r="B2454" s="8" t="s">
        <v>14</v>
      </c>
      <c r="C2454" s="8" t="s">
        <v>46</v>
      </c>
      <c r="D2454" s="8" t="s">
        <v>47</v>
      </c>
      <c r="E2454" s="8" t="s">
        <v>27</v>
      </c>
      <c r="F2454" s="6" t="s">
        <v>28</v>
      </c>
      <c r="G2454" s="8">
        <v>2016</v>
      </c>
      <c r="H2454" s="8">
        <v>12</v>
      </c>
      <c r="I2454" s="10">
        <v>42705</v>
      </c>
      <c r="J2454" s="11">
        <v>4424</v>
      </c>
      <c r="K2454" s="51"/>
      <c r="O2454" s="1" t="s">
        <v>14</v>
      </c>
      <c r="P2454" s="1" t="s">
        <v>46</v>
      </c>
      <c r="Q2454" s="1" t="s">
        <v>47</v>
      </c>
      <c r="R2454" s="1" t="s">
        <v>27</v>
      </c>
      <c r="S2454" t="s">
        <v>28</v>
      </c>
      <c r="T2454" s="1">
        <v>2016</v>
      </c>
      <c r="U2454" s="1">
        <v>12</v>
      </c>
      <c r="V2454" s="50">
        <v>42705</v>
      </c>
      <c r="W2454" s="4">
        <v>3804.6400000000003</v>
      </c>
      <c r="X2454" s="48">
        <v>4424</v>
      </c>
    </row>
    <row r="2455" spans="2:24" x14ac:dyDescent="0.35">
      <c r="B2455" s="8" t="s">
        <v>3</v>
      </c>
      <c r="C2455" s="8" t="s">
        <v>22</v>
      </c>
      <c r="D2455" s="8" t="s">
        <v>5</v>
      </c>
      <c r="E2455" s="9" t="s">
        <v>27</v>
      </c>
      <c r="F2455" s="9" t="s">
        <v>31</v>
      </c>
      <c r="G2455" s="8">
        <v>2016</v>
      </c>
      <c r="H2455" s="8">
        <v>12</v>
      </c>
      <c r="I2455" s="10">
        <v>42705</v>
      </c>
      <c r="J2455" s="11">
        <v>4469</v>
      </c>
      <c r="K2455" s="51"/>
      <c r="O2455" s="1" t="s">
        <v>3</v>
      </c>
      <c r="P2455" s="1" t="s">
        <v>22</v>
      </c>
      <c r="Q2455" s="1" t="s">
        <v>5</v>
      </c>
      <c r="R2455" s="2" t="s">
        <v>27</v>
      </c>
      <c r="S2455" s="2" t="s">
        <v>31</v>
      </c>
      <c r="T2455" s="1">
        <v>2016</v>
      </c>
      <c r="U2455" s="1">
        <v>12</v>
      </c>
      <c r="V2455" s="50">
        <v>42705</v>
      </c>
      <c r="W2455" s="4">
        <v>3977.4099999999994</v>
      </c>
      <c r="X2455" s="48">
        <v>4469</v>
      </c>
    </row>
    <row r="2456" spans="2:24" x14ac:dyDescent="0.35">
      <c r="B2456" s="8" t="s">
        <v>6</v>
      </c>
      <c r="C2456" s="8" t="s">
        <v>29</v>
      </c>
      <c r="D2456" s="8" t="s">
        <v>30</v>
      </c>
      <c r="E2456" s="8" t="s">
        <v>27</v>
      </c>
      <c r="F2456" s="9" t="s">
        <v>33</v>
      </c>
      <c r="G2456" s="8">
        <v>2016</v>
      </c>
      <c r="H2456" s="8">
        <v>12</v>
      </c>
      <c r="I2456" s="10">
        <v>42705</v>
      </c>
      <c r="J2456" s="11">
        <v>3167</v>
      </c>
      <c r="K2456" s="51"/>
      <c r="O2456" s="1" t="s">
        <v>6</v>
      </c>
      <c r="P2456" s="1" t="s">
        <v>29</v>
      </c>
      <c r="Q2456" s="1" t="s">
        <v>30</v>
      </c>
      <c r="R2456" s="1" t="s">
        <v>27</v>
      </c>
      <c r="S2456" s="2" t="s">
        <v>33</v>
      </c>
      <c r="T2456" s="1">
        <v>2016</v>
      </c>
      <c r="U2456" s="1">
        <v>12</v>
      </c>
      <c r="V2456" s="50">
        <v>42705</v>
      </c>
      <c r="W2456" s="4">
        <v>2945.31</v>
      </c>
      <c r="X2456" s="48">
        <v>3167</v>
      </c>
    </row>
    <row r="2457" spans="2:24" x14ac:dyDescent="0.35">
      <c r="B2457" s="8" t="s">
        <v>7</v>
      </c>
      <c r="C2457" s="8" t="s">
        <v>32</v>
      </c>
      <c r="D2457" s="8" t="s">
        <v>8</v>
      </c>
      <c r="E2457" s="8" t="s">
        <v>23</v>
      </c>
      <c r="F2457" s="6" t="s">
        <v>36</v>
      </c>
      <c r="G2457" s="8">
        <v>2016</v>
      </c>
      <c r="H2457" s="8">
        <v>12</v>
      </c>
      <c r="I2457" s="10">
        <v>42705</v>
      </c>
      <c r="J2457" s="11">
        <v>1855</v>
      </c>
      <c r="K2457" s="51"/>
      <c r="O2457" s="1" t="s">
        <v>7</v>
      </c>
      <c r="P2457" s="1" t="s">
        <v>32</v>
      </c>
      <c r="Q2457" s="1" t="s">
        <v>8</v>
      </c>
      <c r="R2457" s="1" t="s">
        <v>23</v>
      </c>
      <c r="S2457" t="s">
        <v>36</v>
      </c>
      <c r="T2457" s="1">
        <v>2016</v>
      </c>
      <c r="U2457" s="1">
        <v>12</v>
      </c>
      <c r="V2457" s="50">
        <v>42705</v>
      </c>
      <c r="W2457" s="4">
        <v>1725.1499999999999</v>
      </c>
      <c r="X2457" s="48">
        <v>1855</v>
      </c>
    </row>
    <row r="2458" spans="2:24" x14ac:dyDescent="0.35">
      <c r="B2458" s="8" t="s">
        <v>12</v>
      </c>
      <c r="C2458" s="8" t="s">
        <v>34</v>
      </c>
      <c r="D2458" s="8" t="s">
        <v>35</v>
      </c>
      <c r="E2458" s="8" t="s">
        <v>23</v>
      </c>
      <c r="F2458" s="8" t="s">
        <v>24</v>
      </c>
      <c r="G2458" s="8">
        <v>2016</v>
      </c>
      <c r="H2458" s="8">
        <v>12</v>
      </c>
      <c r="I2458" s="10">
        <v>42705</v>
      </c>
      <c r="J2458" s="11">
        <v>2105</v>
      </c>
      <c r="K2458" s="51"/>
      <c r="O2458" s="1" t="s">
        <v>12</v>
      </c>
      <c r="P2458" s="1" t="s">
        <v>34</v>
      </c>
      <c r="Q2458" s="1" t="s">
        <v>35</v>
      </c>
      <c r="R2458" s="1" t="s">
        <v>23</v>
      </c>
      <c r="S2458" s="1" t="s">
        <v>24</v>
      </c>
      <c r="T2458" s="1">
        <v>2016</v>
      </c>
      <c r="U2458" s="1">
        <v>12</v>
      </c>
      <c r="V2458" s="50">
        <v>42705</v>
      </c>
      <c r="W2458" s="4">
        <v>1789.2500000000002</v>
      </c>
      <c r="X2458" s="48">
        <v>2105</v>
      </c>
    </row>
    <row r="2459" spans="2:24" x14ac:dyDescent="0.35">
      <c r="B2459" s="8" t="s">
        <v>14</v>
      </c>
      <c r="C2459" s="8" t="s">
        <v>37</v>
      </c>
      <c r="D2459" s="8" t="s">
        <v>38</v>
      </c>
      <c r="E2459" s="8" t="s">
        <v>23</v>
      </c>
      <c r="F2459" s="8" t="s">
        <v>39</v>
      </c>
      <c r="G2459" s="8">
        <v>2016</v>
      </c>
      <c r="H2459" s="8">
        <v>12</v>
      </c>
      <c r="I2459" s="10">
        <v>42705</v>
      </c>
      <c r="J2459" s="11">
        <v>1654</v>
      </c>
      <c r="K2459" s="51"/>
      <c r="O2459" s="1" t="s">
        <v>14</v>
      </c>
      <c r="P2459" s="1" t="s">
        <v>37</v>
      </c>
      <c r="Q2459" s="1" t="s">
        <v>38</v>
      </c>
      <c r="R2459" s="1" t="s">
        <v>23</v>
      </c>
      <c r="S2459" s="1" t="s">
        <v>39</v>
      </c>
      <c r="T2459" s="1">
        <v>2016</v>
      </c>
      <c r="U2459" s="1">
        <v>12</v>
      </c>
      <c r="V2459" s="50">
        <v>42705</v>
      </c>
      <c r="W2459" s="4">
        <v>1488.6</v>
      </c>
      <c r="X2459" s="48">
        <v>1654</v>
      </c>
    </row>
    <row r="2460" spans="2:24" x14ac:dyDescent="0.35">
      <c r="B2460" s="8" t="s">
        <v>3</v>
      </c>
      <c r="C2460" s="8" t="s">
        <v>25</v>
      </c>
      <c r="D2460" s="8" t="s">
        <v>4</v>
      </c>
      <c r="E2460" s="8" t="s">
        <v>0</v>
      </c>
      <c r="F2460" s="8" t="s">
        <v>42</v>
      </c>
      <c r="G2460" s="8">
        <v>2016</v>
      </c>
      <c r="H2460" s="8">
        <v>12</v>
      </c>
      <c r="I2460" s="10">
        <v>42705</v>
      </c>
      <c r="J2460" s="11">
        <v>6002</v>
      </c>
      <c r="K2460" s="51"/>
      <c r="O2460" s="1" t="s">
        <v>3</v>
      </c>
      <c r="P2460" s="1" t="s">
        <v>25</v>
      </c>
      <c r="Q2460" s="1" t="s">
        <v>4</v>
      </c>
      <c r="R2460" s="1" t="s">
        <v>0</v>
      </c>
      <c r="S2460" s="1" t="s">
        <v>42</v>
      </c>
      <c r="T2460" s="1">
        <v>2016</v>
      </c>
      <c r="U2460" s="1">
        <v>12</v>
      </c>
      <c r="V2460" s="50">
        <v>42705</v>
      </c>
      <c r="W2460" s="4">
        <v>5341.78</v>
      </c>
      <c r="X2460" s="48">
        <v>6002</v>
      </c>
    </row>
    <row r="2461" spans="2:24" x14ac:dyDescent="0.35">
      <c r="B2461" s="8" t="s">
        <v>6</v>
      </c>
      <c r="C2461" s="8" t="s">
        <v>40</v>
      </c>
      <c r="D2461" s="8" t="s">
        <v>41</v>
      </c>
      <c r="E2461" s="8" t="s">
        <v>0</v>
      </c>
      <c r="F2461" s="6" t="s">
        <v>26</v>
      </c>
      <c r="G2461" s="8">
        <v>2016</v>
      </c>
      <c r="H2461" s="8">
        <v>12</v>
      </c>
      <c r="I2461" s="10">
        <v>42705</v>
      </c>
      <c r="J2461" s="11">
        <v>5105</v>
      </c>
      <c r="K2461" s="51"/>
      <c r="O2461" s="1" t="s">
        <v>6</v>
      </c>
      <c r="P2461" s="1" t="s">
        <v>40</v>
      </c>
      <c r="Q2461" s="1" t="s">
        <v>41</v>
      </c>
      <c r="R2461" s="1" t="s">
        <v>0</v>
      </c>
      <c r="S2461" t="s">
        <v>26</v>
      </c>
      <c r="T2461" s="1">
        <v>2016</v>
      </c>
      <c r="U2461" s="1">
        <v>12</v>
      </c>
      <c r="V2461" s="50">
        <v>42705</v>
      </c>
      <c r="W2461" s="4">
        <v>4798.7</v>
      </c>
      <c r="X2461" s="48">
        <v>5105</v>
      </c>
    </row>
    <row r="2462" spans="2:24" x14ac:dyDescent="0.35">
      <c r="B2462" s="8" t="s">
        <v>7</v>
      </c>
      <c r="C2462" s="8" t="s">
        <v>43</v>
      </c>
      <c r="D2462" s="8" t="s">
        <v>10</v>
      </c>
      <c r="E2462" s="8" t="s">
        <v>0</v>
      </c>
      <c r="F2462" s="6" t="s">
        <v>45</v>
      </c>
      <c r="G2462" s="8">
        <v>2016</v>
      </c>
      <c r="H2462" s="8">
        <v>12</v>
      </c>
      <c r="I2462" s="10">
        <v>42705</v>
      </c>
      <c r="J2462" s="11">
        <v>4143</v>
      </c>
      <c r="K2462" s="51"/>
      <c r="O2462" s="1" t="s">
        <v>7</v>
      </c>
      <c r="P2462" s="1" t="s">
        <v>43</v>
      </c>
      <c r="Q2462" s="1" t="s">
        <v>10</v>
      </c>
      <c r="R2462" s="1" t="s">
        <v>0</v>
      </c>
      <c r="S2462" t="s">
        <v>45</v>
      </c>
      <c r="T2462" s="1">
        <v>2016</v>
      </c>
      <c r="U2462" s="1">
        <v>12</v>
      </c>
      <c r="V2462" s="50">
        <v>42705</v>
      </c>
      <c r="W2462" s="4">
        <v>3604.4100000000003</v>
      </c>
      <c r="X2462" s="48">
        <v>4143</v>
      </c>
    </row>
    <row r="2463" spans="2:24" x14ac:dyDescent="0.35">
      <c r="B2463" s="8" t="s">
        <v>12</v>
      </c>
      <c r="C2463" s="8" t="s">
        <v>44</v>
      </c>
      <c r="D2463" s="8" t="s">
        <v>13</v>
      </c>
      <c r="E2463" s="8" t="s">
        <v>27</v>
      </c>
      <c r="F2463" s="6" t="s">
        <v>28</v>
      </c>
      <c r="G2463" s="8">
        <v>2016</v>
      </c>
      <c r="H2463" s="8">
        <v>12</v>
      </c>
      <c r="I2463" s="10">
        <v>42705</v>
      </c>
      <c r="J2463" s="11">
        <v>4342</v>
      </c>
      <c r="K2463" s="51"/>
      <c r="O2463" s="1" t="s">
        <v>12</v>
      </c>
      <c r="P2463" s="1" t="s">
        <v>44</v>
      </c>
      <c r="Q2463" s="1" t="s">
        <v>13</v>
      </c>
      <c r="R2463" s="1" t="s">
        <v>27</v>
      </c>
      <c r="S2463" t="s">
        <v>28</v>
      </c>
      <c r="T2463" s="1">
        <v>2016</v>
      </c>
      <c r="U2463" s="1">
        <v>12</v>
      </c>
      <c r="V2463" s="50">
        <v>42705</v>
      </c>
      <c r="W2463" s="4">
        <v>3864.3799999999997</v>
      </c>
      <c r="X2463" s="48">
        <v>4342</v>
      </c>
    </row>
    <row r="2464" spans="2:24" x14ac:dyDescent="0.35">
      <c r="B2464" s="8" t="s">
        <v>14</v>
      </c>
      <c r="C2464" s="8" t="s">
        <v>46</v>
      </c>
      <c r="D2464" s="8" t="s">
        <v>47</v>
      </c>
      <c r="E2464" s="9" t="s">
        <v>27</v>
      </c>
      <c r="F2464" s="9" t="s">
        <v>31</v>
      </c>
      <c r="G2464" s="8">
        <v>2016</v>
      </c>
      <c r="H2464" s="8">
        <v>12</v>
      </c>
      <c r="I2464" s="10">
        <v>42705</v>
      </c>
      <c r="J2464" s="11">
        <v>4385</v>
      </c>
      <c r="K2464" s="51"/>
      <c r="O2464" s="1" t="s">
        <v>14</v>
      </c>
      <c r="P2464" s="1" t="s">
        <v>46</v>
      </c>
      <c r="Q2464" s="1" t="s">
        <v>47</v>
      </c>
      <c r="R2464" s="2" t="s">
        <v>27</v>
      </c>
      <c r="S2464" s="2" t="s">
        <v>31</v>
      </c>
      <c r="T2464" s="1">
        <v>2016</v>
      </c>
      <c r="U2464" s="1">
        <v>12</v>
      </c>
      <c r="V2464" s="50">
        <v>42705</v>
      </c>
      <c r="W2464" s="4">
        <v>3990.3499999999995</v>
      </c>
      <c r="X2464" s="48">
        <v>4385</v>
      </c>
    </row>
    <row r="2465" spans="2:24" x14ac:dyDescent="0.35">
      <c r="B2465" s="8" t="s">
        <v>3</v>
      </c>
      <c r="C2465" s="8" t="s">
        <v>22</v>
      </c>
      <c r="D2465" s="8" t="s">
        <v>5</v>
      </c>
      <c r="E2465" s="8" t="s">
        <v>27</v>
      </c>
      <c r="F2465" s="9" t="s">
        <v>33</v>
      </c>
      <c r="G2465" s="8">
        <v>2016</v>
      </c>
      <c r="H2465" s="8">
        <v>12</v>
      </c>
      <c r="I2465" s="10">
        <v>42705</v>
      </c>
      <c r="J2465" s="11">
        <v>3308</v>
      </c>
      <c r="K2465" s="51"/>
      <c r="O2465" s="1" t="s">
        <v>3</v>
      </c>
      <c r="P2465" s="1" t="s">
        <v>22</v>
      </c>
      <c r="Q2465" s="1" t="s">
        <v>5</v>
      </c>
      <c r="R2465" s="1" t="s">
        <v>27</v>
      </c>
      <c r="S2465" s="2" t="s">
        <v>33</v>
      </c>
      <c r="T2465" s="1">
        <v>2016</v>
      </c>
      <c r="U2465" s="1">
        <v>12</v>
      </c>
      <c r="V2465" s="50">
        <v>42705</v>
      </c>
      <c r="W2465" s="4">
        <v>2811.8</v>
      </c>
      <c r="X2465" s="48">
        <v>3308</v>
      </c>
    </row>
    <row r="2466" spans="2:24" x14ac:dyDescent="0.35">
      <c r="B2466" s="8" t="s">
        <v>6</v>
      </c>
      <c r="C2466" s="8" t="s">
        <v>29</v>
      </c>
      <c r="D2466" s="8" t="s">
        <v>30</v>
      </c>
      <c r="E2466" s="8" t="s">
        <v>23</v>
      </c>
      <c r="F2466" s="6" t="s">
        <v>36</v>
      </c>
      <c r="G2466" s="8">
        <v>2016</v>
      </c>
      <c r="H2466" s="8">
        <v>12</v>
      </c>
      <c r="I2466" s="10">
        <v>42705</v>
      </c>
      <c r="J2466" s="11">
        <v>2628</v>
      </c>
      <c r="K2466" s="51"/>
      <c r="O2466" s="1" t="s">
        <v>6</v>
      </c>
      <c r="P2466" s="1" t="s">
        <v>29</v>
      </c>
      <c r="Q2466" s="1" t="s">
        <v>30</v>
      </c>
      <c r="R2466" s="1" t="s">
        <v>23</v>
      </c>
      <c r="S2466" t="s">
        <v>36</v>
      </c>
      <c r="T2466" s="1">
        <v>2016</v>
      </c>
      <c r="U2466" s="1">
        <v>12</v>
      </c>
      <c r="V2466" s="50">
        <v>42705</v>
      </c>
      <c r="W2466" s="4">
        <v>2338.9199999999996</v>
      </c>
      <c r="X2466" s="48">
        <v>2628</v>
      </c>
    </row>
    <row r="2467" spans="2:24" x14ac:dyDescent="0.35">
      <c r="B2467" s="8" t="s">
        <v>7</v>
      </c>
      <c r="C2467" s="8" t="s">
        <v>32</v>
      </c>
      <c r="D2467" s="8" t="s">
        <v>8</v>
      </c>
      <c r="E2467" s="8" t="s">
        <v>23</v>
      </c>
      <c r="F2467" s="8" t="s">
        <v>24</v>
      </c>
      <c r="G2467" s="8">
        <v>2016</v>
      </c>
      <c r="H2467" s="8">
        <v>12</v>
      </c>
      <c r="I2467" s="10">
        <v>42705</v>
      </c>
      <c r="J2467" s="11">
        <v>2768</v>
      </c>
      <c r="K2467" s="51"/>
      <c r="O2467" s="1" t="s">
        <v>7</v>
      </c>
      <c r="P2467" s="1" t="s">
        <v>32</v>
      </c>
      <c r="Q2467" s="1" t="s">
        <v>8</v>
      </c>
      <c r="R2467" s="1" t="s">
        <v>23</v>
      </c>
      <c r="S2467" s="1" t="s">
        <v>24</v>
      </c>
      <c r="T2467" s="1">
        <v>2016</v>
      </c>
      <c r="U2467" s="1">
        <v>12</v>
      </c>
      <c r="V2467" s="50">
        <v>42705</v>
      </c>
      <c r="W2467" s="4">
        <v>2352.8000000000002</v>
      </c>
      <c r="X2467" s="48">
        <v>2768</v>
      </c>
    </row>
    <row r="2468" spans="2:24" x14ac:dyDescent="0.35">
      <c r="B2468" s="8" t="s">
        <v>12</v>
      </c>
      <c r="C2468" s="8" t="s">
        <v>34</v>
      </c>
      <c r="D2468" s="8" t="s">
        <v>35</v>
      </c>
      <c r="E2468" s="8" t="s">
        <v>23</v>
      </c>
      <c r="F2468" s="8" t="s">
        <v>39</v>
      </c>
      <c r="G2468" s="8">
        <v>2016</v>
      </c>
      <c r="H2468" s="8">
        <v>12</v>
      </c>
      <c r="I2468" s="10">
        <v>42705</v>
      </c>
      <c r="J2468" s="11">
        <v>2316</v>
      </c>
      <c r="K2468" s="51"/>
      <c r="O2468" s="1" t="s">
        <v>12</v>
      </c>
      <c r="P2468" s="1" t="s">
        <v>34</v>
      </c>
      <c r="Q2468" s="1" t="s">
        <v>35</v>
      </c>
      <c r="R2468" s="1" t="s">
        <v>23</v>
      </c>
      <c r="S2468" s="1" t="s">
        <v>39</v>
      </c>
      <c r="T2468" s="1">
        <v>2016</v>
      </c>
      <c r="U2468" s="1">
        <v>12</v>
      </c>
      <c r="V2468" s="50">
        <v>42705</v>
      </c>
      <c r="W2468" s="4">
        <v>2014.9200000000003</v>
      </c>
      <c r="X2468" s="48">
        <v>2316</v>
      </c>
    </row>
    <row r="2469" spans="2:24" x14ac:dyDescent="0.35">
      <c r="B2469" s="8" t="s">
        <v>14</v>
      </c>
      <c r="C2469" s="8" t="s">
        <v>37</v>
      </c>
      <c r="D2469" s="8" t="s">
        <v>38</v>
      </c>
      <c r="E2469" s="8" t="s">
        <v>0</v>
      </c>
      <c r="F2469" s="8" t="s">
        <v>42</v>
      </c>
      <c r="G2469" s="8">
        <v>2016</v>
      </c>
      <c r="H2469" s="8">
        <v>12</v>
      </c>
      <c r="I2469" s="10">
        <v>42705</v>
      </c>
      <c r="J2469" s="11">
        <v>5861</v>
      </c>
      <c r="K2469" s="51"/>
      <c r="O2469" s="1" t="s">
        <v>14</v>
      </c>
      <c r="P2469" s="1" t="s">
        <v>37</v>
      </c>
      <c r="Q2469" s="1" t="s">
        <v>38</v>
      </c>
      <c r="R2469" s="1" t="s">
        <v>0</v>
      </c>
      <c r="S2469" s="1" t="s">
        <v>42</v>
      </c>
      <c r="T2469" s="1">
        <v>2016</v>
      </c>
      <c r="U2469" s="1">
        <v>12</v>
      </c>
      <c r="V2469" s="50">
        <v>42705</v>
      </c>
      <c r="W2469" s="4">
        <v>5450.73</v>
      </c>
      <c r="X2469" s="48">
        <v>5861</v>
      </c>
    </row>
    <row r="2470" spans="2:24" x14ac:dyDescent="0.35">
      <c r="B2470" s="8" t="s">
        <v>6</v>
      </c>
      <c r="C2470" s="8" t="s">
        <v>29</v>
      </c>
      <c r="D2470" s="8" t="s">
        <v>30</v>
      </c>
      <c r="E2470" s="8" t="s">
        <v>0</v>
      </c>
      <c r="F2470" s="6" t="s">
        <v>45</v>
      </c>
      <c r="G2470" s="8">
        <v>2016</v>
      </c>
      <c r="H2470" s="8">
        <v>12</v>
      </c>
      <c r="I2470" s="10">
        <v>42705</v>
      </c>
      <c r="J2470" s="11">
        <v>2598</v>
      </c>
      <c r="K2470" s="51"/>
      <c r="O2470" s="1" t="s">
        <v>6</v>
      </c>
      <c r="P2470" s="1" t="s">
        <v>29</v>
      </c>
      <c r="Q2470" s="1" t="s">
        <v>30</v>
      </c>
      <c r="R2470" s="1" t="s">
        <v>0</v>
      </c>
      <c r="S2470" t="s">
        <v>45</v>
      </c>
      <c r="T2470" s="1">
        <v>2016</v>
      </c>
      <c r="U2470" s="1">
        <v>12</v>
      </c>
      <c r="V2470" s="50">
        <v>42705</v>
      </c>
      <c r="W2470" s="4">
        <v>2208.3000000000002</v>
      </c>
      <c r="X2470" s="48">
        <v>2598</v>
      </c>
    </row>
    <row r="2471" spans="2:24" x14ac:dyDescent="0.35">
      <c r="B2471" s="8" t="s">
        <v>7</v>
      </c>
      <c r="C2471" s="8" t="s">
        <v>43</v>
      </c>
      <c r="D2471" s="8" t="s">
        <v>10</v>
      </c>
      <c r="E2471" s="8" t="s">
        <v>27</v>
      </c>
      <c r="F2471" s="6" t="s">
        <v>28</v>
      </c>
      <c r="G2471" s="8">
        <v>2016</v>
      </c>
      <c r="H2471" s="8">
        <v>12</v>
      </c>
      <c r="I2471" s="10">
        <v>42705</v>
      </c>
      <c r="J2471" s="11">
        <v>3849</v>
      </c>
      <c r="K2471" s="51"/>
      <c r="O2471" s="1" t="s">
        <v>7</v>
      </c>
      <c r="P2471" s="1" t="s">
        <v>43</v>
      </c>
      <c r="Q2471" s="1" t="s">
        <v>10</v>
      </c>
      <c r="R2471" s="1" t="s">
        <v>27</v>
      </c>
      <c r="S2471" t="s">
        <v>28</v>
      </c>
      <c r="T2471" s="1">
        <v>2016</v>
      </c>
      <c r="U2471" s="1">
        <v>12</v>
      </c>
      <c r="V2471" s="50">
        <v>42705</v>
      </c>
      <c r="W2471" s="4">
        <v>3348.6300000000006</v>
      </c>
      <c r="X2471" s="48">
        <v>3849</v>
      </c>
    </row>
    <row r="2472" spans="2:24" x14ac:dyDescent="0.35">
      <c r="B2472" s="8" t="s">
        <v>12</v>
      </c>
      <c r="C2472" s="8" t="s">
        <v>44</v>
      </c>
      <c r="D2472" s="8" t="s">
        <v>13</v>
      </c>
      <c r="E2472" s="8" t="s">
        <v>27</v>
      </c>
      <c r="F2472" s="6" t="s">
        <v>31</v>
      </c>
      <c r="G2472" s="8">
        <v>2016</v>
      </c>
      <c r="H2472" s="8">
        <v>12</v>
      </c>
      <c r="I2472" s="10">
        <v>42705</v>
      </c>
      <c r="J2472" s="11">
        <v>4661</v>
      </c>
      <c r="K2472" s="51"/>
      <c r="O2472" s="1" t="s">
        <v>12</v>
      </c>
      <c r="P2472" s="1" t="s">
        <v>44</v>
      </c>
      <c r="Q2472" s="1" t="s">
        <v>13</v>
      </c>
      <c r="R2472" s="1" t="s">
        <v>27</v>
      </c>
      <c r="S2472" t="s">
        <v>31</v>
      </c>
      <c r="T2472" s="1">
        <v>2016</v>
      </c>
      <c r="U2472" s="1">
        <v>12</v>
      </c>
      <c r="V2472" s="50">
        <v>42705</v>
      </c>
      <c r="W2472" s="4">
        <v>4055.0700000000006</v>
      </c>
      <c r="X2472" s="48">
        <v>4661</v>
      </c>
    </row>
    <row r="2473" spans="2:24" x14ac:dyDescent="0.35">
      <c r="B2473" s="8" t="s">
        <v>14</v>
      </c>
      <c r="C2473" s="8" t="s">
        <v>46</v>
      </c>
      <c r="D2473" s="8" t="s">
        <v>47</v>
      </c>
      <c r="E2473" s="9" t="s">
        <v>27</v>
      </c>
      <c r="F2473" s="9" t="s">
        <v>33</v>
      </c>
      <c r="G2473" s="8">
        <v>2016</v>
      </c>
      <c r="H2473" s="8">
        <v>12</v>
      </c>
      <c r="I2473" s="10">
        <v>42705</v>
      </c>
      <c r="J2473" s="11">
        <v>3272</v>
      </c>
      <c r="K2473" s="51"/>
      <c r="O2473" s="1" t="s">
        <v>14</v>
      </c>
      <c r="P2473" s="1" t="s">
        <v>46</v>
      </c>
      <c r="Q2473" s="1" t="s">
        <v>47</v>
      </c>
      <c r="R2473" s="2" t="s">
        <v>27</v>
      </c>
      <c r="S2473" s="2" t="s">
        <v>33</v>
      </c>
      <c r="T2473" s="1">
        <v>2016</v>
      </c>
      <c r="U2473" s="1">
        <v>12</v>
      </c>
      <c r="V2473" s="50">
        <v>42705</v>
      </c>
      <c r="W2473" s="4">
        <v>2879.3599999999997</v>
      </c>
      <c r="X2473" s="48">
        <v>3272</v>
      </c>
    </row>
    <row r="2474" spans="2:24" x14ac:dyDescent="0.35">
      <c r="B2474" s="8" t="s">
        <v>3</v>
      </c>
      <c r="C2474" s="8" t="s">
        <v>22</v>
      </c>
      <c r="D2474" s="8" t="s">
        <v>5</v>
      </c>
      <c r="E2474" s="8" t="s">
        <v>23</v>
      </c>
      <c r="F2474" s="9" t="s">
        <v>36</v>
      </c>
      <c r="G2474" s="8">
        <v>2016</v>
      </c>
      <c r="H2474" s="8">
        <v>12</v>
      </c>
      <c r="I2474" s="10">
        <v>42705</v>
      </c>
      <c r="J2474" s="11">
        <v>2232</v>
      </c>
      <c r="K2474" s="51"/>
      <c r="O2474" s="1" t="s">
        <v>3</v>
      </c>
      <c r="P2474" s="1" t="s">
        <v>22</v>
      </c>
      <c r="Q2474" s="1" t="s">
        <v>5</v>
      </c>
      <c r="R2474" s="1" t="s">
        <v>23</v>
      </c>
      <c r="S2474" s="2" t="s">
        <v>36</v>
      </c>
      <c r="T2474" s="1">
        <v>2016</v>
      </c>
      <c r="U2474" s="1">
        <v>12</v>
      </c>
      <c r="V2474" s="50">
        <v>42705</v>
      </c>
      <c r="W2474" s="4">
        <v>2008.7999999999997</v>
      </c>
      <c r="X2474" s="48">
        <v>2232</v>
      </c>
    </row>
    <row r="2475" spans="2:24" x14ac:dyDescent="0.35">
      <c r="B2475" s="8" t="s">
        <v>6</v>
      </c>
      <c r="C2475" s="8" t="s">
        <v>40</v>
      </c>
      <c r="D2475" s="8" t="s">
        <v>41</v>
      </c>
      <c r="E2475" s="8" t="s">
        <v>23</v>
      </c>
      <c r="F2475" s="6" t="s">
        <v>24</v>
      </c>
      <c r="G2475" s="8">
        <v>2016</v>
      </c>
      <c r="H2475" s="8">
        <v>12</v>
      </c>
      <c r="I2475" s="10">
        <v>42705</v>
      </c>
      <c r="J2475" s="11">
        <v>2352</v>
      </c>
      <c r="K2475" s="51"/>
      <c r="O2475" s="1" t="s">
        <v>6</v>
      </c>
      <c r="P2475" s="1" t="s">
        <v>40</v>
      </c>
      <c r="Q2475" s="1" t="s">
        <v>41</v>
      </c>
      <c r="R2475" s="1" t="s">
        <v>23</v>
      </c>
      <c r="S2475" t="s">
        <v>24</v>
      </c>
      <c r="T2475" s="1">
        <v>2016</v>
      </c>
      <c r="U2475" s="1">
        <v>12</v>
      </c>
      <c r="V2475" s="50">
        <v>42705</v>
      </c>
      <c r="W2475" s="4">
        <v>2069.7599999999998</v>
      </c>
      <c r="X2475" s="48">
        <v>2352</v>
      </c>
    </row>
    <row r="2476" spans="2:24" x14ac:dyDescent="0.35">
      <c r="B2476" s="8" t="s">
        <v>7</v>
      </c>
      <c r="C2476" s="8" t="s">
        <v>32</v>
      </c>
      <c r="D2476" s="8" t="s">
        <v>8</v>
      </c>
      <c r="E2476" s="8" t="s">
        <v>23</v>
      </c>
      <c r="F2476" s="8" t="s">
        <v>39</v>
      </c>
      <c r="G2476" s="8">
        <v>2016</v>
      </c>
      <c r="H2476" s="8">
        <v>12</v>
      </c>
      <c r="I2476" s="10">
        <v>42705</v>
      </c>
      <c r="J2476" s="11">
        <v>1780</v>
      </c>
      <c r="K2476" s="51"/>
      <c r="O2476" s="1" t="s">
        <v>7</v>
      </c>
      <c r="P2476" s="1" t="s">
        <v>32</v>
      </c>
      <c r="Q2476" s="1" t="s">
        <v>8</v>
      </c>
      <c r="R2476" s="1" t="s">
        <v>23</v>
      </c>
      <c r="S2476" s="1" t="s">
        <v>39</v>
      </c>
      <c r="T2476" s="1">
        <v>2016</v>
      </c>
      <c r="U2476" s="1">
        <v>12</v>
      </c>
      <c r="V2476" s="50">
        <v>42705</v>
      </c>
      <c r="W2476" s="4">
        <v>1673.1999999999998</v>
      </c>
      <c r="X2476" s="48">
        <v>1780</v>
      </c>
    </row>
    <row r="2477" spans="2:24" x14ac:dyDescent="0.35">
      <c r="B2477" s="8" t="s">
        <v>12</v>
      </c>
      <c r="C2477" s="8" t="s">
        <v>34</v>
      </c>
      <c r="D2477" s="8" t="s">
        <v>35</v>
      </c>
      <c r="E2477" s="8" t="s">
        <v>0</v>
      </c>
      <c r="F2477" s="8" t="s">
        <v>42</v>
      </c>
      <c r="G2477" s="8">
        <v>2016</v>
      </c>
      <c r="H2477" s="8">
        <v>12</v>
      </c>
      <c r="I2477" s="10">
        <v>42705</v>
      </c>
      <c r="J2477" s="11">
        <v>5706</v>
      </c>
      <c r="K2477" s="51"/>
      <c r="O2477" s="1" t="s">
        <v>12</v>
      </c>
      <c r="P2477" s="1" t="s">
        <v>34</v>
      </c>
      <c r="Q2477" s="1" t="s">
        <v>35</v>
      </c>
      <c r="R2477" s="1" t="s">
        <v>0</v>
      </c>
      <c r="S2477" s="1" t="s">
        <v>42</v>
      </c>
      <c r="T2477" s="1">
        <v>2016</v>
      </c>
      <c r="U2477" s="1">
        <v>12</v>
      </c>
      <c r="V2477" s="50">
        <v>42705</v>
      </c>
      <c r="W2477" s="4">
        <v>4964.22</v>
      </c>
      <c r="X2477" s="48">
        <v>5706</v>
      </c>
    </row>
    <row r="2478" spans="2:24" x14ac:dyDescent="0.35">
      <c r="B2478" s="8" t="s">
        <v>14</v>
      </c>
      <c r="C2478" s="8" t="s">
        <v>37</v>
      </c>
      <c r="D2478" s="8" t="s">
        <v>38</v>
      </c>
      <c r="E2478" s="8" t="s">
        <v>0</v>
      </c>
      <c r="F2478" s="8" t="s">
        <v>26</v>
      </c>
      <c r="G2478" s="8">
        <v>2016</v>
      </c>
      <c r="H2478" s="8">
        <v>12</v>
      </c>
      <c r="I2478" s="10">
        <v>42705</v>
      </c>
      <c r="J2478" s="11">
        <v>5558</v>
      </c>
      <c r="K2478" s="51"/>
      <c r="O2478" s="1" t="s">
        <v>14</v>
      </c>
      <c r="P2478" s="1" t="s">
        <v>37</v>
      </c>
      <c r="Q2478" s="1" t="s">
        <v>38</v>
      </c>
      <c r="R2478" s="1" t="s">
        <v>0</v>
      </c>
      <c r="S2478" s="1" t="s">
        <v>26</v>
      </c>
      <c r="T2478" s="1">
        <v>2016</v>
      </c>
      <c r="U2478" s="1">
        <v>12</v>
      </c>
      <c r="V2478" s="50">
        <v>42705</v>
      </c>
      <c r="W2478" s="4">
        <v>5113.3599999999997</v>
      </c>
      <c r="X2478" s="48">
        <v>5558</v>
      </c>
    </row>
    <row r="2479" spans="2:24" x14ac:dyDescent="0.35">
      <c r="B2479" s="8" t="s">
        <v>3</v>
      </c>
      <c r="C2479" s="8" t="s">
        <v>25</v>
      </c>
      <c r="D2479" s="8" t="s">
        <v>4</v>
      </c>
      <c r="E2479" s="8" t="s">
        <v>0</v>
      </c>
      <c r="F2479" s="6" t="s">
        <v>45</v>
      </c>
      <c r="G2479" s="8">
        <v>2016</v>
      </c>
      <c r="H2479" s="8">
        <v>12</v>
      </c>
      <c r="I2479" s="10">
        <v>42705</v>
      </c>
      <c r="J2479" s="11">
        <v>4518</v>
      </c>
      <c r="K2479" s="51"/>
      <c r="O2479" s="1" t="s">
        <v>3</v>
      </c>
      <c r="P2479" s="1" t="s">
        <v>25</v>
      </c>
      <c r="Q2479" s="1" t="s">
        <v>4</v>
      </c>
      <c r="R2479" s="1" t="s">
        <v>0</v>
      </c>
      <c r="S2479" t="s">
        <v>45</v>
      </c>
      <c r="T2479" s="1">
        <v>2016</v>
      </c>
      <c r="U2479" s="1">
        <v>12</v>
      </c>
      <c r="V2479" s="50">
        <v>42705</v>
      </c>
      <c r="W2479" s="4">
        <v>4021.0199999999995</v>
      </c>
      <c r="X2479" s="48">
        <v>4518</v>
      </c>
    </row>
    <row r="2480" spans="2:24" x14ac:dyDescent="0.35">
      <c r="B2480" s="8" t="s">
        <v>6</v>
      </c>
      <c r="C2480" s="8" t="s">
        <v>29</v>
      </c>
      <c r="D2480" s="8" t="s">
        <v>30</v>
      </c>
      <c r="E2480" s="8" t="s">
        <v>27</v>
      </c>
      <c r="F2480" s="6" t="s">
        <v>28</v>
      </c>
      <c r="G2480" s="8">
        <v>2016</v>
      </c>
      <c r="H2480" s="8">
        <v>12</v>
      </c>
      <c r="I2480" s="10">
        <v>42705</v>
      </c>
      <c r="J2480" s="11">
        <v>3662</v>
      </c>
      <c r="K2480" s="51"/>
      <c r="O2480" s="1" t="s">
        <v>6</v>
      </c>
      <c r="P2480" s="1" t="s">
        <v>29</v>
      </c>
      <c r="Q2480" s="1" t="s">
        <v>30</v>
      </c>
      <c r="R2480" s="1" t="s">
        <v>27</v>
      </c>
      <c r="S2480" t="s">
        <v>28</v>
      </c>
      <c r="T2480" s="1">
        <v>2016</v>
      </c>
      <c r="U2480" s="1">
        <v>12</v>
      </c>
      <c r="V2480" s="50">
        <v>42705</v>
      </c>
      <c r="W2480" s="4">
        <v>3442.2799999999997</v>
      </c>
      <c r="X2480" s="48">
        <v>3662</v>
      </c>
    </row>
    <row r="2481" spans="2:24" x14ac:dyDescent="0.35">
      <c r="B2481" s="8" t="s">
        <v>7</v>
      </c>
      <c r="C2481" s="8" t="s">
        <v>43</v>
      </c>
      <c r="D2481" s="8" t="s">
        <v>10</v>
      </c>
      <c r="E2481" s="8" t="s">
        <v>27</v>
      </c>
      <c r="F2481" s="6" t="s">
        <v>31</v>
      </c>
      <c r="G2481" s="8">
        <v>2016</v>
      </c>
      <c r="H2481" s="8">
        <v>12</v>
      </c>
      <c r="I2481" s="10">
        <v>42705</v>
      </c>
      <c r="J2481" s="11">
        <v>5283</v>
      </c>
      <c r="K2481" s="51"/>
      <c r="O2481" s="1" t="s">
        <v>7</v>
      </c>
      <c r="P2481" s="1" t="s">
        <v>43</v>
      </c>
      <c r="Q2481" s="1" t="s">
        <v>10</v>
      </c>
      <c r="R2481" s="1" t="s">
        <v>27</v>
      </c>
      <c r="S2481" t="s">
        <v>31</v>
      </c>
      <c r="T2481" s="1">
        <v>2016</v>
      </c>
      <c r="U2481" s="1">
        <v>12</v>
      </c>
      <c r="V2481" s="50">
        <v>42705</v>
      </c>
      <c r="W2481" s="4">
        <v>4966.0199999999995</v>
      </c>
      <c r="X2481" s="48">
        <v>5283</v>
      </c>
    </row>
    <row r="2482" spans="2:24" x14ac:dyDescent="0.35">
      <c r="B2482" s="8" t="s">
        <v>12</v>
      </c>
      <c r="C2482" s="8" t="s">
        <v>44</v>
      </c>
      <c r="D2482" s="8" t="s">
        <v>13</v>
      </c>
      <c r="E2482" s="9" t="s">
        <v>27</v>
      </c>
      <c r="F2482" s="9" t="s">
        <v>33</v>
      </c>
      <c r="G2482" s="8">
        <v>2016</v>
      </c>
      <c r="H2482" s="8">
        <v>12</v>
      </c>
      <c r="I2482" s="10">
        <v>42705</v>
      </c>
      <c r="J2482" s="11">
        <v>3680</v>
      </c>
      <c r="K2482" s="51"/>
      <c r="O2482" s="1" t="s">
        <v>12</v>
      </c>
      <c r="P2482" s="1" t="s">
        <v>44</v>
      </c>
      <c r="Q2482" s="1" t="s">
        <v>13</v>
      </c>
      <c r="R2482" s="2" t="s">
        <v>27</v>
      </c>
      <c r="S2482" s="2" t="s">
        <v>33</v>
      </c>
      <c r="T2482" s="1">
        <v>2016</v>
      </c>
      <c r="U2482" s="1">
        <v>12</v>
      </c>
      <c r="V2482" s="50">
        <v>42705</v>
      </c>
      <c r="W2482" s="4">
        <v>3385.6</v>
      </c>
      <c r="X2482" s="48">
        <v>3680</v>
      </c>
    </row>
    <row r="2483" spans="2:24" x14ac:dyDescent="0.35">
      <c r="B2483" s="8" t="s">
        <v>14</v>
      </c>
      <c r="C2483" s="8" t="s">
        <v>46</v>
      </c>
      <c r="D2483" s="8" t="s">
        <v>47</v>
      </c>
      <c r="E2483" s="8" t="s">
        <v>23</v>
      </c>
      <c r="F2483" s="9" t="s">
        <v>36</v>
      </c>
      <c r="G2483" s="8">
        <v>2016</v>
      </c>
      <c r="H2483" s="8">
        <v>12</v>
      </c>
      <c r="I2483" s="10">
        <v>42705</v>
      </c>
      <c r="J2483" s="11">
        <v>2938</v>
      </c>
      <c r="K2483" s="51"/>
      <c r="O2483" s="1" t="s">
        <v>14</v>
      </c>
      <c r="P2483" s="1" t="s">
        <v>46</v>
      </c>
      <c r="Q2483" s="1" t="s">
        <v>47</v>
      </c>
      <c r="R2483" s="1" t="s">
        <v>23</v>
      </c>
      <c r="S2483" s="2" t="s">
        <v>36</v>
      </c>
      <c r="T2483" s="1">
        <v>2016</v>
      </c>
      <c r="U2483" s="1">
        <v>12</v>
      </c>
      <c r="V2483" s="50">
        <v>42705</v>
      </c>
      <c r="W2483" s="4">
        <v>2526.6800000000003</v>
      </c>
      <c r="X2483" s="48">
        <v>2938</v>
      </c>
    </row>
    <row r="2484" spans="2:24" x14ac:dyDescent="0.35">
      <c r="B2484" s="8" t="s">
        <v>6</v>
      </c>
      <c r="C2484" s="8" t="s">
        <v>29</v>
      </c>
      <c r="D2484" s="8" t="s">
        <v>30</v>
      </c>
      <c r="E2484" s="8" t="s">
        <v>23</v>
      </c>
      <c r="F2484" s="6" t="s">
        <v>39</v>
      </c>
      <c r="G2484" s="8">
        <v>2016</v>
      </c>
      <c r="H2484" s="8">
        <v>12</v>
      </c>
      <c r="I2484" s="10">
        <v>42705</v>
      </c>
      <c r="J2484" s="11">
        <v>1370</v>
      </c>
      <c r="K2484" s="51"/>
      <c r="O2484" s="1" t="s">
        <v>6</v>
      </c>
      <c r="P2484" s="1" t="s">
        <v>29</v>
      </c>
      <c r="Q2484" s="1" t="s">
        <v>30</v>
      </c>
      <c r="R2484" s="1" t="s">
        <v>23</v>
      </c>
      <c r="S2484" t="s">
        <v>39</v>
      </c>
      <c r="T2484" s="1">
        <v>2016</v>
      </c>
      <c r="U2484" s="1">
        <v>12</v>
      </c>
      <c r="V2484" s="50">
        <v>42705</v>
      </c>
      <c r="W2484" s="4">
        <v>1219.3</v>
      </c>
      <c r="X2484" s="48">
        <v>1370</v>
      </c>
    </row>
    <row r="2485" spans="2:24" x14ac:dyDescent="0.35">
      <c r="B2485" s="8" t="s">
        <v>7</v>
      </c>
      <c r="C2485" s="8" t="s">
        <v>32</v>
      </c>
      <c r="D2485" s="8" t="s">
        <v>8</v>
      </c>
      <c r="E2485" s="8" t="s">
        <v>0</v>
      </c>
      <c r="F2485" s="8" t="s">
        <v>42</v>
      </c>
      <c r="G2485" s="8">
        <v>2016</v>
      </c>
      <c r="H2485" s="8">
        <v>12</v>
      </c>
      <c r="I2485" s="10">
        <v>42705</v>
      </c>
      <c r="J2485" s="11">
        <v>6291</v>
      </c>
      <c r="K2485" s="51"/>
      <c r="O2485" s="1" t="s">
        <v>7</v>
      </c>
      <c r="P2485" s="1" t="s">
        <v>32</v>
      </c>
      <c r="Q2485" s="1" t="s">
        <v>8</v>
      </c>
      <c r="R2485" s="1" t="s">
        <v>0</v>
      </c>
      <c r="S2485" s="1" t="s">
        <v>42</v>
      </c>
      <c r="T2485" s="1">
        <v>2016</v>
      </c>
      <c r="U2485" s="1">
        <v>12</v>
      </c>
      <c r="V2485" s="50">
        <v>42705</v>
      </c>
      <c r="W2485" s="4">
        <v>5913.54</v>
      </c>
      <c r="X2485" s="48">
        <v>6291</v>
      </c>
    </row>
    <row r="2486" spans="2:24" x14ac:dyDescent="0.35">
      <c r="B2486" s="8" t="s">
        <v>12</v>
      </c>
      <c r="C2486" s="8" t="s">
        <v>44</v>
      </c>
      <c r="D2486" s="8" t="s">
        <v>13</v>
      </c>
      <c r="E2486" s="8" t="s">
        <v>0</v>
      </c>
      <c r="F2486" s="8" t="s">
        <v>26</v>
      </c>
      <c r="G2486" s="8">
        <v>2016</v>
      </c>
      <c r="H2486" s="8">
        <v>12</v>
      </c>
      <c r="I2486" s="10">
        <v>42705</v>
      </c>
      <c r="J2486" s="11">
        <v>4708</v>
      </c>
      <c r="K2486" s="51"/>
      <c r="O2486" s="1" t="s">
        <v>12</v>
      </c>
      <c r="P2486" s="1" t="s">
        <v>44</v>
      </c>
      <c r="Q2486" s="1" t="s">
        <v>13</v>
      </c>
      <c r="R2486" s="1" t="s">
        <v>0</v>
      </c>
      <c r="S2486" s="1" t="s">
        <v>26</v>
      </c>
      <c r="T2486" s="1">
        <v>2016</v>
      </c>
      <c r="U2486" s="1">
        <v>12</v>
      </c>
      <c r="V2486" s="50">
        <v>42705</v>
      </c>
      <c r="W2486" s="4">
        <v>4237.2</v>
      </c>
      <c r="X2486" s="48">
        <v>4708</v>
      </c>
    </row>
    <row r="2487" spans="2:24" x14ac:dyDescent="0.35">
      <c r="B2487" s="8" t="s">
        <v>14</v>
      </c>
      <c r="C2487" s="8" t="s">
        <v>37</v>
      </c>
      <c r="D2487" s="8" t="s">
        <v>38</v>
      </c>
      <c r="E2487" s="8" t="s">
        <v>0</v>
      </c>
      <c r="F2487" s="8" t="s">
        <v>45</v>
      </c>
      <c r="G2487" s="8">
        <v>2016</v>
      </c>
      <c r="H2487" s="8">
        <v>12</v>
      </c>
      <c r="I2487" s="10">
        <v>42705</v>
      </c>
      <c r="J2487" s="11">
        <v>4641</v>
      </c>
      <c r="K2487" s="51"/>
      <c r="O2487" s="1" t="s">
        <v>14</v>
      </c>
      <c r="P2487" s="1" t="s">
        <v>37</v>
      </c>
      <c r="Q2487" s="1" t="s">
        <v>38</v>
      </c>
      <c r="R2487" s="1" t="s">
        <v>0</v>
      </c>
      <c r="S2487" s="1" t="s">
        <v>45</v>
      </c>
      <c r="T2487" s="1">
        <v>2016</v>
      </c>
      <c r="U2487" s="1">
        <v>12</v>
      </c>
      <c r="V2487" s="50">
        <v>42705</v>
      </c>
      <c r="W2487" s="4">
        <v>4130.49</v>
      </c>
      <c r="X2487" s="48">
        <v>4641</v>
      </c>
    </row>
    <row r="2488" spans="2:24" x14ac:dyDescent="0.35">
      <c r="B2488" s="8" t="s">
        <v>3</v>
      </c>
      <c r="C2488" s="8" t="s">
        <v>25</v>
      </c>
      <c r="D2488" s="8" t="s">
        <v>4</v>
      </c>
      <c r="E2488" s="8" t="s">
        <v>27</v>
      </c>
      <c r="F2488" s="6" t="s">
        <v>28</v>
      </c>
      <c r="G2488" s="8">
        <v>2016</v>
      </c>
      <c r="H2488" s="8">
        <v>12</v>
      </c>
      <c r="I2488" s="10">
        <v>42705</v>
      </c>
      <c r="J2488" s="11">
        <v>4786</v>
      </c>
      <c r="K2488" s="51"/>
      <c r="O2488" s="1" t="s">
        <v>3</v>
      </c>
      <c r="P2488" s="1" t="s">
        <v>25</v>
      </c>
      <c r="Q2488" s="1" t="s">
        <v>4</v>
      </c>
      <c r="R2488" s="1" t="s">
        <v>27</v>
      </c>
      <c r="S2488" t="s">
        <v>28</v>
      </c>
      <c r="T2488" s="1">
        <v>2016</v>
      </c>
      <c r="U2488" s="1">
        <v>12</v>
      </c>
      <c r="V2488" s="50">
        <v>42705</v>
      </c>
      <c r="W2488" s="4">
        <v>4211.6799999999994</v>
      </c>
      <c r="X2488" s="48">
        <v>4786</v>
      </c>
    </row>
    <row r="2489" spans="2:24" x14ac:dyDescent="0.35">
      <c r="B2489" s="8" t="s">
        <v>3</v>
      </c>
      <c r="C2489" s="8" t="s">
        <v>25</v>
      </c>
      <c r="D2489" s="8" t="s">
        <v>4</v>
      </c>
      <c r="E2489" s="8" t="s">
        <v>27</v>
      </c>
      <c r="F2489" s="6" t="s">
        <v>31</v>
      </c>
      <c r="G2489" s="8">
        <v>2016</v>
      </c>
      <c r="H2489" s="8">
        <v>12</v>
      </c>
      <c r="I2489" s="10">
        <v>42705</v>
      </c>
      <c r="J2489" s="11">
        <v>2933</v>
      </c>
      <c r="K2489" s="51"/>
      <c r="O2489" s="1" t="s">
        <v>3</v>
      </c>
      <c r="P2489" s="1" t="s">
        <v>25</v>
      </c>
      <c r="Q2489" s="1" t="s">
        <v>4</v>
      </c>
      <c r="R2489" s="1" t="s">
        <v>27</v>
      </c>
      <c r="S2489" t="s">
        <v>31</v>
      </c>
      <c r="T2489" s="1">
        <v>2016</v>
      </c>
      <c r="U2489" s="1">
        <v>12</v>
      </c>
      <c r="V2489" s="50">
        <v>42705</v>
      </c>
      <c r="W2489" s="4">
        <v>2493.0500000000002</v>
      </c>
      <c r="X2489" s="48">
        <v>2933</v>
      </c>
    </row>
    <row r="2490" spans="2:24" x14ac:dyDescent="0.35">
      <c r="B2490" s="8" t="s">
        <v>6</v>
      </c>
      <c r="C2490" s="8" t="s">
        <v>40</v>
      </c>
      <c r="D2490" s="8" t="s">
        <v>41</v>
      </c>
      <c r="E2490" s="8" t="s">
        <v>27</v>
      </c>
      <c r="F2490" s="6" t="s">
        <v>33</v>
      </c>
      <c r="G2490" s="8">
        <v>2016</v>
      </c>
      <c r="H2490" s="8">
        <v>12</v>
      </c>
      <c r="I2490" s="10">
        <v>42705</v>
      </c>
      <c r="J2490" s="11">
        <v>3153</v>
      </c>
      <c r="K2490" s="51"/>
      <c r="O2490" s="1" t="s">
        <v>6</v>
      </c>
      <c r="P2490" s="1" t="s">
        <v>40</v>
      </c>
      <c r="Q2490" s="1" t="s">
        <v>41</v>
      </c>
      <c r="R2490" s="1" t="s">
        <v>27</v>
      </c>
      <c r="S2490" t="s">
        <v>33</v>
      </c>
      <c r="T2490" s="1">
        <v>2016</v>
      </c>
      <c r="U2490" s="1">
        <v>12</v>
      </c>
      <c r="V2490" s="50">
        <v>42705</v>
      </c>
      <c r="W2490" s="4">
        <v>2806.1699999999996</v>
      </c>
      <c r="X2490" s="48">
        <v>3153</v>
      </c>
    </row>
    <row r="2491" spans="2:24" x14ac:dyDescent="0.35">
      <c r="B2491" s="8" t="s">
        <v>6</v>
      </c>
      <c r="C2491" s="8" t="s">
        <v>40</v>
      </c>
      <c r="D2491" s="8" t="s">
        <v>41</v>
      </c>
      <c r="E2491" s="9" t="s">
        <v>23</v>
      </c>
      <c r="F2491" s="9" t="s">
        <v>36</v>
      </c>
      <c r="G2491" s="8">
        <v>2016</v>
      </c>
      <c r="H2491" s="8">
        <v>12</v>
      </c>
      <c r="I2491" s="10">
        <v>42705</v>
      </c>
      <c r="J2491" s="11">
        <v>2853</v>
      </c>
      <c r="K2491" s="51"/>
      <c r="O2491" s="1" t="s">
        <v>6</v>
      </c>
      <c r="P2491" s="1" t="s">
        <v>40</v>
      </c>
      <c r="Q2491" s="1" t="s">
        <v>41</v>
      </c>
      <c r="R2491" s="2" t="s">
        <v>23</v>
      </c>
      <c r="S2491" s="2" t="s">
        <v>36</v>
      </c>
      <c r="T2491" s="1">
        <v>2016</v>
      </c>
      <c r="U2491" s="1">
        <v>12</v>
      </c>
      <c r="V2491" s="50">
        <v>42705</v>
      </c>
      <c r="W2491" s="4">
        <v>2596.2299999999996</v>
      </c>
      <c r="X2491" s="48">
        <v>2853</v>
      </c>
    </row>
    <row r="2492" spans="2:24" x14ac:dyDescent="0.35">
      <c r="B2492" s="8" t="s">
        <v>7</v>
      </c>
      <c r="C2492" s="8" t="s">
        <v>43</v>
      </c>
      <c r="D2492" s="8" t="s">
        <v>10</v>
      </c>
      <c r="E2492" s="8" t="s">
        <v>23</v>
      </c>
      <c r="F2492" s="9" t="s">
        <v>24</v>
      </c>
      <c r="G2492" s="8">
        <v>2016</v>
      </c>
      <c r="H2492" s="8">
        <v>12</v>
      </c>
      <c r="I2492" s="10">
        <v>42705</v>
      </c>
      <c r="J2492" s="11">
        <v>2498</v>
      </c>
      <c r="K2492" s="51"/>
      <c r="O2492" s="1" t="s">
        <v>7</v>
      </c>
      <c r="P2492" s="1" t="s">
        <v>43</v>
      </c>
      <c r="Q2492" s="1" t="s">
        <v>10</v>
      </c>
      <c r="R2492" s="1" t="s">
        <v>23</v>
      </c>
      <c r="S2492" s="2" t="s">
        <v>24</v>
      </c>
      <c r="T2492" s="1">
        <v>2016</v>
      </c>
      <c r="U2492" s="1">
        <v>12</v>
      </c>
      <c r="V2492" s="50">
        <v>42705</v>
      </c>
      <c r="W2492" s="4">
        <v>2348.12</v>
      </c>
      <c r="X2492" s="48">
        <v>2498</v>
      </c>
    </row>
    <row r="2493" spans="2:24" x14ac:dyDescent="0.35">
      <c r="B2493" s="8" t="s">
        <v>7</v>
      </c>
      <c r="C2493" s="8" t="s">
        <v>43</v>
      </c>
      <c r="D2493" s="8" t="s">
        <v>10</v>
      </c>
      <c r="E2493" s="8" t="s">
        <v>23</v>
      </c>
      <c r="F2493" s="6" t="s">
        <v>39</v>
      </c>
      <c r="G2493" s="8">
        <v>2016</v>
      </c>
      <c r="H2493" s="8">
        <v>12</v>
      </c>
      <c r="I2493" s="10">
        <v>42705</v>
      </c>
      <c r="J2493" s="11">
        <v>2325</v>
      </c>
      <c r="K2493" s="51"/>
      <c r="O2493" s="1" t="s">
        <v>7</v>
      </c>
      <c r="P2493" s="1" t="s">
        <v>43</v>
      </c>
      <c r="Q2493" s="1" t="s">
        <v>10</v>
      </c>
      <c r="R2493" s="1" t="s">
        <v>23</v>
      </c>
      <c r="S2493" t="s">
        <v>39</v>
      </c>
      <c r="T2493" s="1">
        <v>2016</v>
      </c>
      <c r="U2493" s="1">
        <v>12</v>
      </c>
      <c r="V2493" s="50">
        <v>42705</v>
      </c>
      <c r="W2493" s="4">
        <v>2092.5</v>
      </c>
      <c r="X2493" s="48">
        <v>2325</v>
      </c>
    </row>
    <row r="2494" spans="2:24" x14ac:dyDescent="0.35">
      <c r="B2494" s="8" t="s">
        <v>7</v>
      </c>
      <c r="C2494" s="8" t="s">
        <v>32</v>
      </c>
      <c r="D2494" s="8" t="s">
        <v>8</v>
      </c>
      <c r="E2494" s="8" t="s">
        <v>0</v>
      </c>
      <c r="F2494" s="8" t="s">
        <v>26</v>
      </c>
      <c r="G2494" s="8">
        <v>2016</v>
      </c>
      <c r="H2494" s="8">
        <v>12</v>
      </c>
      <c r="I2494" s="10">
        <v>42705</v>
      </c>
      <c r="J2494" s="11">
        <v>3451</v>
      </c>
      <c r="K2494" s="51"/>
      <c r="O2494" s="1" t="s">
        <v>7</v>
      </c>
      <c r="P2494" s="1" t="s">
        <v>32</v>
      </c>
      <c r="Q2494" s="1" t="s">
        <v>8</v>
      </c>
      <c r="R2494" s="1" t="s">
        <v>0</v>
      </c>
      <c r="S2494" s="1" t="s">
        <v>26</v>
      </c>
      <c r="T2494" s="1">
        <v>2016</v>
      </c>
      <c r="U2494" s="1">
        <v>12</v>
      </c>
      <c r="V2494" s="50">
        <v>42705</v>
      </c>
      <c r="W2494" s="4">
        <v>2933.3500000000004</v>
      </c>
      <c r="X2494" s="48">
        <v>3451</v>
      </c>
    </row>
    <row r="2495" spans="2:24" x14ac:dyDescent="0.35">
      <c r="B2495" s="8" t="s">
        <v>3</v>
      </c>
      <c r="C2495" s="8" t="s">
        <v>22</v>
      </c>
      <c r="D2495" s="8" t="s">
        <v>5</v>
      </c>
      <c r="E2495" s="8" t="s">
        <v>0</v>
      </c>
      <c r="F2495" s="8" t="s">
        <v>45</v>
      </c>
      <c r="G2495" s="8">
        <v>2016</v>
      </c>
      <c r="H2495" s="8">
        <v>12</v>
      </c>
      <c r="I2495" s="10">
        <v>42705</v>
      </c>
      <c r="J2495" s="11">
        <v>2184</v>
      </c>
      <c r="K2495" s="51"/>
      <c r="O2495" s="1" t="s">
        <v>3</v>
      </c>
      <c r="P2495" s="1" t="s">
        <v>22</v>
      </c>
      <c r="Q2495" s="1" t="s">
        <v>5</v>
      </c>
      <c r="R2495" s="1" t="s">
        <v>0</v>
      </c>
      <c r="S2495" s="1" t="s">
        <v>45</v>
      </c>
      <c r="T2495" s="1">
        <v>2016</v>
      </c>
      <c r="U2495" s="1">
        <v>12</v>
      </c>
      <c r="V2495" s="50">
        <v>42705</v>
      </c>
      <c r="W2495" s="4">
        <v>1943.7599999999998</v>
      </c>
      <c r="X2495" s="48">
        <v>2184</v>
      </c>
    </row>
    <row r="2496" spans="2:24" x14ac:dyDescent="0.35">
      <c r="B2496" s="8" t="s">
        <v>7</v>
      </c>
      <c r="C2496" s="8" t="s">
        <v>48</v>
      </c>
      <c r="D2496" s="8" t="s">
        <v>9</v>
      </c>
      <c r="E2496" s="8" t="s">
        <v>23</v>
      </c>
      <c r="F2496" s="8" t="s">
        <v>36</v>
      </c>
      <c r="G2496" s="8">
        <v>2016</v>
      </c>
      <c r="H2496" s="8">
        <v>12</v>
      </c>
      <c r="I2496" s="10">
        <v>42705</v>
      </c>
      <c r="J2496" s="11">
        <v>2353</v>
      </c>
      <c r="K2496" s="51"/>
      <c r="O2496" s="1" t="s">
        <v>7</v>
      </c>
      <c r="P2496" s="1" t="s">
        <v>48</v>
      </c>
      <c r="Q2496" s="1" t="s">
        <v>9</v>
      </c>
      <c r="R2496" s="1" t="s">
        <v>23</v>
      </c>
      <c r="S2496" s="1" t="s">
        <v>36</v>
      </c>
      <c r="T2496" s="1">
        <v>2016</v>
      </c>
      <c r="U2496" s="1">
        <v>12</v>
      </c>
      <c r="V2496" s="50">
        <v>42705</v>
      </c>
      <c r="W2496" s="4">
        <v>2188.29</v>
      </c>
      <c r="X2496" s="48">
        <v>2353</v>
      </c>
    </row>
    <row r="2497" spans="2:24" x14ac:dyDescent="0.35">
      <c r="B2497" s="8" t="s">
        <v>7</v>
      </c>
      <c r="C2497" s="8" t="s">
        <v>48</v>
      </c>
      <c r="D2497" s="8" t="s">
        <v>9</v>
      </c>
      <c r="E2497" s="8" t="s">
        <v>23</v>
      </c>
      <c r="F2497" s="6" t="s">
        <v>24</v>
      </c>
      <c r="G2497" s="8">
        <v>2016</v>
      </c>
      <c r="H2497" s="8">
        <v>12</v>
      </c>
      <c r="I2497" s="10">
        <v>42705</v>
      </c>
      <c r="J2497" s="11">
        <v>2091</v>
      </c>
      <c r="K2497" s="51"/>
      <c r="O2497" s="1" t="s">
        <v>7</v>
      </c>
      <c r="P2497" s="1" t="s">
        <v>48</v>
      </c>
      <c r="Q2497" s="1" t="s">
        <v>9</v>
      </c>
      <c r="R2497" s="1" t="s">
        <v>23</v>
      </c>
      <c r="S2497" t="s">
        <v>24</v>
      </c>
      <c r="T2497" s="1">
        <v>2016</v>
      </c>
      <c r="U2497" s="1">
        <v>12</v>
      </c>
      <c r="V2497" s="50">
        <v>42705</v>
      </c>
      <c r="W2497" s="4">
        <v>1860.9899999999998</v>
      </c>
      <c r="X2497" s="48">
        <v>2091</v>
      </c>
    </row>
    <row r="2498" spans="2:24" x14ac:dyDescent="0.35">
      <c r="B2498" s="8" t="s">
        <v>7</v>
      </c>
      <c r="C2498" s="8" t="s">
        <v>49</v>
      </c>
      <c r="D2498" s="8" t="s">
        <v>11</v>
      </c>
      <c r="E2498" s="8" t="s">
        <v>23</v>
      </c>
      <c r="F2498" s="6" t="s">
        <v>39</v>
      </c>
      <c r="G2498" s="8">
        <v>2016</v>
      </c>
      <c r="H2498" s="8">
        <v>12</v>
      </c>
      <c r="I2498" s="10">
        <v>42705</v>
      </c>
      <c r="J2498" s="11">
        <v>2331</v>
      </c>
      <c r="K2498" s="51"/>
      <c r="O2498" s="1" t="s">
        <v>7</v>
      </c>
      <c r="P2498" s="1" t="s">
        <v>49</v>
      </c>
      <c r="Q2498" s="1" t="s">
        <v>11</v>
      </c>
      <c r="R2498" s="1" t="s">
        <v>23</v>
      </c>
      <c r="S2498" t="s">
        <v>39</v>
      </c>
      <c r="T2498" s="1">
        <v>2016</v>
      </c>
      <c r="U2498" s="1">
        <v>12</v>
      </c>
      <c r="V2498" s="50">
        <v>42705</v>
      </c>
      <c r="W2498" s="4">
        <v>2191.14</v>
      </c>
      <c r="X2498" s="48">
        <v>2331</v>
      </c>
    </row>
    <row r="2499" spans="2:24" x14ac:dyDescent="0.35">
      <c r="B2499" s="8" t="s">
        <v>7</v>
      </c>
      <c r="C2499" s="8" t="s">
        <v>49</v>
      </c>
      <c r="D2499" s="8" t="s">
        <v>11</v>
      </c>
      <c r="E2499" s="8" t="s">
        <v>0</v>
      </c>
      <c r="F2499" s="6" t="s">
        <v>42</v>
      </c>
      <c r="G2499" s="8">
        <v>2016</v>
      </c>
      <c r="H2499" s="8">
        <v>12</v>
      </c>
      <c r="I2499" s="10">
        <v>42705</v>
      </c>
      <c r="J2499" s="11">
        <v>6573</v>
      </c>
      <c r="K2499" s="51"/>
      <c r="O2499" s="1" t="s">
        <v>7</v>
      </c>
      <c r="P2499" s="1" t="s">
        <v>49</v>
      </c>
      <c r="Q2499" s="1" t="s">
        <v>11</v>
      </c>
      <c r="R2499" s="1" t="s">
        <v>0</v>
      </c>
      <c r="S2499" t="s">
        <v>42</v>
      </c>
      <c r="T2499" s="1">
        <v>2016</v>
      </c>
      <c r="U2499" s="1">
        <v>12</v>
      </c>
      <c r="V2499" s="50">
        <v>42705</v>
      </c>
      <c r="W2499" s="4">
        <v>6178.62</v>
      </c>
      <c r="X2499" s="48">
        <v>6573</v>
      </c>
    </row>
    <row r="2500" spans="2:24" x14ac:dyDescent="0.35">
      <c r="B2500" s="8" t="s">
        <v>12</v>
      </c>
      <c r="C2500" s="8" t="s">
        <v>34</v>
      </c>
      <c r="D2500" s="8" t="s">
        <v>35</v>
      </c>
      <c r="E2500" s="9" t="s">
        <v>0</v>
      </c>
      <c r="F2500" s="9" t="s">
        <v>26</v>
      </c>
      <c r="G2500" s="8">
        <v>2016</v>
      </c>
      <c r="H2500" s="8">
        <v>12</v>
      </c>
      <c r="I2500" s="10">
        <v>42705</v>
      </c>
      <c r="J2500" s="11">
        <v>3750</v>
      </c>
      <c r="K2500" s="51"/>
      <c r="O2500" s="1" t="s">
        <v>12</v>
      </c>
      <c r="P2500" s="1" t="s">
        <v>34</v>
      </c>
      <c r="Q2500" s="1" t="s">
        <v>35</v>
      </c>
      <c r="R2500" s="2" t="s">
        <v>0</v>
      </c>
      <c r="S2500" s="2" t="s">
        <v>26</v>
      </c>
      <c r="T2500" s="1">
        <v>2016</v>
      </c>
      <c r="U2500" s="1">
        <v>12</v>
      </c>
      <c r="V2500" s="50">
        <v>42705</v>
      </c>
      <c r="W2500" s="4">
        <v>3374.9999999999995</v>
      </c>
      <c r="X2500" s="48">
        <v>3750</v>
      </c>
    </row>
    <row r="2501" spans="2:24" x14ac:dyDescent="0.35">
      <c r="B2501" s="8" t="s">
        <v>12</v>
      </c>
      <c r="C2501" s="8" t="s">
        <v>34</v>
      </c>
      <c r="D2501" s="8" t="s">
        <v>35</v>
      </c>
      <c r="E2501" s="8" t="s">
        <v>0</v>
      </c>
      <c r="F2501" s="9" t="s">
        <v>45</v>
      </c>
      <c r="G2501" s="8">
        <v>2016</v>
      </c>
      <c r="H2501" s="8">
        <v>12</v>
      </c>
      <c r="I2501" s="10">
        <v>42705</v>
      </c>
      <c r="J2501" s="11">
        <v>2173</v>
      </c>
      <c r="K2501" s="51"/>
      <c r="O2501" s="1" t="s">
        <v>12</v>
      </c>
      <c r="P2501" s="1" t="s">
        <v>34</v>
      </c>
      <c r="Q2501" s="1" t="s">
        <v>35</v>
      </c>
      <c r="R2501" s="1" t="s">
        <v>0</v>
      </c>
      <c r="S2501" s="2" t="s">
        <v>45</v>
      </c>
      <c r="T2501" s="1">
        <v>2016</v>
      </c>
      <c r="U2501" s="1">
        <v>12</v>
      </c>
      <c r="V2501" s="50">
        <v>42705</v>
      </c>
      <c r="W2501" s="4">
        <v>1933.9699999999998</v>
      </c>
      <c r="X2501" s="48">
        <v>2173</v>
      </c>
    </row>
    <row r="2502" spans="2:24" x14ac:dyDescent="0.35">
      <c r="B2502" s="8" t="s">
        <v>14</v>
      </c>
      <c r="C2502" s="8" t="s">
        <v>37</v>
      </c>
      <c r="D2502" s="8" t="s">
        <v>38</v>
      </c>
      <c r="E2502" s="8" t="s">
        <v>27</v>
      </c>
      <c r="F2502" s="6" t="s">
        <v>28</v>
      </c>
      <c r="G2502" s="8">
        <v>2016</v>
      </c>
      <c r="H2502" s="8">
        <v>12</v>
      </c>
      <c r="I2502" s="10">
        <v>42705</v>
      </c>
      <c r="J2502" s="11">
        <v>3837</v>
      </c>
      <c r="K2502" s="51"/>
      <c r="O2502" s="1" t="s">
        <v>14</v>
      </c>
      <c r="P2502" s="1" t="s">
        <v>37</v>
      </c>
      <c r="Q2502" s="1" t="s">
        <v>38</v>
      </c>
      <c r="R2502" s="1" t="s">
        <v>27</v>
      </c>
      <c r="S2502" t="s">
        <v>28</v>
      </c>
      <c r="T2502" s="1">
        <v>2016</v>
      </c>
      <c r="U2502" s="1">
        <v>12</v>
      </c>
      <c r="V2502" s="50">
        <v>42705</v>
      </c>
      <c r="W2502" s="4">
        <v>3414.9299999999994</v>
      </c>
      <c r="X2502" s="48">
        <v>3837</v>
      </c>
    </row>
    <row r="2503" spans="2:24" x14ac:dyDescent="0.35">
      <c r="B2503" s="8" t="s">
        <v>14</v>
      </c>
      <c r="C2503" s="8" t="s">
        <v>37</v>
      </c>
      <c r="D2503" s="8" t="s">
        <v>38</v>
      </c>
      <c r="E2503" s="8" t="s">
        <v>27</v>
      </c>
      <c r="F2503" s="8" t="s">
        <v>31</v>
      </c>
      <c r="G2503" s="8">
        <v>2016</v>
      </c>
      <c r="H2503" s="8">
        <v>12</v>
      </c>
      <c r="I2503" s="10">
        <v>42705</v>
      </c>
      <c r="J2503" s="11">
        <v>3468</v>
      </c>
      <c r="K2503" s="51"/>
      <c r="O2503" s="1" t="s">
        <v>14</v>
      </c>
      <c r="P2503" s="1" t="s">
        <v>37</v>
      </c>
      <c r="Q2503" s="1" t="s">
        <v>38</v>
      </c>
      <c r="R2503" s="1" t="s">
        <v>27</v>
      </c>
      <c r="S2503" s="1" t="s">
        <v>31</v>
      </c>
      <c r="T2503" s="1">
        <v>2016</v>
      </c>
      <c r="U2503" s="1">
        <v>12</v>
      </c>
      <c r="V2503" s="50">
        <v>42705</v>
      </c>
      <c r="W2503" s="4">
        <v>2947.8</v>
      </c>
      <c r="X2503" s="48">
        <v>3468</v>
      </c>
    </row>
    <row r="2504" spans="2:24" x14ac:dyDescent="0.35">
      <c r="B2504" s="8" t="s">
        <v>12</v>
      </c>
      <c r="C2504" s="8" t="s">
        <v>44</v>
      </c>
      <c r="D2504" s="8" t="s">
        <v>13</v>
      </c>
      <c r="E2504" s="8" t="s">
        <v>23</v>
      </c>
      <c r="F2504" s="8" t="s">
        <v>36</v>
      </c>
      <c r="G2504" s="8">
        <v>2016</v>
      </c>
      <c r="H2504" s="8">
        <v>12</v>
      </c>
      <c r="I2504" s="10">
        <v>42705</v>
      </c>
      <c r="J2504" s="11">
        <v>2625</v>
      </c>
      <c r="K2504" s="51"/>
      <c r="O2504" s="1" t="s">
        <v>12</v>
      </c>
      <c r="P2504" s="1" t="s">
        <v>44</v>
      </c>
      <c r="Q2504" s="1" t="s">
        <v>13</v>
      </c>
      <c r="R2504" s="1" t="s">
        <v>23</v>
      </c>
      <c r="S2504" s="1" t="s">
        <v>36</v>
      </c>
      <c r="T2504" s="1">
        <v>2016</v>
      </c>
      <c r="U2504" s="1">
        <v>12</v>
      </c>
      <c r="V2504" s="50">
        <v>42705</v>
      </c>
      <c r="W2504" s="4">
        <v>2362.5</v>
      </c>
      <c r="X2504" s="48">
        <v>2625</v>
      </c>
    </row>
    <row r="2505" spans="2:24" x14ac:dyDescent="0.35">
      <c r="B2505" s="8" t="s">
        <v>14</v>
      </c>
      <c r="C2505" s="8" t="s">
        <v>46</v>
      </c>
      <c r="D2505" s="8" t="s">
        <v>47</v>
      </c>
      <c r="E2505" s="8" t="s">
        <v>23</v>
      </c>
      <c r="F2505" s="8" t="s">
        <v>24</v>
      </c>
      <c r="G2505" s="8">
        <v>2016</v>
      </c>
      <c r="H2505" s="8">
        <v>12</v>
      </c>
      <c r="I2505" s="10">
        <v>42705</v>
      </c>
      <c r="J2505" s="11">
        <v>1851</v>
      </c>
      <c r="K2505" s="51"/>
      <c r="O2505" s="1" t="s">
        <v>14</v>
      </c>
      <c r="P2505" s="1" t="s">
        <v>46</v>
      </c>
      <c r="Q2505" s="1" t="s">
        <v>47</v>
      </c>
      <c r="R2505" s="1" t="s">
        <v>23</v>
      </c>
      <c r="S2505" s="1" t="s">
        <v>24</v>
      </c>
      <c r="T2505" s="1">
        <v>2016</v>
      </c>
      <c r="U2505" s="1">
        <v>12</v>
      </c>
      <c r="V2505" s="50">
        <v>42705</v>
      </c>
      <c r="W2505" s="4">
        <v>1721.4299999999998</v>
      </c>
      <c r="X2505" s="48">
        <v>1851</v>
      </c>
    </row>
    <row r="2506" spans="2:24" x14ac:dyDescent="0.35">
      <c r="B2506" s="8" t="s">
        <v>14</v>
      </c>
      <c r="C2506" s="8" t="s">
        <v>46</v>
      </c>
      <c r="D2506" s="8" t="s">
        <v>47</v>
      </c>
      <c r="E2506" s="8" t="s">
        <v>23</v>
      </c>
      <c r="F2506" s="6" t="s">
        <v>39</v>
      </c>
      <c r="G2506" s="8">
        <v>2016</v>
      </c>
      <c r="H2506" s="8">
        <v>12</v>
      </c>
      <c r="I2506" s="10">
        <v>42705</v>
      </c>
      <c r="J2506" s="11">
        <v>1412</v>
      </c>
      <c r="K2506" s="51"/>
      <c r="O2506" s="1" t="s">
        <v>14</v>
      </c>
      <c r="P2506" s="1" t="s">
        <v>46</v>
      </c>
      <c r="Q2506" s="1" t="s">
        <v>47</v>
      </c>
      <c r="R2506" s="1" t="s">
        <v>23</v>
      </c>
      <c r="S2506" t="s">
        <v>39</v>
      </c>
      <c r="T2506" s="1">
        <v>2016</v>
      </c>
      <c r="U2506" s="1">
        <v>12</v>
      </c>
      <c r="V2506" s="50">
        <v>42705</v>
      </c>
      <c r="W2506" s="4">
        <v>1270.8</v>
      </c>
      <c r="X2506" s="48">
        <v>1412</v>
      </c>
    </row>
    <row r="2507" spans="2:24" x14ac:dyDescent="0.35">
      <c r="B2507" s="8" t="s">
        <v>7</v>
      </c>
      <c r="C2507" s="8" t="s">
        <v>43</v>
      </c>
      <c r="D2507" s="8" t="s">
        <v>10</v>
      </c>
      <c r="E2507" s="8" t="s">
        <v>0</v>
      </c>
      <c r="F2507" s="6" t="s">
        <v>42</v>
      </c>
      <c r="G2507" s="8">
        <v>2016</v>
      </c>
      <c r="H2507" s="8">
        <v>12</v>
      </c>
      <c r="I2507" s="10">
        <v>42705</v>
      </c>
      <c r="J2507" s="11">
        <v>5320</v>
      </c>
      <c r="K2507" s="51"/>
      <c r="O2507" s="1" t="s">
        <v>7</v>
      </c>
      <c r="P2507" s="1" t="s">
        <v>43</v>
      </c>
      <c r="Q2507" s="1" t="s">
        <v>10</v>
      </c>
      <c r="R2507" s="1" t="s">
        <v>0</v>
      </c>
      <c r="S2507" t="s">
        <v>42</v>
      </c>
      <c r="T2507" s="1">
        <v>2016</v>
      </c>
      <c r="U2507" s="1">
        <v>12</v>
      </c>
      <c r="V2507" s="50">
        <v>42705</v>
      </c>
      <c r="W2507" s="4">
        <v>4681.5999999999995</v>
      </c>
      <c r="X2507" s="48">
        <v>5320</v>
      </c>
    </row>
    <row r="2508" spans="2:24" x14ac:dyDescent="0.35">
      <c r="B2508" s="8" t="s">
        <v>6</v>
      </c>
      <c r="C2508" s="8" t="s">
        <v>40</v>
      </c>
      <c r="D2508" s="8" t="s">
        <v>41</v>
      </c>
      <c r="E2508" s="8" t="s">
        <v>27</v>
      </c>
      <c r="F2508" s="6" t="s">
        <v>31</v>
      </c>
      <c r="G2508" s="8">
        <v>2016</v>
      </c>
      <c r="H2508" s="8">
        <v>12</v>
      </c>
      <c r="I2508" s="10">
        <v>42705</v>
      </c>
      <c r="J2508" s="11">
        <v>4934</v>
      </c>
      <c r="K2508" s="51"/>
      <c r="O2508" s="1" t="s">
        <v>6</v>
      </c>
      <c r="P2508" s="1" t="s">
        <v>40</v>
      </c>
      <c r="Q2508" s="1" t="s">
        <v>41</v>
      </c>
      <c r="R2508" s="1" t="s">
        <v>27</v>
      </c>
      <c r="S2508" t="s">
        <v>31</v>
      </c>
      <c r="T2508" s="1">
        <v>2016</v>
      </c>
      <c r="U2508" s="1">
        <v>12</v>
      </c>
      <c r="V2508" s="50">
        <v>42705</v>
      </c>
      <c r="W2508" s="4">
        <v>4341.9199999999992</v>
      </c>
      <c r="X2508" s="48">
        <v>4934</v>
      </c>
    </row>
    <row r="2509" spans="2:24" x14ac:dyDescent="0.35">
      <c r="B2509" s="8" t="s">
        <v>3</v>
      </c>
      <c r="C2509" s="8" t="s">
        <v>22</v>
      </c>
      <c r="D2509" s="8" t="s">
        <v>5</v>
      </c>
      <c r="E2509" s="9" t="s">
        <v>23</v>
      </c>
      <c r="F2509" s="9" t="s">
        <v>39</v>
      </c>
      <c r="G2509" s="8">
        <v>2016</v>
      </c>
      <c r="H2509" s="8">
        <v>12</v>
      </c>
      <c r="I2509" s="10">
        <v>42705</v>
      </c>
      <c r="J2509" s="11">
        <v>1595</v>
      </c>
      <c r="K2509" s="51"/>
      <c r="O2509" s="1" t="s">
        <v>3</v>
      </c>
      <c r="P2509" s="1" t="s">
        <v>22</v>
      </c>
      <c r="Q2509" s="1" t="s">
        <v>5</v>
      </c>
      <c r="R2509" s="2" t="s">
        <v>23</v>
      </c>
      <c r="S2509" s="2" t="s">
        <v>39</v>
      </c>
      <c r="T2509" s="1">
        <v>2016</v>
      </c>
      <c r="U2509" s="1">
        <v>12</v>
      </c>
      <c r="V2509" s="50">
        <v>42705</v>
      </c>
      <c r="W2509" s="4">
        <v>1483.35</v>
      </c>
      <c r="X2509" s="48">
        <v>1595</v>
      </c>
    </row>
    <row r="2510" spans="2:24" x14ac:dyDescent="0.35">
      <c r="B2510" s="8" t="s">
        <v>3</v>
      </c>
      <c r="C2510" s="8" t="s">
        <v>22</v>
      </c>
      <c r="D2510" s="8" t="s">
        <v>5</v>
      </c>
      <c r="E2510" s="8" t="s">
        <v>0</v>
      </c>
      <c r="F2510" s="9" t="s">
        <v>42</v>
      </c>
      <c r="G2510" s="8">
        <v>2016</v>
      </c>
      <c r="H2510" s="8">
        <v>12</v>
      </c>
      <c r="I2510" s="10">
        <v>42705</v>
      </c>
      <c r="J2510" s="11">
        <v>6796</v>
      </c>
      <c r="K2510" s="51"/>
      <c r="O2510" s="1" t="s">
        <v>3</v>
      </c>
      <c r="P2510" s="1" t="s">
        <v>22</v>
      </c>
      <c r="Q2510" s="1" t="s">
        <v>5</v>
      </c>
      <c r="R2510" s="1" t="s">
        <v>0</v>
      </c>
      <c r="S2510" s="2" t="s">
        <v>42</v>
      </c>
      <c r="T2510" s="1">
        <v>2016</v>
      </c>
      <c r="U2510" s="1">
        <v>12</v>
      </c>
      <c r="V2510" s="50">
        <v>42705</v>
      </c>
      <c r="W2510" s="4">
        <v>6184.36</v>
      </c>
      <c r="X2510" s="48">
        <v>6796</v>
      </c>
    </row>
    <row r="2511" spans="2:24" x14ac:dyDescent="0.35">
      <c r="B2511" s="8" t="s">
        <v>6</v>
      </c>
      <c r="C2511" s="8" t="s">
        <v>29</v>
      </c>
      <c r="D2511" s="8" t="s">
        <v>30</v>
      </c>
      <c r="E2511" s="8" t="s">
        <v>0</v>
      </c>
      <c r="F2511" s="6" t="s">
        <v>26</v>
      </c>
      <c r="G2511" s="8">
        <v>2016</v>
      </c>
      <c r="H2511" s="8">
        <v>12</v>
      </c>
      <c r="I2511" s="10">
        <v>42705</v>
      </c>
      <c r="J2511" s="11">
        <v>4910</v>
      </c>
      <c r="K2511" s="51"/>
      <c r="O2511" s="1" t="s">
        <v>6</v>
      </c>
      <c r="P2511" s="1" t="s">
        <v>29</v>
      </c>
      <c r="Q2511" s="1" t="s">
        <v>30</v>
      </c>
      <c r="R2511" s="1" t="s">
        <v>0</v>
      </c>
      <c r="S2511" t="s">
        <v>26</v>
      </c>
      <c r="T2511" s="1">
        <v>2016</v>
      </c>
      <c r="U2511" s="1">
        <v>12</v>
      </c>
      <c r="V2511" s="50">
        <v>42705</v>
      </c>
      <c r="W2511" s="4">
        <v>4173.5</v>
      </c>
      <c r="X2511" s="48">
        <v>4910</v>
      </c>
    </row>
    <row r="2512" spans="2:24" x14ac:dyDescent="0.35">
      <c r="B2512" s="8" t="s">
        <v>7</v>
      </c>
      <c r="C2512" s="8" t="s">
        <v>48</v>
      </c>
      <c r="D2512" s="8" t="s">
        <v>9</v>
      </c>
      <c r="E2512" s="8" t="s">
        <v>27</v>
      </c>
      <c r="F2512" s="8" t="s">
        <v>28</v>
      </c>
      <c r="G2512" s="8">
        <v>2016</v>
      </c>
      <c r="H2512" s="8">
        <v>12</v>
      </c>
      <c r="I2512" s="10">
        <v>42705</v>
      </c>
      <c r="J2512" s="11">
        <v>4253</v>
      </c>
      <c r="K2512" s="51"/>
      <c r="O2512" s="1" t="s">
        <v>7</v>
      </c>
      <c r="P2512" s="1" t="s">
        <v>48</v>
      </c>
      <c r="Q2512" s="1" t="s">
        <v>9</v>
      </c>
      <c r="R2512" s="1" t="s">
        <v>27</v>
      </c>
      <c r="S2512" s="1" t="s">
        <v>28</v>
      </c>
      <c r="T2512" s="1">
        <v>2016</v>
      </c>
      <c r="U2512" s="1">
        <v>12</v>
      </c>
      <c r="V2512" s="50">
        <v>42705</v>
      </c>
      <c r="W2512" s="4">
        <v>3742.6399999999994</v>
      </c>
      <c r="X2512" s="48">
        <v>4253</v>
      </c>
    </row>
    <row r="2513" spans="2:24" x14ac:dyDescent="0.35">
      <c r="B2513" s="8" t="s">
        <v>7</v>
      </c>
      <c r="C2513" s="8" t="s">
        <v>48</v>
      </c>
      <c r="D2513" s="8" t="s">
        <v>9</v>
      </c>
      <c r="E2513" s="8" t="s">
        <v>27</v>
      </c>
      <c r="F2513" s="8" t="s">
        <v>31</v>
      </c>
      <c r="G2513" s="8">
        <v>2016</v>
      </c>
      <c r="H2513" s="8">
        <v>12</v>
      </c>
      <c r="I2513" s="10">
        <v>42705</v>
      </c>
      <c r="J2513" s="11">
        <v>5163</v>
      </c>
      <c r="K2513" s="51"/>
      <c r="O2513" s="1" t="s">
        <v>7</v>
      </c>
      <c r="P2513" s="1" t="s">
        <v>48</v>
      </c>
      <c r="Q2513" s="1" t="s">
        <v>9</v>
      </c>
      <c r="R2513" s="1" t="s">
        <v>27</v>
      </c>
      <c r="S2513" s="1" t="s">
        <v>31</v>
      </c>
      <c r="T2513" s="1">
        <v>2016</v>
      </c>
      <c r="U2513" s="1">
        <v>12</v>
      </c>
      <c r="V2513" s="50">
        <v>42705</v>
      </c>
      <c r="W2513" s="4">
        <v>4698.33</v>
      </c>
      <c r="X2513" s="48">
        <v>5163</v>
      </c>
    </row>
    <row r="2514" spans="2:24" x14ac:dyDescent="0.35">
      <c r="B2514" s="8" t="s">
        <v>7</v>
      </c>
      <c r="C2514" s="8" t="s">
        <v>49</v>
      </c>
      <c r="D2514" s="8" t="s">
        <v>11</v>
      </c>
      <c r="E2514" s="8" t="s">
        <v>27</v>
      </c>
      <c r="F2514" s="8" t="s">
        <v>33</v>
      </c>
      <c r="G2514" s="8">
        <v>2016</v>
      </c>
      <c r="H2514" s="8">
        <v>12</v>
      </c>
      <c r="I2514" s="10">
        <v>42705</v>
      </c>
      <c r="J2514" s="11">
        <v>3410</v>
      </c>
      <c r="K2514" s="51"/>
      <c r="O2514" s="1" t="s">
        <v>7</v>
      </c>
      <c r="P2514" s="1" t="s">
        <v>49</v>
      </c>
      <c r="Q2514" s="1" t="s">
        <v>11</v>
      </c>
      <c r="R2514" s="1" t="s">
        <v>27</v>
      </c>
      <c r="S2514" s="1" t="s">
        <v>33</v>
      </c>
      <c r="T2514" s="1">
        <v>2016</v>
      </c>
      <c r="U2514" s="1">
        <v>12</v>
      </c>
      <c r="V2514" s="50">
        <v>42705</v>
      </c>
      <c r="W2514" s="4">
        <v>3068.9999999999995</v>
      </c>
      <c r="X2514" s="48">
        <v>3410</v>
      </c>
    </row>
    <row r="2515" spans="2:24" x14ac:dyDescent="0.35">
      <c r="B2515" s="8" t="s">
        <v>7</v>
      </c>
      <c r="C2515" s="8" t="s">
        <v>49</v>
      </c>
      <c r="D2515" s="8" t="s">
        <v>11</v>
      </c>
      <c r="E2515" s="8" t="s">
        <v>23</v>
      </c>
      <c r="F2515" s="6" t="s">
        <v>36</v>
      </c>
      <c r="G2515" s="8">
        <v>2016</v>
      </c>
      <c r="H2515" s="8">
        <v>12</v>
      </c>
      <c r="I2515" s="10">
        <v>42705</v>
      </c>
      <c r="J2515" s="11">
        <v>2422</v>
      </c>
      <c r="K2515" s="51"/>
      <c r="O2515" s="1" t="s">
        <v>7</v>
      </c>
      <c r="P2515" s="1" t="s">
        <v>49</v>
      </c>
      <c r="Q2515" s="1" t="s">
        <v>11</v>
      </c>
      <c r="R2515" s="1" t="s">
        <v>23</v>
      </c>
      <c r="S2515" t="s">
        <v>36</v>
      </c>
      <c r="T2515" s="1">
        <v>2016</v>
      </c>
      <c r="U2515" s="1">
        <v>12</v>
      </c>
      <c r="V2515" s="50">
        <v>42705</v>
      </c>
      <c r="W2515" s="4">
        <v>2107.1400000000003</v>
      </c>
      <c r="X2515" s="48">
        <v>2422</v>
      </c>
    </row>
    <row r="2516" spans="2:24" x14ac:dyDescent="0.35">
      <c r="B2516" s="8" t="s">
        <v>7</v>
      </c>
      <c r="C2516" s="8" t="s">
        <v>43</v>
      </c>
      <c r="D2516" s="8" t="s">
        <v>10</v>
      </c>
      <c r="E2516" s="8" t="s">
        <v>23</v>
      </c>
      <c r="F2516" s="6" t="s">
        <v>36</v>
      </c>
      <c r="G2516" s="8">
        <v>2016</v>
      </c>
      <c r="H2516" s="8">
        <v>12</v>
      </c>
      <c r="I2516" s="10">
        <v>42705</v>
      </c>
      <c r="J2516" s="11">
        <v>2326</v>
      </c>
      <c r="K2516" s="51"/>
      <c r="O2516" s="1" t="s">
        <v>7</v>
      </c>
      <c r="P2516" s="1" t="s">
        <v>43</v>
      </c>
      <c r="Q2516" s="1" t="s">
        <v>10</v>
      </c>
      <c r="R2516" s="1" t="s">
        <v>23</v>
      </c>
      <c r="S2516" t="s">
        <v>36</v>
      </c>
      <c r="T2516" s="1">
        <v>2016</v>
      </c>
      <c r="U2516" s="1">
        <v>12</v>
      </c>
      <c r="V2516" s="50">
        <v>42705</v>
      </c>
      <c r="W2516" s="4">
        <v>2046.8799999999997</v>
      </c>
      <c r="X2516" s="48">
        <v>2326</v>
      </c>
    </row>
    <row r="2517" spans="2:24" x14ac:dyDescent="0.35">
      <c r="B2517" s="8" t="s">
        <v>6</v>
      </c>
      <c r="C2517" s="8" t="s">
        <v>40</v>
      </c>
      <c r="D2517" s="8" t="s">
        <v>41</v>
      </c>
      <c r="E2517" s="8" t="s">
        <v>0</v>
      </c>
      <c r="F2517" s="6" t="s">
        <v>45</v>
      </c>
      <c r="G2517" s="8">
        <v>2016</v>
      </c>
      <c r="H2517" s="8">
        <v>12</v>
      </c>
      <c r="I2517" s="10">
        <v>42705</v>
      </c>
      <c r="J2517" s="11">
        <v>2878</v>
      </c>
      <c r="K2517" s="51"/>
      <c r="O2517" s="1" t="s">
        <v>6</v>
      </c>
      <c r="P2517" s="1" t="s">
        <v>40</v>
      </c>
      <c r="Q2517" s="1" t="s">
        <v>41</v>
      </c>
      <c r="R2517" s="1" t="s">
        <v>0</v>
      </c>
      <c r="S2517" t="s">
        <v>45</v>
      </c>
      <c r="T2517" s="1">
        <v>2016</v>
      </c>
      <c r="U2517" s="1">
        <v>12</v>
      </c>
      <c r="V2517" s="50">
        <v>42705</v>
      </c>
      <c r="W2517" s="4">
        <v>2590.1999999999998</v>
      </c>
      <c r="X2517" s="48">
        <v>2878</v>
      </c>
    </row>
    <row r="2518" spans="2:24" x14ac:dyDescent="0.35">
      <c r="B2518" s="8" t="s">
        <v>7</v>
      </c>
      <c r="C2518" s="8" t="s">
        <v>32</v>
      </c>
      <c r="D2518" s="8" t="s">
        <v>8</v>
      </c>
      <c r="E2518" s="9" t="s">
        <v>27</v>
      </c>
      <c r="F2518" s="9" t="s">
        <v>28</v>
      </c>
      <c r="G2518" s="8">
        <v>2016</v>
      </c>
      <c r="H2518" s="8">
        <v>12</v>
      </c>
      <c r="I2518" s="10">
        <v>42705</v>
      </c>
      <c r="J2518" s="11">
        <v>3622</v>
      </c>
      <c r="K2518" s="51"/>
      <c r="O2518" s="1" t="s">
        <v>7</v>
      </c>
      <c r="P2518" s="1" t="s">
        <v>32</v>
      </c>
      <c r="Q2518" s="1" t="s">
        <v>8</v>
      </c>
      <c r="R2518" s="2" t="s">
        <v>27</v>
      </c>
      <c r="S2518" s="2" t="s">
        <v>28</v>
      </c>
      <c r="T2518" s="1">
        <v>2016</v>
      </c>
      <c r="U2518" s="1">
        <v>12</v>
      </c>
      <c r="V2518" s="50">
        <v>42705</v>
      </c>
      <c r="W2518" s="4">
        <v>3078.7000000000003</v>
      </c>
      <c r="X2518" s="48">
        <v>3622</v>
      </c>
    </row>
    <row r="2519" spans="2:24" x14ac:dyDescent="0.35">
      <c r="B2519" s="8" t="s">
        <v>7</v>
      </c>
      <c r="C2519" s="8" t="s">
        <v>32</v>
      </c>
      <c r="D2519" s="8" t="s">
        <v>8</v>
      </c>
      <c r="E2519" s="8" t="s">
        <v>27</v>
      </c>
      <c r="F2519" s="9" t="s">
        <v>31</v>
      </c>
      <c r="G2519" s="8">
        <v>2016</v>
      </c>
      <c r="H2519" s="8">
        <v>12</v>
      </c>
      <c r="I2519" s="10">
        <v>42705</v>
      </c>
      <c r="J2519" s="11">
        <v>3001</v>
      </c>
      <c r="K2519" s="51"/>
      <c r="O2519" s="1" t="s">
        <v>7</v>
      </c>
      <c r="P2519" s="1" t="s">
        <v>32</v>
      </c>
      <c r="Q2519" s="1" t="s">
        <v>8</v>
      </c>
      <c r="R2519" s="1" t="s">
        <v>27</v>
      </c>
      <c r="S2519" s="2" t="s">
        <v>31</v>
      </c>
      <c r="T2519" s="1">
        <v>2016</v>
      </c>
      <c r="U2519" s="1">
        <v>12</v>
      </c>
      <c r="V2519" s="50">
        <v>42705</v>
      </c>
      <c r="W2519" s="4">
        <v>2670.89</v>
      </c>
      <c r="X2519" s="48">
        <v>3001</v>
      </c>
    </row>
    <row r="2520" spans="2:24" x14ac:dyDescent="0.35">
      <c r="B2520" s="8" t="s">
        <v>6</v>
      </c>
      <c r="C2520" s="8" t="s">
        <v>29</v>
      </c>
      <c r="D2520" s="8" t="s">
        <v>30</v>
      </c>
      <c r="E2520" s="8" t="s">
        <v>23</v>
      </c>
      <c r="F2520" s="6" t="s">
        <v>24</v>
      </c>
      <c r="G2520" s="8">
        <v>2016</v>
      </c>
      <c r="H2520" s="8">
        <v>12</v>
      </c>
      <c r="I2520" s="10">
        <v>42705</v>
      </c>
      <c r="J2520" s="11">
        <v>2846</v>
      </c>
      <c r="K2520" s="51"/>
      <c r="O2520" s="1" t="s">
        <v>6</v>
      </c>
      <c r="P2520" s="1" t="s">
        <v>29</v>
      </c>
      <c r="Q2520" s="1" t="s">
        <v>30</v>
      </c>
      <c r="R2520" s="1" t="s">
        <v>23</v>
      </c>
      <c r="S2520" t="s">
        <v>24</v>
      </c>
      <c r="T2520" s="1">
        <v>2016</v>
      </c>
      <c r="U2520" s="1">
        <v>12</v>
      </c>
      <c r="V2520" s="50">
        <v>42705</v>
      </c>
      <c r="W2520" s="4">
        <v>2476.0200000000004</v>
      </c>
      <c r="X2520" s="48">
        <v>2846</v>
      </c>
    </row>
    <row r="2521" spans="2:24" x14ac:dyDescent="0.35">
      <c r="B2521" s="8" t="s">
        <v>7</v>
      </c>
      <c r="C2521" s="8" t="s">
        <v>48</v>
      </c>
      <c r="D2521" s="8" t="s">
        <v>9</v>
      </c>
      <c r="E2521" s="8" t="s">
        <v>0</v>
      </c>
      <c r="F2521" s="8" t="s">
        <v>42</v>
      </c>
      <c r="G2521" s="8">
        <v>2016</v>
      </c>
      <c r="H2521" s="8">
        <v>12</v>
      </c>
      <c r="I2521" s="10">
        <v>42705</v>
      </c>
      <c r="J2521" s="11">
        <v>5272</v>
      </c>
      <c r="K2521" s="51"/>
      <c r="O2521" s="1" t="s">
        <v>7</v>
      </c>
      <c r="P2521" s="1" t="s">
        <v>48</v>
      </c>
      <c r="Q2521" s="1" t="s">
        <v>9</v>
      </c>
      <c r="R2521" s="1" t="s">
        <v>0</v>
      </c>
      <c r="S2521" s="1" t="s">
        <v>42</v>
      </c>
      <c r="T2521" s="1">
        <v>2016</v>
      </c>
      <c r="U2521" s="1">
        <v>12</v>
      </c>
      <c r="V2521" s="50">
        <v>42705</v>
      </c>
      <c r="W2521" s="4">
        <v>4902.96</v>
      </c>
      <c r="X2521" s="48">
        <v>5272</v>
      </c>
    </row>
    <row r="2522" spans="2:24" x14ac:dyDescent="0.35">
      <c r="B2522" s="8" t="s">
        <v>7</v>
      </c>
      <c r="C2522" s="8" t="s">
        <v>48</v>
      </c>
      <c r="D2522" s="8" t="s">
        <v>9</v>
      </c>
      <c r="E2522" s="8" t="s">
        <v>0</v>
      </c>
      <c r="F2522" s="8" t="s">
        <v>26</v>
      </c>
      <c r="G2522" s="8">
        <v>2016</v>
      </c>
      <c r="H2522" s="8">
        <v>12</v>
      </c>
      <c r="I2522" s="10">
        <v>42705</v>
      </c>
      <c r="J2522" s="11">
        <v>2885</v>
      </c>
      <c r="K2522" s="51"/>
      <c r="O2522" s="1" t="s">
        <v>7</v>
      </c>
      <c r="P2522" s="1" t="s">
        <v>48</v>
      </c>
      <c r="Q2522" s="1" t="s">
        <v>9</v>
      </c>
      <c r="R2522" s="1" t="s">
        <v>0</v>
      </c>
      <c r="S2522" s="1" t="s">
        <v>26</v>
      </c>
      <c r="T2522" s="1">
        <v>2016</v>
      </c>
      <c r="U2522" s="1">
        <v>12</v>
      </c>
      <c r="V2522" s="50">
        <v>42705</v>
      </c>
      <c r="W2522" s="4">
        <v>2683.0499999999997</v>
      </c>
      <c r="X2522" s="48">
        <v>2885</v>
      </c>
    </row>
    <row r="2523" spans="2:24" x14ac:dyDescent="0.35">
      <c r="B2523" s="8" t="s">
        <v>7</v>
      </c>
      <c r="C2523" s="8" t="s">
        <v>49</v>
      </c>
      <c r="D2523" s="8" t="s">
        <v>11</v>
      </c>
      <c r="E2523" s="8" t="s">
        <v>0</v>
      </c>
      <c r="F2523" s="8" t="s">
        <v>45</v>
      </c>
      <c r="G2523" s="8">
        <v>2016</v>
      </c>
      <c r="H2523" s="8">
        <v>12</v>
      </c>
      <c r="I2523" s="10">
        <v>42705</v>
      </c>
      <c r="J2523" s="11">
        <v>3873</v>
      </c>
      <c r="K2523" s="51"/>
      <c r="O2523" s="1" t="s">
        <v>7</v>
      </c>
      <c r="P2523" s="1" t="s">
        <v>49</v>
      </c>
      <c r="Q2523" s="1" t="s">
        <v>11</v>
      </c>
      <c r="R2523" s="1" t="s">
        <v>0</v>
      </c>
      <c r="S2523" s="1" t="s">
        <v>45</v>
      </c>
      <c r="T2523" s="1">
        <v>2016</v>
      </c>
      <c r="U2523" s="1">
        <v>12</v>
      </c>
      <c r="V2523" s="50">
        <v>42705</v>
      </c>
      <c r="W2523" s="4">
        <v>3601.89</v>
      </c>
      <c r="X2523" s="48">
        <v>3873</v>
      </c>
    </row>
    <row r="2524" spans="2:24" x14ac:dyDescent="0.35">
      <c r="B2524" s="8" t="s">
        <v>7</v>
      </c>
      <c r="C2524" s="8" t="s">
        <v>49</v>
      </c>
      <c r="D2524" s="8" t="s">
        <v>11</v>
      </c>
      <c r="E2524" s="8" t="s">
        <v>27</v>
      </c>
      <c r="F2524" s="6" t="s">
        <v>28</v>
      </c>
      <c r="G2524" s="8">
        <v>2016</v>
      </c>
      <c r="H2524" s="8">
        <v>12</v>
      </c>
      <c r="I2524" s="10">
        <v>42705</v>
      </c>
      <c r="J2524" s="11">
        <v>3486</v>
      </c>
      <c r="K2524" s="51"/>
      <c r="O2524" s="1" t="s">
        <v>7</v>
      </c>
      <c r="P2524" s="1" t="s">
        <v>49</v>
      </c>
      <c r="Q2524" s="1" t="s">
        <v>11</v>
      </c>
      <c r="R2524" s="1" t="s">
        <v>27</v>
      </c>
      <c r="S2524" t="s">
        <v>28</v>
      </c>
      <c r="T2524" s="1">
        <v>2016</v>
      </c>
      <c r="U2524" s="1">
        <v>12</v>
      </c>
      <c r="V2524" s="50">
        <v>42705</v>
      </c>
      <c r="W2524" s="4">
        <v>3172.2599999999998</v>
      </c>
      <c r="X2524" s="48">
        <v>3486</v>
      </c>
    </row>
    <row r="2525" spans="2:24" x14ac:dyDescent="0.35">
      <c r="B2525" s="8" t="s">
        <v>12</v>
      </c>
      <c r="C2525" s="8" t="s">
        <v>34</v>
      </c>
      <c r="D2525" s="8" t="s">
        <v>35</v>
      </c>
      <c r="E2525" s="8" t="s">
        <v>27</v>
      </c>
      <c r="F2525" s="6" t="s">
        <v>31</v>
      </c>
      <c r="G2525" s="8">
        <v>2016</v>
      </c>
      <c r="H2525" s="8">
        <v>12</v>
      </c>
      <c r="I2525" s="10">
        <v>42705</v>
      </c>
      <c r="J2525" s="11">
        <v>3095</v>
      </c>
      <c r="K2525" s="51"/>
      <c r="O2525" s="1" t="s">
        <v>12</v>
      </c>
      <c r="P2525" s="1" t="s">
        <v>34</v>
      </c>
      <c r="Q2525" s="1" t="s">
        <v>35</v>
      </c>
      <c r="R2525" s="1" t="s">
        <v>27</v>
      </c>
      <c r="S2525" t="s">
        <v>31</v>
      </c>
      <c r="T2525" s="1">
        <v>2016</v>
      </c>
      <c r="U2525" s="1">
        <v>12</v>
      </c>
      <c r="V2525" s="50">
        <v>42705</v>
      </c>
      <c r="W2525" s="4">
        <v>2878.35</v>
      </c>
      <c r="X2525" s="48">
        <v>3095</v>
      </c>
    </row>
    <row r="2526" spans="2:24" x14ac:dyDescent="0.35">
      <c r="B2526" s="8" t="s">
        <v>12</v>
      </c>
      <c r="C2526" s="8" t="s">
        <v>34</v>
      </c>
      <c r="D2526" s="8" t="s">
        <v>35</v>
      </c>
      <c r="E2526" s="8" t="s">
        <v>27</v>
      </c>
      <c r="F2526" s="6" t="s">
        <v>33</v>
      </c>
      <c r="G2526" s="8">
        <v>2016</v>
      </c>
      <c r="H2526" s="8">
        <v>12</v>
      </c>
      <c r="I2526" s="10">
        <v>42705</v>
      </c>
      <c r="J2526" s="11">
        <v>3366</v>
      </c>
      <c r="K2526" s="51"/>
      <c r="O2526" s="1" t="s">
        <v>12</v>
      </c>
      <c r="P2526" s="1" t="s">
        <v>34</v>
      </c>
      <c r="Q2526" s="1" t="s">
        <v>35</v>
      </c>
      <c r="R2526" s="1" t="s">
        <v>27</v>
      </c>
      <c r="S2526" t="s">
        <v>33</v>
      </c>
      <c r="T2526" s="1">
        <v>2016</v>
      </c>
      <c r="U2526" s="1">
        <v>12</v>
      </c>
      <c r="V2526" s="50">
        <v>42705</v>
      </c>
      <c r="W2526" s="4">
        <v>3096.72</v>
      </c>
      <c r="X2526" s="48">
        <v>3366</v>
      </c>
    </row>
    <row r="2527" spans="2:24" x14ac:dyDescent="0.35">
      <c r="B2527" s="8" t="s">
        <v>14</v>
      </c>
      <c r="C2527" s="8" t="s">
        <v>37</v>
      </c>
      <c r="D2527" s="8" t="s">
        <v>38</v>
      </c>
      <c r="E2527" s="9" t="s">
        <v>23</v>
      </c>
      <c r="F2527" s="9" t="s">
        <v>36</v>
      </c>
      <c r="G2527" s="8">
        <v>2016</v>
      </c>
      <c r="H2527" s="8">
        <v>12</v>
      </c>
      <c r="I2527" s="10">
        <v>42705</v>
      </c>
      <c r="J2527" s="11">
        <v>2435</v>
      </c>
      <c r="K2527" s="51"/>
      <c r="O2527" s="1" t="s">
        <v>14</v>
      </c>
      <c r="P2527" s="1" t="s">
        <v>37</v>
      </c>
      <c r="Q2527" s="1" t="s">
        <v>38</v>
      </c>
      <c r="R2527" s="2" t="s">
        <v>23</v>
      </c>
      <c r="S2527" s="2" t="s">
        <v>36</v>
      </c>
      <c r="T2527" s="1">
        <v>2016</v>
      </c>
      <c r="U2527" s="1">
        <v>12</v>
      </c>
      <c r="V2527" s="50">
        <v>42705</v>
      </c>
      <c r="W2527" s="4">
        <v>2264.5499999999997</v>
      </c>
      <c r="X2527" s="48">
        <v>2435</v>
      </c>
    </row>
    <row r="2528" spans="2:24" x14ac:dyDescent="0.35">
      <c r="B2528" s="8" t="s">
        <v>12</v>
      </c>
      <c r="C2528" s="8" t="s">
        <v>44</v>
      </c>
      <c r="D2528" s="8" t="s">
        <v>13</v>
      </c>
      <c r="E2528" s="8" t="s">
        <v>23</v>
      </c>
      <c r="F2528" s="9" t="s">
        <v>39</v>
      </c>
      <c r="G2528" s="8">
        <v>2016</v>
      </c>
      <c r="H2528" s="8">
        <v>12</v>
      </c>
      <c r="I2528" s="10">
        <v>42705</v>
      </c>
      <c r="J2528" s="11">
        <v>1781</v>
      </c>
      <c r="K2528" s="51"/>
      <c r="O2528" s="1" t="s">
        <v>12</v>
      </c>
      <c r="P2528" s="1" t="s">
        <v>44</v>
      </c>
      <c r="Q2528" s="1" t="s">
        <v>13</v>
      </c>
      <c r="R2528" s="1" t="s">
        <v>23</v>
      </c>
      <c r="S2528" s="2" t="s">
        <v>39</v>
      </c>
      <c r="T2528" s="1">
        <v>2016</v>
      </c>
      <c r="U2528" s="1">
        <v>12</v>
      </c>
      <c r="V2528" s="50">
        <v>42705</v>
      </c>
      <c r="W2528" s="4">
        <v>1567.2799999999997</v>
      </c>
      <c r="X2528" s="48">
        <v>1781</v>
      </c>
    </row>
    <row r="2529" spans="2:24" x14ac:dyDescent="0.35">
      <c r="B2529" s="8" t="s">
        <v>12</v>
      </c>
      <c r="C2529" s="8" t="s">
        <v>44</v>
      </c>
      <c r="D2529" s="8" t="s">
        <v>13</v>
      </c>
      <c r="E2529" s="8" t="s">
        <v>0</v>
      </c>
      <c r="F2529" s="6" t="s">
        <v>42</v>
      </c>
      <c r="G2529" s="8">
        <v>2016</v>
      </c>
      <c r="H2529" s="8">
        <v>12</v>
      </c>
      <c r="I2529" s="10">
        <v>42705</v>
      </c>
      <c r="J2529" s="11">
        <v>6290</v>
      </c>
      <c r="K2529" s="51"/>
      <c r="O2529" s="1" t="s">
        <v>12</v>
      </c>
      <c r="P2529" s="1" t="s">
        <v>44</v>
      </c>
      <c r="Q2529" s="1" t="s">
        <v>13</v>
      </c>
      <c r="R2529" s="1" t="s">
        <v>0</v>
      </c>
      <c r="S2529" t="s">
        <v>42</v>
      </c>
      <c r="T2529" s="1">
        <v>2016</v>
      </c>
      <c r="U2529" s="1">
        <v>12</v>
      </c>
      <c r="V2529" s="50">
        <v>42705</v>
      </c>
      <c r="W2529" s="4">
        <v>5409.4000000000005</v>
      </c>
      <c r="X2529" s="48">
        <v>6290</v>
      </c>
    </row>
    <row r="2530" spans="2:24" x14ac:dyDescent="0.35">
      <c r="B2530" s="8" t="s">
        <v>14</v>
      </c>
      <c r="C2530" s="8" t="s">
        <v>46</v>
      </c>
      <c r="D2530" s="8" t="s">
        <v>47</v>
      </c>
      <c r="E2530" s="8" t="s">
        <v>0</v>
      </c>
      <c r="F2530" s="8" t="s">
        <v>26</v>
      </c>
      <c r="G2530" s="8">
        <v>2016</v>
      </c>
      <c r="H2530" s="8">
        <v>12</v>
      </c>
      <c r="I2530" s="10">
        <v>42705</v>
      </c>
      <c r="J2530" s="11">
        <v>3382</v>
      </c>
      <c r="K2530" s="51"/>
      <c r="O2530" s="1" t="s">
        <v>14</v>
      </c>
      <c r="P2530" s="1" t="s">
        <v>46</v>
      </c>
      <c r="Q2530" s="1" t="s">
        <v>47</v>
      </c>
      <c r="R2530" s="1" t="s">
        <v>0</v>
      </c>
      <c r="S2530" s="1" t="s">
        <v>26</v>
      </c>
      <c r="T2530" s="1">
        <v>2016</v>
      </c>
      <c r="U2530" s="1">
        <v>12</v>
      </c>
      <c r="V2530" s="50">
        <v>42705</v>
      </c>
      <c r="W2530" s="4">
        <v>3043.7999999999997</v>
      </c>
      <c r="X2530" s="48">
        <v>3382</v>
      </c>
    </row>
    <row r="2531" spans="2:24" x14ac:dyDescent="0.35">
      <c r="B2531" s="8" t="s">
        <v>14</v>
      </c>
      <c r="C2531" s="8" t="s">
        <v>46</v>
      </c>
      <c r="D2531" s="8" t="s">
        <v>47</v>
      </c>
      <c r="E2531" s="8" t="s">
        <v>0</v>
      </c>
      <c r="F2531" s="8" t="s">
        <v>45</v>
      </c>
      <c r="G2531" s="8">
        <v>2016</v>
      </c>
      <c r="H2531" s="8">
        <v>12</v>
      </c>
      <c r="I2531" s="10">
        <v>42705</v>
      </c>
      <c r="J2531" s="11">
        <v>4757</v>
      </c>
      <c r="K2531" s="51"/>
      <c r="O2531" s="1" t="s">
        <v>14</v>
      </c>
      <c r="P2531" s="1" t="s">
        <v>46</v>
      </c>
      <c r="Q2531" s="1" t="s">
        <v>47</v>
      </c>
      <c r="R2531" s="1" t="s">
        <v>0</v>
      </c>
      <c r="S2531" s="1" t="s">
        <v>45</v>
      </c>
      <c r="T2531" s="1">
        <v>2016</v>
      </c>
      <c r="U2531" s="1">
        <v>12</v>
      </c>
      <c r="V2531" s="50">
        <v>42705</v>
      </c>
      <c r="W2531" s="4">
        <v>4471.58</v>
      </c>
      <c r="X2531" s="48">
        <v>4757</v>
      </c>
    </row>
    <row r="2532" spans="2:24" x14ac:dyDescent="0.35">
      <c r="B2532" s="8" t="s">
        <v>3</v>
      </c>
      <c r="C2532" s="8" t="s">
        <v>25</v>
      </c>
      <c r="D2532" s="8" t="s">
        <v>4</v>
      </c>
      <c r="E2532" s="8" t="s">
        <v>27</v>
      </c>
      <c r="F2532" s="8" t="s">
        <v>33</v>
      </c>
      <c r="G2532" s="8">
        <v>2016</v>
      </c>
      <c r="H2532" s="8">
        <v>12</v>
      </c>
      <c r="I2532" s="10">
        <v>42705</v>
      </c>
      <c r="J2532" s="11">
        <v>3613</v>
      </c>
      <c r="K2532" s="51"/>
      <c r="O2532" s="1" t="s">
        <v>3</v>
      </c>
      <c r="P2532" s="1" t="s">
        <v>25</v>
      </c>
      <c r="Q2532" s="1" t="s">
        <v>4</v>
      </c>
      <c r="R2532" s="1" t="s">
        <v>27</v>
      </c>
      <c r="S2532" s="1" t="s">
        <v>33</v>
      </c>
      <c r="T2532" s="1">
        <v>2016</v>
      </c>
      <c r="U2532" s="1">
        <v>12</v>
      </c>
      <c r="V2532" s="50">
        <v>42705</v>
      </c>
      <c r="W2532" s="4">
        <v>3071.05</v>
      </c>
      <c r="X2532" s="48">
        <v>3613</v>
      </c>
    </row>
    <row r="2533" spans="2:24" x14ac:dyDescent="0.35">
      <c r="B2533" s="8" t="s">
        <v>3</v>
      </c>
      <c r="C2533" s="8" t="s">
        <v>25</v>
      </c>
      <c r="D2533" s="8" t="s">
        <v>4</v>
      </c>
      <c r="E2533" s="8" t="s">
        <v>23</v>
      </c>
      <c r="F2533" s="6" t="s">
        <v>36</v>
      </c>
      <c r="G2533" s="8">
        <v>2016</v>
      </c>
      <c r="H2533" s="8">
        <v>12</v>
      </c>
      <c r="I2533" s="10">
        <v>42705</v>
      </c>
      <c r="J2533" s="11">
        <v>2674</v>
      </c>
      <c r="K2533" s="51"/>
      <c r="O2533" s="1" t="s">
        <v>3</v>
      </c>
      <c r="P2533" s="1" t="s">
        <v>25</v>
      </c>
      <c r="Q2533" s="1" t="s">
        <v>4</v>
      </c>
      <c r="R2533" s="1" t="s">
        <v>23</v>
      </c>
      <c r="S2533" t="s">
        <v>36</v>
      </c>
      <c r="T2533" s="1">
        <v>2016</v>
      </c>
      <c r="U2533" s="1">
        <v>12</v>
      </c>
      <c r="V2533" s="50">
        <v>42705</v>
      </c>
      <c r="W2533" s="4">
        <v>2353.12</v>
      </c>
      <c r="X2533" s="48">
        <v>2674</v>
      </c>
    </row>
    <row r="2534" spans="2:24" x14ac:dyDescent="0.35">
      <c r="B2534" s="8" t="s">
        <v>6</v>
      </c>
      <c r="C2534" s="8" t="s">
        <v>40</v>
      </c>
      <c r="D2534" s="8" t="s">
        <v>41</v>
      </c>
      <c r="E2534" s="8" t="s">
        <v>23</v>
      </c>
      <c r="F2534" s="6" t="s">
        <v>39</v>
      </c>
      <c r="G2534" s="8">
        <v>2016</v>
      </c>
      <c r="H2534" s="8">
        <v>12</v>
      </c>
      <c r="I2534" s="10">
        <v>42705</v>
      </c>
      <c r="J2534" s="11">
        <v>1784</v>
      </c>
      <c r="K2534" s="51"/>
      <c r="O2534" s="1" t="s">
        <v>6</v>
      </c>
      <c r="P2534" s="1" t="s">
        <v>40</v>
      </c>
      <c r="Q2534" s="1" t="s">
        <v>41</v>
      </c>
      <c r="R2534" s="1" t="s">
        <v>23</v>
      </c>
      <c r="S2534" t="s">
        <v>39</v>
      </c>
      <c r="T2534" s="1">
        <v>2016</v>
      </c>
      <c r="U2534" s="1">
        <v>12</v>
      </c>
      <c r="V2534" s="50">
        <v>42705</v>
      </c>
      <c r="W2534" s="4">
        <v>1676.9599999999998</v>
      </c>
      <c r="X2534" s="48">
        <v>1784</v>
      </c>
    </row>
    <row r="2535" spans="2:24" x14ac:dyDescent="0.35">
      <c r="B2535" s="8" t="s">
        <v>7</v>
      </c>
      <c r="C2535" s="8" t="s">
        <v>48</v>
      </c>
      <c r="D2535" s="8" t="s">
        <v>9</v>
      </c>
      <c r="E2535" s="8" t="s">
        <v>0</v>
      </c>
      <c r="F2535" s="6" t="s">
        <v>45</v>
      </c>
      <c r="G2535" s="8">
        <v>2016</v>
      </c>
      <c r="H2535" s="8">
        <v>12</v>
      </c>
      <c r="I2535" s="10">
        <v>42705</v>
      </c>
      <c r="J2535" s="11">
        <v>3967</v>
      </c>
      <c r="K2535" s="51"/>
      <c r="O2535" s="1" t="s">
        <v>7</v>
      </c>
      <c r="P2535" s="1" t="s">
        <v>48</v>
      </c>
      <c r="Q2535" s="1" t="s">
        <v>9</v>
      </c>
      <c r="R2535" s="1" t="s">
        <v>0</v>
      </c>
      <c r="S2535" t="s">
        <v>45</v>
      </c>
      <c r="T2535" s="1">
        <v>2016</v>
      </c>
      <c r="U2535" s="1">
        <v>12</v>
      </c>
      <c r="V2535" s="50">
        <v>42705</v>
      </c>
      <c r="W2535" s="4">
        <v>3530.6299999999997</v>
      </c>
      <c r="X2535" s="48">
        <v>3967</v>
      </c>
    </row>
    <row r="2536" spans="2:24" x14ac:dyDescent="0.35">
      <c r="B2536" s="8" t="s">
        <v>7</v>
      </c>
      <c r="C2536" s="8" t="s">
        <v>49</v>
      </c>
      <c r="D2536" s="8" t="s">
        <v>11</v>
      </c>
      <c r="E2536" s="9" t="s">
        <v>27</v>
      </c>
      <c r="F2536" s="9" t="s">
        <v>31</v>
      </c>
      <c r="G2536" s="8">
        <v>2016</v>
      </c>
      <c r="H2536" s="8">
        <v>12</v>
      </c>
      <c r="I2536" s="10">
        <v>42705</v>
      </c>
      <c r="J2536" s="11">
        <v>3835</v>
      </c>
      <c r="K2536" s="51"/>
      <c r="O2536" s="1" t="s">
        <v>7</v>
      </c>
      <c r="P2536" s="1" t="s">
        <v>49</v>
      </c>
      <c r="Q2536" s="1" t="s">
        <v>11</v>
      </c>
      <c r="R2536" s="2" t="s">
        <v>27</v>
      </c>
      <c r="S2536" s="2" t="s">
        <v>31</v>
      </c>
      <c r="T2536" s="1">
        <v>2016</v>
      </c>
      <c r="U2536" s="1">
        <v>12</v>
      </c>
      <c r="V2536" s="50">
        <v>42705</v>
      </c>
      <c r="W2536" s="4">
        <v>3528.2</v>
      </c>
      <c r="X2536" s="48">
        <v>3835</v>
      </c>
    </row>
    <row r="2537" spans="2:24" x14ac:dyDescent="0.35">
      <c r="B2537" s="8" t="s">
        <v>7</v>
      </c>
      <c r="C2537" s="8" t="s">
        <v>43</v>
      </c>
      <c r="D2537" s="8" t="s">
        <v>10</v>
      </c>
      <c r="E2537" s="8" t="s">
        <v>27</v>
      </c>
      <c r="F2537" s="9" t="s">
        <v>33</v>
      </c>
      <c r="G2537" s="8">
        <v>2016</v>
      </c>
      <c r="H2537" s="8">
        <v>12</v>
      </c>
      <c r="I2537" s="10">
        <v>42705</v>
      </c>
      <c r="J2537" s="11">
        <v>3237</v>
      </c>
      <c r="K2537" s="51"/>
      <c r="O2537" s="1" t="s">
        <v>7</v>
      </c>
      <c r="P2537" s="1" t="s">
        <v>43</v>
      </c>
      <c r="Q2537" s="1" t="s">
        <v>10</v>
      </c>
      <c r="R2537" s="1" t="s">
        <v>27</v>
      </c>
      <c r="S2537" s="2" t="s">
        <v>33</v>
      </c>
      <c r="T2537" s="1">
        <v>2016</v>
      </c>
      <c r="U2537" s="1">
        <v>12</v>
      </c>
      <c r="V2537" s="50">
        <v>42705</v>
      </c>
      <c r="W2537" s="4">
        <v>2945.6699999999996</v>
      </c>
      <c r="X2537" s="48">
        <v>3237</v>
      </c>
    </row>
    <row r="2538" spans="2:24" x14ac:dyDescent="0.35">
      <c r="B2538" s="8" t="s">
        <v>7</v>
      </c>
      <c r="C2538" s="8" t="s">
        <v>32</v>
      </c>
      <c r="D2538" s="8" t="s">
        <v>8</v>
      </c>
      <c r="E2538" s="8" t="s">
        <v>0</v>
      </c>
      <c r="F2538" s="6" t="s">
        <v>45</v>
      </c>
      <c r="G2538" s="8">
        <v>2016</v>
      </c>
      <c r="H2538" s="8">
        <v>12</v>
      </c>
      <c r="I2538" s="10">
        <v>42705</v>
      </c>
      <c r="J2538" s="11">
        <v>3359</v>
      </c>
      <c r="K2538" s="51"/>
      <c r="O2538" s="1" t="s">
        <v>7</v>
      </c>
      <c r="P2538" s="1" t="s">
        <v>32</v>
      </c>
      <c r="Q2538" s="1" t="s">
        <v>8</v>
      </c>
      <c r="R2538" s="1" t="s">
        <v>0</v>
      </c>
      <c r="S2538" t="s">
        <v>45</v>
      </c>
      <c r="T2538" s="1">
        <v>2016</v>
      </c>
      <c r="U2538" s="1">
        <v>12</v>
      </c>
      <c r="V2538" s="50">
        <v>42705</v>
      </c>
      <c r="W2538" s="4">
        <v>3090.2799999999997</v>
      </c>
      <c r="X2538" s="48">
        <v>3359</v>
      </c>
    </row>
    <row r="2539" spans="2:24" x14ac:dyDescent="0.35">
      <c r="B2539" s="8" t="s">
        <v>7</v>
      </c>
      <c r="C2539" s="8" t="s">
        <v>48</v>
      </c>
      <c r="D2539" s="8" t="s">
        <v>9</v>
      </c>
      <c r="E2539" s="8" t="s">
        <v>23</v>
      </c>
      <c r="F2539" s="8" t="s">
        <v>39</v>
      </c>
      <c r="G2539" s="8">
        <v>2016</v>
      </c>
      <c r="H2539" s="8">
        <v>12</v>
      </c>
      <c r="I2539" s="10">
        <v>42705</v>
      </c>
      <c r="J2539" s="11">
        <v>2536</v>
      </c>
      <c r="K2539" s="51"/>
      <c r="O2539" s="1" t="s">
        <v>7</v>
      </c>
      <c r="P2539" s="1" t="s">
        <v>48</v>
      </c>
      <c r="Q2539" s="1" t="s">
        <v>9</v>
      </c>
      <c r="R2539" s="1" t="s">
        <v>23</v>
      </c>
      <c r="S2539" s="1" t="s">
        <v>39</v>
      </c>
      <c r="T2539" s="1">
        <v>2016</v>
      </c>
      <c r="U2539" s="1">
        <v>12</v>
      </c>
      <c r="V2539" s="50">
        <v>42705</v>
      </c>
      <c r="W2539" s="4">
        <v>2155.6000000000004</v>
      </c>
      <c r="X2539" s="48">
        <v>2536</v>
      </c>
    </row>
    <row r="2540" spans="2:24" x14ac:dyDescent="0.35">
      <c r="B2540" s="8" t="s">
        <v>7</v>
      </c>
      <c r="C2540" s="8" t="s">
        <v>49</v>
      </c>
      <c r="D2540" s="8" t="s">
        <v>11</v>
      </c>
      <c r="E2540" s="8" t="s">
        <v>0</v>
      </c>
      <c r="F2540" s="8" t="s">
        <v>26</v>
      </c>
      <c r="G2540" s="8">
        <v>2016</v>
      </c>
      <c r="H2540" s="8">
        <v>12</v>
      </c>
      <c r="I2540" s="10">
        <v>42705</v>
      </c>
      <c r="J2540" s="11">
        <v>3939</v>
      </c>
      <c r="K2540" s="51"/>
      <c r="O2540" s="1" t="s">
        <v>7</v>
      </c>
      <c r="P2540" s="1" t="s">
        <v>49</v>
      </c>
      <c r="Q2540" s="1" t="s">
        <v>11</v>
      </c>
      <c r="R2540" s="1" t="s">
        <v>0</v>
      </c>
      <c r="S2540" s="1" t="s">
        <v>26</v>
      </c>
      <c r="T2540" s="1">
        <v>2016</v>
      </c>
      <c r="U2540" s="1">
        <v>12</v>
      </c>
      <c r="V2540" s="50">
        <v>42705</v>
      </c>
      <c r="W2540" s="4">
        <v>3387.5400000000004</v>
      </c>
      <c r="X2540" s="48">
        <v>3939</v>
      </c>
    </row>
    <row r="2541" spans="2:24" x14ac:dyDescent="0.35">
      <c r="B2541" s="8" t="s">
        <v>12</v>
      </c>
      <c r="C2541" s="8" t="s">
        <v>34</v>
      </c>
      <c r="D2541" s="8" t="s">
        <v>35</v>
      </c>
      <c r="E2541" s="8" t="s">
        <v>27</v>
      </c>
      <c r="F2541" s="8" t="s">
        <v>28</v>
      </c>
      <c r="G2541" s="8">
        <v>2016</v>
      </c>
      <c r="H2541" s="8">
        <v>12</v>
      </c>
      <c r="I2541" s="10">
        <v>42705</v>
      </c>
      <c r="J2541" s="11">
        <v>4357</v>
      </c>
      <c r="K2541" s="51"/>
      <c r="O2541" s="1" t="s">
        <v>12</v>
      </c>
      <c r="P2541" s="1" t="s">
        <v>34</v>
      </c>
      <c r="Q2541" s="1" t="s">
        <v>35</v>
      </c>
      <c r="R2541" s="1" t="s">
        <v>27</v>
      </c>
      <c r="S2541" s="1" t="s">
        <v>28</v>
      </c>
      <c r="T2541" s="1">
        <v>2016</v>
      </c>
      <c r="U2541" s="1">
        <v>12</v>
      </c>
      <c r="V2541" s="50">
        <v>42705</v>
      </c>
      <c r="W2541" s="4">
        <v>4095.58</v>
      </c>
      <c r="X2541" s="48">
        <v>4357</v>
      </c>
    </row>
    <row r="2542" spans="2:24" x14ac:dyDescent="0.35">
      <c r="B2542" s="8" t="s">
        <v>14</v>
      </c>
      <c r="C2542" s="8" t="s">
        <v>37</v>
      </c>
      <c r="D2542" s="8" t="s">
        <v>38</v>
      </c>
      <c r="E2542" s="8" t="s">
        <v>27</v>
      </c>
      <c r="F2542" s="6" t="s">
        <v>33</v>
      </c>
      <c r="G2542" s="8">
        <v>2016</v>
      </c>
      <c r="H2542" s="8">
        <v>12</v>
      </c>
      <c r="I2542" s="10">
        <v>42705</v>
      </c>
      <c r="J2542" s="11">
        <v>2991</v>
      </c>
      <c r="K2542" s="51"/>
      <c r="O2542" s="1" t="s">
        <v>14</v>
      </c>
      <c r="P2542" s="1" t="s">
        <v>37</v>
      </c>
      <c r="Q2542" s="1" t="s">
        <v>38</v>
      </c>
      <c r="R2542" s="1" t="s">
        <v>27</v>
      </c>
      <c r="S2542" t="s">
        <v>33</v>
      </c>
      <c r="T2542" s="1">
        <v>2016</v>
      </c>
      <c r="U2542" s="1">
        <v>12</v>
      </c>
      <c r="V2542" s="50">
        <v>42705</v>
      </c>
      <c r="W2542" s="4">
        <v>2751.72</v>
      </c>
      <c r="X2542" s="48">
        <v>2991</v>
      </c>
    </row>
    <row r="2543" spans="2:24" x14ac:dyDescent="0.35">
      <c r="B2543" s="8" t="s">
        <v>12</v>
      </c>
      <c r="C2543" s="8" t="s">
        <v>44</v>
      </c>
      <c r="D2543" s="8" t="s">
        <v>13</v>
      </c>
      <c r="E2543" s="8" t="s">
        <v>23</v>
      </c>
      <c r="F2543" s="6" t="s">
        <v>24</v>
      </c>
      <c r="G2543" s="8">
        <v>2016</v>
      </c>
      <c r="H2543" s="8">
        <v>12</v>
      </c>
      <c r="I2543" s="10">
        <v>42705</v>
      </c>
      <c r="J2543" s="11">
        <v>3330</v>
      </c>
      <c r="K2543" s="51"/>
      <c r="O2543" s="1" t="s">
        <v>12</v>
      </c>
      <c r="P2543" s="1" t="s">
        <v>44</v>
      </c>
      <c r="Q2543" s="1" t="s">
        <v>13</v>
      </c>
      <c r="R2543" s="1" t="s">
        <v>23</v>
      </c>
      <c r="S2543" t="s">
        <v>24</v>
      </c>
      <c r="T2543" s="1">
        <v>2016</v>
      </c>
      <c r="U2543" s="1">
        <v>12</v>
      </c>
      <c r="V2543" s="50">
        <v>42705</v>
      </c>
      <c r="W2543" s="4">
        <v>2863.8</v>
      </c>
      <c r="X2543" s="48">
        <v>3330</v>
      </c>
    </row>
    <row r="2544" spans="2:24" x14ac:dyDescent="0.35">
      <c r="B2544" s="8" t="s">
        <v>14</v>
      </c>
      <c r="C2544" s="8" t="s">
        <v>46</v>
      </c>
      <c r="D2544" s="8" t="s">
        <v>47</v>
      </c>
      <c r="E2544" s="8" t="s">
        <v>0</v>
      </c>
      <c r="F2544" s="6" t="s">
        <v>42</v>
      </c>
      <c r="G2544" s="8">
        <v>2016</v>
      </c>
      <c r="H2544" s="8">
        <v>12</v>
      </c>
      <c r="I2544" s="10">
        <v>42705</v>
      </c>
      <c r="J2544" s="11">
        <v>5092</v>
      </c>
      <c r="K2544" s="51"/>
      <c r="O2544" s="1" t="s">
        <v>14</v>
      </c>
      <c r="P2544" s="1" t="s">
        <v>46</v>
      </c>
      <c r="Q2544" s="1" t="s">
        <v>47</v>
      </c>
      <c r="R2544" s="1" t="s">
        <v>0</v>
      </c>
      <c r="S2544" t="s">
        <v>42</v>
      </c>
      <c r="T2544" s="1">
        <v>2016</v>
      </c>
      <c r="U2544" s="1">
        <v>12</v>
      </c>
      <c r="V2544" s="50">
        <v>42705</v>
      </c>
      <c r="W2544" s="4">
        <v>4633.7199999999993</v>
      </c>
      <c r="X2544" s="48">
        <v>5092</v>
      </c>
    </row>
    <row r="2545" spans="2:24" x14ac:dyDescent="0.35">
      <c r="B2545" s="8" t="s">
        <v>7</v>
      </c>
      <c r="C2545" s="8" t="s">
        <v>48</v>
      </c>
      <c r="D2545" s="8" t="s">
        <v>9</v>
      </c>
      <c r="E2545" s="9" t="s">
        <v>27</v>
      </c>
      <c r="F2545" s="9" t="s">
        <v>33</v>
      </c>
      <c r="G2545" s="8">
        <v>2016</v>
      </c>
      <c r="H2545" s="8">
        <v>12</v>
      </c>
      <c r="I2545" s="10">
        <v>42705</v>
      </c>
      <c r="J2545" s="11">
        <v>3528</v>
      </c>
      <c r="K2545" s="51"/>
      <c r="O2545" s="1" t="s">
        <v>7</v>
      </c>
      <c r="P2545" s="1" t="s">
        <v>48</v>
      </c>
      <c r="Q2545" s="1" t="s">
        <v>9</v>
      </c>
      <c r="R2545" s="2" t="s">
        <v>27</v>
      </c>
      <c r="S2545" s="2" t="s">
        <v>33</v>
      </c>
      <c r="T2545" s="1">
        <v>2016</v>
      </c>
      <c r="U2545" s="1">
        <v>12</v>
      </c>
      <c r="V2545" s="50">
        <v>42705</v>
      </c>
      <c r="W2545" s="4">
        <v>3175.2</v>
      </c>
      <c r="X2545" s="48">
        <v>3528</v>
      </c>
    </row>
    <row r="2546" spans="2:24" x14ac:dyDescent="0.35">
      <c r="B2546" s="8" t="s">
        <v>7</v>
      </c>
      <c r="C2546" s="8" t="s">
        <v>49</v>
      </c>
      <c r="D2546" s="8" t="s">
        <v>11</v>
      </c>
      <c r="E2546" s="8" t="s">
        <v>23</v>
      </c>
      <c r="F2546" s="9" t="s">
        <v>24</v>
      </c>
      <c r="G2546" s="8">
        <v>2016</v>
      </c>
      <c r="H2546" s="8">
        <v>12</v>
      </c>
      <c r="I2546" s="10">
        <v>42705</v>
      </c>
      <c r="J2546" s="11">
        <v>1776</v>
      </c>
      <c r="K2546" s="51"/>
      <c r="O2546" s="1" t="s">
        <v>7</v>
      </c>
      <c r="P2546" s="1" t="s">
        <v>49</v>
      </c>
      <c r="Q2546" s="1" t="s">
        <v>11</v>
      </c>
      <c r="R2546" s="1" t="s">
        <v>23</v>
      </c>
      <c r="S2546" s="2" t="s">
        <v>24</v>
      </c>
      <c r="T2546" s="1">
        <v>2016</v>
      </c>
      <c r="U2546" s="1">
        <v>12</v>
      </c>
      <c r="V2546" s="50">
        <v>42705</v>
      </c>
      <c r="W2546" s="4">
        <v>1562.8799999999999</v>
      </c>
      <c r="X2546" s="48">
        <v>1776</v>
      </c>
    </row>
    <row r="2547" spans="2:24" x14ac:dyDescent="0.35">
      <c r="B2547" s="8" t="s">
        <v>3</v>
      </c>
      <c r="C2547" s="8" t="s">
        <v>22</v>
      </c>
      <c r="D2547" s="8" t="s">
        <v>5</v>
      </c>
      <c r="E2547" s="8" t="s">
        <v>23</v>
      </c>
      <c r="F2547" s="6" t="s">
        <v>24</v>
      </c>
      <c r="G2547" s="8">
        <v>2015</v>
      </c>
      <c r="H2547" s="8">
        <v>1</v>
      </c>
      <c r="I2547" s="10">
        <v>42005</v>
      </c>
      <c r="J2547" s="11">
        <v>2944</v>
      </c>
      <c r="K2547" s="51"/>
      <c r="O2547" s="1" t="s">
        <v>3</v>
      </c>
      <c r="P2547" s="1" t="s">
        <v>22</v>
      </c>
      <c r="Q2547" s="1" t="s">
        <v>5</v>
      </c>
      <c r="R2547" s="1" t="s">
        <v>23</v>
      </c>
      <c r="S2547" t="s">
        <v>24</v>
      </c>
      <c r="T2547" s="1">
        <v>2015</v>
      </c>
      <c r="U2547" s="1">
        <v>1</v>
      </c>
      <c r="V2547" s="50">
        <v>42005</v>
      </c>
      <c r="W2547" s="4">
        <v>2531.84</v>
      </c>
      <c r="X2547" s="48">
        <v>2944</v>
      </c>
    </row>
    <row r="2548" spans="2:24" x14ac:dyDescent="0.35">
      <c r="B2548" s="8" t="s">
        <v>3</v>
      </c>
      <c r="C2548" s="8" t="s">
        <v>25</v>
      </c>
      <c r="D2548" s="8" t="s">
        <v>4</v>
      </c>
      <c r="E2548" s="8" t="s">
        <v>23</v>
      </c>
      <c r="F2548" s="8" t="s">
        <v>24</v>
      </c>
      <c r="G2548" s="8">
        <v>2015</v>
      </c>
      <c r="H2548" s="8">
        <v>1</v>
      </c>
      <c r="I2548" s="10">
        <v>42005</v>
      </c>
      <c r="J2548" s="11">
        <v>2578</v>
      </c>
      <c r="K2548" s="51"/>
      <c r="O2548" s="1" t="s">
        <v>3</v>
      </c>
      <c r="P2548" s="1" t="s">
        <v>25</v>
      </c>
      <c r="Q2548" s="1" t="s">
        <v>4</v>
      </c>
      <c r="R2548" s="1" t="s">
        <v>23</v>
      </c>
      <c r="S2548" s="1" t="s">
        <v>24</v>
      </c>
      <c r="T2548" s="1">
        <v>2015</v>
      </c>
      <c r="U2548" s="1">
        <v>1</v>
      </c>
      <c r="V2548" s="50">
        <v>42005</v>
      </c>
      <c r="W2548" s="4">
        <v>2397.54</v>
      </c>
      <c r="X2548" s="48">
        <v>2578</v>
      </c>
    </row>
    <row r="2549" spans="2:24" x14ac:dyDescent="0.35">
      <c r="B2549" s="8" t="s">
        <v>3</v>
      </c>
      <c r="C2549" s="8" t="s">
        <v>25</v>
      </c>
      <c r="D2549" s="8" t="s">
        <v>4</v>
      </c>
      <c r="E2549" s="8" t="s">
        <v>0</v>
      </c>
      <c r="F2549" s="8" t="s">
        <v>26</v>
      </c>
      <c r="G2549" s="8">
        <v>2015</v>
      </c>
      <c r="H2549" s="8">
        <v>1</v>
      </c>
      <c r="I2549" s="10">
        <v>42005</v>
      </c>
      <c r="J2549" s="11">
        <v>5361</v>
      </c>
      <c r="K2549" s="51"/>
      <c r="O2549" s="1" t="s">
        <v>3</v>
      </c>
      <c r="P2549" s="1" t="s">
        <v>25</v>
      </c>
      <c r="Q2549" s="1" t="s">
        <v>4</v>
      </c>
      <c r="R2549" s="1" t="s">
        <v>0</v>
      </c>
      <c r="S2549" s="1" t="s">
        <v>26</v>
      </c>
      <c r="T2549" s="1">
        <v>2015</v>
      </c>
      <c r="U2549" s="1">
        <v>1</v>
      </c>
      <c r="V2549" s="50">
        <v>42005</v>
      </c>
      <c r="W2549" s="4">
        <v>4824.8999999999996</v>
      </c>
      <c r="X2549" s="48">
        <v>5361</v>
      </c>
    </row>
    <row r="2550" spans="2:24" x14ac:dyDescent="0.35">
      <c r="B2550" s="8" t="s">
        <v>3</v>
      </c>
      <c r="C2550" s="8" t="s">
        <v>22</v>
      </c>
      <c r="D2550" s="8" t="s">
        <v>5</v>
      </c>
      <c r="E2550" s="8" t="s">
        <v>0</v>
      </c>
      <c r="F2550" s="8" t="s">
        <v>26</v>
      </c>
      <c r="G2550" s="8">
        <v>2015</v>
      </c>
      <c r="H2550" s="8">
        <v>1</v>
      </c>
      <c r="I2550" s="10">
        <v>42005</v>
      </c>
      <c r="J2550" s="11">
        <v>4352</v>
      </c>
      <c r="K2550" s="51"/>
      <c r="O2550" s="1" t="s">
        <v>3</v>
      </c>
      <c r="P2550" s="1" t="s">
        <v>22</v>
      </c>
      <c r="Q2550" s="1" t="s">
        <v>5</v>
      </c>
      <c r="R2550" s="1" t="s">
        <v>0</v>
      </c>
      <c r="S2550" s="1" t="s">
        <v>26</v>
      </c>
      <c r="T2550" s="1">
        <v>2015</v>
      </c>
      <c r="U2550" s="1">
        <v>1</v>
      </c>
      <c r="V2550" s="50">
        <v>42005</v>
      </c>
      <c r="W2550" s="4">
        <v>3786.2400000000007</v>
      </c>
      <c r="X2550" s="48">
        <v>4352</v>
      </c>
    </row>
    <row r="2551" spans="2:24" x14ac:dyDescent="0.35">
      <c r="B2551" s="8" t="s">
        <v>3</v>
      </c>
      <c r="C2551" s="8" t="s">
        <v>22</v>
      </c>
      <c r="D2551" s="8" t="s">
        <v>5</v>
      </c>
      <c r="E2551" s="8" t="s">
        <v>27</v>
      </c>
      <c r="F2551" s="6" t="s">
        <v>28</v>
      </c>
      <c r="G2551" s="8">
        <v>2015</v>
      </c>
      <c r="H2551" s="8">
        <v>1</v>
      </c>
      <c r="I2551" s="10">
        <v>42005</v>
      </c>
      <c r="J2551" s="11">
        <v>4213</v>
      </c>
      <c r="K2551" s="51"/>
      <c r="O2551" s="1" t="s">
        <v>3</v>
      </c>
      <c r="P2551" s="1" t="s">
        <v>22</v>
      </c>
      <c r="Q2551" s="1" t="s">
        <v>5</v>
      </c>
      <c r="R2551" s="1" t="s">
        <v>27</v>
      </c>
      <c r="S2551" t="s">
        <v>28</v>
      </c>
      <c r="T2551" s="1">
        <v>2015</v>
      </c>
      <c r="U2551" s="1">
        <v>1</v>
      </c>
      <c r="V2551" s="50">
        <v>42005</v>
      </c>
      <c r="W2551" s="4">
        <v>3665.3100000000004</v>
      </c>
      <c r="X2551" s="48">
        <v>4213</v>
      </c>
    </row>
    <row r="2552" spans="2:24" x14ac:dyDescent="0.35">
      <c r="B2552" s="8" t="s">
        <v>6</v>
      </c>
      <c r="C2552" s="8" t="s">
        <v>29</v>
      </c>
      <c r="D2552" s="8" t="s">
        <v>30</v>
      </c>
      <c r="E2552" s="8" t="s">
        <v>27</v>
      </c>
      <c r="F2552" s="6" t="s">
        <v>31</v>
      </c>
      <c r="G2552" s="8">
        <v>2015</v>
      </c>
      <c r="H2552" s="8">
        <v>1</v>
      </c>
      <c r="I2552" s="10">
        <v>42005</v>
      </c>
      <c r="J2552" s="11">
        <v>3165</v>
      </c>
      <c r="K2552" s="51"/>
      <c r="O2552" s="1" t="s">
        <v>6</v>
      </c>
      <c r="P2552" s="1" t="s">
        <v>29</v>
      </c>
      <c r="Q2552" s="1" t="s">
        <v>30</v>
      </c>
      <c r="R2552" s="1" t="s">
        <v>27</v>
      </c>
      <c r="S2552" t="s">
        <v>31</v>
      </c>
      <c r="T2552" s="1">
        <v>2015</v>
      </c>
      <c r="U2552" s="1">
        <v>1</v>
      </c>
      <c r="V2552" s="50">
        <v>42005</v>
      </c>
      <c r="W2552" s="4">
        <v>2785.2</v>
      </c>
      <c r="X2552" s="48">
        <v>3165</v>
      </c>
    </row>
    <row r="2553" spans="2:24" x14ac:dyDescent="0.35">
      <c r="B2553" s="8" t="s">
        <v>7</v>
      </c>
      <c r="C2553" s="8" t="s">
        <v>32</v>
      </c>
      <c r="D2553" s="8" t="s">
        <v>8</v>
      </c>
      <c r="E2553" s="8" t="s">
        <v>27</v>
      </c>
      <c r="F2553" s="6" t="s">
        <v>33</v>
      </c>
      <c r="G2553" s="8">
        <v>2015</v>
      </c>
      <c r="H2553" s="8">
        <v>1</v>
      </c>
      <c r="I2553" s="10">
        <v>42005</v>
      </c>
      <c r="J2553" s="11">
        <v>3393</v>
      </c>
      <c r="K2553" s="51"/>
      <c r="O2553" s="1" t="s">
        <v>7</v>
      </c>
      <c r="P2553" s="1" t="s">
        <v>32</v>
      </c>
      <c r="Q2553" s="1" t="s">
        <v>8</v>
      </c>
      <c r="R2553" s="1" t="s">
        <v>27</v>
      </c>
      <c r="S2553" t="s">
        <v>33</v>
      </c>
      <c r="T2553" s="1">
        <v>2015</v>
      </c>
      <c r="U2553" s="1">
        <v>1</v>
      </c>
      <c r="V2553" s="50">
        <v>42005</v>
      </c>
      <c r="W2553" s="4">
        <v>2985.8399999999997</v>
      </c>
      <c r="X2553" s="48">
        <v>3393</v>
      </c>
    </row>
    <row r="2554" spans="2:24" x14ac:dyDescent="0.35">
      <c r="B2554" s="8" t="s">
        <v>12</v>
      </c>
      <c r="C2554" s="8" t="s">
        <v>34</v>
      </c>
      <c r="D2554" s="8" t="s">
        <v>35</v>
      </c>
      <c r="E2554" s="9" t="s">
        <v>23</v>
      </c>
      <c r="F2554" s="9" t="s">
        <v>36</v>
      </c>
      <c r="G2554" s="8">
        <v>2015</v>
      </c>
      <c r="H2554" s="8">
        <v>1</v>
      </c>
      <c r="I2554" s="10">
        <v>42005</v>
      </c>
      <c r="J2554" s="11">
        <v>1612</v>
      </c>
      <c r="K2554" s="51"/>
      <c r="O2554" s="1" t="s">
        <v>12</v>
      </c>
      <c r="P2554" s="1" t="s">
        <v>34</v>
      </c>
      <c r="Q2554" s="1" t="s">
        <v>35</v>
      </c>
      <c r="R2554" s="2" t="s">
        <v>23</v>
      </c>
      <c r="S2554" s="2" t="s">
        <v>36</v>
      </c>
      <c r="T2554" s="1">
        <v>2015</v>
      </c>
      <c r="U2554" s="1">
        <v>1</v>
      </c>
      <c r="V2554" s="50">
        <v>42005</v>
      </c>
      <c r="W2554" s="4">
        <v>1434.6799999999998</v>
      </c>
      <c r="X2554" s="48">
        <v>1612</v>
      </c>
    </row>
    <row r="2555" spans="2:24" x14ac:dyDescent="0.35">
      <c r="B2555" s="8" t="s">
        <v>14</v>
      </c>
      <c r="C2555" s="8" t="s">
        <v>37</v>
      </c>
      <c r="D2555" s="8" t="s">
        <v>38</v>
      </c>
      <c r="E2555" s="8" t="s">
        <v>23</v>
      </c>
      <c r="F2555" s="9" t="s">
        <v>24</v>
      </c>
      <c r="G2555" s="8">
        <v>2015</v>
      </c>
      <c r="H2555" s="8">
        <v>1</v>
      </c>
      <c r="I2555" s="10">
        <v>42005</v>
      </c>
      <c r="J2555" s="11">
        <v>2834</v>
      </c>
      <c r="K2555" s="51"/>
      <c r="O2555" s="1" t="s">
        <v>14</v>
      </c>
      <c r="P2555" s="1" t="s">
        <v>37</v>
      </c>
      <c r="Q2555" s="1" t="s">
        <v>38</v>
      </c>
      <c r="R2555" s="1" t="s">
        <v>23</v>
      </c>
      <c r="S2555" s="2" t="s">
        <v>24</v>
      </c>
      <c r="T2555" s="1">
        <v>2015</v>
      </c>
      <c r="U2555" s="1">
        <v>1</v>
      </c>
      <c r="V2555" s="50">
        <v>42005</v>
      </c>
      <c r="W2555" s="4">
        <v>2465.5800000000004</v>
      </c>
      <c r="X2555" s="48">
        <v>2834</v>
      </c>
    </row>
    <row r="2556" spans="2:24" x14ac:dyDescent="0.35">
      <c r="B2556" s="8" t="s">
        <v>3</v>
      </c>
      <c r="C2556" s="8" t="s">
        <v>25</v>
      </c>
      <c r="D2556" s="8" t="s">
        <v>4</v>
      </c>
      <c r="E2556" s="8" t="s">
        <v>23</v>
      </c>
      <c r="F2556" s="6" t="s">
        <v>39</v>
      </c>
      <c r="G2556" s="8">
        <v>2015</v>
      </c>
      <c r="H2556" s="8">
        <v>1</v>
      </c>
      <c r="I2556" s="10">
        <v>42005</v>
      </c>
      <c r="J2556" s="11">
        <v>2831</v>
      </c>
      <c r="K2556" s="51"/>
      <c r="O2556" s="1" t="s">
        <v>3</v>
      </c>
      <c r="P2556" s="1" t="s">
        <v>25</v>
      </c>
      <c r="Q2556" s="1" t="s">
        <v>4</v>
      </c>
      <c r="R2556" s="1" t="s">
        <v>23</v>
      </c>
      <c r="S2556" t="s">
        <v>39</v>
      </c>
      <c r="T2556" s="1">
        <v>2015</v>
      </c>
      <c r="U2556" s="1">
        <v>1</v>
      </c>
      <c r="V2556" s="50">
        <v>42005</v>
      </c>
      <c r="W2556" s="4">
        <v>2434.6600000000003</v>
      </c>
      <c r="X2556" s="48">
        <v>2831</v>
      </c>
    </row>
    <row r="2557" spans="2:24" x14ac:dyDescent="0.35">
      <c r="B2557" s="8" t="s">
        <v>6</v>
      </c>
      <c r="C2557" s="8" t="s">
        <v>40</v>
      </c>
      <c r="D2557" s="8" t="s">
        <v>41</v>
      </c>
      <c r="E2557" s="8" t="s">
        <v>0</v>
      </c>
      <c r="F2557" s="8" t="s">
        <v>42</v>
      </c>
      <c r="G2557" s="8">
        <v>2015</v>
      </c>
      <c r="H2557" s="8">
        <v>1</v>
      </c>
      <c r="I2557" s="10">
        <v>42005</v>
      </c>
      <c r="J2557" s="11">
        <v>6499</v>
      </c>
      <c r="K2557" s="51"/>
      <c r="O2557" s="1" t="s">
        <v>6</v>
      </c>
      <c r="P2557" s="1" t="s">
        <v>40</v>
      </c>
      <c r="Q2557" s="1" t="s">
        <v>41</v>
      </c>
      <c r="R2557" s="1" t="s">
        <v>0</v>
      </c>
      <c r="S2557" s="1" t="s">
        <v>42</v>
      </c>
      <c r="T2557" s="1">
        <v>2015</v>
      </c>
      <c r="U2557" s="1">
        <v>1</v>
      </c>
      <c r="V2557" s="50">
        <v>42005</v>
      </c>
      <c r="W2557" s="4">
        <v>5524.1500000000005</v>
      </c>
      <c r="X2557" s="48">
        <v>6499</v>
      </c>
    </row>
    <row r="2558" spans="2:24" x14ac:dyDescent="0.35">
      <c r="B2558" s="8" t="s">
        <v>7</v>
      </c>
      <c r="C2558" s="8" t="s">
        <v>43</v>
      </c>
      <c r="D2558" s="8" t="s">
        <v>10</v>
      </c>
      <c r="E2558" s="8" t="s">
        <v>0</v>
      </c>
      <c r="F2558" s="8" t="s">
        <v>26</v>
      </c>
      <c r="G2558" s="8">
        <v>2015</v>
      </c>
      <c r="H2558" s="8">
        <v>1</v>
      </c>
      <c r="I2558" s="10">
        <v>42005</v>
      </c>
      <c r="J2558" s="11">
        <v>3486</v>
      </c>
      <c r="K2558" s="51"/>
      <c r="O2558" s="1" t="s">
        <v>7</v>
      </c>
      <c r="P2558" s="1" t="s">
        <v>43</v>
      </c>
      <c r="Q2558" s="1" t="s">
        <v>10</v>
      </c>
      <c r="R2558" s="1" t="s">
        <v>0</v>
      </c>
      <c r="S2558" s="1" t="s">
        <v>26</v>
      </c>
      <c r="T2558" s="1">
        <v>2015</v>
      </c>
      <c r="U2558" s="1">
        <v>1</v>
      </c>
      <c r="V2558" s="50">
        <v>42005</v>
      </c>
      <c r="W2558" s="4">
        <v>3102.5399999999995</v>
      </c>
      <c r="X2558" s="48">
        <v>3486</v>
      </c>
    </row>
    <row r="2559" spans="2:24" x14ac:dyDescent="0.35">
      <c r="B2559" s="8" t="s">
        <v>12</v>
      </c>
      <c r="C2559" s="8" t="s">
        <v>44</v>
      </c>
      <c r="D2559" s="8" t="s">
        <v>13</v>
      </c>
      <c r="E2559" s="8" t="s">
        <v>0</v>
      </c>
      <c r="F2559" s="8" t="s">
        <v>45</v>
      </c>
      <c r="G2559" s="8">
        <v>2015</v>
      </c>
      <c r="H2559" s="8">
        <v>1</v>
      </c>
      <c r="I2559" s="10">
        <v>42005</v>
      </c>
      <c r="J2559" s="11">
        <v>2397</v>
      </c>
      <c r="K2559" s="51"/>
      <c r="O2559" s="1" t="s">
        <v>12</v>
      </c>
      <c r="P2559" s="1" t="s">
        <v>44</v>
      </c>
      <c r="Q2559" s="1" t="s">
        <v>13</v>
      </c>
      <c r="R2559" s="1" t="s">
        <v>0</v>
      </c>
      <c r="S2559" s="1" t="s">
        <v>45</v>
      </c>
      <c r="T2559" s="1">
        <v>2015</v>
      </c>
      <c r="U2559" s="1">
        <v>1</v>
      </c>
      <c r="V2559" s="50">
        <v>42005</v>
      </c>
      <c r="W2559" s="4">
        <v>2085.3900000000003</v>
      </c>
      <c r="X2559" s="48">
        <v>2397</v>
      </c>
    </row>
    <row r="2560" spans="2:24" x14ac:dyDescent="0.35">
      <c r="B2560" s="8" t="s">
        <v>14</v>
      </c>
      <c r="C2560" s="8" t="s">
        <v>46</v>
      </c>
      <c r="D2560" s="8" t="s">
        <v>47</v>
      </c>
      <c r="E2560" s="8" t="s">
        <v>27</v>
      </c>
      <c r="F2560" s="6" t="s">
        <v>28</v>
      </c>
      <c r="G2560" s="8">
        <v>2015</v>
      </c>
      <c r="H2560" s="8">
        <v>1</v>
      </c>
      <c r="I2560" s="10">
        <v>42005</v>
      </c>
      <c r="J2560" s="11">
        <v>4099</v>
      </c>
      <c r="K2560" s="51"/>
      <c r="O2560" s="1" t="s">
        <v>14</v>
      </c>
      <c r="P2560" s="1" t="s">
        <v>46</v>
      </c>
      <c r="Q2560" s="1" t="s">
        <v>47</v>
      </c>
      <c r="R2560" s="1" t="s">
        <v>27</v>
      </c>
      <c r="S2560" t="s">
        <v>28</v>
      </c>
      <c r="T2560" s="1">
        <v>2015</v>
      </c>
      <c r="U2560" s="1">
        <v>1</v>
      </c>
      <c r="V2560" s="50">
        <v>42005</v>
      </c>
      <c r="W2560" s="4">
        <v>3771.08</v>
      </c>
      <c r="X2560" s="48">
        <v>4099</v>
      </c>
    </row>
    <row r="2561" spans="2:24" x14ac:dyDescent="0.35">
      <c r="B2561" s="8" t="s">
        <v>3</v>
      </c>
      <c r="C2561" s="8" t="s">
        <v>22</v>
      </c>
      <c r="D2561" s="8" t="s">
        <v>5</v>
      </c>
      <c r="E2561" s="8" t="s">
        <v>27</v>
      </c>
      <c r="F2561" s="6" t="s">
        <v>31</v>
      </c>
      <c r="G2561" s="8">
        <v>2015</v>
      </c>
      <c r="H2561" s="8">
        <v>1</v>
      </c>
      <c r="I2561" s="10">
        <v>42005</v>
      </c>
      <c r="J2561" s="11">
        <v>4556</v>
      </c>
      <c r="K2561" s="51"/>
      <c r="O2561" s="1" t="s">
        <v>3</v>
      </c>
      <c r="P2561" s="1" t="s">
        <v>22</v>
      </c>
      <c r="Q2561" s="1" t="s">
        <v>5</v>
      </c>
      <c r="R2561" s="1" t="s">
        <v>27</v>
      </c>
      <c r="S2561" t="s">
        <v>31</v>
      </c>
      <c r="T2561" s="1">
        <v>2015</v>
      </c>
      <c r="U2561" s="1">
        <v>1</v>
      </c>
      <c r="V2561" s="50">
        <v>42005</v>
      </c>
      <c r="W2561" s="4">
        <v>4009.2799999999997</v>
      </c>
      <c r="X2561" s="48">
        <v>4556</v>
      </c>
    </row>
    <row r="2562" spans="2:24" x14ac:dyDescent="0.35">
      <c r="B2562" s="8" t="s">
        <v>6</v>
      </c>
      <c r="C2562" s="8" t="s">
        <v>29</v>
      </c>
      <c r="D2562" s="8" t="s">
        <v>30</v>
      </c>
      <c r="E2562" s="8" t="s">
        <v>27</v>
      </c>
      <c r="F2562" s="6" t="s">
        <v>33</v>
      </c>
      <c r="G2562" s="8">
        <v>2015</v>
      </c>
      <c r="H2562" s="8">
        <v>1</v>
      </c>
      <c r="I2562" s="10">
        <v>42005</v>
      </c>
      <c r="J2562" s="11">
        <v>3036</v>
      </c>
      <c r="K2562" s="51"/>
      <c r="O2562" s="1" t="s">
        <v>6</v>
      </c>
      <c r="P2562" s="1" t="s">
        <v>29</v>
      </c>
      <c r="Q2562" s="1" t="s">
        <v>30</v>
      </c>
      <c r="R2562" s="1" t="s">
        <v>27</v>
      </c>
      <c r="S2562" t="s">
        <v>33</v>
      </c>
      <c r="T2562" s="1">
        <v>2015</v>
      </c>
      <c r="U2562" s="1">
        <v>1</v>
      </c>
      <c r="V2562" s="50">
        <v>42005</v>
      </c>
      <c r="W2562" s="4">
        <v>2702.0399999999995</v>
      </c>
      <c r="X2562" s="48">
        <v>3036</v>
      </c>
    </row>
    <row r="2563" spans="2:24" x14ac:dyDescent="0.35">
      <c r="B2563" s="8" t="s">
        <v>7</v>
      </c>
      <c r="C2563" s="8" t="s">
        <v>32</v>
      </c>
      <c r="D2563" s="8" t="s">
        <v>8</v>
      </c>
      <c r="E2563" s="9" t="s">
        <v>23</v>
      </c>
      <c r="F2563" s="9" t="s">
        <v>36</v>
      </c>
      <c r="G2563" s="8">
        <v>2015</v>
      </c>
      <c r="H2563" s="8">
        <v>1</v>
      </c>
      <c r="I2563" s="10">
        <v>42005</v>
      </c>
      <c r="J2563" s="11">
        <v>1934</v>
      </c>
      <c r="K2563" s="51"/>
      <c r="O2563" s="1" t="s">
        <v>7</v>
      </c>
      <c r="P2563" s="1" t="s">
        <v>32</v>
      </c>
      <c r="Q2563" s="1" t="s">
        <v>8</v>
      </c>
      <c r="R2563" s="2" t="s">
        <v>23</v>
      </c>
      <c r="S2563" s="2" t="s">
        <v>36</v>
      </c>
      <c r="T2563" s="1">
        <v>2015</v>
      </c>
      <c r="U2563" s="1">
        <v>1</v>
      </c>
      <c r="V2563" s="50">
        <v>42005</v>
      </c>
      <c r="W2563" s="4">
        <v>1798.62</v>
      </c>
      <c r="X2563" s="48">
        <v>1934</v>
      </c>
    </row>
    <row r="2564" spans="2:24" x14ac:dyDescent="0.35">
      <c r="B2564" s="8" t="s">
        <v>12</v>
      </c>
      <c r="C2564" s="8" t="s">
        <v>34</v>
      </c>
      <c r="D2564" s="8" t="s">
        <v>35</v>
      </c>
      <c r="E2564" s="8" t="s">
        <v>23</v>
      </c>
      <c r="F2564" s="9" t="s">
        <v>24</v>
      </c>
      <c r="G2564" s="8">
        <v>2015</v>
      </c>
      <c r="H2564" s="8">
        <v>1</v>
      </c>
      <c r="I2564" s="10">
        <v>42005</v>
      </c>
      <c r="J2564" s="11">
        <v>2876</v>
      </c>
      <c r="K2564" s="51"/>
      <c r="O2564" s="1" t="s">
        <v>12</v>
      </c>
      <c r="P2564" s="1" t="s">
        <v>34</v>
      </c>
      <c r="Q2564" s="1" t="s">
        <v>35</v>
      </c>
      <c r="R2564" s="1" t="s">
        <v>23</v>
      </c>
      <c r="S2564" s="2" t="s">
        <v>24</v>
      </c>
      <c r="T2564" s="1">
        <v>2015</v>
      </c>
      <c r="U2564" s="1">
        <v>1</v>
      </c>
      <c r="V2564" s="50">
        <v>42005</v>
      </c>
      <c r="W2564" s="4">
        <v>2703.44</v>
      </c>
      <c r="X2564" s="48">
        <v>2876</v>
      </c>
    </row>
    <row r="2565" spans="2:24" x14ac:dyDescent="0.35">
      <c r="B2565" s="8" t="s">
        <v>14</v>
      </c>
      <c r="C2565" s="8" t="s">
        <v>37</v>
      </c>
      <c r="D2565" s="8" t="s">
        <v>38</v>
      </c>
      <c r="E2565" s="8" t="s">
        <v>23</v>
      </c>
      <c r="F2565" s="6" t="s">
        <v>39</v>
      </c>
      <c r="G2565" s="8">
        <v>2015</v>
      </c>
      <c r="H2565" s="8">
        <v>1</v>
      </c>
      <c r="I2565" s="10">
        <v>42005</v>
      </c>
      <c r="J2565" s="11">
        <v>2577</v>
      </c>
      <c r="K2565" s="51"/>
      <c r="O2565" s="1" t="s">
        <v>14</v>
      </c>
      <c r="P2565" s="1" t="s">
        <v>37</v>
      </c>
      <c r="Q2565" s="1" t="s">
        <v>38</v>
      </c>
      <c r="R2565" s="1" t="s">
        <v>23</v>
      </c>
      <c r="S2565" t="s">
        <v>39</v>
      </c>
      <c r="T2565" s="1">
        <v>2015</v>
      </c>
      <c r="U2565" s="1">
        <v>1</v>
      </c>
      <c r="V2565" s="50">
        <v>42005</v>
      </c>
      <c r="W2565" s="4">
        <v>2293.5299999999997</v>
      </c>
      <c r="X2565" s="48">
        <v>2577</v>
      </c>
    </row>
    <row r="2566" spans="2:24" x14ac:dyDescent="0.35">
      <c r="B2566" s="8" t="s">
        <v>3</v>
      </c>
      <c r="C2566" s="8" t="s">
        <v>25</v>
      </c>
      <c r="D2566" s="8" t="s">
        <v>4</v>
      </c>
      <c r="E2566" s="8" t="s">
        <v>0</v>
      </c>
      <c r="F2566" s="8" t="s">
        <v>42</v>
      </c>
      <c r="G2566" s="8">
        <v>2015</v>
      </c>
      <c r="H2566" s="8">
        <v>1</v>
      </c>
      <c r="I2566" s="10">
        <v>42005</v>
      </c>
      <c r="J2566" s="11">
        <v>6930</v>
      </c>
      <c r="K2566" s="51"/>
      <c r="O2566" s="1" t="s">
        <v>3</v>
      </c>
      <c r="P2566" s="1" t="s">
        <v>25</v>
      </c>
      <c r="Q2566" s="1" t="s">
        <v>4</v>
      </c>
      <c r="R2566" s="1" t="s">
        <v>0</v>
      </c>
      <c r="S2566" s="1" t="s">
        <v>42</v>
      </c>
      <c r="T2566" s="1">
        <v>2015</v>
      </c>
      <c r="U2566" s="1">
        <v>1</v>
      </c>
      <c r="V2566" s="50">
        <v>42005</v>
      </c>
      <c r="W2566" s="4">
        <v>6029.1</v>
      </c>
      <c r="X2566" s="48">
        <v>6930</v>
      </c>
    </row>
    <row r="2567" spans="2:24" x14ac:dyDescent="0.35">
      <c r="B2567" s="8" t="s">
        <v>6</v>
      </c>
      <c r="C2567" s="8" t="s">
        <v>40</v>
      </c>
      <c r="D2567" s="8" t="s">
        <v>41</v>
      </c>
      <c r="E2567" s="8" t="s">
        <v>0</v>
      </c>
      <c r="F2567" s="8" t="s">
        <v>26</v>
      </c>
      <c r="G2567" s="8">
        <v>2015</v>
      </c>
      <c r="H2567" s="8">
        <v>1</v>
      </c>
      <c r="I2567" s="10">
        <v>42005</v>
      </c>
      <c r="J2567" s="11">
        <v>3869</v>
      </c>
      <c r="K2567" s="51"/>
      <c r="O2567" s="1" t="s">
        <v>6</v>
      </c>
      <c r="P2567" s="1" t="s">
        <v>40</v>
      </c>
      <c r="Q2567" s="1" t="s">
        <v>41</v>
      </c>
      <c r="R2567" s="1" t="s">
        <v>0</v>
      </c>
      <c r="S2567" s="1" t="s">
        <v>26</v>
      </c>
      <c r="T2567" s="1">
        <v>2015</v>
      </c>
      <c r="U2567" s="1">
        <v>1</v>
      </c>
      <c r="V2567" s="50">
        <v>42005</v>
      </c>
      <c r="W2567" s="4">
        <v>3404.7199999999993</v>
      </c>
      <c r="X2567" s="48">
        <v>3869</v>
      </c>
    </row>
    <row r="2568" spans="2:24" x14ac:dyDescent="0.35">
      <c r="B2568" s="8" t="s">
        <v>7</v>
      </c>
      <c r="C2568" s="8" t="s">
        <v>43</v>
      </c>
      <c r="D2568" s="8" t="s">
        <v>10</v>
      </c>
      <c r="E2568" s="8" t="s">
        <v>0</v>
      </c>
      <c r="F2568" s="8" t="s">
        <v>45</v>
      </c>
      <c r="G2568" s="8">
        <v>2015</v>
      </c>
      <c r="H2568" s="8">
        <v>1</v>
      </c>
      <c r="I2568" s="10">
        <v>42005</v>
      </c>
      <c r="J2568" s="11">
        <v>2376</v>
      </c>
      <c r="K2568" s="51"/>
      <c r="O2568" s="1" t="s">
        <v>7</v>
      </c>
      <c r="P2568" s="1" t="s">
        <v>43</v>
      </c>
      <c r="Q2568" s="1" t="s">
        <v>10</v>
      </c>
      <c r="R2568" s="1" t="s">
        <v>0</v>
      </c>
      <c r="S2568" s="1" t="s">
        <v>45</v>
      </c>
      <c r="T2568" s="1">
        <v>2015</v>
      </c>
      <c r="U2568" s="1">
        <v>1</v>
      </c>
      <c r="V2568" s="50">
        <v>42005</v>
      </c>
      <c r="W2568" s="4">
        <v>2138.3999999999996</v>
      </c>
      <c r="X2568" s="48">
        <v>2376</v>
      </c>
    </row>
    <row r="2569" spans="2:24" x14ac:dyDescent="0.35">
      <c r="B2569" s="8" t="s">
        <v>12</v>
      </c>
      <c r="C2569" s="8" t="s">
        <v>44</v>
      </c>
      <c r="D2569" s="8" t="s">
        <v>13</v>
      </c>
      <c r="E2569" s="8" t="s">
        <v>27</v>
      </c>
      <c r="F2569" s="6" t="s">
        <v>28</v>
      </c>
      <c r="G2569" s="8">
        <v>2015</v>
      </c>
      <c r="H2569" s="8">
        <v>1</v>
      </c>
      <c r="I2569" s="10">
        <v>42005</v>
      </c>
      <c r="J2569" s="11">
        <v>4693</v>
      </c>
      <c r="K2569" s="51"/>
      <c r="O2569" s="1" t="s">
        <v>12</v>
      </c>
      <c r="P2569" s="1" t="s">
        <v>44</v>
      </c>
      <c r="Q2569" s="1" t="s">
        <v>13</v>
      </c>
      <c r="R2569" s="1" t="s">
        <v>27</v>
      </c>
      <c r="S2569" t="s">
        <v>28</v>
      </c>
      <c r="T2569" s="1">
        <v>2015</v>
      </c>
      <c r="U2569" s="1">
        <v>1</v>
      </c>
      <c r="V2569" s="50">
        <v>42005</v>
      </c>
      <c r="W2569" s="4">
        <v>3989.05</v>
      </c>
      <c r="X2569" s="48">
        <v>4693</v>
      </c>
    </row>
    <row r="2570" spans="2:24" x14ac:dyDescent="0.35">
      <c r="B2570" s="8" t="s">
        <v>14</v>
      </c>
      <c r="C2570" s="8" t="s">
        <v>46</v>
      </c>
      <c r="D2570" s="8" t="s">
        <v>47</v>
      </c>
      <c r="E2570" s="8" t="s">
        <v>27</v>
      </c>
      <c r="F2570" s="6" t="s">
        <v>31</v>
      </c>
      <c r="G2570" s="8">
        <v>2015</v>
      </c>
      <c r="H2570" s="8">
        <v>1</v>
      </c>
      <c r="I2570" s="10">
        <v>42005</v>
      </c>
      <c r="J2570" s="11">
        <v>4622</v>
      </c>
      <c r="K2570" s="51"/>
      <c r="O2570" s="1" t="s">
        <v>14</v>
      </c>
      <c r="P2570" s="1" t="s">
        <v>46</v>
      </c>
      <c r="Q2570" s="1" t="s">
        <v>47</v>
      </c>
      <c r="R2570" s="1" t="s">
        <v>27</v>
      </c>
      <c r="S2570" t="s">
        <v>31</v>
      </c>
      <c r="T2570" s="1">
        <v>2015</v>
      </c>
      <c r="U2570" s="1">
        <v>1</v>
      </c>
      <c r="V2570" s="50">
        <v>42005</v>
      </c>
      <c r="W2570" s="4">
        <v>4206.0199999999995</v>
      </c>
      <c r="X2570" s="48">
        <v>4622</v>
      </c>
    </row>
    <row r="2571" spans="2:24" x14ac:dyDescent="0.35">
      <c r="B2571" s="8" t="s">
        <v>3</v>
      </c>
      <c r="C2571" s="8" t="s">
        <v>22</v>
      </c>
      <c r="D2571" s="8" t="s">
        <v>5</v>
      </c>
      <c r="E2571" s="8" t="s">
        <v>27</v>
      </c>
      <c r="F2571" s="6" t="s">
        <v>33</v>
      </c>
      <c r="G2571" s="8">
        <v>2015</v>
      </c>
      <c r="H2571" s="8">
        <v>1</v>
      </c>
      <c r="I2571" s="10">
        <v>42005</v>
      </c>
      <c r="J2571" s="11">
        <v>2895</v>
      </c>
      <c r="K2571" s="51"/>
      <c r="O2571" s="1" t="s">
        <v>3</v>
      </c>
      <c r="P2571" s="1" t="s">
        <v>22</v>
      </c>
      <c r="Q2571" s="1" t="s">
        <v>5</v>
      </c>
      <c r="R2571" s="1" t="s">
        <v>27</v>
      </c>
      <c r="S2571" t="s">
        <v>33</v>
      </c>
      <c r="T2571" s="1">
        <v>2015</v>
      </c>
      <c r="U2571" s="1">
        <v>1</v>
      </c>
      <c r="V2571" s="50">
        <v>42005</v>
      </c>
      <c r="W2571" s="4">
        <v>2721.2999999999997</v>
      </c>
      <c r="X2571" s="48">
        <v>2895</v>
      </c>
    </row>
    <row r="2572" spans="2:24" x14ac:dyDescent="0.35">
      <c r="B2572" s="8" t="s">
        <v>6</v>
      </c>
      <c r="C2572" s="8" t="s">
        <v>29</v>
      </c>
      <c r="D2572" s="8" t="s">
        <v>30</v>
      </c>
      <c r="E2572" s="9" t="s">
        <v>23</v>
      </c>
      <c r="F2572" s="9" t="s">
        <v>36</v>
      </c>
      <c r="G2572" s="8">
        <v>2015</v>
      </c>
      <c r="H2572" s="8">
        <v>1</v>
      </c>
      <c r="I2572" s="10">
        <v>42005</v>
      </c>
      <c r="J2572" s="11">
        <v>2624</v>
      </c>
      <c r="K2572" s="51"/>
      <c r="O2572" s="1" t="s">
        <v>6</v>
      </c>
      <c r="P2572" s="1" t="s">
        <v>29</v>
      </c>
      <c r="Q2572" s="1" t="s">
        <v>30</v>
      </c>
      <c r="R2572" s="2" t="s">
        <v>23</v>
      </c>
      <c r="S2572" s="2" t="s">
        <v>36</v>
      </c>
      <c r="T2572" s="1">
        <v>2015</v>
      </c>
      <c r="U2572" s="1">
        <v>1</v>
      </c>
      <c r="V2572" s="50">
        <v>42005</v>
      </c>
      <c r="W2572" s="4">
        <v>2361.6</v>
      </c>
      <c r="X2572" s="48">
        <v>2624</v>
      </c>
    </row>
    <row r="2573" spans="2:24" x14ac:dyDescent="0.35">
      <c r="B2573" s="8" t="s">
        <v>7</v>
      </c>
      <c r="C2573" s="8" t="s">
        <v>32</v>
      </c>
      <c r="D2573" s="8" t="s">
        <v>8</v>
      </c>
      <c r="E2573" s="8" t="s">
        <v>23</v>
      </c>
      <c r="F2573" s="9" t="s">
        <v>24</v>
      </c>
      <c r="G2573" s="8">
        <v>2015</v>
      </c>
      <c r="H2573" s="8">
        <v>1</v>
      </c>
      <c r="I2573" s="10">
        <v>42005</v>
      </c>
      <c r="J2573" s="11">
        <v>2569</v>
      </c>
      <c r="K2573" s="51"/>
      <c r="O2573" s="1" t="s">
        <v>7</v>
      </c>
      <c r="P2573" s="1" t="s">
        <v>32</v>
      </c>
      <c r="Q2573" s="1" t="s">
        <v>8</v>
      </c>
      <c r="R2573" s="1" t="s">
        <v>23</v>
      </c>
      <c r="S2573" s="2" t="s">
        <v>24</v>
      </c>
      <c r="T2573" s="1">
        <v>2015</v>
      </c>
      <c r="U2573" s="1">
        <v>1</v>
      </c>
      <c r="V2573" s="50">
        <v>42005</v>
      </c>
      <c r="W2573" s="4">
        <v>2183.65</v>
      </c>
      <c r="X2573" s="48">
        <v>2569</v>
      </c>
    </row>
    <row r="2574" spans="2:24" x14ac:dyDescent="0.35">
      <c r="B2574" s="8" t="s">
        <v>12</v>
      </c>
      <c r="C2574" s="8" t="s">
        <v>34</v>
      </c>
      <c r="D2574" s="8" t="s">
        <v>35</v>
      </c>
      <c r="E2574" s="8" t="s">
        <v>23</v>
      </c>
      <c r="F2574" s="6" t="s">
        <v>39</v>
      </c>
      <c r="G2574" s="8">
        <v>2015</v>
      </c>
      <c r="H2574" s="8">
        <v>1</v>
      </c>
      <c r="I2574" s="10">
        <v>42005</v>
      </c>
      <c r="J2574" s="11">
        <v>1835</v>
      </c>
      <c r="K2574" s="51"/>
      <c r="O2574" s="1" t="s">
        <v>12</v>
      </c>
      <c r="P2574" s="1" t="s">
        <v>34</v>
      </c>
      <c r="Q2574" s="1" t="s">
        <v>35</v>
      </c>
      <c r="R2574" s="1" t="s">
        <v>23</v>
      </c>
      <c r="S2574" t="s">
        <v>39</v>
      </c>
      <c r="T2574" s="1">
        <v>2015</v>
      </c>
      <c r="U2574" s="1">
        <v>1</v>
      </c>
      <c r="V2574" s="50">
        <v>42005</v>
      </c>
      <c r="W2574" s="4">
        <v>1669.85</v>
      </c>
      <c r="X2574" s="48">
        <v>1835</v>
      </c>
    </row>
    <row r="2575" spans="2:24" x14ac:dyDescent="0.35">
      <c r="B2575" s="8" t="s">
        <v>14</v>
      </c>
      <c r="C2575" s="8" t="s">
        <v>37</v>
      </c>
      <c r="D2575" s="8" t="s">
        <v>38</v>
      </c>
      <c r="E2575" s="8" t="s">
        <v>0</v>
      </c>
      <c r="F2575" s="8" t="s">
        <v>42</v>
      </c>
      <c r="G2575" s="8">
        <v>2015</v>
      </c>
      <c r="H2575" s="8">
        <v>1</v>
      </c>
      <c r="I2575" s="10">
        <v>42005</v>
      </c>
      <c r="J2575" s="11">
        <v>4565</v>
      </c>
      <c r="K2575" s="51"/>
      <c r="O2575" s="1" t="s">
        <v>14</v>
      </c>
      <c r="P2575" s="1" t="s">
        <v>37</v>
      </c>
      <c r="Q2575" s="1" t="s">
        <v>38</v>
      </c>
      <c r="R2575" s="1" t="s">
        <v>0</v>
      </c>
      <c r="S2575" s="1" t="s">
        <v>42</v>
      </c>
      <c r="T2575" s="1">
        <v>2015</v>
      </c>
      <c r="U2575" s="1">
        <v>1</v>
      </c>
      <c r="V2575" s="50">
        <v>42005</v>
      </c>
      <c r="W2575" s="4">
        <v>4245.45</v>
      </c>
      <c r="X2575" s="48">
        <v>4565</v>
      </c>
    </row>
    <row r="2576" spans="2:24" x14ac:dyDescent="0.35">
      <c r="B2576" s="8" t="s">
        <v>6</v>
      </c>
      <c r="C2576" s="8" t="s">
        <v>29</v>
      </c>
      <c r="D2576" s="8" t="s">
        <v>30</v>
      </c>
      <c r="E2576" s="8" t="s">
        <v>0</v>
      </c>
      <c r="F2576" s="8" t="s">
        <v>45</v>
      </c>
      <c r="G2576" s="8">
        <v>2015</v>
      </c>
      <c r="H2576" s="8">
        <v>1</v>
      </c>
      <c r="I2576" s="10">
        <v>42005</v>
      </c>
      <c r="J2576" s="11">
        <v>2871</v>
      </c>
      <c r="K2576" s="51"/>
      <c r="O2576" s="1" t="s">
        <v>6</v>
      </c>
      <c r="P2576" s="1" t="s">
        <v>29</v>
      </c>
      <c r="Q2576" s="1" t="s">
        <v>30</v>
      </c>
      <c r="R2576" s="1" t="s">
        <v>0</v>
      </c>
      <c r="S2576" s="1" t="s">
        <v>45</v>
      </c>
      <c r="T2576" s="1">
        <v>2015</v>
      </c>
      <c r="U2576" s="1">
        <v>1</v>
      </c>
      <c r="V2576" s="50">
        <v>42005</v>
      </c>
      <c r="W2576" s="4">
        <v>2641.3199999999997</v>
      </c>
      <c r="X2576" s="48">
        <v>2871</v>
      </c>
    </row>
    <row r="2577" spans="2:24" x14ac:dyDescent="0.35">
      <c r="B2577" s="8" t="s">
        <v>7</v>
      </c>
      <c r="C2577" s="8" t="s">
        <v>43</v>
      </c>
      <c r="D2577" s="8" t="s">
        <v>10</v>
      </c>
      <c r="E2577" s="8" t="s">
        <v>27</v>
      </c>
      <c r="F2577" s="8" t="s">
        <v>28</v>
      </c>
      <c r="G2577" s="8">
        <v>2015</v>
      </c>
      <c r="H2577" s="8">
        <v>1</v>
      </c>
      <c r="I2577" s="10">
        <v>42005</v>
      </c>
      <c r="J2577" s="11">
        <v>4934</v>
      </c>
      <c r="K2577" s="51"/>
      <c r="O2577" s="1" t="s">
        <v>7</v>
      </c>
      <c r="P2577" s="1" t="s">
        <v>43</v>
      </c>
      <c r="Q2577" s="1" t="s">
        <v>10</v>
      </c>
      <c r="R2577" s="1" t="s">
        <v>27</v>
      </c>
      <c r="S2577" s="1" t="s">
        <v>28</v>
      </c>
      <c r="T2577" s="1">
        <v>2015</v>
      </c>
      <c r="U2577" s="1">
        <v>1</v>
      </c>
      <c r="V2577" s="50">
        <v>42005</v>
      </c>
      <c r="W2577" s="4">
        <v>4539.28</v>
      </c>
      <c r="X2577" s="48">
        <v>4934</v>
      </c>
    </row>
    <row r="2578" spans="2:24" x14ac:dyDescent="0.35">
      <c r="B2578" s="8" t="s">
        <v>12</v>
      </c>
      <c r="C2578" s="8" t="s">
        <v>44</v>
      </c>
      <c r="D2578" s="8" t="s">
        <v>13</v>
      </c>
      <c r="E2578" s="8" t="s">
        <v>27</v>
      </c>
      <c r="F2578" s="6" t="s">
        <v>31</v>
      </c>
      <c r="G2578" s="8">
        <v>2015</v>
      </c>
      <c r="H2578" s="8">
        <v>1</v>
      </c>
      <c r="I2578" s="10">
        <v>42005</v>
      </c>
      <c r="J2578" s="11">
        <v>4640</v>
      </c>
      <c r="K2578" s="51"/>
      <c r="O2578" s="1" t="s">
        <v>12</v>
      </c>
      <c r="P2578" s="1" t="s">
        <v>44</v>
      </c>
      <c r="Q2578" s="1" t="s">
        <v>13</v>
      </c>
      <c r="R2578" s="1" t="s">
        <v>27</v>
      </c>
      <c r="S2578" t="s">
        <v>31</v>
      </c>
      <c r="T2578" s="1">
        <v>2015</v>
      </c>
      <c r="U2578" s="1">
        <v>1</v>
      </c>
      <c r="V2578" s="50">
        <v>42005</v>
      </c>
      <c r="W2578" s="4">
        <v>4268.7999999999993</v>
      </c>
      <c r="X2578" s="48">
        <v>4640</v>
      </c>
    </row>
    <row r="2579" spans="2:24" x14ac:dyDescent="0.35">
      <c r="B2579" s="8" t="s">
        <v>14</v>
      </c>
      <c r="C2579" s="8" t="s">
        <v>46</v>
      </c>
      <c r="D2579" s="8" t="s">
        <v>47</v>
      </c>
      <c r="E2579" s="8" t="s">
        <v>27</v>
      </c>
      <c r="F2579" s="6" t="s">
        <v>33</v>
      </c>
      <c r="G2579" s="8">
        <v>2015</v>
      </c>
      <c r="H2579" s="8">
        <v>1</v>
      </c>
      <c r="I2579" s="10">
        <v>42005</v>
      </c>
      <c r="J2579" s="11">
        <v>3889</v>
      </c>
      <c r="K2579" s="51"/>
      <c r="O2579" s="1" t="s">
        <v>14</v>
      </c>
      <c r="P2579" s="1" t="s">
        <v>46</v>
      </c>
      <c r="Q2579" s="1" t="s">
        <v>47</v>
      </c>
      <c r="R2579" s="1" t="s">
        <v>27</v>
      </c>
      <c r="S2579" t="s">
        <v>33</v>
      </c>
      <c r="T2579" s="1">
        <v>2015</v>
      </c>
      <c r="U2579" s="1">
        <v>1</v>
      </c>
      <c r="V2579" s="50">
        <v>42005</v>
      </c>
      <c r="W2579" s="4">
        <v>3655.66</v>
      </c>
      <c r="X2579" s="48">
        <v>3889</v>
      </c>
    </row>
    <row r="2580" spans="2:24" x14ac:dyDescent="0.35">
      <c r="B2580" s="8" t="s">
        <v>3</v>
      </c>
      <c r="C2580" s="8" t="s">
        <v>22</v>
      </c>
      <c r="D2580" s="8" t="s">
        <v>5</v>
      </c>
      <c r="E2580" s="8" t="s">
        <v>23</v>
      </c>
      <c r="F2580" s="6" t="s">
        <v>36</v>
      </c>
      <c r="G2580" s="8">
        <v>2015</v>
      </c>
      <c r="H2580" s="8">
        <v>1</v>
      </c>
      <c r="I2580" s="10">
        <v>42005</v>
      </c>
      <c r="J2580" s="11">
        <v>1838</v>
      </c>
      <c r="K2580" s="51"/>
      <c r="O2580" s="1" t="s">
        <v>3</v>
      </c>
      <c r="P2580" s="1" t="s">
        <v>22</v>
      </c>
      <c r="Q2580" s="1" t="s">
        <v>5</v>
      </c>
      <c r="R2580" s="1" t="s">
        <v>23</v>
      </c>
      <c r="S2580" t="s">
        <v>36</v>
      </c>
      <c r="T2580" s="1">
        <v>2015</v>
      </c>
      <c r="U2580" s="1">
        <v>1</v>
      </c>
      <c r="V2580" s="50">
        <v>42005</v>
      </c>
      <c r="W2580" s="4">
        <v>1580.6800000000003</v>
      </c>
      <c r="X2580" s="48">
        <v>1838</v>
      </c>
    </row>
    <row r="2581" spans="2:24" x14ac:dyDescent="0.35">
      <c r="B2581" s="8" t="s">
        <v>6</v>
      </c>
      <c r="C2581" s="8" t="s">
        <v>40</v>
      </c>
      <c r="D2581" s="8" t="s">
        <v>41</v>
      </c>
      <c r="E2581" s="9" t="s">
        <v>23</v>
      </c>
      <c r="F2581" s="9" t="s">
        <v>24</v>
      </c>
      <c r="G2581" s="8">
        <v>2015</v>
      </c>
      <c r="H2581" s="8">
        <v>1</v>
      </c>
      <c r="I2581" s="10">
        <v>42005</v>
      </c>
      <c r="J2581" s="11">
        <v>2679</v>
      </c>
      <c r="K2581" s="51"/>
      <c r="O2581" s="1" t="s">
        <v>6</v>
      </c>
      <c r="P2581" s="1" t="s">
        <v>40</v>
      </c>
      <c r="Q2581" s="1" t="s">
        <v>41</v>
      </c>
      <c r="R2581" s="2" t="s">
        <v>23</v>
      </c>
      <c r="S2581" s="2" t="s">
        <v>24</v>
      </c>
      <c r="T2581" s="1">
        <v>2015</v>
      </c>
      <c r="U2581" s="1">
        <v>1</v>
      </c>
      <c r="V2581" s="50">
        <v>42005</v>
      </c>
      <c r="W2581" s="4">
        <v>2518.2599999999998</v>
      </c>
      <c r="X2581" s="48">
        <v>2679</v>
      </c>
    </row>
    <row r="2582" spans="2:24" x14ac:dyDescent="0.35">
      <c r="B2582" s="8" t="s">
        <v>7</v>
      </c>
      <c r="C2582" s="8" t="s">
        <v>32</v>
      </c>
      <c r="D2582" s="8" t="s">
        <v>8</v>
      </c>
      <c r="E2582" s="8" t="s">
        <v>23</v>
      </c>
      <c r="F2582" s="9" t="s">
        <v>39</v>
      </c>
      <c r="G2582" s="8">
        <v>2015</v>
      </c>
      <c r="H2582" s="8">
        <v>1</v>
      </c>
      <c r="I2582" s="10">
        <v>42005</v>
      </c>
      <c r="J2582" s="11">
        <v>1273</v>
      </c>
      <c r="K2582" s="51"/>
      <c r="O2582" s="1" t="s">
        <v>7</v>
      </c>
      <c r="P2582" s="1" t="s">
        <v>32</v>
      </c>
      <c r="Q2582" s="1" t="s">
        <v>8</v>
      </c>
      <c r="R2582" s="1" t="s">
        <v>23</v>
      </c>
      <c r="S2582" s="2" t="s">
        <v>39</v>
      </c>
      <c r="T2582" s="1">
        <v>2015</v>
      </c>
      <c r="U2582" s="1">
        <v>1</v>
      </c>
      <c r="V2582" s="50">
        <v>42005</v>
      </c>
      <c r="W2582" s="4">
        <v>1094.7800000000002</v>
      </c>
      <c r="X2582" s="48">
        <v>1273</v>
      </c>
    </row>
    <row r="2583" spans="2:24" x14ac:dyDescent="0.35">
      <c r="B2583" s="8" t="s">
        <v>12</v>
      </c>
      <c r="C2583" s="8" t="s">
        <v>34</v>
      </c>
      <c r="D2583" s="8" t="s">
        <v>35</v>
      </c>
      <c r="E2583" s="8" t="s">
        <v>0</v>
      </c>
      <c r="F2583" s="6" t="s">
        <v>42</v>
      </c>
      <c r="G2583" s="8">
        <v>2015</v>
      </c>
      <c r="H2583" s="8">
        <v>1</v>
      </c>
      <c r="I2583" s="10">
        <v>42005</v>
      </c>
      <c r="J2583" s="11">
        <v>4001</v>
      </c>
      <c r="K2583" s="51"/>
      <c r="O2583" s="1" t="s">
        <v>12</v>
      </c>
      <c r="P2583" s="1" t="s">
        <v>34</v>
      </c>
      <c r="Q2583" s="1" t="s">
        <v>35</v>
      </c>
      <c r="R2583" s="1" t="s">
        <v>0</v>
      </c>
      <c r="S2583" t="s">
        <v>42</v>
      </c>
      <c r="T2583" s="1">
        <v>2015</v>
      </c>
      <c r="U2583" s="1">
        <v>1</v>
      </c>
      <c r="V2583" s="50">
        <v>42005</v>
      </c>
      <c r="W2583" s="4">
        <v>3440.8600000000006</v>
      </c>
      <c r="X2583" s="48">
        <v>4001</v>
      </c>
    </row>
    <row r="2584" spans="2:24" x14ac:dyDescent="0.35">
      <c r="B2584" s="8" t="s">
        <v>14</v>
      </c>
      <c r="C2584" s="8" t="s">
        <v>37</v>
      </c>
      <c r="D2584" s="8" t="s">
        <v>38</v>
      </c>
      <c r="E2584" s="8" t="s">
        <v>0</v>
      </c>
      <c r="F2584" s="8" t="s">
        <v>26</v>
      </c>
      <c r="G2584" s="8">
        <v>2015</v>
      </c>
      <c r="H2584" s="8">
        <v>1</v>
      </c>
      <c r="I2584" s="10">
        <v>42005</v>
      </c>
      <c r="J2584" s="11">
        <v>4093</v>
      </c>
      <c r="K2584" s="51"/>
      <c r="O2584" s="1" t="s">
        <v>14</v>
      </c>
      <c r="P2584" s="1" t="s">
        <v>37</v>
      </c>
      <c r="Q2584" s="1" t="s">
        <v>38</v>
      </c>
      <c r="R2584" s="1" t="s">
        <v>0</v>
      </c>
      <c r="S2584" s="1" t="s">
        <v>26</v>
      </c>
      <c r="T2584" s="1">
        <v>2015</v>
      </c>
      <c r="U2584" s="1">
        <v>1</v>
      </c>
      <c r="V2584" s="50">
        <v>42005</v>
      </c>
      <c r="W2584" s="4">
        <v>3806.49</v>
      </c>
      <c r="X2584" s="48">
        <v>4093</v>
      </c>
    </row>
    <row r="2585" spans="2:24" x14ac:dyDescent="0.35">
      <c r="B2585" s="8" t="s">
        <v>3</v>
      </c>
      <c r="C2585" s="8" t="s">
        <v>25</v>
      </c>
      <c r="D2585" s="8" t="s">
        <v>4</v>
      </c>
      <c r="E2585" s="8" t="s">
        <v>0</v>
      </c>
      <c r="F2585" s="8" t="s">
        <v>45</v>
      </c>
      <c r="G2585" s="8">
        <v>2015</v>
      </c>
      <c r="H2585" s="8">
        <v>1</v>
      </c>
      <c r="I2585" s="10">
        <v>42005</v>
      </c>
      <c r="J2585" s="11">
        <v>3075</v>
      </c>
      <c r="K2585" s="51"/>
      <c r="O2585" s="1" t="s">
        <v>3</v>
      </c>
      <c r="P2585" s="1" t="s">
        <v>25</v>
      </c>
      <c r="Q2585" s="1" t="s">
        <v>4</v>
      </c>
      <c r="R2585" s="1" t="s">
        <v>0</v>
      </c>
      <c r="S2585" s="1" t="s">
        <v>45</v>
      </c>
      <c r="T2585" s="1">
        <v>2015</v>
      </c>
      <c r="U2585" s="1">
        <v>1</v>
      </c>
      <c r="V2585" s="50">
        <v>42005</v>
      </c>
      <c r="W2585" s="4">
        <v>2644.5000000000005</v>
      </c>
      <c r="X2585" s="48">
        <v>3075</v>
      </c>
    </row>
    <row r="2586" spans="2:24" x14ac:dyDescent="0.35">
      <c r="B2586" s="8" t="s">
        <v>6</v>
      </c>
      <c r="C2586" s="8" t="s">
        <v>29</v>
      </c>
      <c r="D2586" s="8" t="s">
        <v>30</v>
      </c>
      <c r="E2586" s="8" t="s">
        <v>27</v>
      </c>
      <c r="F2586" s="8" t="s">
        <v>28</v>
      </c>
      <c r="G2586" s="8">
        <v>2015</v>
      </c>
      <c r="H2586" s="8">
        <v>1</v>
      </c>
      <c r="I2586" s="10">
        <v>42005</v>
      </c>
      <c r="J2586" s="11">
        <v>3378</v>
      </c>
      <c r="K2586" s="51"/>
      <c r="O2586" s="1" t="s">
        <v>6</v>
      </c>
      <c r="P2586" s="1" t="s">
        <v>29</v>
      </c>
      <c r="Q2586" s="1" t="s">
        <v>30</v>
      </c>
      <c r="R2586" s="1" t="s">
        <v>27</v>
      </c>
      <c r="S2586" s="1" t="s">
        <v>28</v>
      </c>
      <c r="T2586" s="1">
        <v>2015</v>
      </c>
      <c r="U2586" s="1">
        <v>1</v>
      </c>
      <c r="V2586" s="50">
        <v>42005</v>
      </c>
      <c r="W2586" s="4">
        <v>3040.2</v>
      </c>
      <c r="X2586" s="48">
        <v>3378</v>
      </c>
    </row>
    <row r="2587" spans="2:24" x14ac:dyDescent="0.35">
      <c r="B2587" s="8" t="s">
        <v>7</v>
      </c>
      <c r="C2587" s="8" t="s">
        <v>43</v>
      </c>
      <c r="D2587" s="8" t="s">
        <v>10</v>
      </c>
      <c r="E2587" s="8" t="s">
        <v>27</v>
      </c>
      <c r="F2587" s="6" t="s">
        <v>31</v>
      </c>
      <c r="G2587" s="8">
        <v>2015</v>
      </c>
      <c r="H2587" s="8">
        <v>1</v>
      </c>
      <c r="I2587" s="10">
        <v>42005</v>
      </c>
      <c r="J2587" s="11">
        <v>4566</v>
      </c>
      <c r="K2587" s="51"/>
      <c r="O2587" s="1" t="s">
        <v>7</v>
      </c>
      <c r="P2587" s="1" t="s">
        <v>43</v>
      </c>
      <c r="Q2587" s="1" t="s">
        <v>10</v>
      </c>
      <c r="R2587" s="1" t="s">
        <v>27</v>
      </c>
      <c r="S2587" t="s">
        <v>31</v>
      </c>
      <c r="T2587" s="1">
        <v>2015</v>
      </c>
      <c r="U2587" s="1">
        <v>1</v>
      </c>
      <c r="V2587" s="50">
        <v>42005</v>
      </c>
      <c r="W2587" s="4">
        <v>3972.4200000000005</v>
      </c>
      <c r="X2587" s="48">
        <v>4566</v>
      </c>
    </row>
    <row r="2588" spans="2:24" x14ac:dyDescent="0.35">
      <c r="B2588" s="8" t="s">
        <v>12</v>
      </c>
      <c r="C2588" s="8" t="s">
        <v>44</v>
      </c>
      <c r="D2588" s="8" t="s">
        <v>13</v>
      </c>
      <c r="E2588" s="8" t="s">
        <v>27</v>
      </c>
      <c r="F2588" s="6" t="s">
        <v>33</v>
      </c>
      <c r="G2588" s="8">
        <v>2015</v>
      </c>
      <c r="H2588" s="8">
        <v>1</v>
      </c>
      <c r="I2588" s="10">
        <v>42005</v>
      </c>
      <c r="J2588" s="11">
        <v>3448</v>
      </c>
      <c r="K2588" s="51"/>
      <c r="O2588" s="1" t="s">
        <v>12</v>
      </c>
      <c r="P2588" s="1" t="s">
        <v>44</v>
      </c>
      <c r="Q2588" s="1" t="s">
        <v>13</v>
      </c>
      <c r="R2588" s="1" t="s">
        <v>27</v>
      </c>
      <c r="S2588" t="s">
        <v>33</v>
      </c>
      <c r="T2588" s="1">
        <v>2015</v>
      </c>
      <c r="U2588" s="1">
        <v>1</v>
      </c>
      <c r="V2588" s="50">
        <v>42005</v>
      </c>
      <c r="W2588" s="4">
        <v>3172.16</v>
      </c>
      <c r="X2588" s="48">
        <v>3448</v>
      </c>
    </row>
    <row r="2589" spans="2:24" x14ac:dyDescent="0.35">
      <c r="B2589" s="8" t="s">
        <v>14</v>
      </c>
      <c r="C2589" s="8" t="s">
        <v>46</v>
      </c>
      <c r="D2589" s="8" t="s">
        <v>47</v>
      </c>
      <c r="E2589" s="8" t="s">
        <v>23</v>
      </c>
      <c r="F2589" s="6" t="s">
        <v>36</v>
      </c>
      <c r="G2589" s="8">
        <v>2015</v>
      </c>
      <c r="H2589" s="8">
        <v>1</v>
      </c>
      <c r="I2589" s="10">
        <v>42005</v>
      </c>
      <c r="J2589" s="11">
        <v>2016</v>
      </c>
      <c r="K2589" s="51"/>
      <c r="O2589" s="1" t="s">
        <v>14</v>
      </c>
      <c r="P2589" s="1" t="s">
        <v>46</v>
      </c>
      <c r="Q2589" s="1" t="s">
        <v>47</v>
      </c>
      <c r="R2589" s="1" t="s">
        <v>23</v>
      </c>
      <c r="S2589" t="s">
        <v>36</v>
      </c>
      <c r="T2589" s="1">
        <v>2015</v>
      </c>
      <c r="U2589" s="1">
        <v>1</v>
      </c>
      <c r="V2589" s="50">
        <v>42005</v>
      </c>
      <c r="W2589" s="4">
        <v>1733.7600000000002</v>
      </c>
      <c r="X2589" s="48">
        <v>2016</v>
      </c>
    </row>
    <row r="2590" spans="2:24" x14ac:dyDescent="0.35">
      <c r="B2590" s="8" t="s">
        <v>6</v>
      </c>
      <c r="C2590" s="8" t="s">
        <v>29</v>
      </c>
      <c r="D2590" s="8" t="s">
        <v>30</v>
      </c>
      <c r="E2590" s="9" t="s">
        <v>23</v>
      </c>
      <c r="F2590" s="9" t="s">
        <v>39</v>
      </c>
      <c r="G2590" s="8">
        <v>2015</v>
      </c>
      <c r="H2590" s="8">
        <v>1</v>
      </c>
      <c r="I2590" s="10">
        <v>42005</v>
      </c>
      <c r="J2590" s="11">
        <v>1402</v>
      </c>
      <c r="K2590" s="51"/>
      <c r="O2590" s="1" t="s">
        <v>6</v>
      </c>
      <c r="P2590" s="1" t="s">
        <v>29</v>
      </c>
      <c r="Q2590" s="1" t="s">
        <v>30</v>
      </c>
      <c r="R2590" s="2" t="s">
        <v>23</v>
      </c>
      <c r="S2590" s="2" t="s">
        <v>39</v>
      </c>
      <c r="T2590" s="1">
        <v>2015</v>
      </c>
      <c r="U2590" s="1">
        <v>1</v>
      </c>
      <c r="V2590" s="50">
        <v>42005</v>
      </c>
      <c r="W2590" s="4">
        <v>1247.7799999999997</v>
      </c>
      <c r="X2590" s="48">
        <v>1402</v>
      </c>
    </row>
    <row r="2591" spans="2:24" x14ac:dyDescent="0.35">
      <c r="B2591" s="8" t="s">
        <v>7</v>
      </c>
      <c r="C2591" s="8" t="s">
        <v>32</v>
      </c>
      <c r="D2591" s="8" t="s">
        <v>8</v>
      </c>
      <c r="E2591" s="8" t="s">
        <v>0</v>
      </c>
      <c r="F2591" s="9" t="s">
        <v>42</v>
      </c>
      <c r="G2591" s="8">
        <v>2015</v>
      </c>
      <c r="H2591" s="8">
        <v>1</v>
      </c>
      <c r="I2591" s="10">
        <v>42005</v>
      </c>
      <c r="J2591" s="11">
        <v>5803</v>
      </c>
      <c r="K2591" s="51"/>
      <c r="O2591" s="1" t="s">
        <v>7</v>
      </c>
      <c r="P2591" s="1" t="s">
        <v>32</v>
      </c>
      <c r="Q2591" s="1" t="s">
        <v>8</v>
      </c>
      <c r="R2591" s="1" t="s">
        <v>0</v>
      </c>
      <c r="S2591" s="2" t="s">
        <v>42</v>
      </c>
      <c r="T2591" s="1">
        <v>2015</v>
      </c>
      <c r="U2591" s="1">
        <v>1</v>
      </c>
      <c r="V2591" s="50">
        <v>42005</v>
      </c>
      <c r="W2591" s="4">
        <v>5280.73</v>
      </c>
      <c r="X2591" s="48">
        <v>5803</v>
      </c>
    </row>
    <row r="2592" spans="2:24" x14ac:dyDescent="0.35">
      <c r="B2592" s="8" t="s">
        <v>12</v>
      </c>
      <c r="C2592" s="8" t="s">
        <v>44</v>
      </c>
      <c r="D2592" s="8" t="s">
        <v>13</v>
      </c>
      <c r="E2592" s="8" t="s">
        <v>0</v>
      </c>
      <c r="F2592" s="6" t="s">
        <v>26</v>
      </c>
      <c r="G2592" s="8">
        <v>2015</v>
      </c>
      <c r="H2592" s="8">
        <v>1</v>
      </c>
      <c r="I2592" s="10">
        <v>42005</v>
      </c>
      <c r="J2592" s="11">
        <v>4452</v>
      </c>
      <c r="K2592" s="51"/>
      <c r="O2592" s="1" t="s">
        <v>12</v>
      </c>
      <c r="P2592" s="1" t="s">
        <v>44</v>
      </c>
      <c r="Q2592" s="1" t="s">
        <v>13</v>
      </c>
      <c r="R2592" s="1" t="s">
        <v>0</v>
      </c>
      <c r="S2592" t="s">
        <v>26</v>
      </c>
      <c r="T2592" s="1">
        <v>2015</v>
      </c>
      <c r="U2592" s="1">
        <v>1</v>
      </c>
      <c r="V2592" s="50">
        <v>42005</v>
      </c>
      <c r="W2592" s="4">
        <v>4051.3199999999997</v>
      </c>
      <c r="X2592" s="48">
        <v>4452</v>
      </c>
    </row>
    <row r="2593" spans="2:24" x14ac:dyDescent="0.35">
      <c r="B2593" s="8" t="s">
        <v>14</v>
      </c>
      <c r="C2593" s="8" t="s">
        <v>37</v>
      </c>
      <c r="D2593" s="8" t="s">
        <v>38</v>
      </c>
      <c r="E2593" s="8" t="s">
        <v>0</v>
      </c>
      <c r="F2593" s="8" t="s">
        <v>45</v>
      </c>
      <c r="G2593" s="8">
        <v>2015</v>
      </c>
      <c r="H2593" s="8">
        <v>1</v>
      </c>
      <c r="I2593" s="10">
        <v>42005</v>
      </c>
      <c r="J2593" s="11">
        <v>3052</v>
      </c>
      <c r="K2593" s="51"/>
      <c r="O2593" s="1" t="s">
        <v>14</v>
      </c>
      <c r="P2593" s="1" t="s">
        <v>37</v>
      </c>
      <c r="Q2593" s="1" t="s">
        <v>38</v>
      </c>
      <c r="R2593" s="1" t="s">
        <v>0</v>
      </c>
      <c r="S2593" s="1" t="s">
        <v>45</v>
      </c>
      <c r="T2593" s="1">
        <v>2015</v>
      </c>
      <c r="U2593" s="1">
        <v>1</v>
      </c>
      <c r="V2593" s="50">
        <v>42005</v>
      </c>
      <c r="W2593" s="4">
        <v>2868.8799999999997</v>
      </c>
      <c r="X2593" s="48">
        <v>3052</v>
      </c>
    </row>
    <row r="2594" spans="2:24" x14ac:dyDescent="0.35">
      <c r="B2594" s="8" t="s">
        <v>3</v>
      </c>
      <c r="C2594" s="8" t="s">
        <v>25</v>
      </c>
      <c r="D2594" s="8" t="s">
        <v>4</v>
      </c>
      <c r="E2594" s="8" t="s">
        <v>27</v>
      </c>
      <c r="F2594" s="8" t="s">
        <v>28</v>
      </c>
      <c r="G2594" s="8">
        <v>2015</v>
      </c>
      <c r="H2594" s="8">
        <v>1</v>
      </c>
      <c r="I2594" s="10">
        <v>42005</v>
      </c>
      <c r="J2594" s="11">
        <v>5032</v>
      </c>
      <c r="K2594" s="51"/>
      <c r="O2594" s="1" t="s">
        <v>3</v>
      </c>
      <c r="P2594" s="1" t="s">
        <v>25</v>
      </c>
      <c r="Q2594" s="1" t="s">
        <v>4</v>
      </c>
      <c r="R2594" s="1" t="s">
        <v>27</v>
      </c>
      <c r="S2594" s="1" t="s">
        <v>28</v>
      </c>
      <c r="T2594" s="1">
        <v>2015</v>
      </c>
      <c r="U2594" s="1">
        <v>1</v>
      </c>
      <c r="V2594" s="50">
        <v>42005</v>
      </c>
      <c r="W2594" s="4">
        <v>4679.7599999999993</v>
      </c>
      <c r="X2594" s="48">
        <v>5032</v>
      </c>
    </row>
    <row r="2595" spans="2:24" x14ac:dyDescent="0.35">
      <c r="B2595" s="8" t="s">
        <v>3</v>
      </c>
      <c r="C2595" s="8" t="s">
        <v>25</v>
      </c>
      <c r="D2595" s="8" t="s">
        <v>4</v>
      </c>
      <c r="E2595" s="8" t="s">
        <v>27</v>
      </c>
      <c r="F2595" s="8" t="s">
        <v>31</v>
      </c>
      <c r="G2595" s="8">
        <v>2015</v>
      </c>
      <c r="H2595" s="8">
        <v>1</v>
      </c>
      <c r="I2595" s="10">
        <v>42005</v>
      </c>
      <c r="J2595" s="11">
        <v>4010</v>
      </c>
      <c r="K2595" s="51"/>
      <c r="O2595" s="1" t="s">
        <v>3</v>
      </c>
      <c r="P2595" s="1" t="s">
        <v>25</v>
      </c>
      <c r="Q2595" s="1" t="s">
        <v>4</v>
      </c>
      <c r="R2595" s="1" t="s">
        <v>27</v>
      </c>
      <c r="S2595" s="1" t="s">
        <v>31</v>
      </c>
      <c r="T2595" s="1">
        <v>2015</v>
      </c>
      <c r="U2595" s="1">
        <v>1</v>
      </c>
      <c r="V2595" s="50">
        <v>42005</v>
      </c>
      <c r="W2595" s="4">
        <v>3729.2999999999997</v>
      </c>
      <c r="X2595" s="48">
        <v>4010</v>
      </c>
    </row>
    <row r="2596" spans="2:24" x14ac:dyDescent="0.35">
      <c r="B2596" s="8" t="s">
        <v>6</v>
      </c>
      <c r="C2596" s="8" t="s">
        <v>40</v>
      </c>
      <c r="D2596" s="8" t="s">
        <v>41</v>
      </c>
      <c r="E2596" s="8" t="s">
        <v>27</v>
      </c>
      <c r="F2596" s="6" t="s">
        <v>33</v>
      </c>
      <c r="G2596" s="8">
        <v>2015</v>
      </c>
      <c r="H2596" s="8">
        <v>1</v>
      </c>
      <c r="I2596" s="10">
        <v>42005</v>
      </c>
      <c r="J2596" s="11">
        <v>3580</v>
      </c>
      <c r="K2596" s="51"/>
      <c r="O2596" s="1" t="s">
        <v>6</v>
      </c>
      <c r="P2596" s="1" t="s">
        <v>40</v>
      </c>
      <c r="Q2596" s="1" t="s">
        <v>41</v>
      </c>
      <c r="R2596" s="1" t="s">
        <v>27</v>
      </c>
      <c r="S2596" t="s">
        <v>33</v>
      </c>
      <c r="T2596" s="1">
        <v>2015</v>
      </c>
      <c r="U2596" s="1">
        <v>1</v>
      </c>
      <c r="V2596" s="50">
        <v>42005</v>
      </c>
      <c r="W2596" s="4">
        <v>3114.6000000000004</v>
      </c>
      <c r="X2596" s="48">
        <v>3580</v>
      </c>
    </row>
    <row r="2597" spans="2:24" x14ac:dyDescent="0.35">
      <c r="B2597" s="8" t="s">
        <v>6</v>
      </c>
      <c r="C2597" s="8" t="s">
        <v>40</v>
      </c>
      <c r="D2597" s="8" t="s">
        <v>41</v>
      </c>
      <c r="E2597" s="8" t="s">
        <v>23</v>
      </c>
      <c r="F2597" s="6" t="s">
        <v>36</v>
      </c>
      <c r="G2597" s="8">
        <v>2015</v>
      </c>
      <c r="H2597" s="8">
        <v>1</v>
      </c>
      <c r="I2597" s="10">
        <v>42005</v>
      </c>
      <c r="J2597" s="11">
        <v>2073</v>
      </c>
      <c r="K2597" s="51"/>
      <c r="O2597" s="1" t="s">
        <v>6</v>
      </c>
      <c r="P2597" s="1" t="s">
        <v>40</v>
      </c>
      <c r="Q2597" s="1" t="s">
        <v>41</v>
      </c>
      <c r="R2597" s="1" t="s">
        <v>23</v>
      </c>
      <c r="S2597" t="s">
        <v>36</v>
      </c>
      <c r="T2597" s="1">
        <v>2015</v>
      </c>
      <c r="U2597" s="1">
        <v>1</v>
      </c>
      <c r="V2597" s="50">
        <v>42005</v>
      </c>
      <c r="W2597" s="4">
        <v>1865.6999999999998</v>
      </c>
      <c r="X2597" s="48">
        <v>2073</v>
      </c>
    </row>
    <row r="2598" spans="2:24" x14ac:dyDescent="0.35">
      <c r="B2598" s="8" t="s">
        <v>7</v>
      </c>
      <c r="C2598" s="8" t="s">
        <v>43</v>
      </c>
      <c r="D2598" s="8" t="s">
        <v>10</v>
      </c>
      <c r="E2598" s="8" t="s">
        <v>23</v>
      </c>
      <c r="F2598" s="6" t="s">
        <v>24</v>
      </c>
      <c r="G2598" s="8">
        <v>2015</v>
      </c>
      <c r="H2598" s="8">
        <v>1</v>
      </c>
      <c r="I2598" s="10">
        <v>42005</v>
      </c>
      <c r="J2598" s="11">
        <v>3208</v>
      </c>
      <c r="K2598" s="51"/>
      <c r="O2598" s="1" t="s">
        <v>7</v>
      </c>
      <c r="P2598" s="1" t="s">
        <v>43</v>
      </c>
      <c r="Q2598" s="1" t="s">
        <v>10</v>
      </c>
      <c r="R2598" s="1" t="s">
        <v>23</v>
      </c>
      <c r="S2598" t="s">
        <v>24</v>
      </c>
      <c r="T2598" s="1">
        <v>2015</v>
      </c>
      <c r="U2598" s="1">
        <v>1</v>
      </c>
      <c r="V2598" s="50">
        <v>42005</v>
      </c>
      <c r="W2598" s="4">
        <v>2790.9600000000005</v>
      </c>
      <c r="X2598" s="48">
        <v>3208</v>
      </c>
    </row>
    <row r="2599" spans="2:24" x14ac:dyDescent="0.35">
      <c r="B2599" s="8" t="s">
        <v>7</v>
      </c>
      <c r="C2599" s="8" t="s">
        <v>43</v>
      </c>
      <c r="D2599" s="8" t="s">
        <v>10</v>
      </c>
      <c r="E2599" s="9" t="s">
        <v>23</v>
      </c>
      <c r="F2599" s="9" t="s">
        <v>39</v>
      </c>
      <c r="G2599" s="8">
        <v>2015</v>
      </c>
      <c r="H2599" s="8">
        <v>1</v>
      </c>
      <c r="I2599" s="10">
        <v>42005</v>
      </c>
      <c r="J2599" s="11">
        <v>2525</v>
      </c>
      <c r="K2599" s="51"/>
      <c r="O2599" s="1" t="s">
        <v>7</v>
      </c>
      <c r="P2599" s="1" t="s">
        <v>43</v>
      </c>
      <c r="Q2599" s="1" t="s">
        <v>10</v>
      </c>
      <c r="R2599" s="2" t="s">
        <v>23</v>
      </c>
      <c r="S2599" s="2" t="s">
        <v>39</v>
      </c>
      <c r="T2599" s="1">
        <v>2015</v>
      </c>
      <c r="U2599" s="1">
        <v>1</v>
      </c>
      <c r="V2599" s="50">
        <v>42005</v>
      </c>
      <c r="W2599" s="4">
        <v>2171.5</v>
      </c>
      <c r="X2599" s="48">
        <v>2525</v>
      </c>
    </row>
    <row r="2600" spans="2:24" x14ac:dyDescent="0.35">
      <c r="B2600" s="8" t="s">
        <v>7</v>
      </c>
      <c r="C2600" s="8" t="s">
        <v>32</v>
      </c>
      <c r="D2600" s="8" t="s">
        <v>8</v>
      </c>
      <c r="E2600" s="8" t="s">
        <v>0</v>
      </c>
      <c r="F2600" s="9" t="s">
        <v>26</v>
      </c>
      <c r="G2600" s="8">
        <v>2015</v>
      </c>
      <c r="H2600" s="8">
        <v>1</v>
      </c>
      <c r="I2600" s="10">
        <v>42005</v>
      </c>
      <c r="J2600" s="11">
        <v>5599</v>
      </c>
      <c r="K2600" s="51"/>
      <c r="O2600" s="1" t="s">
        <v>7</v>
      </c>
      <c r="P2600" s="1" t="s">
        <v>32</v>
      </c>
      <c r="Q2600" s="1" t="s">
        <v>8</v>
      </c>
      <c r="R2600" s="1" t="s">
        <v>0</v>
      </c>
      <c r="S2600" s="2" t="s">
        <v>26</v>
      </c>
      <c r="T2600" s="1">
        <v>2015</v>
      </c>
      <c r="U2600" s="1">
        <v>1</v>
      </c>
      <c r="V2600" s="50">
        <v>42005</v>
      </c>
      <c r="W2600" s="4">
        <v>5207.07</v>
      </c>
      <c r="X2600" s="48">
        <v>5599</v>
      </c>
    </row>
    <row r="2601" spans="2:24" x14ac:dyDescent="0.35">
      <c r="B2601" s="8" t="s">
        <v>3</v>
      </c>
      <c r="C2601" s="8" t="s">
        <v>22</v>
      </c>
      <c r="D2601" s="8" t="s">
        <v>5</v>
      </c>
      <c r="E2601" s="8" t="s">
        <v>0</v>
      </c>
      <c r="F2601" s="6" t="s">
        <v>45</v>
      </c>
      <c r="G2601" s="8">
        <v>2015</v>
      </c>
      <c r="H2601" s="8">
        <v>1</v>
      </c>
      <c r="I2601" s="10">
        <v>42005</v>
      </c>
      <c r="J2601" s="11">
        <v>4062</v>
      </c>
      <c r="K2601" s="51"/>
      <c r="O2601" s="1" t="s">
        <v>3</v>
      </c>
      <c r="P2601" s="1" t="s">
        <v>22</v>
      </c>
      <c r="Q2601" s="1" t="s">
        <v>5</v>
      </c>
      <c r="R2601" s="1" t="s">
        <v>0</v>
      </c>
      <c r="S2601" t="s">
        <v>45</v>
      </c>
      <c r="T2601" s="1">
        <v>2015</v>
      </c>
      <c r="U2601" s="1">
        <v>1</v>
      </c>
      <c r="V2601" s="50">
        <v>42005</v>
      </c>
      <c r="W2601" s="4">
        <v>3533.9400000000005</v>
      </c>
      <c r="X2601" s="48">
        <v>4062</v>
      </c>
    </row>
    <row r="2602" spans="2:24" x14ac:dyDescent="0.35">
      <c r="B2602" s="8" t="s">
        <v>7</v>
      </c>
      <c r="C2602" s="8" t="s">
        <v>48</v>
      </c>
      <c r="D2602" s="8" t="s">
        <v>9</v>
      </c>
      <c r="E2602" s="8" t="s">
        <v>23</v>
      </c>
      <c r="F2602" s="8" t="s">
        <v>36</v>
      </c>
      <c r="G2602" s="8">
        <v>2015</v>
      </c>
      <c r="H2602" s="8">
        <v>1</v>
      </c>
      <c r="I2602" s="10">
        <v>42005</v>
      </c>
      <c r="J2602" s="11">
        <v>1995</v>
      </c>
      <c r="K2602" s="51"/>
      <c r="O2602" s="1" t="s">
        <v>7</v>
      </c>
      <c r="P2602" s="1" t="s">
        <v>48</v>
      </c>
      <c r="Q2602" s="1" t="s">
        <v>9</v>
      </c>
      <c r="R2602" s="1" t="s">
        <v>23</v>
      </c>
      <c r="S2602" s="1" t="s">
        <v>36</v>
      </c>
      <c r="T2602" s="1">
        <v>2015</v>
      </c>
      <c r="U2602" s="1">
        <v>1</v>
      </c>
      <c r="V2602" s="50">
        <v>42005</v>
      </c>
      <c r="W2602" s="4">
        <v>1795.4999999999998</v>
      </c>
      <c r="X2602" s="48">
        <v>1995</v>
      </c>
    </row>
    <row r="2603" spans="2:24" x14ac:dyDescent="0.35">
      <c r="B2603" s="8" t="s">
        <v>7</v>
      </c>
      <c r="C2603" s="8" t="s">
        <v>48</v>
      </c>
      <c r="D2603" s="8" t="s">
        <v>9</v>
      </c>
      <c r="E2603" s="8" t="s">
        <v>23</v>
      </c>
      <c r="F2603" s="8" t="s">
        <v>24</v>
      </c>
      <c r="G2603" s="8">
        <v>2015</v>
      </c>
      <c r="H2603" s="8">
        <v>1</v>
      </c>
      <c r="I2603" s="10">
        <v>42005</v>
      </c>
      <c r="J2603" s="11">
        <v>2637</v>
      </c>
      <c r="K2603" s="51"/>
      <c r="O2603" s="1" t="s">
        <v>7</v>
      </c>
      <c r="P2603" s="1" t="s">
        <v>48</v>
      </c>
      <c r="Q2603" s="1" t="s">
        <v>9</v>
      </c>
      <c r="R2603" s="1" t="s">
        <v>23</v>
      </c>
      <c r="S2603" s="1" t="s">
        <v>24</v>
      </c>
      <c r="T2603" s="1">
        <v>2015</v>
      </c>
      <c r="U2603" s="1">
        <v>1</v>
      </c>
      <c r="V2603" s="50">
        <v>42005</v>
      </c>
      <c r="W2603" s="4">
        <v>2426.04</v>
      </c>
      <c r="X2603" s="48">
        <v>2637</v>
      </c>
    </row>
    <row r="2604" spans="2:24" x14ac:dyDescent="0.35">
      <c r="B2604" s="8" t="s">
        <v>7</v>
      </c>
      <c r="C2604" s="8" t="s">
        <v>49</v>
      </c>
      <c r="D2604" s="8" t="s">
        <v>11</v>
      </c>
      <c r="E2604" s="8" t="s">
        <v>23</v>
      </c>
      <c r="F2604" s="8" t="s">
        <v>39</v>
      </c>
      <c r="G2604" s="8">
        <v>2015</v>
      </c>
      <c r="H2604" s="8">
        <v>1</v>
      </c>
      <c r="I2604" s="10">
        <v>42005</v>
      </c>
      <c r="J2604" s="11">
        <v>2520</v>
      </c>
      <c r="K2604" s="51"/>
      <c r="O2604" s="1" t="s">
        <v>7</v>
      </c>
      <c r="P2604" s="1" t="s">
        <v>49</v>
      </c>
      <c r="Q2604" s="1" t="s">
        <v>11</v>
      </c>
      <c r="R2604" s="1" t="s">
        <v>23</v>
      </c>
      <c r="S2604" s="1" t="s">
        <v>39</v>
      </c>
      <c r="T2604" s="1">
        <v>2015</v>
      </c>
      <c r="U2604" s="1">
        <v>1</v>
      </c>
      <c r="V2604" s="50">
        <v>42005</v>
      </c>
      <c r="W2604" s="4">
        <v>2142</v>
      </c>
      <c r="X2604" s="48">
        <v>2520</v>
      </c>
    </row>
    <row r="2605" spans="2:24" x14ac:dyDescent="0.35">
      <c r="B2605" s="8" t="s">
        <v>7</v>
      </c>
      <c r="C2605" s="8" t="s">
        <v>49</v>
      </c>
      <c r="D2605" s="8" t="s">
        <v>11</v>
      </c>
      <c r="E2605" s="8" t="s">
        <v>0</v>
      </c>
      <c r="F2605" s="6" t="s">
        <v>42</v>
      </c>
      <c r="G2605" s="8">
        <v>2015</v>
      </c>
      <c r="H2605" s="8">
        <v>1</v>
      </c>
      <c r="I2605" s="10">
        <v>42005</v>
      </c>
      <c r="J2605" s="11">
        <v>5377</v>
      </c>
      <c r="K2605" s="51"/>
      <c r="O2605" s="1" t="s">
        <v>7</v>
      </c>
      <c r="P2605" s="1" t="s">
        <v>49</v>
      </c>
      <c r="Q2605" s="1" t="s">
        <v>11</v>
      </c>
      <c r="R2605" s="1" t="s">
        <v>0</v>
      </c>
      <c r="S2605" t="s">
        <v>42</v>
      </c>
      <c r="T2605" s="1">
        <v>2015</v>
      </c>
      <c r="U2605" s="1">
        <v>1</v>
      </c>
      <c r="V2605" s="50">
        <v>42005</v>
      </c>
      <c r="W2605" s="4">
        <v>4839.2999999999993</v>
      </c>
      <c r="X2605" s="48">
        <v>5377</v>
      </c>
    </row>
    <row r="2606" spans="2:24" x14ac:dyDescent="0.35">
      <c r="B2606" s="8" t="s">
        <v>12</v>
      </c>
      <c r="C2606" s="8" t="s">
        <v>34</v>
      </c>
      <c r="D2606" s="8" t="s">
        <v>35</v>
      </c>
      <c r="E2606" s="8" t="s">
        <v>0</v>
      </c>
      <c r="F2606" s="6" t="s">
        <v>26</v>
      </c>
      <c r="G2606" s="8">
        <v>2015</v>
      </c>
      <c r="H2606" s="8">
        <v>1</v>
      </c>
      <c r="I2606" s="10">
        <v>42005</v>
      </c>
      <c r="J2606" s="11">
        <v>3781</v>
      </c>
      <c r="K2606" s="51"/>
      <c r="O2606" s="1" t="s">
        <v>12</v>
      </c>
      <c r="P2606" s="1" t="s">
        <v>34</v>
      </c>
      <c r="Q2606" s="1" t="s">
        <v>35</v>
      </c>
      <c r="R2606" s="1" t="s">
        <v>0</v>
      </c>
      <c r="S2606" t="s">
        <v>26</v>
      </c>
      <c r="T2606" s="1">
        <v>2015</v>
      </c>
      <c r="U2606" s="1">
        <v>1</v>
      </c>
      <c r="V2606" s="50">
        <v>42005</v>
      </c>
      <c r="W2606" s="4">
        <v>3478.5199999999995</v>
      </c>
      <c r="X2606" s="48">
        <v>3781</v>
      </c>
    </row>
    <row r="2607" spans="2:24" x14ac:dyDescent="0.35">
      <c r="B2607" s="8" t="s">
        <v>12</v>
      </c>
      <c r="C2607" s="8" t="s">
        <v>34</v>
      </c>
      <c r="D2607" s="8" t="s">
        <v>35</v>
      </c>
      <c r="E2607" s="8" t="s">
        <v>0</v>
      </c>
      <c r="F2607" s="6" t="s">
        <v>45</v>
      </c>
      <c r="G2607" s="8">
        <v>2015</v>
      </c>
      <c r="H2607" s="8">
        <v>1</v>
      </c>
      <c r="I2607" s="10">
        <v>42005</v>
      </c>
      <c r="J2607" s="11">
        <v>2222</v>
      </c>
      <c r="K2607" s="51"/>
      <c r="O2607" s="1" t="s">
        <v>12</v>
      </c>
      <c r="P2607" s="1" t="s">
        <v>34</v>
      </c>
      <c r="Q2607" s="1" t="s">
        <v>35</v>
      </c>
      <c r="R2607" s="1" t="s">
        <v>0</v>
      </c>
      <c r="S2607" t="s">
        <v>45</v>
      </c>
      <c r="T2607" s="1">
        <v>2015</v>
      </c>
      <c r="U2607" s="1">
        <v>1</v>
      </c>
      <c r="V2607" s="50">
        <v>42005</v>
      </c>
      <c r="W2607" s="4">
        <v>1955.3599999999997</v>
      </c>
      <c r="X2607" s="48">
        <v>2222</v>
      </c>
    </row>
    <row r="2608" spans="2:24" x14ac:dyDescent="0.35">
      <c r="B2608" s="8" t="s">
        <v>14</v>
      </c>
      <c r="C2608" s="8" t="s">
        <v>37</v>
      </c>
      <c r="D2608" s="8" t="s">
        <v>38</v>
      </c>
      <c r="E2608" s="9" t="s">
        <v>27</v>
      </c>
      <c r="F2608" s="9" t="s">
        <v>28</v>
      </c>
      <c r="G2608" s="8">
        <v>2015</v>
      </c>
      <c r="H2608" s="8">
        <v>1</v>
      </c>
      <c r="I2608" s="10">
        <v>42005</v>
      </c>
      <c r="J2608" s="11">
        <v>3518</v>
      </c>
      <c r="K2608" s="51"/>
      <c r="O2608" s="1" t="s">
        <v>14</v>
      </c>
      <c r="P2608" s="1" t="s">
        <v>37</v>
      </c>
      <c r="Q2608" s="1" t="s">
        <v>38</v>
      </c>
      <c r="R2608" s="2" t="s">
        <v>27</v>
      </c>
      <c r="S2608" s="2" t="s">
        <v>28</v>
      </c>
      <c r="T2608" s="1">
        <v>2015</v>
      </c>
      <c r="U2608" s="1">
        <v>1</v>
      </c>
      <c r="V2608" s="50">
        <v>42005</v>
      </c>
      <c r="W2608" s="4">
        <v>3025.4800000000005</v>
      </c>
      <c r="X2608" s="48">
        <v>3518</v>
      </c>
    </row>
    <row r="2609" spans="2:24" x14ac:dyDescent="0.35">
      <c r="B2609" s="8" t="s">
        <v>14</v>
      </c>
      <c r="C2609" s="8" t="s">
        <v>37</v>
      </c>
      <c r="D2609" s="8" t="s">
        <v>38</v>
      </c>
      <c r="E2609" s="8" t="s">
        <v>27</v>
      </c>
      <c r="F2609" s="9" t="s">
        <v>31</v>
      </c>
      <c r="G2609" s="8">
        <v>2015</v>
      </c>
      <c r="H2609" s="8">
        <v>1</v>
      </c>
      <c r="I2609" s="10">
        <v>42005</v>
      </c>
      <c r="J2609" s="11">
        <v>3964</v>
      </c>
      <c r="K2609" s="51"/>
      <c r="O2609" s="1" t="s">
        <v>14</v>
      </c>
      <c r="P2609" s="1" t="s">
        <v>37</v>
      </c>
      <c r="Q2609" s="1" t="s">
        <v>38</v>
      </c>
      <c r="R2609" s="1" t="s">
        <v>27</v>
      </c>
      <c r="S2609" s="2" t="s">
        <v>31</v>
      </c>
      <c r="T2609" s="1">
        <v>2015</v>
      </c>
      <c r="U2609" s="1">
        <v>1</v>
      </c>
      <c r="V2609" s="50">
        <v>42005</v>
      </c>
      <c r="W2609" s="4">
        <v>3409.0400000000004</v>
      </c>
      <c r="X2609" s="48">
        <v>3964</v>
      </c>
    </row>
    <row r="2610" spans="2:24" x14ac:dyDescent="0.35">
      <c r="B2610" s="8" t="s">
        <v>12</v>
      </c>
      <c r="C2610" s="8" t="s">
        <v>44</v>
      </c>
      <c r="D2610" s="8" t="s">
        <v>13</v>
      </c>
      <c r="E2610" s="8" t="s">
        <v>23</v>
      </c>
      <c r="F2610" s="6" t="s">
        <v>36</v>
      </c>
      <c r="G2610" s="8">
        <v>2015</v>
      </c>
      <c r="H2610" s="8">
        <v>1</v>
      </c>
      <c r="I2610" s="10">
        <v>42005</v>
      </c>
      <c r="J2610" s="11">
        <v>2327</v>
      </c>
      <c r="K2610" s="51"/>
      <c r="O2610" s="1" t="s">
        <v>12</v>
      </c>
      <c r="P2610" s="1" t="s">
        <v>44</v>
      </c>
      <c r="Q2610" s="1" t="s">
        <v>13</v>
      </c>
      <c r="R2610" s="1" t="s">
        <v>23</v>
      </c>
      <c r="S2610" t="s">
        <v>36</v>
      </c>
      <c r="T2610" s="1">
        <v>2015</v>
      </c>
      <c r="U2610" s="1">
        <v>1</v>
      </c>
      <c r="V2610" s="50">
        <v>42005</v>
      </c>
      <c r="W2610" s="4">
        <v>2047.7599999999998</v>
      </c>
      <c r="X2610" s="48">
        <v>2327</v>
      </c>
    </row>
    <row r="2611" spans="2:24" x14ac:dyDescent="0.35">
      <c r="B2611" s="8" t="s">
        <v>14</v>
      </c>
      <c r="C2611" s="8" t="s">
        <v>46</v>
      </c>
      <c r="D2611" s="8" t="s">
        <v>47</v>
      </c>
      <c r="E2611" s="8" t="s">
        <v>23</v>
      </c>
      <c r="F2611" s="8" t="s">
        <v>24</v>
      </c>
      <c r="G2611" s="8">
        <v>2015</v>
      </c>
      <c r="H2611" s="8">
        <v>1</v>
      </c>
      <c r="I2611" s="10">
        <v>42005</v>
      </c>
      <c r="J2611" s="11">
        <v>1813</v>
      </c>
      <c r="K2611" s="51"/>
      <c r="O2611" s="1" t="s">
        <v>14</v>
      </c>
      <c r="P2611" s="1" t="s">
        <v>46</v>
      </c>
      <c r="Q2611" s="1" t="s">
        <v>47</v>
      </c>
      <c r="R2611" s="1" t="s">
        <v>23</v>
      </c>
      <c r="S2611" s="1" t="s">
        <v>24</v>
      </c>
      <c r="T2611" s="1">
        <v>2015</v>
      </c>
      <c r="U2611" s="1">
        <v>1</v>
      </c>
      <c r="V2611" s="50">
        <v>42005</v>
      </c>
      <c r="W2611" s="4">
        <v>1595.4399999999998</v>
      </c>
      <c r="X2611" s="48">
        <v>1813</v>
      </c>
    </row>
    <row r="2612" spans="2:24" x14ac:dyDescent="0.35">
      <c r="B2612" s="8" t="s">
        <v>14</v>
      </c>
      <c r="C2612" s="8" t="s">
        <v>46</v>
      </c>
      <c r="D2612" s="8" t="s">
        <v>47</v>
      </c>
      <c r="E2612" s="8" t="s">
        <v>23</v>
      </c>
      <c r="F2612" s="8" t="s">
        <v>39</v>
      </c>
      <c r="G2612" s="8">
        <v>2015</v>
      </c>
      <c r="H2612" s="8">
        <v>1</v>
      </c>
      <c r="I2612" s="10">
        <v>42005</v>
      </c>
      <c r="J2612" s="11">
        <v>1881</v>
      </c>
      <c r="K2612" s="51"/>
      <c r="O2612" s="1" t="s">
        <v>14</v>
      </c>
      <c r="P2612" s="1" t="s">
        <v>46</v>
      </c>
      <c r="Q2612" s="1" t="s">
        <v>47</v>
      </c>
      <c r="R2612" s="1" t="s">
        <v>23</v>
      </c>
      <c r="S2612" s="1" t="s">
        <v>39</v>
      </c>
      <c r="T2612" s="1">
        <v>2015</v>
      </c>
      <c r="U2612" s="1">
        <v>1</v>
      </c>
      <c r="V2612" s="50">
        <v>42005</v>
      </c>
      <c r="W2612" s="4">
        <v>1617.6600000000003</v>
      </c>
      <c r="X2612" s="48">
        <v>1881</v>
      </c>
    </row>
    <row r="2613" spans="2:24" x14ac:dyDescent="0.35">
      <c r="B2613" s="8" t="s">
        <v>7</v>
      </c>
      <c r="C2613" s="8" t="s">
        <v>43</v>
      </c>
      <c r="D2613" s="8" t="s">
        <v>10</v>
      </c>
      <c r="E2613" s="8" t="s">
        <v>0</v>
      </c>
      <c r="F2613" s="8" t="s">
        <v>42</v>
      </c>
      <c r="G2613" s="8">
        <v>2015</v>
      </c>
      <c r="H2613" s="8">
        <v>1</v>
      </c>
      <c r="I2613" s="10">
        <v>42005</v>
      </c>
      <c r="J2613" s="11">
        <v>4629</v>
      </c>
      <c r="K2613" s="51"/>
      <c r="O2613" s="1" t="s">
        <v>7</v>
      </c>
      <c r="P2613" s="1" t="s">
        <v>43</v>
      </c>
      <c r="Q2613" s="1" t="s">
        <v>10</v>
      </c>
      <c r="R2613" s="1" t="s">
        <v>0</v>
      </c>
      <c r="S2613" s="1" t="s">
        <v>42</v>
      </c>
      <c r="T2613" s="1">
        <v>2015</v>
      </c>
      <c r="U2613" s="1">
        <v>1</v>
      </c>
      <c r="V2613" s="50">
        <v>42005</v>
      </c>
      <c r="W2613" s="4">
        <v>4304.9699999999993</v>
      </c>
      <c r="X2613" s="48">
        <v>4629</v>
      </c>
    </row>
    <row r="2614" spans="2:24" x14ac:dyDescent="0.35">
      <c r="B2614" s="8" t="s">
        <v>6</v>
      </c>
      <c r="C2614" s="8" t="s">
        <v>40</v>
      </c>
      <c r="D2614" s="8" t="s">
        <v>41</v>
      </c>
      <c r="E2614" s="8" t="s">
        <v>27</v>
      </c>
      <c r="F2614" s="6" t="s">
        <v>31</v>
      </c>
      <c r="G2614" s="8">
        <v>2015</v>
      </c>
      <c r="H2614" s="8">
        <v>1</v>
      </c>
      <c r="I2614" s="10">
        <v>42005</v>
      </c>
      <c r="J2614" s="11">
        <v>2655</v>
      </c>
      <c r="K2614" s="51"/>
      <c r="O2614" s="1" t="s">
        <v>6</v>
      </c>
      <c r="P2614" s="1" t="s">
        <v>40</v>
      </c>
      <c r="Q2614" s="1" t="s">
        <v>41</v>
      </c>
      <c r="R2614" s="1" t="s">
        <v>27</v>
      </c>
      <c r="S2614" t="s">
        <v>31</v>
      </c>
      <c r="T2614" s="1">
        <v>2015</v>
      </c>
      <c r="U2614" s="1">
        <v>1</v>
      </c>
      <c r="V2614" s="50">
        <v>42005</v>
      </c>
      <c r="W2614" s="4">
        <v>2495.6999999999998</v>
      </c>
      <c r="X2614" s="48">
        <v>2655</v>
      </c>
    </row>
    <row r="2615" spans="2:24" x14ac:dyDescent="0.35">
      <c r="B2615" s="8" t="s">
        <v>3</v>
      </c>
      <c r="C2615" s="8" t="s">
        <v>22</v>
      </c>
      <c r="D2615" s="8" t="s">
        <v>5</v>
      </c>
      <c r="E2615" s="8" t="s">
        <v>23</v>
      </c>
      <c r="F2615" s="6" t="s">
        <v>39</v>
      </c>
      <c r="G2615" s="8">
        <v>2015</v>
      </c>
      <c r="H2615" s="8">
        <v>1</v>
      </c>
      <c r="I2615" s="10">
        <v>42005</v>
      </c>
      <c r="J2615" s="11">
        <v>2619</v>
      </c>
      <c r="K2615" s="51"/>
      <c r="O2615" s="1" t="s">
        <v>3</v>
      </c>
      <c r="P2615" s="1" t="s">
        <v>22</v>
      </c>
      <c r="Q2615" s="1" t="s">
        <v>5</v>
      </c>
      <c r="R2615" s="1" t="s">
        <v>23</v>
      </c>
      <c r="S2615" t="s">
        <v>39</v>
      </c>
      <c r="T2615" s="1">
        <v>2015</v>
      </c>
      <c r="U2615" s="1">
        <v>1</v>
      </c>
      <c r="V2615" s="50">
        <v>42005</v>
      </c>
      <c r="W2615" s="4">
        <v>2383.29</v>
      </c>
      <c r="X2615" s="48">
        <v>2619</v>
      </c>
    </row>
    <row r="2616" spans="2:24" x14ac:dyDescent="0.35">
      <c r="B2616" s="8" t="s">
        <v>3</v>
      </c>
      <c r="C2616" s="8" t="s">
        <v>22</v>
      </c>
      <c r="D2616" s="8" t="s">
        <v>5</v>
      </c>
      <c r="E2616" s="8" t="s">
        <v>0</v>
      </c>
      <c r="F2616" s="6" t="s">
        <v>42</v>
      </c>
      <c r="G2616" s="8">
        <v>2015</v>
      </c>
      <c r="H2616" s="8">
        <v>1</v>
      </c>
      <c r="I2616" s="10">
        <v>42005</v>
      </c>
      <c r="J2616" s="11">
        <v>4467</v>
      </c>
      <c r="K2616" s="51"/>
      <c r="O2616" s="1" t="s">
        <v>3</v>
      </c>
      <c r="P2616" s="1" t="s">
        <v>22</v>
      </c>
      <c r="Q2616" s="1" t="s">
        <v>5</v>
      </c>
      <c r="R2616" s="1" t="s">
        <v>0</v>
      </c>
      <c r="S2616" t="s">
        <v>42</v>
      </c>
      <c r="T2616" s="1">
        <v>2015</v>
      </c>
      <c r="U2616" s="1">
        <v>1</v>
      </c>
      <c r="V2616" s="50">
        <v>42005</v>
      </c>
      <c r="W2616" s="4">
        <v>4064.97</v>
      </c>
      <c r="X2616" s="48">
        <v>4467</v>
      </c>
    </row>
    <row r="2617" spans="2:24" x14ac:dyDescent="0.35">
      <c r="B2617" s="8" t="s">
        <v>6</v>
      </c>
      <c r="C2617" s="8" t="s">
        <v>29</v>
      </c>
      <c r="D2617" s="8" t="s">
        <v>30</v>
      </c>
      <c r="E2617" s="9" t="s">
        <v>0</v>
      </c>
      <c r="F2617" s="9" t="s">
        <v>26</v>
      </c>
      <c r="G2617" s="8">
        <v>2015</v>
      </c>
      <c r="H2617" s="8">
        <v>1</v>
      </c>
      <c r="I2617" s="10">
        <v>42005</v>
      </c>
      <c r="J2617" s="11">
        <v>4311</v>
      </c>
      <c r="K2617" s="51"/>
      <c r="O2617" s="1" t="s">
        <v>6</v>
      </c>
      <c r="P2617" s="1" t="s">
        <v>29</v>
      </c>
      <c r="Q2617" s="1" t="s">
        <v>30</v>
      </c>
      <c r="R2617" s="2" t="s">
        <v>0</v>
      </c>
      <c r="S2617" s="2" t="s">
        <v>26</v>
      </c>
      <c r="T2617" s="1">
        <v>2015</v>
      </c>
      <c r="U2617" s="1">
        <v>1</v>
      </c>
      <c r="V2617" s="50">
        <v>42005</v>
      </c>
      <c r="W2617" s="4">
        <v>3664.3500000000004</v>
      </c>
      <c r="X2617" s="48">
        <v>4311</v>
      </c>
    </row>
    <row r="2618" spans="2:24" x14ac:dyDescent="0.35">
      <c r="B2618" s="8" t="s">
        <v>7</v>
      </c>
      <c r="C2618" s="8" t="s">
        <v>48</v>
      </c>
      <c r="D2618" s="8" t="s">
        <v>9</v>
      </c>
      <c r="E2618" s="8" t="s">
        <v>27</v>
      </c>
      <c r="F2618" s="9" t="s">
        <v>28</v>
      </c>
      <c r="G2618" s="8">
        <v>2015</v>
      </c>
      <c r="H2618" s="8">
        <v>1</v>
      </c>
      <c r="I2618" s="10">
        <v>42005</v>
      </c>
      <c r="J2618" s="11">
        <v>4723</v>
      </c>
      <c r="K2618" s="51"/>
      <c r="O2618" s="1" t="s">
        <v>7</v>
      </c>
      <c r="P2618" s="1" t="s">
        <v>48</v>
      </c>
      <c r="Q2618" s="1" t="s">
        <v>9</v>
      </c>
      <c r="R2618" s="1" t="s">
        <v>27</v>
      </c>
      <c r="S2618" s="2" t="s">
        <v>28</v>
      </c>
      <c r="T2618" s="1">
        <v>2015</v>
      </c>
      <c r="U2618" s="1">
        <v>1</v>
      </c>
      <c r="V2618" s="50">
        <v>42005</v>
      </c>
      <c r="W2618" s="4">
        <v>4014.55</v>
      </c>
      <c r="X2618" s="48">
        <v>4723</v>
      </c>
    </row>
    <row r="2619" spans="2:24" x14ac:dyDescent="0.35">
      <c r="B2619" s="8" t="s">
        <v>7</v>
      </c>
      <c r="C2619" s="8" t="s">
        <v>48</v>
      </c>
      <c r="D2619" s="8" t="s">
        <v>9</v>
      </c>
      <c r="E2619" s="8" t="s">
        <v>27</v>
      </c>
      <c r="F2619" s="6" t="s">
        <v>31</v>
      </c>
      <c r="G2619" s="8">
        <v>2015</v>
      </c>
      <c r="H2619" s="8">
        <v>1</v>
      </c>
      <c r="I2619" s="10">
        <v>42005</v>
      </c>
      <c r="J2619" s="11">
        <v>5587</v>
      </c>
      <c r="K2619" s="51"/>
      <c r="O2619" s="1" t="s">
        <v>7</v>
      </c>
      <c r="P2619" s="1" t="s">
        <v>48</v>
      </c>
      <c r="Q2619" s="1" t="s">
        <v>9</v>
      </c>
      <c r="R2619" s="1" t="s">
        <v>27</v>
      </c>
      <c r="S2619" t="s">
        <v>31</v>
      </c>
      <c r="T2619" s="1">
        <v>2015</v>
      </c>
      <c r="U2619" s="1">
        <v>1</v>
      </c>
      <c r="V2619" s="50">
        <v>42005</v>
      </c>
      <c r="W2619" s="4">
        <v>4804.8200000000006</v>
      </c>
      <c r="X2619" s="48">
        <v>5587</v>
      </c>
    </row>
    <row r="2620" spans="2:24" x14ac:dyDescent="0.35">
      <c r="B2620" s="8" t="s">
        <v>7</v>
      </c>
      <c r="C2620" s="8" t="s">
        <v>49</v>
      </c>
      <c r="D2620" s="8" t="s">
        <v>11</v>
      </c>
      <c r="E2620" s="8" t="s">
        <v>27</v>
      </c>
      <c r="F2620" s="8" t="s">
        <v>33</v>
      </c>
      <c r="G2620" s="8">
        <v>2015</v>
      </c>
      <c r="H2620" s="8">
        <v>1</v>
      </c>
      <c r="I2620" s="10">
        <v>42005</v>
      </c>
      <c r="J2620" s="11">
        <v>2937</v>
      </c>
      <c r="K2620" s="51"/>
      <c r="O2620" s="1" t="s">
        <v>7</v>
      </c>
      <c r="P2620" s="1" t="s">
        <v>49</v>
      </c>
      <c r="Q2620" s="1" t="s">
        <v>11</v>
      </c>
      <c r="R2620" s="1" t="s">
        <v>27</v>
      </c>
      <c r="S2620" s="1" t="s">
        <v>33</v>
      </c>
      <c r="T2620" s="1">
        <v>2015</v>
      </c>
      <c r="U2620" s="1">
        <v>1</v>
      </c>
      <c r="V2620" s="50">
        <v>42005</v>
      </c>
      <c r="W2620" s="4">
        <v>2702.04</v>
      </c>
      <c r="X2620" s="48">
        <v>2937</v>
      </c>
    </row>
    <row r="2621" spans="2:24" x14ac:dyDescent="0.35">
      <c r="B2621" s="8" t="s">
        <v>7</v>
      </c>
      <c r="C2621" s="8" t="s">
        <v>49</v>
      </c>
      <c r="D2621" s="8" t="s">
        <v>11</v>
      </c>
      <c r="E2621" s="8" t="s">
        <v>23</v>
      </c>
      <c r="F2621" s="8" t="s">
        <v>36</v>
      </c>
      <c r="G2621" s="8">
        <v>2015</v>
      </c>
      <c r="H2621" s="8">
        <v>1</v>
      </c>
      <c r="I2621" s="10">
        <v>42005</v>
      </c>
      <c r="J2621" s="11">
        <v>1628</v>
      </c>
      <c r="K2621" s="51"/>
      <c r="O2621" s="1" t="s">
        <v>7</v>
      </c>
      <c r="P2621" s="1" t="s">
        <v>49</v>
      </c>
      <c r="Q2621" s="1" t="s">
        <v>11</v>
      </c>
      <c r="R2621" s="1" t="s">
        <v>23</v>
      </c>
      <c r="S2621" s="1" t="s">
        <v>36</v>
      </c>
      <c r="T2621" s="1">
        <v>2015</v>
      </c>
      <c r="U2621" s="1">
        <v>1</v>
      </c>
      <c r="V2621" s="50">
        <v>42005</v>
      </c>
      <c r="W2621" s="4">
        <v>1448.9199999999998</v>
      </c>
      <c r="X2621" s="48">
        <v>1628</v>
      </c>
    </row>
    <row r="2622" spans="2:24" x14ac:dyDescent="0.35">
      <c r="B2622" s="8" t="s">
        <v>7</v>
      </c>
      <c r="C2622" s="8" t="s">
        <v>43</v>
      </c>
      <c r="D2622" s="8" t="s">
        <v>10</v>
      </c>
      <c r="E2622" s="8" t="s">
        <v>23</v>
      </c>
      <c r="F2622" s="8" t="s">
        <v>36</v>
      </c>
      <c r="G2622" s="8">
        <v>2015</v>
      </c>
      <c r="H2622" s="8">
        <v>1</v>
      </c>
      <c r="I2622" s="10">
        <v>42005</v>
      </c>
      <c r="J2622" s="11">
        <v>1590</v>
      </c>
      <c r="K2622" s="51"/>
      <c r="O2622" s="1" t="s">
        <v>7</v>
      </c>
      <c r="P2622" s="1" t="s">
        <v>43</v>
      </c>
      <c r="Q2622" s="1" t="s">
        <v>10</v>
      </c>
      <c r="R2622" s="1" t="s">
        <v>23</v>
      </c>
      <c r="S2622" s="1" t="s">
        <v>36</v>
      </c>
      <c r="T2622" s="1">
        <v>2015</v>
      </c>
      <c r="U2622" s="1">
        <v>1</v>
      </c>
      <c r="V2622" s="50">
        <v>42005</v>
      </c>
      <c r="W2622" s="4">
        <v>1415.1</v>
      </c>
      <c r="X2622" s="48">
        <v>1590</v>
      </c>
    </row>
    <row r="2623" spans="2:24" x14ac:dyDescent="0.35">
      <c r="B2623" s="8" t="s">
        <v>6</v>
      </c>
      <c r="C2623" s="8" t="s">
        <v>40</v>
      </c>
      <c r="D2623" s="8" t="s">
        <v>41</v>
      </c>
      <c r="E2623" s="8" t="s">
        <v>0</v>
      </c>
      <c r="F2623" s="6" t="s">
        <v>45</v>
      </c>
      <c r="G2623" s="8">
        <v>2015</v>
      </c>
      <c r="H2623" s="8">
        <v>1</v>
      </c>
      <c r="I2623" s="10">
        <v>42005</v>
      </c>
      <c r="J2623" s="11">
        <v>2987</v>
      </c>
      <c r="K2623" s="51"/>
      <c r="O2623" s="1" t="s">
        <v>6</v>
      </c>
      <c r="P2623" s="1" t="s">
        <v>40</v>
      </c>
      <c r="Q2623" s="1" t="s">
        <v>41</v>
      </c>
      <c r="R2623" s="1" t="s">
        <v>0</v>
      </c>
      <c r="S2623" t="s">
        <v>45</v>
      </c>
      <c r="T2623" s="1">
        <v>2015</v>
      </c>
      <c r="U2623" s="1">
        <v>1</v>
      </c>
      <c r="V2623" s="50">
        <v>42005</v>
      </c>
      <c r="W2623" s="4">
        <v>2538.9500000000003</v>
      </c>
      <c r="X2623" s="48">
        <v>2987</v>
      </c>
    </row>
    <row r="2624" spans="2:24" x14ac:dyDescent="0.35">
      <c r="B2624" s="8" t="s">
        <v>7</v>
      </c>
      <c r="C2624" s="8" t="s">
        <v>32</v>
      </c>
      <c r="D2624" s="8" t="s">
        <v>8</v>
      </c>
      <c r="E2624" s="8" t="s">
        <v>27</v>
      </c>
      <c r="F2624" s="6" t="s">
        <v>28</v>
      </c>
      <c r="G2624" s="8">
        <v>2015</v>
      </c>
      <c r="H2624" s="8">
        <v>1</v>
      </c>
      <c r="I2624" s="10">
        <v>42005</v>
      </c>
      <c r="J2624" s="11">
        <v>4309</v>
      </c>
      <c r="K2624" s="51"/>
      <c r="O2624" s="1" t="s">
        <v>7</v>
      </c>
      <c r="P2624" s="1" t="s">
        <v>32</v>
      </c>
      <c r="Q2624" s="1" t="s">
        <v>8</v>
      </c>
      <c r="R2624" s="1" t="s">
        <v>27</v>
      </c>
      <c r="S2624" t="s">
        <v>28</v>
      </c>
      <c r="T2624" s="1">
        <v>2015</v>
      </c>
      <c r="U2624" s="1">
        <v>1</v>
      </c>
      <c r="V2624" s="50">
        <v>42005</v>
      </c>
      <c r="W2624" s="4">
        <v>4007.37</v>
      </c>
      <c r="X2624" s="48">
        <v>4309</v>
      </c>
    </row>
    <row r="2625" spans="2:24" x14ac:dyDescent="0.35">
      <c r="B2625" s="8" t="s">
        <v>7</v>
      </c>
      <c r="C2625" s="8" t="s">
        <v>32</v>
      </c>
      <c r="D2625" s="8" t="s">
        <v>8</v>
      </c>
      <c r="E2625" s="8" t="s">
        <v>27</v>
      </c>
      <c r="F2625" s="6" t="s">
        <v>31</v>
      </c>
      <c r="G2625" s="8">
        <v>2015</v>
      </c>
      <c r="H2625" s="8">
        <v>1</v>
      </c>
      <c r="I2625" s="10">
        <v>42005</v>
      </c>
      <c r="J2625" s="11">
        <v>3039</v>
      </c>
      <c r="K2625" s="51"/>
      <c r="O2625" s="1" t="s">
        <v>7</v>
      </c>
      <c r="P2625" s="1" t="s">
        <v>32</v>
      </c>
      <c r="Q2625" s="1" t="s">
        <v>8</v>
      </c>
      <c r="R2625" s="1" t="s">
        <v>27</v>
      </c>
      <c r="S2625" t="s">
        <v>31</v>
      </c>
      <c r="T2625" s="1">
        <v>2015</v>
      </c>
      <c r="U2625" s="1">
        <v>1</v>
      </c>
      <c r="V2625" s="50">
        <v>42005</v>
      </c>
      <c r="W2625" s="4">
        <v>2856.66</v>
      </c>
      <c r="X2625" s="48">
        <v>3039</v>
      </c>
    </row>
    <row r="2626" spans="2:24" x14ac:dyDescent="0.35">
      <c r="B2626" s="8" t="s">
        <v>6</v>
      </c>
      <c r="C2626" s="8" t="s">
        <v>29</v>
      </c>
      <c r="D2626" s="8" t="s">
        <v>30</v>
      </c>
      <c r="E2626" s="9" t="s">
        <v>23</v>
      </c>
      <c r="F2626" s="9" t="s">
        <v>24</v>
      </c>
      <c r="G2626" s="8">
        <v>2015</v>
      </c>
      <c r="H2626" s="8">
        <v>1</v>
      </c>
      <c r="I2626" s="10">
        <v>42005</v>
      </c>
      <c r="J2626" s="11">
        <v>1729</v>
      </c>
      <c r="K2626" s="51"/>
      <c r="O2626" s="1" t="s">
        <v>6</v>
      </c>
      <c r="P2626" s="1" t="s">
        <v>29</v>
      </c>
      <c r="Q2626" s="1" t="s">
        <v>30</v>
      </c>
      <c r="R2626" s="2" t="s">
        <v>23</v>
      </c>
      <c r="S2626" s="2" t="s">
        <v>24</v>
      </c>
      <c r="T2626" s="1">
        <v>2015</v>
      </c>
      <c r="U2626" s="1">
        <v>1</v>
      </c>
      <c r="V2626" s="50">
        <v>42005</v>
      </c>
      <c r="W2626" s="4">
        <v>1556.1</v>
      </c>
      <c r="X2626" s="48">
        <v>1729</v>
      </c>
    </row>
    <row r="2627" spans="2:24" x14ac:dyDescent="0.35">
      <c r="B2627" s="8" t="s">
        <v>7</v>
      </c>
      <c r="C2627" s="8" t="s">
        <v>48</v>
      </c>
      <c r="D2627" s="8" t="s">
        <v>9</v>
      </c>
      <c r="E2627" s="8" t="s">
        <v>0</v>
      </c>
      <c r="F2627" s="9" t="s">
        <v>42</v>
      </c>
      <c r="G2627" s="8">
        <v>2015</v>
      </c>
      <c r="H2627" s="8">
        <v>1</v>
      </c>
      <c r="I2627" s="10">
        <v>42005</v>
      </c>
      <c r="J2627" s="11">
        <v>4965</v>
      </c>
      <c r="K2627" s="51"/>
      <c r="O2627" s="1" t="s">
        <v>7</v>
      </c>
      <c r="P2627" s="1" t="s">
        <v>48</v>
      </c>
      <c r="Q2627" s="1" t="s">
        <v>9</v>
      </c>
      <c r="R2627" s="1" t="s">
        <v>0</v>
      </c>
      <c r="S2627" s="2" t="s">
        <v>42</v>
      </c>
      <c r="T2627" s="1">
        <v>2015</v>
      </c>
      <c r="U2627" s="1">
        <v>1</v>
      </c>
      <c r="V2627" s="50">
        <v>42005</v>
      </c>
      <c r="W2627" s="4">
        <v>4220.25</v>
      </c>
      <c r="X2627" s="48">
        <v>4965</v>
      </c>
    </row>
    <row r="2628" spans="2:24" x14ac:dyDescent="0.35">
      <c r="B2628" s="8" t="s">
        <v>7</v>
      </c>
      <c r="C2628" s="8" t="s">
        <v>48</v>
      </c>
      <c r="D2628" s="8" t="s">
        <v>9</v>
      </c>
      <c r="E2628" s="8" t="s">
        <v>0</v>
      </c>
      <c r="F2628" s="6" t="s">
        <v>26</v>
      </c>
      <c r="G2628" s="8">
        <v>2015</v>
      </c>
      <c r="H2628" s="8">
        <v>1</v>
      </c>
      <c r="I2628" s="10">
        <v>42005</v>
      </c>
      <c r="J2628" s="11">
        <v>5037</v>
      </c>
      <c r="K2628" s="51"/>
      <c r="O2628" s="1" t="s">
        <v>7</v>
      </c>
      <c r="P2628" s="1" t="s">
        <v>48</v>
      </c>
      <c r="Q2628" s="1" t="s">
        <v>9</v>
      </c>
      <c r="R2628" s="1" t="s">
        <v>0</v>
      </c>
      <c r="S2628" t="s">
        <v>26</v>
      </c>
      <c r="T2628" s="1">
        <v>2015</v>
      </c>
      <c r="U2628" s="1">
        <v>1</v>
      </c>
      <c r="V2628" s="50">
        <v>42005</v>
      </c>
      <c r="W2628" s="4">
        <v>4684.41</v>
      </c>
      <c r="X2628" s="48">
        <v>5037</v>
      </c>
    </row>
    <row r="2629" spans="2:24" x14ac:dyDescent="0.35">
      <c r="B2629" s="8" t="s">
        <v>7</v>
      </c>
      <c r="C2629" s="8" t="s">
        <v>49</v>
      </c>
      <c r="D2629" s="8" t="s">
        <v>11</v>
      </c>
      <c r="E2629" s="8" t="s">
        <v>0</v>
      </c>
      <c r="F2629" s="8" t="s">
        <v>45</v>
      </c>
      <c r="G2629" s="8">
        <v>2015</v>
      </c>
      <c r="H2629" s="8">
        <v>1</v>
      </c>
      <c r="I2629" s="10">
        <v>42005</v>
      </c>
      <c r="J2629" s="11">
        <v>3203</v>
      </c>
      <c r="K2629" s="51"/>
      <c r="O2629" s="1" t="s">
        <v>7</v>
      </c>
      <c r="P2629" s="1" t="s">
        <v>49</v>
      </c>
      <c r="Q2629" s="1" t="s">
        <v>11</v>
      </c>
      <c r="R2629" s="1" t="s">
        <v>0</v>
      </c>
      <c r="S2629" s="1" t="s">
        <v>45</v>
      </c>
      <c r="T2629" s="1">
        <v>2015</v>
      </c>
      <c r="U2629" s="1">
        <v>1</v>
      </c>
      <c r="V2629" s="50">
        <v>42005</v>
      </c>
      <c r="W2629" s="4">
        <v>3010.8199999999997</v>
      </c>
      <c r="X2629" s="48">
        <v>3203</v>
      </c>
    </row>
    <row r="2630" spans="2:24" x14ac:dyDescent="0.35">
      <c r="B2630" s="8" t="s">
        <v>7</v>
      </c>
      <c r="C2630" s="8" t="s">
        <v>49</v>
      </c>
      <c r="D2630" s="8" t="s">
        <v>11</v>
      </c>
      <c r="E2630" s="8" t="s">
        <v>27</v>
      </c>
      <c r="F2630" s="8" t="s">
        <v>28</v>
      </c>
      <c r="G2630" s="8">
        <v>2015</v>
      </c>
      <c r="H2630" s="8">
        <v>1</v>
      </c>
      <c r="I2630" s="10">
        <v>42005</v>
      </c>
      <c r="J2630" s="11">
        <v>4020</v>
      </c>
      <c r="K2630" s="51"/>
      <c r="O2630" s="1" t="s">
        <v>7</v>
      </c>
      <c r="P2630" s="1" t="s">
        <v>49</v>
      </c>
      <c r="Q2630" s="1" t="s">
        <v>11</v>
      </c>
      <c r="R2630" s="1" t="s">
        <v>27</v>
      </c>
      <c r="S2630" s="1" t="s">
        <v>28</v>
      </c>
      <c r="T2630" s="1">
        <v>2015</v>
      </c>
      <c r="U2630" s="1">
        <v>1</v>
      </c>
      <c r="V2630" s="50">
        <v>42005</v>
      </c>
      <c r="W2630" s="4">
        <v>3537.5999999999995</v>
      </c>
      <c r="X2630" s="48">
        <v>4020</v>
      </c>
    </row>
    <row r="2631" spans="2:24" x14ac:dyDescent="0.35">
      <c r="B2631" s="8" t="s">
        <v>12</v>
      </c>
      <c r="C2631" s="8" t="s">
        <v>34</v>
      </c>
      <c r="D2631" s="8" t="s">
        <v>35</v>
      </c>
      <c r="E2631" s="8" t="s">
        <v>27</v>
      </c>
      <c r="F2631" s="8" t="s">
        <v>31</v>
      </c>
      <c r="G2631" s="8">
        <v>2015</v>
      </c>
      <c r="H2631" s="8">
        <v>1</v>
      </c>
      <c r="I2631" s="10">
        <v>42005</v>
      </c>
      <c r="J2631" s="11">
        <v>3570</v>
      </c>
      <c r="K2631" s="51"/>
      <c r="O2631" s="1" t="s">
        <v>12</v>
      </c>
      <c r="P2631" s="1" t="s">
        <v>34</v>
      </c>
      <c r="Q2631" s="1" t="s">
        <v>35</v>
      </c>
      <c r="R2631" s="1" t="s">
        <v>27</v>
      </c>
      <c r="S2631" s="1" t="s">
        <v>31</v>
      </c>
      <c r="T2631" s="1">
        <v>2015</v>
      </c>
      <c r="U2631" s="1">
        <v>1</v>
      </c>
      <c r="V2631" s="50">
        <v>42005</v>
      </c>
      <c r="W2631" s="4">
        <v>3105.9000000000005</v>
      </c>
      <c r="X2631" s="48">
        <v>3570</v>
      </c>
    </row>
    <row r="2632" spans="2:24" x14ac:dyDescent="0.35">
      <c r="B2632" s="8" t="s">
        <v>12</v>
      </c>
      <c r="C2632" s="8" t="s">
        <v>34</v>
      </c>
      <c r="D2632" s="8" t="s">
        <v>35</v>
      </c>
      <c r="E2632" s="8" t="s">
        <v>27</v>
      </c>
      <c r="F2632" s="6" t="s">
        <v>33</v>
      </c>
      <c r="G2632" s="8">
        <v>2015</v>
      </c>
      <c r="H2632" s="8">
        <v>1</v>
      </c>
      <c r="I2632" s="10">
        <v>42005</v>
      </c>
      <c r="J2632" s="11">
        <v>3155</v>
      </c>
      <c r="K2632" s="51"/>
      <c r="O2632" s="1" t="s">
        <v>12</v>
      </c>
      <c r="P2632" s="1" t="s">
        <v>34</v>
      </c>
      <c r="Q2632" s="1" t="s">
        <v>35</v>
      </c>
      <c r="R2632" s="1" t="s">
        <v>27</v>
      </c>
      <c r="S2632" t="s">
        <v>33</v>
      </c>
      <c r="T2632" s="1">
        <v>2015</v>
      </c>
      <c r="U2632" s="1">
        <v>1</v>
      </c>
      <c r="V2632" s="50">
        <v>42005</v>
      </c>
      <c r="W2632" s="4">
        <v>2965.7</v>
      </c>
      <c r="X2632" s="48">
        <v>3155</v>
      </c>
    </row>
    <row r="2633" spans="2:24" x14ac:dyDescent="0.35">
      <c r="B2633" s="8" t="s">
        <v>14</v>
      </c>
      <c r="C2633" s="8" t="s">
        <v>37</v>
      </c>
      <c r="D2633" s="8" t="s">
        <v>38</v>
      </c>
      <c r="E2633" s="8" t="s">
        <v>23</v>
      </c>
      <c r="F2633" s="6" t="s">
        <v>36</v>
      </c>
      <c r="G2633" s="8">
        <v>2015</v>
      </c>
      <c r="H2633" s="8">
        <v>1</v>
      </c>
      <c r="I2633" s="10">
        <v>42005</v>
      </c>
      <c r="J2633" s="11">
        <v>2760</v>
      </c>
      <c r="K2633" s="51"/>
      <c r="O2633" s="1" t="s">
        <v>14</v>
      </c>
      <c r="P2633" s="1" t="s">
        <v>37</v>
      </c>
      <c r="Q2633" s="1" t="s">
        <v>38</v>
      </c>
      <c r="R2633" s="1" t="s">
        <v>23</v>
      </c>
      <c r="S2633" t="s">
        <v>36</v>
      </c>
      <c r="T2633" s="1">
        <v>2015</v>
      </c>
      <c r="U2633" s="1">
        <v>1</v>
      </c>
      <c r="V2633" s="50">
        <v>42005</v>
      </c>
      <c r="W2633" s="4">
        <v>2456.3999999999996</v>
      </c>
      <c r="X2633" s="48">
        <v>2760</v>
      </c>
    </row>
    <row r="2634" spans="2:24" x14ac:dyDescent="0.35">
      <c r="B2634" s="8" t="s">
        <v>12</v>
      </c>
      <c r="C2634" s="8" t="s">
        <v>44</v>
      </c>
      <c r="D2634" s="8" t="s">
        <v>13</v>
      </c>
      <c r="E2634" s="8" t="s">
        <v>23</v>
      </c>
      <c r="F2634" s="6" t="s">
        <v>39</v>
      </c>
      <c r="G2634" s="8">
        <v>2015</v>
      </c>
      <c r="H2634" s="8">
        <v>1</v>
      </c>
      <c r="I2634" s="10">
        <v>42005</v>
      </c>
      <c r="J2634" s="11">
        <v>1856</v>
      </c>
      <c r="K2634" s="51"/>
      <c r="O2634" s="1" t="s">
        <v>12</v>
      </c>
      <c r="P2634" s="1" t="s">
        <v>44</v>
      </c>
      <c r="Q2634" s="1" t="s">
        <v>13</v>
      </c>
      <c r="R2634" s="1" t="s">
        <v>23</v>
      </c>
      <c r="S2634" t="s">
        <v>39</v>
      </c>
      <c r="T2634" s="1">
        <v>2015</v>
      </c>
      <c r="U2634" s="1">
        <v>1</v>
      </c>
      <c r="V2634" s="50">
        <v>42005</v>
      </c>
      <c r="W2634" s="4">
        <v>1726.08</v>
      </c>
      <c r="X2634" s="48">
        <v>1856</v>
      </c>
    </row>
    <row r="2635" spans="2:24" x14ac:dyDescent="0.35">
      <c r="B2635" s="8" t="s">
        <v>12</v>
      </c>
      <c r="C2635" s="8" t="s">
        <v>44</v>
      </c>
      <c r="D2635" s="8" t="s">
        <v>13</v>
      </c>
      <c r="E2635" s="9" t="s">
        <v>0</v>
      </c>
      <c r="F2635" s="9" t="s">
        <v>42</v>
      </c>
      <c r="G2635" s="8">
        <v>2015</v>
      </c>
      <c r="H2635" s="8">
        <v>1</v>
      </c>
      <c r="I2635" s="10">
        <v>42005</v>
      </c>
      <c r="J2635" s="11">
        <v>6907</v>
      </c>
      <c r="K2635" s="51"/>
      <c r="O2635" s="1" t="s">
        <v>12</v>
      </c>
      <c r="P2635" s="1" t="s">
        <v>44</v>
      </c>
      <c r="Q2635" s="1" t="s">
        <v>13</v>
      </c>
      <c r="R2635" s="2" t="s">
        <v>0</v>
      </c>
      <c r="S2635" s="2" t="s">
        <v>42</v>
      </c>
      <c r="T2635" s="1">
        <v>2015</v>
      </c>
      <c r="U2635" s="1">
        <v>1</v>
      </c>
      <c r="V2635" s="50">
        <v>42005</v>
      </c>
      <c r="W2635" s="4">
        <v>6216.2999999999993</v>
      </c>
      <c r="X2635" s="48">
        <v>6907</v>
      </c>
    </row>
    <row r="2636" spans="2:24" x14ac:dyDescent="0.35">
      <c r="B2636" s="8" t="s">
        <v>14</v>
      </c>
      <c r="C2636" s="8" t="s">
        <v>46</v>
      </c>
      <c r="D2636" s="8" t="s">
        <v>47</v>
      </c>
      <c r="E2636" s="8" t="s">
        <v>0</v>
      </c>
      <c r="F2636" s="9" t="s">
        <v>26</v>
      </c>
      <c r="G2636" s="8">
        <v>2015</v>
      </c>
      <c r="H2636" s="8">
        <v>1</v>
      </c>
      <c r="I2636" s="10">
        <v>42005</v>
      </c>
      <c r="J2636" s="11">
        <v>5039</v>
      </c>
      <c r="K2636" s="51"/>
      <c r="O2636" s="1" t="s">
        <v>14</v>
      </c>
      <c r="P2636" s="1" t="s">
        <v>46</v>
      </c>
      <c r="Q2636" s="1" t="s">
        <v>47</v>
      </c>
      <c r="R2636" s="1" t="s">
        <v>0</v>
      </c>
      <c r="S2636" s="2" t="s">
        <v>26</v>
      </c>
      <c r="T2636" s="1">
        <v>2015</v>
      </c>
      <c r="U2636" s="1">
        <v>1</v>
      </c>
      <c r="V2636" s="50">
        <v>42005</v>
      </c>
      <c r="W2636" s="4">
        <v>4434.32</v>
      </c>
      <c r="X2636" s="48">
        <v>5039</v>
      </c>
    </row>
    <row r="2637" spans="2:24" x14ac:dyDescent="0.35">
      <c r="B2637" s="8" t="s">
        <v>14</v>
      </c>
      <c r="C2637" s="8" t="s">
        <v>46</v>
      </c>
      <c r="D2637" s="8" t="s">
        <v>47</v>
      </c>
      <c r="E2637" s="8" t="s">
        <v>0</v>
      </c>
      <c r="F2637" s="6" t="s">
        <v>45</v>
      </c>
      <c r="G2637" s="8">
        <v>2015</v>
      </c>
      <c r="H2637" s="8">
        <v>1</v>
      </c>
      <c r="I2637" s="10">
        <v>42005</v>
      </c>
      <c r="J2637" s="11">
        <v>3883</v>
      </c>
      <c r="K2637" s="51"/>
      <c r="O2637" s="1" t="s">
        <v>14</v>
      </c>
      <c r="P2637" s="1" t="s">
        <v>46</v>
      </c>
      <c r="Q2637" s="1" t="s">
        <v>47</v>
      </c>
      <c r="R2637" s="1" t="s">
        <v>0</v>
      </c>
      <c r="S2637" t="s">
        <v>45</v>
      </c>
      <c r="T2637" s="1">
        <v>2015</v>
      </c>
      <c r="U2637" s="1">
        <v>1</v>
      </c>
      <c r="V2637" s="50">
        <v>42005</v>
      </c>
      <c r="W2637" s="4">
        <v>3572.3599999999997</v>
      </c>
      <c r="X2637" s="48">
        <v>3883</v>
      </c>
    </row>
    <row r="2638" spans="2:24" x14ac:dyDescent="0.35">
      <c r="B2638" s="8" t="s">
        <v>3</v>
      </c>
      <c r="C2638" s="8" t="s">
        <v>25</v>
      </c>
      <c r="D2638" s="8" t="s">
        <v>4</v>
      </c>
      <c r="E2638" s="8" t="s">
        <v>27</v>
      </c>
      <c r="F2638" s="8" t="s">
        <v>33</v>
      </c>
      <c r="G2638" s="8">
        <v>2015</v>
      </c>
      <c r="H2638" s="8">
        <v>1</v>
      </c>
      <c r="I2638" s="10">
        <v>42005</v>
      </c>
      <c r="J2638" s="11">
        <v>3505</v>
      </c>
      <c r="K2638" s="51"/>
      <c r="O2638" s="1" t="s">
        <v>3</v>
      </c>
      <c r="P2638" s="1" t="s">
        <v>25</v>
      </c>
      <c r="Q2638" s="1" t="s">
        <v>4</v>
      </c>
      <c r="R2638" s="1" t="s">
        <v>27</v>
      </c>
      <c r="S2638" s="1" t="s">
        <v>33</v>
      </c>
      <c r="T2638" s="1">
        <v>2015</v>
      </c>
      <c r="U2638" s="1">
        <v>1</v>
      </c>
      <c r="V2638" s="50">
        <v>42005</v>
      </c>
      <c r="W2638" s="4">
        <v>3294.7</v>
      </c>
      <c r="X2638" s="48">
        <v>3505</v>
      </c>
    </row>
    <row r="2639" spans="2:24" x14ac:dyDescent="0.35">
      <c r="B2639" s="8" t="s">
        <v>3</v>
      </c>
      <c r="C2639" s="8" t="s">
        <v>25</v>
      </c>
      <c r="D2639" s="8" t="s">
        <v>4</v>
      </c>
      <c r="E2639" s="8" t="s">
        <v>23</v>
      </c>
      <c r="F2639" s="8" t="s">
        <v>36</v>
      </c>
      <c r="G2639" s="8">
        <v>2015</v>
      </c>
      <c r="H2639" s="8">
        <v>1</v>
      </c>
      <c r="I2639" s="10">
        <v>42005</v>
      </c>
      <c r="J2639" s="11">
        <v>2593</v>
      </c>
      <c r="K2639" s="51"/>
      <c r="O2639" s="1" t="s">
        <v>3</v>
      </c>
      <c r="P2639" s="1" t="s">
        <v>25</v>
      </c>
      <c r="Q2639" s="1" t="s">
        <v>4</v>
      </c>
      <c r="R2639" s="1" t="s">
        <v>23</v>
      </c>
      <c r="S2639" s="1" t="s">
        <v>36</v>
      </c>
      <c r="T2639" s="1">
        <v>2015</v>
      </c>
      <c r="U2639" s="1">
        <v>1</v>
      </c>
      <c r="V2639" s="50">
        <v>42005</v>
      </c>
      <c r="W2639" s="4">
        <v>2411.4899999999998</v>
      </c>
      <c r="X2639" s="48">
        <v>2593</v>
      </c>
    </row>
    <row r="2640" spans="2:24" x14ac:dyDescent="0.35">
      <c r="B2640" s="8" t="s">
        <v>6</v>
      </c>
      <c r="C2640" s="8" t="s">
        <v>40</v>
      </c>
      <c r="D2640" s="8" t="s">
        <v>41</v>
      </c>
      <c r="E2640" s="8" t="s">
        <v>23</v>
      </c>
      <c r="F2640" s="8" t="s">
        <v>39</v>
      </c>
      <c r="G2640" s="8">
        <v>2015</v>
      </c>
      <c r="H2640" s="8">
        <v>1</v>
      </c>
      <c r="I2640" s="10">
        <v>42005</v>
      </c>
      <c r="J2640" s="11">
        <v>2294</v>
      </c>
      <c r="K2640" s="51"/>
      <c r="O2640" s="1" t="s">
        <v>6</v>
      </c>
      <c r="P2640" s="1" t="s">
        <v>40</v>
      </c>
      <c r="Q2640" s="1" t="s">
        <v>41</v>
      </c>
      <c r="R2640" s="1" t="s">
        <v>23</v>
      </c>
      <c r="S2640" s="1" t="s">
        <v>39</v>
      </c>
      <c r="T2640" s="1">
        <v>2015</v>
      </c>
      <c r="U2640" s="1">
        <v>1</v>
      </c>
      <c r="V2640" s="50">
        <v>42005</v>
      </c>
      <c r="W2640" s="4">
        <v>1949.9</v>
      </c>
      <c r="X2640" s="48">
        <v>2294</v>
      </c>
    </row>
    <row r="2641" spans="2:24" x14ac:dyDescent="0.35">
      <c r="B2641" s="8" t="s">
        <v>7</v>
      </c>
      <c r="C2641" s="8" t="s">
        <v>48</v>
      </c>
      <c r="D2641" s="8" t="s">
        <v>9</v>
      </c>
      <c r="E2641" s="8" t="s">
        <v>0</v>
      </c>
      <c r="F2641" s="6" t="s">
        <v>45</v>
      </c>
      <c r="G2641" s="8">
        <v>2015</v>
      </c>
      <c r="H2641" s="8">
        <v>1</v>
      </c>
      <c r="I2641" s="10">
        <v>42005</v>
      </c>
      <c r="J2641" s="11">
        <v>2578</v>
      </c>
      <c r="K2641" s="51"/>
      <c r="O2641" s="1" t="s">
        <v>7</v>
      </c>
      <c r="P2641" s="1" t="s">
        <v>48</v>
      </c>
      <c r="Q2641" s="1" t="s">
        <v>9</v>
      </c>
      <c r="R2641" s="1" t="s">
        <v>0</v>
      </c>
      <c r="S2641" t="s">
        <v>45</v>
      </c>
      <c r="T2641" s="1">
        <v>2015</v>
      </c>
      <c r="U2641" s="1">
        <v>1</v>
      </c>
      <c r="V2641" s="50">
        <v>42005</v>
      </c>
      <c r="W2641" s="4">
        <v>2397.54</v>
      </c>
      <c r="X2641" s="48">
        <v>2578</v>
      </c>
    </row>
    <row r="2642" spans="2:24" x14ac:dyDescent="0.35">
      <c r="B2642" s="8" t="s">
        <v>7</v>
      </c>
      <c r="C2642" s="8" t="s">
        <v>49</v>
      </c>
      <c r="D2642" s="8" t="s">
        <v>11</v>
      </c>
      <c r="E2642" s="8" t="s">
        <v>27</v>
      </c>
      <c r="F2642" s="6" t="s">
        <v>31</v>
      </c>
      <c r="G2642" s="8">
        <v>2015</v>
      </c>
      <c r="H2642" s="8">
        <v>1</v>
      </c>
      <c r="I2642" s="10">
        <v>42005</v>
      </c>
      <c r="J2642" s="11">
        <v>2757</v>
      </c>
      <c r="K2642" s="51"/>
      <c r="O2642" s="1" t="s">
        <v>7</v>
      </c>
      <c r="P2642" s="1" t="s">
        <v>49</v>
      </c>
      <c r="Q2642" s="1" t="s">
        <v>11</v>
      </c>
      <c r="R2642" s="1" t="s">
        <v>27</v>
      </c>
      <c r="S2642" t="s">
        <v>31</v>
      </c>
      <c r="T2642" s="1">
        <v>2015</v>
      </c>
      <c r="U2642" s="1">
        <v>1</v>
      </c>
      <c r="V2642" s="50">
        <v>42005</v>
      </c>
      <c r="W2642" s="4">
        <v>2591.58</v>
      </c>
      <c r="X2642" s="48">
        <v>2757</v>
      </c>
    </row>
    <row r="2643" spans="2:24" x14ac:dyDescent="0.35">
      <c r="B2643" s="8" t="s">
        <v>7</v>
      </c>
      <c r="C2643" s="8" t="s">
        <v>43</v>
      </c>
      <c r="D2643" s="8" t="s">
        <v>10</v>
      </c>
      <c r="E2643" s="8" t="s">
        <v>27</v>
      </c>
      <c r="F2643" s="6" t="s">
        <v>33</v>
      </c>
      <c r="G2643" s="8">
        <v>2015</v>
      </c>
      <c r="H2643" s="8">
        <v>1</v>
      </c>
      <c r="I2643" s="10">
        <v>42005</v>
      </c>
      <c r="J2643" s="11">
        <v>3113</v>
      </c>
      <c r="K2643" s="51"/>
      <c r="O2643" s="1" t="s">
        <v>7</v>
      </c>
      <c r="P2643" s="1" t="s">
        <v>43</v>
      </c>
      <c r="Q2643" s="1" t="s">
        <v>10</v>
      </c>
      <c r="R2643" s="1" t="s">
        <v>27</v>
      </c>
      <c r="S2643" t="s">
        <v>33</v>
      </c>
      <c r="T2643" s="1">
        <v>2015</v>
      </c>
      <c r="U2643" s="1">
        <v>1</v>
      </c>
      <c r="V2643" s="50">
        <v>42005</v>
      </c>
      <c r="W2643" s="4">
        <v>2646.05</v>
      </c>
      <c r="X2643" s="48">
        <v>3113</v>
      </c>
    </row>
    <row r="2644" spans="2:24" x14ac:dyDescent="0.35">
      <c r="B2644" s="8" t="s">
        <v>7</v>
      </c>
      <c r="C2644" s="8" t="s">
        <v>32</v>
      </c>
      <c r="D2644" s="8" t="s">
        <v>8</v>
      </c>
      <c r="E2644" s="9" t="s">
        <v>0</v>
      </c>
      <c r="F2644" s="9" t="s">
        <v>45</v>
      </c>
      <c r="G2644" s="8">
        <v>2015</v>
      </c>
      <c r="H2644" s="8">
        <v>1</v>
      </c>
      <c r="I2644" s="10">
        <v>42005</v>
      </c>
      <c r="J2644" s="11">
        <v>2613</v>
      </c>
      <c r="K2644" s="51"/>
      <c r="O2644" s="1" t="s">
        <v>7</v>
      </c>
      <c r="P2644" s="1" t="s">
        <v>32</v>
      </c>
      <c r="Q2644" s="1" t="s">
        <v>8</v>
      </c>
      <c r="R2644" s="2" t="s">
        <v>0</v>
      </c>
      <c r="S2644" s="2" t="s">
        <v>45</v>
      </c>
      <c r="T2644" s="1">
        <v>2015</v>
      </c>
      <c r="U2644" s="1">
        <v>1</v>
      </c>
      <c r="V2644" s="50">
        <v>42005</v>
      </c>
      <c r="W2644" s="4">
        <v>2430.0899999999997</v>
      </c>
      <c r="X2644" s="48">
        <v>2613</v>
      </c>
    </row>
    <row r="2645" spans="2:24" x14ac:dyDescent="0.35">
      <c r="B2645" s="8" t="s">
        <v>7</v>
      </c>
      <c r="C2645" s="8" t="s">
        <v>48</v>
      </c>
      <c r="D2645" s="8" t="s">
        <v>9</v>
      </c>
      <c r="E2645" s="8" t="s">
        <v>23</v>
      </c>
      <c r="F2645" s="9" t="s">
        <v>39</v>
      </c>
      <c r="G2645" s="8">
        <v>2015</v>
      </c>
      <c r="H2645" s="8">
        <v>1</v>
      </c>
      <c r="I2645" s="10">
        <v>42005</v>
      </c>
      <c r="J2645" s="11">
        <v>2027</v>
      </c>
      <c r="K2645" s="51"/>
      <c r="O2645" s="1" t="s">
        <v>7</v>
      </c>
      <c r="P2645" s="1" t="s">
        <v>48</v>
      </c>
      <c r="Q2645" s="1" t="s">
        <v>9</v>
      </c>
      <c r="R2645" s="1" t="s">
        <v>23</v>
      </c>
      <c r="S2645" s="2" t="s">
        <v>39</v>
      </c>
      <c r="T2645" s="1">
        <v>2015</v>
      </c>
      <c r="U2645" s="1">
        <v>1</v>
      </c>
      <c r="V2645" s="50">
        <v>42005</v>
      </c>
      <c r="W2645" s="4">
        <v>1722.9500000000003</v>
      </c>
      <c r="X2645" s="48">
        <v>2027</v>
      </c>
    </row>
    <row r="2646" spans="2:24" x14ac:dyDescent="0.35">
      <c r="B2646" s="8" t="s">
        <v>7</v>
      </c>
      <c r="C2646" s="8" t="s">
        <v>49</v>
      </c>
      <c r="D2646" s="8" t="s">
        <v>11</v>
      </c>
      <c r="E2646" s="8" t="s">
        <v>0</v>
      </c>
      <c r="F2646" s="6" t="s">
        <v>26</v>
      </c>
      <c r="G2646" s="8">
        <v>2015</v>
      </c>
      <c r="H2646" s="8">
        <v>1</v>
      </c>
      <c r="I2646" s="10">
        <v>42005</v>
      </c>
      <c r="J2646" s="11">
        <v>4278</v>
      </c>
      <c r="K2646" s="51"/>
      <c r="O2646" s="1" t="s">
        <v>7</v>
      </c>
      <c r="P2646" s="1" t="s">
        <v>49</v>
      </c>
      <c r="Q2646" s="1" t="s">
        <v>11</v>
      </c>
      <c r="R2646" s="1" t="s">
        <v>0</v>
      </c>
      <c r="S2646" t="s">
        <v>26</v>
      </c>
      <c r="T2646" s="1">
        <v>2015</v>
      </c>
      <c r="U2646" s="1">
        <v>1</v>
      </c>
      <c r="V2646" s="50">
        <v>42005</v>
      </c>
      <c r="W2646" s="4">
        <v>3978.54</v>
      </c>
      <c r="X2646" s="48">
        <v>4278</v>
      </c>
    </row>
    <row r="2647" spans="2:24" x14ac:dyDescent="0.35">
      <c r="B2647" s="8" t="s">
        <v>12</v>
      </c>
      <c r="C2647" s="8" t="s">
        <v>34</v>
      </c>
      <c r="D2647" s="8" t="s">
        <v>35</v>
      </c>
      <c r="E2647" s="8" t="s">
        <v>27</v>
      </c>
      <c r="F2647" s="8" t="s">
        <v>28</v>
      </c>
      <c r="G2647" s="8">
        <v>2015</v>
      </c>
      <c r="H2647" s="8">
        <v>1</v>
      </c>
      <c r="I2647" s="10">
        <v>42005</v>
      </c>
      <c r="J2647" s="11">
        <v>5018</v>
      </c>
      <c r="K2647" s="51"/>
      <c r="O2647" s="1" t="s">
        <v>12</v>
      </c>
      <c r="P2647" s="1" t="s">
        <v>34</v>
      </c>
      <c r="Q2647" s="1" t="s">
        <v>35</v>
      </c>
      <c r="R2647" s="1" t="s">
        <v>27</v>
      </c>
      <c r="S2647" s="1" t="s">
        <v>28</v>
      </c>
      <c r="T2647" s="1">
        <v>2015</v>
      </c>
      <c r="U2647" s="1">
        <v>1</v>
      </c>
      <c r="V2647" s="50">
        <v>42005</v>
      </c>
      <c r="W2647" s="4">
        <v>4415.8399999999992</v>
      </c>
      <c r="X2647" s="48">
        <v>5018</v>
      </c>
    </row>
    <row r="2648" spans="2:24" x14ac:dyDescent="0.35">
      <c r="B2648" s="8" t="s">
        <v>14</v>
      </c>
      <c r="C2648" s="8" t="s">
        <v>37</v>
      </c>
      <c r="D2648" s="8" t="s">
        <v>38</v>
      </c>
      <c r="E2648" s="8" t="s">
        <v>27</v>
      </c>
      <c r="F2648" s="8" t="s">
        <v>33</v>
      </c>
      <c r="G2648" s="8">
        <v>2015</v>
      </c>
      <c r="H2648" s="8">
        <v>1</v>
      </c>
      <c r="I2648" s="10">
        <v>42005</v>
      </c>
      <c r="J2648" s="11">
        <v>3309</v>
      </c>
      <c r="K2648" s="51"/>
      <c r="O2648" s="1" t="s">
        <v>14</v>
      </c>
      <c r="P2648" s="1" t="s">
        <v>37</v>
      </c>
      <c r="Q2648" s="1" t="s">
        <v>38</v>
      </c>
      <c r="R2648" s="1" t="s">
        <v>27</v>
      </c>
      <c r="S2648" s="1" t="s">
        <v>33</v>
      </c>
      <c r="T2648" s="1">
        <v>2015</v>
      </c>
      <c r="U2648" s="1">
        <v>1</v>
      </c>
      <c r="V2648" s="50">
        <v>42005</v>
      </c>
      <c r="W2648" s="4">
        <v>2978.0999999999995</v>
      </c>
      <c r="X2648" s="48">
        <v>3309</v>
      </c>
    </row>
    <row r="2649" spans="2:24" x14ac:dyDescent="0.35">
      <c r="B2649" s="8" t="s">
        <v>12</v>
      </c>
      <c r="C2649" s="8" t="s">
        <v>44</v>
      </c>
      <c r="D2649" s="8" t="s">
        <v>13</v>
      </c>
      <c r="E2649" s="8" t="s">
        <v>23</v>
      </c>
      <c r="F2649" s="8" t="s">
        <v>24</v>
      </c>
      <c r="G2649" s="8">
        <v>2015</v>
      </c>
      <c r="H2649" s="8">
        <v>1</v>
      </c>
      <c r="I2649" s="10">
        <v>42005</v>
      </c>
      <c r="J2649" s="11">
        <v>3210</v>
      </c>
      <c r="K2649" s="51"/>
      <c r="O2649" s="1" t="s">
        <v>12</v>
      </c>
      <c r="P2649" s="1" t="s">
        <v>44</v>
      </c>
      <c r="Q2649" s="1" t="s">
        <v>13</v>
      </c>
      <c r="R2649" s="1" t="s">
        <v>23</v>
      </c>
      <c r="S2649" s="1" t="s">
        <v>24</v>
      </c>
      <c r="T2649" s="1">
        <v>2015</v>
      </c>
      <c r="U2649" s="1">
        <v>1</v>
      </c>
      <c r="V2649" s="50">
        <v>42005</v>
      </c>
      <c r="W2649" s="4">
        <v>2760.6000000000004</v>
      </c>
      <c r="X2649" s="48">
        <v>3210</v>
      </c>
    </row>
    <row r="2650" spans="2:24" x14ac:dyDescent="0.35">
      <c r="B2650" s="8" t="s">
        <v>14</v>
      </c>
      <c r="C2650" s="8" t="s">
        <v>46</v>
      </c>
      <c r="D2650" s="8" t="s">
        <v>47</v>
      </c>
      <c r="E2650" s="8" t="s">
        <v>0</v>
      </c>
      <c r="F2650" s="6" t="s">
        <v>42</v>
      </c>
      <c r="G2650" s="8">
        <v>2015</v>
      </c>
      <c r="H2650" s="8">
        <v>1</v>
      </c>
      <c r="I2650" s="10">
        <v>42005</v>
      </c>
      <c r="J2650" s="11">
        <v>6241</v>
      </c>
      <c r="K2650" s="51"/>
      <c r="O2650" s="1" t="s">
        <v>14</v>
      </c>
      <c r="P2650" s="1" t="s">
        <v>46</v>
      </c>
      <c r="Q2650" s="1" t="s">
        <v>47</v>
      </c>
      <c r="R2650" s="1" t="s">
        <v>0</v>
      </c>
      <c r="S2650" t="s">
        <v>42</v>
      </c>
      <c r="T2650" s="1">
        <v>2015</v>
      </c>
      <c r="U2650" s="1">
        <v>1</v>
      </c>
      <c r="V2650" s="50">
        <v>42005</v>
      </c>
      <c r="W2650" s="4">
        <v>5429.670000000001</v>
      </c>
      <c r="X2650" s="48">
        <v>6241</v>
      </c>
    </row>
    <row r="2651" spans="2:24" x14ac:dyDescent="0.35">
      <c r="B2651" s="8" t="s">
        <v>7</v>
      </c>
      <c r="C2651" s="8" t="s">
        <v>48</v>
      </c>
      <c r="D2651" s="8" t="s">
        <v>9</v>
      </c>
      <c r="E2651" s="8" t="s">
        <v>27</v>
      </c>
      <c r="F2651" s="6" t="s">
        <v>33</v>
      </c>
      <c r="G2651" s="8">
        <v>2015</v>
      </c>
      <c r="H2651" s="8">
        <v>1</v>
      </c>
      <c r="I2651" s="10">
        <v>42005</v>
      </c>
      <c r="J2651" s="11">
        <v>3697</v>
      </c>
      <c r="K2651" s="51"/>
      <c r="O2651" s="1" t="s">
        <v>7</v>
      </c>
      <c r="P2651" s="1" t="s">
        <v>48</v>
      </c>
      <c r="Q2651" s="1" t="s">
        <v>9</v>
      </c>
      <c r="R2651" s="1" t="s">
        <v>27</v>
      </c>
      <c r="S2651" t="s">
        <v>33</v>
      </c>
      <c r="T2651" s="1">
        <v>2015</v>
      </c>
      <c r="U2651" s="1">
        <v>1</v>
      </c>
      <c r="V2651" s="50">
        <v>42005</v>
      </c>
      <c r="W2651" s="4">
        <v>3290.3299999999995</v>
      </c>
      <c r="X2651" s="48">
        <v>3697</v>
      </c>
    </row>
    <row r="2652" spans="2:24" x14ac:dyDescent="0.35">
      <c r="B2652" s="8" t="s">
        <v>7</v>
      </c>
      <c r="C2652" s="8" t="s">
        <v>49</v>
      </c>
      <c r="D2652" s="8" t="s">
        <v>11</v>
      </c>
      <c r="E2652" s="8" t="s">
        <v>23</v>
      </c>
      <c r="F2652" s="6" t="s">
        <v>24</v>
      </c>
      <c r="G2652" s="8">
        <v>2015</v>
      </c>
      <c r="H2652" s="8">
        <v>1</v>
      </c>
      <c r="I2652" s="10">
        <v>42005</v>
      </c>
      <c r="J2652" s="11">
        <v>2971</v>
      </c>
      <c r="K2652" s="51"/>
      <c r="O2652" s="1" t="s">
        <v>7</v>
      </c>
      <c r="P2652" s="1" t="s">
        <v>49</v>
      </c>
      <c r="Q2652" s="1" t="s">
        <v>11</v>
      </c>
      <c r="R2652" s="1" t="s">
        <v>23</v>
      </c>
      <c r="S2652" t="s">
        <v>24</v>
      </c>
      <c r="T2652" s="1">
        <v>2015</v>
      </c>
      <c r="U2652" s="1">
        <v>1</v>
      </c>
      <c r="V2652" s="50">
        <v>42005</v>
      </c>
      <c r="W2652" s="4">
        <v>2763.0299999999997</v>
      </c>
      <c r="X2652" s="48">
        <v>2971</v>
      </c>
    </row>
    <row r="2653" spans="2:24" x14ac:dyDescent="0.35">
      <c r="B2653" s="8" t="s">
        <v>3</v>
      </c>
      <c r="C2653" s="8" t="s">
        <v>22</v>
      </c>
      <c r="D2653" s="8" t="s">
        <v>5</v>
      </c>
      <c r="E2653" s="9" t="s">
        <v>23</v>
      </c>
      <c r="F2653" s="9" t="s">
        <v>24</v>
      </c>
      <c r="G2653" s="8">
        <v>2015</v>
      </c>
      <c r="H2653" s="8">
        <v>2</v>
      </c>
      <c r="I2653" s="10">
        <v>42036</v>
      </c>
      <c r="J2653" s="11">
        <v>2058</v>
      </c>
      <c r="K2653" s="51"/>
      <c r="O2653" s="1" t="s">
        <v>3</v>
      </c>
      <c r="P2653" s="1" t="s">
        <v>22</v>
      </c>
      <c r="Q2653" s="1" t="s">
        <v>5</v>
      </c>
      <c r="R2653" s="2" t="s">
        <v>23</v>
      </c>
      <c r="S2653" s="2" t="s">
        <v>24</v>
      </c>
      <c r="T2653" s="1">
        <v>2015</v>
      </c>
      <c r="U2653" s="1">
        <v>2</v>
      </c>
      <c r="V2653" s="50">
        <v>42036</v>
      </c>
      <c r="W2653" s="4">
        <v>1769.88</v>
      </c>
      <c r="X2653" s="48">
        <v>2058</v>
      </c>
    </row>
    <row r="2654" spans="2:24" x14ac:dyDescent="0.35">
      <c r="B2654" s="8" t="s">
        <v>3</v>
      </c>
      <c r="C2654" s="8" t="s">
        <v>25</v>
      </c>
      <c r="D2654" s="8" t="s">
        <v>4</v>
      </c>
      <c r="E2654" s="8" t="s">
        <v>23</v>
      </c>
      <c r="F2654" s="9" t="s">
        <v>24</v>
      </c>
      <c r="G2654" s="8">
        <v>2015</v>
      </c>
      <c r="H2654" s="8">
        <v>2</v>
      </c>
      <c r="I2654" s="10">
        <v>42036</v>
      </c>
      <c r="J2654" s="11">
        <v>2812</v>
      </c>
      <c r="K2654" s="51"/>
      <c r="O2654" s="1" t="s">
        <v>3</v>
      </c>
      <c r="P2654" s="1" t="s">
        <v>25</v>
      </c>
      <c r="Q2654" s="1" t="s">
        <v>4</v>
      </c>
      <c r="R2654" s="1" t="s">
        <v>23</v>
      </c>
      <c r="S2654" s="2" t="s">
        <v>24</v>
      </c>
      <c r="T2654" s="1">
        <v>2015</v>
      </c>
      <c r="U2654" s="1">
        <v>2</v>
      </c>
      <c r="V2654" s="50">
        <v>42036</v>
      </c>
      <c r="W2654" s="4">
        <v>2643.2799999999997</v>
      </c>
      <c r="X2654" s="48">
        <v>2812</v>
      </c>
    </row>
    <row r="2655" spans="2:24" x14ac:dyDescent="0.35">
      <c r="B2655" s="8" t="s">
        <v>3</v>
      </c>
      <c r="C2655" s="8" t="s">
        <v>25</v>
      </c>
      <c r="D2655" s="8" t="s">
        <v>4</v>
      </c>
      <c r="E2655" s="8" t="s">
        <v>0</v>
      </c>
      <c r="F2655" s="6" t="s">
        <v>26</v>
      </c>
      <c r="G2655" s="8">
        <v>2015</v>
      </c>
      <c r="H2655" s="8">
        <v>2</v>
      </c>
      <c r="I2655" s="10">
        <v>42036</v>
      </c>
      <c r="J2655" s="11">
        <v>4702</v>
      </c>
      <c r="K2655" s="51"/>
      <c r="O2655" s="1" t="s">
        <v>3</v>
      </c>
      <c r="P2655" s="1" t="s">
        <v>25</v>
      </c>
      <c r="Q2655" s="1" t="s">
        <v>4</v>
      </c>
      <c r="R2655" s="1" t="s">
        <v>0</v>
      </c>
      <c r="S2655" t="s">
        <v>26</v>
      </c>
      <c r="T2655" s="1">
        <v>2015</v>
      </c>
      <c r="U2655" s="1">
        <v>2</v>
      </c>
      <c r="V2655" s="50">
        <v>42036</v>
      </c>
      <c r="W2655" s="4">
        <v>4278.82</v>
      </c>
      <c r="X2655" s="48">
        <v>4702</v>
      </c>
    </row>
    <row r="2656" spans="2:24" x14ac:dyDescent="0.35">
      <c r="B2656" s="8" t="s">
        <v>3</v>
      </c>
      <c r="C2656" s="8" t="s">
        <v>22</v>
      </c>
      <c r="D2656" s="8" t="s">
        <v>5</v>
      </c>
      <c r="E2656" s="8" t="s">
        <v>0</v>
      </c>
      <c r="F2656" s="8" t="s">
        <v>26</v>
      </c>
      <c r="G2656" s="8">
        <v>2015</v>
      </c>
      <c r="H2656" s="8">
        <v>2</v>
      </c>
      <c r="I2656" s="10">
        <v>42036</v>
      </c>
      <c r="J2656" s="11">
        <v>5078</v>
      </c>
      <c r="K2656" s="51"/>
      <c r="O2656" s="1" t="s">
        <v>3</v>
      </c>
      <c r="P2656" s="1" t="s">
        <v>22</v>
      </c>
      <c r="Q2656" s="1" t="s">
        <v>5</v>
      </c>
      <c r="R2656" s="1" t="s">
        <v>0</v>
      </c>
      <c r="S2656" s="1" t="s">
        <v>26</v>
      </c>
      <c r="T2656" s="1">
        <v>2015</v>
      </c>
      <c r="U2656" s="1">
        <v>2</v>
      </c>
      <c r="V2656" s="50">
        <v>42036</v>
      </c>
      <c r="W2656" s="4">
        <v>4519.4199999999992</v>
      </c>
      <c r="X2656" s="48">
        <v>5078</v>
      </c>
    </row>
    <row r="2657" spans="2:24" x14ac:dyDescent="0.35">
      <c r="B2657" s="8" t="s">
        <v>3</v>
      </c>
      <c r="C2657" s="8" t="s">
        <v>22</v>
      </c>
      <c r="D2657" s="8" t="s">
        <v>5</v>
      </c>
      <c r="E2657" s="8" t="s">
        <v>27</v>
      </c>
      <c r="F2657" s="8" t="s">
        <v>28</v>
      </c>
      <c r="G2657" s="8">
        <v>2015</v>
      </c>
      <c r="H2657" s="8">
        <v>2</v>
      </c>
      <c r="I2657" s="10">
        <v>42036</v>
      </c>
      <c r="J2657" s="11">
        <v>3893</v>
      </c>
      <c r="K2657" s="51"/>
      <c r="O2657" s="1" t="s">
        <v>3</v>
      </c>
      <c r="P2657" s="1" t="s">
        <v>22</v>
      </c>
      <c r="Q2657" s="1" t="s">
        <v>5</v>
      </c>
      <c r="R2657" s="1" t="s">
        <v>27</v>
      </c>
      <c r="S2657" s="1" t="s">
        <v>28</v>
      </c>
      <c r="T2657" s="1">
        <v>2015</v>
      </c>
      <c r="U2657" s="1">
        <v>2</v>
      </c>
      <c r="V2657" s="50">
        <v>42036</v>
      </c>
      <c r="W2657" s="4">
        <v>3659.4199999999996</v>
      </c>
      <c r="X2657" s="48">
        <v>3893</v>
      </c>
    </row>
    <row r="2658" spans="2:24" x14ac:dyDescent="0.35">
      <c r="B2658" s="8" t="s">
        <v>6</v>
      </c>
      <c r="C2658" s="8" t="s">
        <v>29</v>
      </c>
      <c r="D2658" s="8" t="s">
        <v>30</v>
      </c>
      <c r="E2658" s="8" t="s">
        <v>27</v>
      </c>
      <c r="F2658" s="8" t="s">
        <v>31</v>
      </c>
      <c r="G2658" s="8">
        <v>2015</v>
      </c>
      <c r="H2658" s="8">
        <v>2</v>
      </c>
      <c r="I2658" s="10">
        <v>42036</v>
      </c>
      <c r="J2658" s="11">
        <v>4631</v>
      </c>
      <c r="K2658" s="51"/>
      <c r="O2658" s="1" t="s">
        <v>6</v>
      </c>
      <c r="P2658" s="1" t="s">
        <v>29</v>
      </c>
      <c r="Q2658" s="1" t="s">
        <v>30</v>
      </c>
      <c r="R2658" s="1" t="s">
        <v>27</v>
      </c>
      <c r="S2658" s="1" t="s">
        <v>31</v>
      </c>
      <c r="T2658" s="1">
        <v>2015</v>
      </c>
      <c r="U2658" s="1">
        <v>2</v>
      </c>
      <c r="V2658" s="50">
        <v>42036</v>
      </c>
      <c r="W2658" s="4">
        <v>3936.3500000000004</v>
      </c>
      <c r="X2658" s="48">
        <v>4631</v>
      </c>
    </row>
    <row r="2659" spans="2:24" x14ac:dyDescent="0.35">
      <c r="B2659" s="8" t="s">
        <v>7</v>
      </c>
      <c r="C2659" s="8" t="s">
        <v>32</v>
      </c>
      <c r="D2659" s="8" t="s">
        <v>8</v>
      </c>
      <c r="E2659" s="8" t="s">
        <v>27</v>
      </c>
      <c r="F2659" s="6" t="s">
        <v>33</v>
      </c>
      <c r="G2659" s="8">
        <v>2015</v>
      </c>
      <c r="H2659" s="8">
        <v>2</v>
      </c>
      <c r="I2659" s="10">
        <v>42036</v>
      </c>
      <c r="J2659" s="11">
        <v>3653</v>
      </c>
      <c r="K2659" s="51"/>
      <c r="O2659" s="1" t="s">
        <v>7</v>
      </c>
      <c r="P2659" s="1" t="s">
        <v>32</v>
      </c>
      <c r="Q2659" s="1" t="s">
        <v>8</v>
      </c>
      <c r="R2659" s="1" t="s">
        <v>27</v>
      </c>
      <c r="S2659" t="s">
        <v>33</v>
      </c>
      <c r="T2659" s="1">
        <v>2015</v>
      </c>
      <c r="U2659" s="1">
        <v>2</v>
      </c>
      <c r="V2659" s="50">
        <v>42036</v>
      </c>
      <c r="W2659" s="4">
        <v>3105.05</v>
      </c>
      <c r="X2659" s="48">
        <v>3653</v>
      </c>
    </row>
    <row r="2660" spans="2:24" x14ac:dyDescent="0.35">
      <c r="B2660" s="8" t="s">
        <v>12</v>
      </c>
      <c r="C2660" s="8" t="s">
        <v>34</v>
      </c>
      <c r="D2660" s="8" t="s">
        <v>35</v>
      </c>
      <c r="E2660" s="8" t="s">
        <v>23</v>
      </c>
      <c r="F2660" s="6" t="s">
        <v>36</v>
      </c>
      <c r="G2660" s="8">
        <v>2015</v>
      </c>
      <c r="H2660" s="8">
        <v>2</v>
      </c>
      <c r="I2660" s="10">
        <v>42036</v>
      </c>
      <c r="J2660" s="11">
        <v>2554</v>
      </c>
      <c r="K2660" s="51"/>
      <c r="O2660" s="1" t="s">
        <v>12</v>
      </c>
      <c r="P2660" s="1" t="s">
        <v>34</v>
      </c>
      <c r="Q2660" s="1" t="s">
        <v>35</v>
      </c>
      <c r="R2660" s="1" t="s">
        <v>23</v>
      </c>
      <c r="S2660" t="s">
        <v>36</v>
      </c>
      <c r="T2660" s="1">
        <v>2015</v>
      </c>
      <c r="U2660" s="1">
        <v>2</v>
      </c>
      <c r="V2660" s="50">
        <v>42036</v>
      </c>
      <c r="W2660" s="4">
        <v>2247.5199999999995</v>
      </c>
      <c r="X2660" s="48">
        <v>2554</v>
      </c>
    </row>
    <row r="2661" spans="2:24" x14ac:dyDescent="0.35">
      <c r="B2661" s="8" t="s">
        <v>14</v>
      </c>
      <c r="C2661" s="8" t="s">
        <v>37</v>
      </c>
      <c r="D2661" s="8" t="s">
        <v>38</v>
      </c>
      <c r="E2661" s="8" t="s">
        <v>23</v>
      </c>
      <c r="F2661" s="6" t="s">
        <v>24</v>
      </c>
      <c r="G2661" s="8">
        <v>2015</v>
      </c>
      <c r="H2661" s="8">
        <v>2</v>
      </c>
      <c r="I2661" s="10">
        <v>42036</v>
      </c>
      <c r="J2661" s="11">
        <v>3274</v>
      </c>
      <c r="K2661" s="51"/>
      <c r="O2661" s="1" t="s">
        <v>14</v>
      </c>
      <c r="P2661" s="1" t="s">
        <v>37</v>
      </c>
      <c r="Q2661" s="1" t="s">
        <v>38</v>
      </c>
      <c r="R2661" s="1" t="s">
        <v>23</v>
      </c>
      <c r="S2661" t="s">
        <v>24</v>
      </c>
      <c r="T2661" s="1">
        <v>2015</v>
      </c>
      <c r="U2661" s="1">
        <v>2</v>
      </c>
      <c r="V2661" s="50">
        <v>42036</v>
      </c>
      <c r="W2661" s="4">
        <v>2848.38</v>
      </c>
      <c r="X2661" s="48">
        <v>3274</v>
      </c>
    </row>
    <row r="2662" spans="2:24" x14ac:dyDescent="0.35">
      <c r="B2662" s="8" t="s">
        <v>3</v>
      </c>
      <c r="C2662" s="8" t="s">
        <v>25</v>
      </c>
      <c r="D2662" s="8" t="s">
        <v>4</v>
      </c>
      <c r="E2662" s="9" t="s">
        <v>23</v>
      </c>
      <c r="F2662" s="9" t="s">
        <v>39</v>
      </c>
      <c r="G2662" s="8">
        <v>2015</v>
      </c>
      <c r="H2662" s="8">
        <v>2</v>
      </c>
      <c r="I2662" s="10">
        <v>42036</v>
      </c>
      <c r="J2662" s="11">
        <v>1676</v>
      </c>
      <c r="K2662" s="51"/>
      <c r="O2662" s="1" t="s">
        <v>3</v>
      </c>
      <c r="P2662" s="1" t="s">
        <v>25</v>
      </c>
      <c r="Q2662" s="1" t="s">
        <v>4</v>
      </c>
      <c r="R2662" s="2" t="s">
        <v>23</v>
      </c>
      <c r="S2662" s="2" t="s">
        <v>39</v>
      </c>
      <c r="T2662" s="1">
        <v>2015</v>
      </c>
      <c r="U2662" s="1">
        <v>2</v>
      </c>
      <c r="V2662" s="50">
        <v>42036</v>
      </c>
      <c r="W2662" s="4">
        <v>1474.8799999999999</v>
      </c>
      <c r="X2662" s="48">
        <v>1676</v>
      </c>
    </row>
    <row r="2663" spans="2:24" x14ac:dyDescent="0.35">
      <c r="B2663" s="8" t="s">
        <v>6</v>
      </c>
      <c r="C2663" s="8" t="s">
        <v>40</v>
      </c>
      <c r="D2663" s="8" t="s">
        <v>41</v>
      </c>
      <c r="E2663" s="8" t="s">
        <v>0</v>
      </c>
      <c r="F2663" s="9" t="s">
        <v>42</v>
      </c>
      <c r="G2663" s="8">
        <v>2015</v>
      </c>
      <c r="H2663" s="8">
        <v>2</v>
      </c>
      <c r="I2663" s="10">
        <v>42036</v>
      </c>
      <c r="J2663" s="11">
        <v>5139</v>
      </c>
      <c r="K2663" s="51"/>
      <c r="O2663" s="1" t="s">
        <v>6</v>
      </c>
      <c r="P2663" s="1" t="s">
        <v>40</v>
      </c>
      <c r="Q2663" s="1" t="s">
        <v>41</v>
      </c>
      <c r="R2663" s="1" t="s">
        <v>0</v>
      </c>
      <c r="S2663" s="2" t="s">
        <v>42</v>
      </c>
      <c r="T2663" s="1">
        <v>2015</v>
      </c>
      <c r="U2663" s="1">
        <v>2</v>
      </c>
      <c r="V2663" s="50">
        <v>42036</v>
      </c>
      <c r="W2663" s="4">
        <v>4522.32</v>
      </c>
      <c r="X2663" s="48">
        <v>5139</v>
      </c>
    </row>
    <row r="2664" spans="2:24" x14ac:dyDescent="0.35">
      <c r="B2664" s="8" t="s">
        <v>7</v>
      </c>
      <c r="C2664" s="8" t="s">
        <v>43</v>
      </c>
      <c r="D2664" s="8" t="s">
        <v>10</v>
      </c>
      <c r="E2664" s="8" t="s">
        <v>0</v>
      </c>
      <c r="F2664" s="6" t="s">
        <v>26</v>
      </c>
      <c r="G2664" s="8">
        <v>2015</v>
      </c>
      <c r="H2664" s="8">
        <v>2</v>
      </c>
      <c r="I2664" s="10">
        <v>42036</v>
      </c>
      <c r="J2664" s="11">
        <v>5450</v>
      </c>
      <c r="K2664" s="51"/>
      <c r="O2664" s="1" t="s">
        <v>7</v>
      </c>
      <c r="P2664" s="1" t="s">
        <v>43</v>
      </c>
      <c r="Q2664" s="1" t="s">
        <v>10</v>
      </c>
      <c r="R2664" s="1" t="s">
        <v>0</v>
      </c>
      <c r="S2664" t="s">
        <v>26</v>
      </c>
      <c r="T2664" s="1">
        <v>2015</v>
      </c>
      <c r="U2664" s="1">
        <v>2</v>
      </c>
      <c r="V2664" s="50">
        <v>42036</v>
      </c>
      <c r="W2664" s="4">
        <v>4741.5000000000009</v>
      </c>
      <c r="X2664" s="48">
        <v>5450</v>
      </c>
    </row>
    <row r="2665" spans="2:24" x14ac:dyDescent="0.35">
      <c r="B2665" s="8" t="s">
        <v>12</v>
      </c>
      <c r="C2665" s="8" t="s">
        <v>44</v>
      </c>
      <c r="D2665" s="8" t="s">
        <v>13</v>
      </c>
      <c r="E2665" s="8" t="s">
        <v>0</v>
      </c>
      <c r="F2665" s="8" t="s">
        <v>45</v>
      </c>
      <c r="G2665" s="8">
        <v>2015</v>
      </c>
      <c r="H2665" s="8">
        <v>2</v>
      </c>
      <c r="I2665" s="10">
        <v>42036</v>
      </c>
      <c r="J2665" s="11">
        <v>3177</v>
      </c>
      <c r="K2665" s="51"/>
      <c r="O2665" s="1" t="s">
        <v>12</v>
      </c>
      <c r="P2665" s="1" t="s">
        <v>44</v>
      </c>
      <c r="Q2665" s="1" t="s">
        <v>13</v>
      </c>
      <c r="R2665" s="1" t="s">
        <v>0</v>
      </c>
      <c r="S2665" s="1" t="s">
        <v>45</v>
      </c>
      <c r="T2665" s="1">
        <v>2015</v>
      </c>
      <c r="U2665" s="1">
        <v>2</v>
      </c>
      <c r="V2665" s="50">
        <v>42036</v>
      </c>
      <c r="W2665" s="4">
        <v>2986.3799999999997</v>
      </c>
      <c r="X2665" s="48">
        <v>3177</v>
      </c>
    </row>
    <row r="2666" spans="2:24" x14ac:dyDescent="0.35">
      <c r="B2666" s="8" t="s">
        <v>14</v>
      </c>
      <c r="C2666" s="8" t="s">
        <v>46</v>
      </c>
      <c r="D2666" s="8" t="s">
        <v>47</v>
      </c>
      <c r="E2666" s="8" t="s">
        <v>27</v>
      </c>
      <c r="F2666" s="8" t="s">
        <v>28</v>
      </c>
      <c r="G2666" s="8">
        <v>2015</v>
      </c>
      <c r="H2666" s="8">
        <v>2</v>
      </c>
      <c r="I2666" s="10">
        <v>42036</v>
      </c>
      <c r="J2666" s="11">
        <v>4708</v>
      </c>
      <c r="K2666" s="51"/>
      <c r="O2666" s="1" t="s">
        <v>14</v>
      </c>
      <c r="P2666" s="1" t="s">
        <v>46</v>
      </c>
      <c r="Q2666" s="1" t="s">
        <v>47</v>
      </c>
      <c r="R2666" s="1" t="s">
        <v>27</v>
      </c>
      <c r="S2666" s="1" t="s">
        <v>28</v>
      </c>
      <c r="T2666" s="1">
        <v>2015</v>
      </c>
      <c r="U2666" s="1">
        <v>2</v>
      </c>
      <c r="V2666" s="50">
        <v>42036</v>
      </c>
      <c r="W2666" s="4">
        <v>4237.2</v>
      </c>
      <c r="X2666" s="48">
        <v>4708</v>
      </c>
    </row>
    <row r="2667" spans="2:24" x14ac:dyDescent="0.35">
      <c r="B2667" s="8" t="s">
        <v>3</v>
      </c>
      <c r="C2667" s="8" t="s">
        <v>22</v>
      </c>
      <c r="D2667" s="8" t="s">
        <v>5</v>
      </c>
      <c r="E2667" s="8" t="s">
        <v>27</v>
      </c>
      <c r="F2667" s="8" t="s">
        <v>31</v>
      </c>
      <c r="G2667" s="8">
        <v>2015</v>
      </c>
      <c r="H2667" s="8">
        <v>2</v>
      </c>
      <c r="I2667" s="10">
        <v>42036</v>
      </c>
      <c r="J2667" s="11">
        <v>5417</v>
      </c>
      <c r="K2667" s="51"/>
      <c r="O2667" s="1" t="s">
        <v>3</v>
      </c>
      <c r="P2667" s="1" t="s">
        <v>22</v>
      </c>
      <c r="Q2667" s="1" t="s">
        <v>5</v>
      </c>
      <c r="R2667" s="1" t="s">
        <v>27</v>
      </c>
      <c r="S2667" s="1" t="s">
        <v>31</v>
      </c>
      <c r="T2667" s="1">
        <v>2015</v>
      </c>
      <c r="U2667" s="1">
        <v>2</v>
      </c>
      <c r="V2667" s="50">
        <v>42036</v>
      </c>
      <c r="W2667" s="4">
        <v>4875.2999999999993</v>
      </c>
      <c r="X2667" s="48">
        <v>5417</v>
      </c>
    </row>
    <row r="2668" spans="2:24" x14ac:dyDescent="0.35">
      <c r="B2668" s="8" t="s">
        <v>6</v>
      </c>
      <c r="C2668" s="8" t="s">
        <v>29</v>
      </c>
      <c r="D2668" s="8" t="s">
        <v>30</v>
      </c>
      <c r="E2668" s="8" t="s">
        <v>27</v>
      </c>
      <c r="F2668" s="6" t="s">
        <v>33</v>
      </c>
      <c r="G2668" s="8">
        <v>2015</v>
      </c>
      <c r="H2668" s="8">
        <v>2</v>
      </c>
      <c r="I2668" s="10">
        <v>42036</v>
      </c>
      <c r="J2668" s="11">
        <v>3834</v>
      </c>
      <c r="K2668" s="51"/>
      <c r="O2668" s="1" t="s">
        <v>6</v>
      </c>
      <c r="P2668" s="1" t="s">
        <v>29</v>
      </c>
      <c r="Q2668" s="1" t="s">
        <v>30</v>
      </c>
      <c r="R2668" s="1" t="s">
        <v>27</v>
      </c>
      <c r="S2668" t="s">
        <v>33</v>
      </c>
      <c r="T2668" s="1">
        <v>2015</v>
      </c>
      <c r="U2668" s="1">
        <v>2</v>
      </c>
      <c r="V2668" s="50">
        <v>42036</v>
      </c>
      <c r="W2668" s="4">
        <v>3412.2599999999998</v>
      </c>
      <c r="X2668" s="48">
        <v>3834</v>
      </c>
    </row>
    <row r="2669" spans="2:24" x14ac:dyDescent="0.35">
      <c r="B2669" s="8" t="s">
        <v>7</v>
      </c>
      <c r="C2669" s="8" t="s">
        <v>32</v>
      </c>
      <c r="D2669" s="8" t="s">
        <v>8</v>
      </c>
      <c r="E2669" s="8" t="s">
        <v>23</v>
      </c>
      <c r="F2669" s="6" t="s">
        <v>36</v>
      </c>
      <c r="G2669" s="8">
        <v>2015</v>
      </c>
      <c r="H2669" s="8">
        <v>2</v>
      </c>
      <c r="I2669" s="10">
        <v>42036</v>
      </c>
      <c r="J2669" s="11">
        <v>2063</v>
      </c>
      <c r="K2669" s="51"/>
      <c r="O2669" s="1" t="s">
        <v>7</v>
      </c>
      <c r="P2669" s="1" t="s">
        <v>32</v>
      </c>
      <c r="Q2669" s="1" t="s">
        <v>8</v>
      </c>
      <c r="R2669" s="1" t="s">
        <v>23</v>
      </c>
      <c r="S2669" t="s">
        <v>36</v>
      </c>
      <c r="T2669" s="1">
        <v>2015</v>
      </c>
      <c r="U2669" s="1">
        <v>2</v>
      </c>
      <c r="V2669" s="50">
        <v>42036</v>
      </c>
      <c r="W2669" s="4">
        <v>1815.4399999999998</v>
      </c>
      <c r="X2669" s="48">
        <v>2063</v>
      </c>
    </row>
    <row r="2670" spans="2:24" x14ac:dyDescent="0.35">
      <c r="B2670" s="8" t="s">
        <v>12</v>
      </c>
      <c r="C2670" s="8" t="s">
        <v>34</v>
      </c>
      <c r="D2670" s="8" t="s">
        <v>35</v>
      </c>
      <c r="E2670" s="8" t="s">
        <v>23</v>
      </c>
      <c r="F2670" s="6" t="s">
        <v>24</v>
      </c>
      <c r="G2670" s="8">
        <v>2015</v>
      </c>
      <c r="H2670" s="8">
        <v>2</v>
      </c>
      <c r="I2670" s="10">
        <v>42036</v>
      </c>
      <c r="J2670" s="11">
        <v>2766</v>
      </c>
      <c r="K2670" s="51"/>
      <c r="O2670" s="1" t="s">
        <v>12</v>
      </c>
      <c r="P2670" s="1" t="s">
        <v>34</v>
      </c>
      <c r="Q2670" s="1" t="s">
        <v>35</v>
      </c>
      <c r="R2670" s="1" t="s">
        <v>23</v>
      </c>
      <c r="S2670" t="s">
        <v>24</v>
      </c>
      <c r="T2670" s="1">
        <v>2015</v>
      </c>
      <c r="U2670" s="1">
        <v>2</v>
      </c>
      <c r="V2670" s="50">
        <v>42036</v>
      </c>
      <c r="W2670" s="4">
        <v>2572.3799999999997</v>
      </c>
      <c r="X2670" s="48">
        <v>2766</v>
      </c>
    </row>
    <row r="2671" spans="2:24" x14ac:dyDescent="0.35">
      <c r="B2671" s="8" t="s">
        <v>14</v>
      </c>
      <c r="C2671" s="8" t="s">
        <v>37</v>
      </c>
      <c r="D2671" s="8" t="s">
        <v>38</v>
      </c>
      <c r="E2671" s="9" t="s">
        <v>23</v>
      </c>
      <c r="F2671" s="9" t="s">
        <v>39</v>
      </c>
      <c r="G2671" s="8">
        <v>2015</v>
      </c>
      <c r="H2671" s="8">
        <v>2</v>
      </c>
      <c r="I2671" s="10">
        <v>42036</v>
      </c>
      <c r="J2671" s="11">
        <v>2693</v>
      </c>
      <c r="K2671" s="51"/>
      <c r="O2671" s="1" t="s">
        <v>14</v>
      </c>
      <c r="P2671" s="1" t="s">
        <v>37</v>
      </c>
      <c r="Q2671" s="1" t="s">
        <v>38</v>
      </c>
      <c r="R2671" s="2" t="s">
        <v>23</v>
      </c>
      <c r="S2671" s="2" t="s">
        <v>39</v>
      </c>
      <c r="T2671" s="1">
        <v>2015</v>
      </c>
      <c r="U2671" s="1">
        <v>2</v>
      </c>
      <c r="V2671" s="50">
        <v>42036</v>
      </c>
      <c r="W2671" s="4">
        <v>2342.9100000000003</v>
      </c>
      <c r="X2671" s="48">
        <v>2693</v>
      </c>
    </row>
    <row r="2672" spans="2:24" x14ac:dyDescent="0.35">
      <c r="B2672" s="8" t="s">
        <v>3</v>
      </c>
      <c r="C2672" s="8" t="s">
        <v>25</v>
      </c>
      <c r="D2672" s="8" t="s">
        <v>4</v>
      </c>
      <c r="E2672" s="8" t="s">
        <v>0</v>
      </c>
      <c r="F2672" s="9" t="s">
        <v>42</v>
      </c>
      <c r="G2672" s="8">
        <v>2015</v>
      </c>
      <c r="H2672" s="8">
        <v>2</v>
      </c>
      <c r="I2672" s="10">
        <v>42036</v>
      </c>
      <c r="J2672" s="11">
        <v>4425</v>
      </c>
      <c r="K2672" s="51"/>
      <c r="O2672" s="1" t="s">
        <v>3</v>
      </c>
      <c r="P2672" s="1" t="s">
        <v>25</v>
      </c>
      <c r="Q2672" s="1" t="s">
        <v>4</v>
      </c>
      <c r="R2672" s="1" t="s">
        <v>0</v>
      </c>
      <c r="S2672" s="2" t="s">
        <v>42</v>
      </c>
      <c r="T2672" s="1">
        <v>2015</v>
      </c>
      <c r="U2672" s="1">
        <v>2</v>
      </c>
      <c r="V2672" s="50">
        <v>42036</v>
      </c>
      <c r="W2672" s="4">
        <v>3893.9999999999995</v>
      </c>
      <c r="X2672" s="48">
        <v>4425</v>
      </c>
    </row>
    <row r="2673" spans="2:24" x14ac:dyDescent="0.35">
      <c r="B2673" s="8" t="s">
        <v>6</v>
      </c>
      <c r="C2673" s="8" t="s">
        <v>40</v>
      </c>
      <c r="D2673" s="8" t="s">
        <v>41</v>
      </c>
      <c r="E2673" s="8" t="s">
        <v>0</v>
      </c>
      <c r="F2673" s="6" t="s">
        <v>26</v>
      </c>
      <c r="G2673" s="8">
        <v>2015</v>
      </c>
      <c r="H2673" s="8">
        <v>2</v>
      </c>
      <c r="I2673" s="10">
        <v>42036</v>
      </c>
      <c r="J2673" s="11">
        <v>4927</v>
      </c>
      <c r="K2673" s="51"/>
      <c r="O2673" s="1" t="s">
        <v>6</v>
      </c>
      <c r="P2673" s="1" t="s">
        <v>40</v>
      </c>
      <c r="Q2673" s="1" t="s">
        <v>41</v>
      </c>
      <c r="R2673" s="1" t="s">
        <v>0</v>
      </c>
      <c r="S2673" t="s">
        <v>26</v>
      </c>
      <c r="T2673" s="1">
        <v>2015</v>
      </c>
      <c r="U2673" s="1">
        <v>2</v>
      </c>
      <c r="V2673" s="50">
        <v>42036</v>
      </c>
      <c r="W2673" s="4">
        <v>4286.4900000000007</v>
      </c>
      <c r="X2673" s="48">
        <v>4927</v>
      </c>
    </row>
    <row r="2674" spans="2:24" x14ac:dyDescent="0.35">
      <c r="B2674" s="8" t="s">
        <v>7</v>
      </c>
      <c r="C2674" s="8" t="s">
        <v>43</v>
      </c>
      <c r="D2674" s="8" t="s">
        <v>10</v>
      </c>
      <c r="E2674" s="8" t="s">
        <v>0</v>
      </c>
      <c r="F2674" s="8" t="s">
        <v>45</v>
      </c>
      <c r="G2674" s="8">
        <v>2015</v>
      </c>
      <c r="H2674" s="8">
        <v>2</v>
      </c>
      <c r="I2674" s="10">
        <v>42036</v>
      </c>
      <c r="J2674" s="11">
        <v>3380</v>
      </c>
      <c r="K2674" s="51"/>
      <c r="O2674" s="1" t="s">
        <v>7</v>
      </c>
      <c r="P2674" s="1" t="s">
        <v>43</v>
      </c>
      <c r="Q2674" s="1" t="s">
        <v>10</v>
      </c>
      <c r="R2674" s="1" t="s">
        <v>0</v>
      </c>
      <c r="S2674" s="1" t="s">
        <v>45</v>
      </c>
      <c r="T2674" s="1">
        <v>2015</v>
      </c>
      <c r="U2674" s="1">
        <v>2</v>
      </c>
      <c r="V2674" s="50">
        <v>42036</v>
      </c>
      <c r="W2674" s="4">
        <v>2974.3999999999996</v>
      </c>
      <c r="X2674" s="48">
        <v>3380</v>
      </c>
    </row>
    <row r="2675" spans="2:24" x14ac:dyDescent="0.35">
      <c r="B2675" s="8" t="s">
        <v>12</v>
      </c>
      <c r="C2675" s="8" t="s">
        <v>44</v>
      </c>
      <c r="D2675" s="8" t="s">
        <v>13</v>
      </c>
      <c r="E2675" s="8" t="s">
        <v>27</v>
      </c>
      <c r="F2675" s="8" t="s">
        <v>28</v>
      </c>
      <c r="G2675" s="8">
        <v>2015</v>
      </c>
      <c r="H2675" s="8">
        <v>2</v>
      </c>
      <c r="I2675" s="10">
        <v>42036</v>
      </c>
      <c r="J2675" s="11">
        <v>3836</v>
      </c>
      <c r="K2675" s="51"/>
      <c r="O2675" s="1" t="s">
        <v>12</v>
      </c>
      <c r="P2675" s="1" t="s">
        <v>44</v>
      </c>
      <c r="Q2675" s="1" t="s">
        <v>13</v>
      </c>
      <c r="R2675" s="1" t="s">
        <v>27</v>
      </c>
      <c r="S2675" s="1" t="s">
        <v>28</v>
      </c>
      <c r="T2675" s="1">
        <v>2015</v>
      </c>
      <c r="U2675" s="1">
        <v>2</v>
      </c>
      <c r="V2675" s="50">
        <v>42036</v>
      </c>
      <c r="W2675" s="4">
        <v>3375.6799999999994</v>
      </c>
      <c r="X2675" s="48">
        <v>3836</v>
      </c>
    </row>
    <row r="2676" spans="2:24" x14ac:dyDescent="0.35">
      <c r="B2676" s="8" t="s">
        <v>14</v>
      </c>
      <c r="C2676" s="8" t="s">
        <v>46</v>
      </c>
      <c r="D2676" s="8" t="s">
        <v>47</v>
      </c>
      <c r="E2676" s="8" t="s">
        <v>27</v>
      </c>
      <c r="F2676" s="8" t="s">
        <v>31</v>
      </c>
      <c r="G2676" s="8">
        <v>2015</v>
      </c>
      <c r="H2676" s="8">
        <v>2</v>
      </c>
      <c r="I2676" s="10">
        <v>42036</v>
      </c>
      <c r="J2676" s="11">
        <v>2614</v>
      </c>
      <c r="K2676" s="51"/>
      <c r="O2676" s="1" t="s">
        <v>14</v>
      </c>
      <c r="P2676" s="1" t="s">
        <v>46</v>
      </c>
      <c r="Q2676" s="1" t="s">
        <v>47</v>
      </c>
      <c r="R2676" s="1" t="s">
        <v>27</v>
      </c>
      <c r="S2676" s="1" t="s">
        <v>31</v>
      </c>
      <c r="T2676" s="1">
        <v>2015</v>
      </c>
      <c r="U2676" s="1">
        <v>2</v>
      </c>
      <c r="V2676" s="50">
        <v>42036</v>
      </c>
      <c r="W2676" s="4">
        <v>2378.7399999999998</v>
      </c>
      <c r="X2676" s="48">
        <v>2614</v>
      </c>
    </row>
    <row r="2677" spans="2:24" x14ac:dyDescent="0.35">
      <c r="B2677" s="8" t="s">
        <v>3</v>
      </c>
      <c r="C2677" s="8" t="s">
        <v>22</v>
      </c>
      <c r="D2677" s="8" t="s">
        <v>5</v>
      </c>
      <c r="E2677" s="8" t="s">
        <v>27</v>
      </c>
      <c r="F2677" s="6" t="s">
        <v>33</v>
      </c>
      <c r="G2677" s="8">
        <v>2015</v>
      </c>
      <c r="H2677" s="8">
        <v>2</v>
      </c>
      <c r="I2677" s="10">
        <v>42036</v>
      </c>
      <c r="J2677" s="11">
        <v>2882</v>
      </c>
      <c r="K2677" s="51"/>
      <c r="O2677" s="1" t="s">
        <v>3</v>
      </c>
      <c r="P2677" s="1" t="s">
        <v>22</v>
      </c>
      <c r="Q2677" s="1" t="s">
        <v>5</v>
      </c>
      <c r="R2677" s="1" t="s">
        <v>27</v>
      </c>
      <c r="S2677" t="s">
        <v>33</v>
      </c>
      <c r="T2677" s="1">
        <v>2015</v>
      </c>
      <c r="U2677" s="1">
        <v>2</v>
      </c>
      <c r="V2677" s="50">
        <v>42036</v>
      </c>
      <c r="W2677" s="4">
        <v>2507.34</v>
      </c>
      <c r="X2677" s="48">
        <v>2882</v>
      </c>
    </row>
    <row r="2678" spans="2:24" x14ac:dyDescent="0.35">
      <c r="B2678" s="8" t="s">
        <v>6</v>
      </c>
      <c r="C2678" s="8" t="s">
        <v>29</v>
      </c>
      <c r="D2678" s="8" t="s">
        <v>30</v>
      </c>
      <c r="E2678" s="8" t="s">
        <v>23</v>
      </c>
      <c r="F2678" s="6" t="s">
        <v>36</v>
      </c>
      <c r="G2678" s="8">
        <v>2015</v>
      </c>
      <c r="H2678" s="8">
        <v>2</v>
      </c>
      <c r="I2678" s="10">
        <v>42036</v>
      </c>
      <c r="J2678" s="11">
        <v>2913</v>
      </c>
      <c r="K2678" s="51"/>
      <c r="O2678" s="1" t="s">
        <v>6</v>
      </c>
      <c r="P2678" s="1" t="s">
        <v>29</v>
      </c>
      <c r="Q2678" s="1" t="s">
        <v>30</v>
      </c>
      <c r="R2678" s="1" t="s">
        <v>23</v>
      </c>
      <c r="S2678" t="s">
        <v>36</v>
      </c>
      <c r="T2678" s="1">
        <v>2015</v>
      </c>
      <c r="U2678" s="1">
        <v>2</v>
      </c>
      <c r="V2678" s="50">
        <v>42036</v>
      </c>
      <c r="W2678" s="4">
        <v>2476.0500000000002</v>
      </c>
      <c r="X2678" s="48">
        <v>2913</v>
      </c>
    </row>
    <row r="2679" spans="2:24" x14ac:dyDescent="0.35">
      <c r="B2679" s="8" t="s">
        <v>7</v>
      </c>
      <c r="C2679" s="8" t="s">
        <v>32</v>
      </c>
      <c r="D2679" s="8" t="s">
        <v>8</v>
      </c>
      <c r="E2679" s="8" t="s">
        <v>23</v>
      </c>
      <c r="F2679" s="6" t="s">
        <v>24</v>
      </c>
      <c r="G2679" s="8">
        <v>2015</v>
      </c>
      <c r="H2679" s="8">
        <v>2</v>
      </c>
      <c r="I2679" s="10">
        <v>42036</v>
      </c>
      <c r="J2679" s="11">
        <v>1767</v>
      </c>
      <c r="K2679" s="51"/>
      <c r="O2679" s="1" t="s">
        <v>7</v>
      </c>
      <c r="P2679" s="1" t="s">
        <v>32</v>
      </c>
      <c r="Q2679" s="1" t="s">
        <v>8</v>
      </c>
      <c r="R2679" s="1" t="s">
        <v>23</v>
      </c>
      <c r="S2679" t="s">
        <v>24</v>
      </c>
      <c r="T2679" s="1">
        <v>2015</v>
      </c>
      <c r="U2679" s="1">
        <v>2</v>
      </c>
      <c r="V2679" s="50">
        <v>42036</v>
      </c>
      <c r="W2679" s="4">
        <v>1501.9500000000003</v>
      </c>
      <c r="X2679" s="48">
        <v>1767</v>
      </c>
    </row>
    <row r="2680" spans="2:24" x14ac:dyDescent="0.35">
      <c r="B2680" s="8" t="s">
        <v>12</v>
      </c>
      <c r="C2680" s="8" t="s">
        <v>34</v>
      </c>
      <c r="D2680" s="8" t="s">
        <v>35</v>
      </c>
      <c r="E2680" s="9" t="s">
        <v>23</v>
      </c>
      <c r="F2680" s="9" t="s">
        <v>39</v>
      </c>
      <c r="G2680" s="8">
        <v>2015</v>
      </c>
      <c r="H2680" s="8">
        <v>2</v>
      </c>
      <c r="I2680" s="10">
        <v>42036</v>
      </c>
      <c r="J2680" s="11">
        <v>1833</v>
      </c>
      <c r="K2680" s="51"/>
      <c r="O2680" s="1" t="s">
        <v>12</v>
      </c>
      <c r="P2680" s="1" t="s">
        <v>34</v>
      </c>
      <c r="Q2680" s="1" t="s">
        <v>35</v>
      </c>
      <c r="R2680" s="2" t="s">
        <v>23</v>
      </c>
      <c r="S2680" s="2" t="s">
        <v>39</v>
      </c>
      <c r="T2680" s="1">
        <v>2015</v>
      </c>
      <c r="U2680" s="1">
        <v>2</v>
      </c>
      <c r="V2680" s="50">
        <v>42036</v>
      </c>
      <c r="W2680" s="4">
        <v>1704.6899999999998</v>
      </c>
      <c r="X2680" s="48">
        <v>1833</v>
      </c>
    </row>
    <row r="2681" spans="2:24" x14ac:dyDescent="0.35">
      <c r="B2681" s="8" t="s">
        <v>14</v>
      </c>
      <c r="C2681" s="8" t="s">
        <v>37</v>
      </c>
      <c r="D2681" s="8" t="s">
        <v>38</v>
      </c>
      <c r="E2681" s="8" t="s">
        <v>0</v>
      </c>
      <c r="F2681" s="9" t="s">
        <v>42</v>
      </c>
      <c r="G2681" s="8">
        <v>2015</v>
      </c>
      <c r="H2681" s="8">
        <v>2</v>
      </c>
      <c r="I2681" s="10">
        <v>42036</v>
      </c>
      <c r="J2681" s="11">
        <v>6040</v>
      </c>
      <c r="K2681" s="51"/>
      <c r="O2681" s="1" t="s">
        <v>14</v>
      </c>
      <c r="P2681" s="1" t="s">
        <v>37</v>
      </c>
      <c r="Q2681" s="1" t="s">
        <v>38</v>
      </c>
      <c r="R2681" s="1" t="s">
        <v>0</v>
      </c>
      <c r="S2681" s="2" t="s">
        <v>42</v>
      </c>
      <c r="T2681" s="1">
        <v>2015</v>
      </c>
      <c r="U2681" s="1">
        <v>2</v>
      </c>
      <c r="V2681" s="50">
        <v>42036</v>
      </c>
      <c r="W2681" s="4">
        <v>5375.5999999999995</v>
      </c>
      <c r="X2681" s="48">
        <v>6040</v>
      </c>
    </row>
    <row r="2682" spans="2:24" x14ac:dyDescent="0.35">
      <c r="B2682" s="8" t="s">
        <v>6</v>
      </c>
      <c r="C2682" s="8" t="s">
        <v>29</v>
      </c>
      <c r="D2682" s="8" t="s">
        <v>30</v>
      </c>
      <c r="E2682" s="8" t="s">
        <v>0</v>
      </c>
      <c r="F2682" s="6" t="s">
        <v>45</v>
      </c>
      <c r="G2682" s="8">
        <v>2015</v>
      </c>
      <c r="H2682" s="8">
        <v>2</v>
      </c>
      <c r="I2682" s="10">
        <v>42036</v>
      </c>
      <c r="J2682" s="11">
        <v>3276</v>
      </c>
      <c r="K2682" s="51"/>
      <c r="O2682" s="1" t="s">
        <v>6</v>
      </c>
      <c r="P2682" s="1" t="s">
        <v>29</v>
      </c>
      <c r="Q2682" s="1" t="s">
        <v>30</v>
      </c>
      <c r="R2682" s="1" t="s">
        <v>0</v>
      </c>
      <c r="S2682" t="s">
        <v>45</v>
      </c>
      <c r="T2682" s="1">
        <v>2015</v>
      </c>
      <c r="U2682" s="1">
        <v>2</v>
      </c>
      <c r="V2682" s="50">
        <v>42036</v>
      </c>
      <c r="W2682" s="4">
        <v>2915.64</v>
      </c>
      <c r="X2682" s="48">
        <v>3276</v>
      </c>
    </row>
    <row r="2683" spans="2:24" x14ac:dyDescent="0.35">
      <c r="B2683" s="8" t="s">
        <v>7</v>
      </c>
      <c r="C2683" s="8" t="s">
        <v>43</v>
      </c>
      <c r="D2683" s="8" t="s">
        <v>10</v>
      </c>
      <c r="E2683" s="8" t="s">
        <v>27</v>
      </c>
      <c r="F2683" s="8" t="s">
        <v>28</v>
      </c>
      <c r="G2683" s="8">
        <v>2015</v>
      </c>
      <c r="H2683" s="8">
        <v>2</v>
      </c>
      <c r="I2683" s="10">
        <v>42036</v>
      </c>
      <c r="J2683" s="11">
        <v>4501</v>
      </c>
      <c r="K2683" s="51"/>
      <c r="O2683" s="1" t="s">
        <v>7</v>
      </c>
      <c r="P2683" s="1" t="s">
        <v>43</v>
      </c>
      <c r="Q2683" s="1" t="s">
        <v>10</v>
      </c>
      <c r="R2683" s="1" t="s">
        <v>27</v>
      </c>
      <c r="S2683" s="1" t="s">
        <v>28</v>
      </c>
      <c r="T2683" s="1">
        <v>2015</v>
      </c>
      <c r="U2683" s="1">
        <v>2</v>
      </c>
      <c r="V2683" s="50">
        <v>42036</v>
      </c>
      <c r="W2683" s="4">
        <v>4185.9299999999994</v>
      </c>
      <c r="X2683" s="48">
        <v>4501</v>
      </c>
    </row>
    <row r="2684" spans="2:24" x14ac:dyDescent="0.35">
      <c r="B2684" s="8" t="s">
        <v>12</v>
      </c>
      <c r="C2684" s="8" t="s">
        <v>44</v>
      </c>
      <c r="D2684" s="8" t="s">
        <v>13</v>
      </c>
      <c r="E2684" s="8" t="s">
        <v>27</v>
      </c>
      <c r="F2684" s="8" t="s">
        <v>31</v>
      </c>
      <c r="G2684" s="8">
        <v>2015</v>
      </c>
      <c r="H2684" s="8">
        <v>2</v>
      </c>
      <c r="I2684" s="10">
        <v>42036</v>
      </c>
      <c r="J2684" s="11">
        <v>4176</v>
      </c>
      <c r="K2684" s="51"/>
      <c r="O2684" s="1" t="s">
        <v>12</v>
      </c>
      <c r="P2684" s="1" t="s">
        <v>44</v>
      </c>
      <c r="Q2684" s="1" t="s">
        <v>13</v>
      </c>
      <c r="R2684" s="1" t="s">
        <v>27</v>
      </c>
      <c r="S2684" s="1" t="s">
        <v>31</v>
      </c>
      <c r="T2684" s="1">
        <v>2015</v>
      </c>
      <c r="U2684" s="1">
        <v>2</v>
      </c>
      <c r="V2684" s="50">
        <v>42036</v>
      </c>
      <c r="W2684" s="4">
        <v>3591.3600000000006</v>
      </c>
      <c r="X2684" s="48">
        <v>4176</v>
      </c>
    </row>
    <row r="2685" spans="2:24" x14ac:dyDescent="0.35">
      <c r="B2685" s="8" t="s">
        <v>14</v>
      </c>
      <c r="C2685" s="8" t="s">
        <v>46</v>
      </c>
      <c r="D2685" s="8" t="s">
        <v>47</v>
      </c>
      <c r="E2685" s="8" t="s">
        <v>27</v>
      </c>
      <c r="F2685" s="8" t="s">
        <v>33</v>
      </c>
      <c r="G2685" s="8">
        <v>2015</v>
      </c>
      <c r="H2685" s="8">
        <v>2</v>
      </c>
      <c r="I2685" s="10">
        <v>42036</v>
      </c>
      <c r="J2685" s="11">
        <v>4084</v>
      </c>
      <c r="K2685" s="51"/>
      <c r="O2685" s="1" t="s">
        <v>14</v>
      </c>
      <c r="P2685" s="1" t="s">
        <v>46</v>
      </c>
      <c r="Q2685" s="1" t="s">
        <v>47</v>
      </c>
      <c r="R2685" s="1" t="s">
        <v>27</v>
      </c>
      <c r="S2685" s="1" t="s">
        <v>33</v>
      </c>
      <c r="T2685" s="1">
        <v>2015</v>
      </c>
      <c r="U2685" s="1">
        <v>2</v>
      </c>
      <c r="V2685" s="50">
        <v>42036</v>
      </c>
      <c r="W2685" s="4">
        <v>3838.9599999999996</v>
      </c>
      <c r="X2685" s="48">
        <v>4084</v>
      </c>
    </row>
    <row r="2686" spans="2:24" x14ac:dyDescent="0.35">
      <c r="B2686" s="8" t="s">
        <v>3</v>
      </c>
      <c r="C2686" s="8" t="s">
        <v>22</v>
      </c>
      <c r="D2686" s="8" t="s">
        <v>5</v>
      </c>
      <c r="E2686" s="8" t="s">
        <v>23</v>
      </c>
      <c r="F2686" s="6" t="s">
        <v>36</v>
      </c>
      <c r="G2686" s="8">
        <v>2015</v>
      </c>
      <c r="H2686" s="8">
        <v>2</v>
      </c>
      <c r="I2686" s="10">
        <v>42036</v>
      </c>
      <c r="J2686" s="11">
        <v>1590</v>
      </c>
      <c r="K2686" s="51"/>
      <c r="O2686" s="1" t="s">
        <v>3</v>
      </c>
      <c r="P2686" s="1" t="s">
        <v>22</v>
      </c>
      <c r="Q2686" s="1" t="s">
        <v>5</v>
      </c>
      <c r="R2686" s="1" t="s">
        <v>23</v>
      </c>
      <c r="S2686" t="s">
        <v>36</v>
      </c>
      <c r="T2686" s="1">
        <v>2015</v>
      </c>
      <c r="U2686" s="1">
        <v>2</v>
      </c>
      <c r="V2686" s="50">
        <v>42036</v>
      </c>
      <c r="W2686" s="4">
        <v>1446.8999999999999</v>
      </c>
      <c r="X2686" s="48">
        <v>1590</v>
      </c>
    </row>
    <row r="2687" spans="2:24" x14ac:dyDescent="0.35">
      <c r="B2687" s="8" t="s">
        <v>6</v>
      </c>
      <c r="C2687" s="8" t="s">
        <v>40</v>
      </c>
      <c r="D2687" s="8" t="s">
        <v>41</v>
      </c>
      <c r="E2687" s="8" t="s">
        <v>23</v>
      </c>
      <c r="F2687" s="6" t="s">
        <v>24</v>
      </c>
      <c r="G2687" s="8">
        <v>2015</v>
      </c>
      <c r="H2687" s="8">
        <v>2</v>
      </c>
      <c r="I2687" s="10">
        <v>42036</v>
      </c>
      <c r="J2687" s="11">
        <v>2958</v>
      </c>
      <c r="K2687" s="51"/>
      <c r="O2687" s="1" t="s">
        <v>6</v>
      </c>
      <c r="P2687" s="1" t="s">
        <v>40</v>
      </c>
      <c r="Q2687" s="1" t="s">
        <v>41</v>
      </c>
      <c r="R2687" s="1" t="s">
        <v>23</v>
      </c>
      <c r="S2687" t="s">
        <v>24</v>
      </c>
      <c r="T2687" s="1">
        <v>2015</v>
      </c>
      <c r="U2687" s="1">
        <v>2</v>
      </c>
      <c r="V2687" s="50">
        <v>42036</v>
      </c>
      <c r="W2687" s="4">
        <v>2691.7799999999997</v>
      </c>
      <c r="X2687" s="48">
        <v>2958</v>
      </c>
    </row>
    <row r="2688" spans="2:24" x14ac:dyDescent="0.35">
      <c r="B2688" s="8" t="s">
        <v>7</v>
      </c>
      <c r="C2688" s="8" t="s">
        <v>32</v>
      </c>
      <c r="D2688" s="8" t="s">
        <v>8</v>
      </c>
      <c r="E2688" s="8" t="s">
        <v>23</v>
      </c>
      <c r="F2688" s="6" t="s">
        <v>39</v>
      </c>
      <c r="G2688" s="8">
        <v>2015</v>
      </c>
      <c r="H2688" s="8">
        <v>2</v>
      </c>
      <c r="I2688" s="10">
        <v>42036</v>
      </c>
      <c r="J2688" s="11">
        <v>1267</v>
      </c>
      <c r="K2688" s="51"/>
      <c r="O2688" s="1" t="s">
        <v>7</v>
      </c>
      <c r="P2688" s="1" t="s">
        <v>32</v>
      </c>
      <c r="Q2688" s="1" t="s">
        <v>8</v>
      </c>
      <c r="R2688" s="1" t="s">
        <v>23</v>
      </c>
      <c r="S2688" t="s">
        <v>39</v>
      </c>
      <c r="T2688" s="1">
        <v>2015</v>
      </c>
      <c r="U2688" s="1">
        <v>2</v>
      </c>
      <c r="V2688" s="50">
        <v>42036</v>
      </c>
      <c r="W2688" s="4">
        <v>1089.6200000000001</v>
      </c>
      <c r="X2688" s="48">
        <v>1267</v>
      </c>
    </row>
    <row r="2689" spans="2:24" x14ac:dyDescent="0.35">
      <c r="B2689" s="8" t="s">
        <v>12</v>
      </c>
      <c r="C2689" s="8" t="s">
        <v>34</v>
      </c>
      <c r="D2689" s="8" t="s">
        <v>35</v>
      </c>
      <c r="E2689" s="9" t="s">
        <v>0</v>
      </c>
      <c r="F2689" s="9" t="s">
        <v>42</v>
      </c>
      <c r="G2689" s="8">
        <v>2015</v>
      </c>
      <c r="H2689" s="8">
        <v>2</v>
      </c>
      <c r="I2689" s="10">
        <v>42036</v>
      </c>
      <c r="J2689" s="11">
        <v>5025</v>
      </c>
      <c r="K2689" s="51"/>
      <c r="O2689" s="1" t="s">
        <v>12</v>
      </c>
      <c r="P2689" s="1" t="s">
        <v>34</v>
      </c>
      <c r="Q2689" s="1" t="s">
        <v>35</v>
      </c>
      <c r="R2689" s="2" t="s">
        <v>0</v>
      </c>
      <c r="S2689" s="2" t="s">
        <v>42</v>
      </c>
      <c r="T2689" s="1">
        <v>2015</v>
      </c>
      <c r="U2689" s="1">
        <v>2</v>
      </c>
      <c r="V2689" s="50">
        <v>42036</v>
      </c>
      <c r="W2689" s="4">
        <v>4371.7500000000009</v>
      </c>
      <c r="X2689" s="48">
        <v>5025</v>
      </c>
    </row>
    <row r="2690" spans="2:24" x14ac:dyDescent="0.35">
      <c r="B2690" s="8" t="s">
        <v>14</v>
      </c>
      <c r="C2690" s="8" t="s">
        <v>37</v>
      </c>
      <c r="D2690" s="8" t="s">
        <v>38</v>
      </c>
      <c r="E2690" s="8" t="s">
        <v>0</v>
      </c>
      <c r="F2690" s="9" t="s">
        <v>26</v>
      </c>
      <c r="G2690" s="8">
        <v>2015</v>
      </c>
      <c r="H2690" s="8">
        <v>2</v>
      </c>
      <c r="I2690" s="10">
        <v>42036</v>
      </c>
      <c r="J2690" s="11">
        <v>4781</v>
      </c>
      <c r="K2690" s="51"/>
      <c r="O2690" s="1" t="s">
        <v>14</v>
      </c>
      <c r="P2690" s="1" t="s">
        <v>37</v>
      </c>
      <c r="Q2690" s="1" t="s">
        <v>38</v>
      </c>
      <c r="R2690" s="1" t="s">
        <v>0</v>
      </c>
      <c r="S2690" s="2" t="s">
        <v>26</v>
      </c>
      <c r="T2690" s="1">
        <v>2015</v>
      </c>
      <c r="U2690" s="1">
        <v>2</v>
      </c>
      <c r="V2690" s="50">
        <v>42036</v>
      </c>
      <c r="W2690" s="4">
        <v>4302.8999999999996</v>
      </c>
      <c r="X2690" s="48">
        <v>4781</v>
      </c>
    </row>
    <row r="2691" spans="2:24" x14ac:dyDescent="0.35">
      <c r="B2691" s="8" t="s">
        <v>3</v>
      </c>
      <c r="C2691" s="8" t="s">
        <v>25</v>
      </c>
      <c r="D2691" s="8" t="s">
        <v>4</v>
      </c>
      <c r="E2691" s="8" t="s">
        <v>0</v>
      </c>
      <c r="F2691" s="6" t="s">
        <v>45</v>
      </c>
      <c r="G2691" s="8">
        <v>2015</v>
      </c>
      <c r="H2691" s="8">
        <v>2</v>
      </c>
      <c r="I2691" s="10">
        <v>42036</v>
      </c>
      <c r="J2691" s="11">
        <v>2144</v>
      </c>
      <c r="K2691" s="51"/>
      <c r="O2691" s="1" t="s">
        <v>3</v>
      </c>
      <c r="P2691" s="1" t="s">
        <v>25</v>
      </c>
      <c r="Q2691" s="1" t="s">
        <v>4</v>
      </c>
      <c r="R2691" s="1" t="s">
        <v>0</v>
      </c>
      <c r="S2691" t="s">
        <v>45</v>
      </c>
      <c r="T2691" s="1">
        <v>2015</v>
      </c>
      <c r="U2691" s="1">
        <v>2</v>
      </c>
      <c r="V2691" s="50">
        <v>42036</v>
      </c>
      <c r="W2691" s="4">
        <v>1822.4</v>
      </c>
      <c r="X2691" s="48">
        <v>2144</v>
      </c>
    </row>
    <row r="2692" spans="2:24" x14ac:dyDescent="0.35">
      <c r="B2692" s="8" t="s">
        <v>6</v>
      </c>
      <c r="C2692" s="8" t="s">
        <v>29</v>
      </c>
      <c r="D2692" s="8" t="s">
        <v>30</v>
      </c>
      <c r="E2692" s="8" t="s">
        <v>27</v>
      </c>
      <c r="F2692" s="8" t="s">
        <v>28</v>
      </c>
      <c r="G2692" s="8">
        <v>2015</v>
      </c>
      <c r="H2692" s="8">
        <v>2</v>
      </c>
      <c r="I2692" s="10">
        <v>42036</v>
      </c>
      <c r="J2692" s="11">
        <v>3465</v>
      </c>
      <c r="K2692" s="51"/>
      <c r="O2692" s="1" t="s">
        <v>6</v>
      </c>
      <c r="P2692" s="1" t="s">
        <v>29</v>
      </c>
      <c r="Q2692" s="1" t="s">
        <v>30</v>
      </c>
      <c r="R2692" s="1" t="s">
        <v>27</v>
      </c>
      <c r="S2692" s="1" t="s">
        <v>28</v>
      </c>
      <c r="T2692" s="1">
        <v>2015</v>
      </c>
      <c r="U2692" s="1">
        <v>2</v>
      </c>
      <c r="V2692" s="50">
        <v>42036</v>
      </c>
      <c r="W2692" s="4">
        <v>3014.55</v>
      </c>
      <c r="X2692" s="48">
        <v>3465</v>
      </c>
    </row>
    <row r="2693" spans="2:24" x14ac:dyDescent="0.35">
      <c r="B2693" s="8" t="s">
        <v>7</v>
      </c>
      <c r="C2693" s="8" t="s">
        <v>43</v>
      </c>
      <c r="D2693" s="8" t="s">
        <v>10</v>
      </c>
      <c r="E2693" s="8" t="s">
        <v>27</v>
      </c>
      <c r="F2693" s="8" t="s">
        <v>31</v>
      </c>
      <c r="G2693" s="8">
        <v>2015</v>
      </c>
      <c r="H2693" s="8">
        <v>2</v>
      </c>
      <c r="I2693" s="10">
        <v>42036</v>
      </c>
      <c r="J2693" s="11">
        <v>3754</v>
      </c>
      <c r="K2693" s="51"/>
      <c r="O2693" s="1" t="s">
        <v>7</v>
      </c>
      <c r="P2693" s="1" t="s">
        <v>43</v>
      </c>
      <c r="Q2693" s="1" t="s">
        <v>10</v>
      </c>
      <c r="R2693" s="1" t="s">
        <v>27</v>
      </c>
      <c r="S2693" s="1" t="s">
        <v>31</v>
      </c>
      <c r="T2693" s="1">
        <v>2015</v>
      </c>
      <c r="U2693" s="1">
        <v>2</v>
      </c>
      <c r="V2693" s="50">
        <v>42036</v>
      </c>
      <c r="W2693" s="4">
        <v>3228.4400000000005</v>
      </c>
      <c r="X2693" s="48">
        <v>3754</v>
      </c>
    </row>
    <row r="2694" spans="2:24" x14ac:dyDescent="0.35">
      <c r="B2694" s="8" t="s">
        <v>12</v>
      </c>
      <c r="C2694" s="8" t="s">
        <v>44</v>
      </c>
      <c r="D2694" s="8" t="s">
        <v>13</v>
      </c>
      <c r="E2694" s="8" t="s">
        <v>27</v>
      </c>
      <c r="F2694" s="8" t="s">
        <v>33</v>
      </c>
      <c r="G2694" s="8">
        <v>2015</v>
      </c>
      <c r="H2694" s="8">
        <v>2</v>
      </c>
      <c r="I2694" s="10">
        <v>42036</v>
      </c>
      <c r="J2694" s="11">
        <v>2967</v>
      </c>
      <c r="K2694" s="51"/>
      <c r="O2694" s="1" t="s">
        <v>12</v>
      </c>
      <c r="P2694" s="1" t="s">
        <v>44</v>
      </c>
      <c r="Q2694" s="1" t="s">
        <v>13</v>
      </c>
      <c r="R2694" s="1" t="s">
        <v>27</v>
      </c>
      <c r="S2694" s="1" t="s">
        <v>33</v>
      </c>
      <c r="T2694" s="1">
        <v>2015</v>
      </c>
      <c r="U2694" s="1">
        <v>2</v>
      </c>
      <c r="V2694" s="50">
        <v>42036</v>
      </c>
      <c r="W2694" s="4">
        <v>2729.64</v>
      </c>
      <c r="X2694" s="48">
        <v>2967</v>
      </c>
    </row>
    <row r="2695" spans="2:24" x14ac:dyDescent="0.35">
      <c r="B2695" s="8" t="s">
        <v>14</v>
      </c>
      <c r="C2695" s="8" t="s">
        <v>46</v>
      </c>
      <c r="D2695" s="8" t="s">
        <v>47</v>
      </c>
      <c r="E2695" s="8" t="s">
        <v>23</v>
      </c>
      <c r="F2695" s="6" t="s">
        <v>36</v>
      </c>
      <c r="G2695" s="8">
        <v>2015</v>
      </c>
      <c r="H2695" s="8">
        <v>2</v>
      </c>
      <c r="I2695" s="10">
        <v>42036</v>
      </c>
      <c r="J2695" s="11">
        <v>2892</v>
      </c>
      <c r="K2695" s="51"/>
      <c r="O2695" s="1" t="s">
        <v>14</v>
      </c>
      <c r="P2695" s="1" t="s">
        <v>46</v>
      </c>
      <c r="Q2695" s="1" t="s">
        <v>47</v>
      </c>
      <c r="R2695" s="1" t="s">
        <v>23</v>
      </c>
      <c r="S2695" t="s">
        <v>36</v>
      </c>
      <c r="T2695" s="1">
        <v>2015</v>
      </c>
      <c r="U2695" s="1">
        <v>2</v>
      </c>
      <c r="V2695" s="50">
        <v>42036</v>
      </c>
      <c r="W2695" s="4">
        <v>2544.9599999999996</v>
      </c>
      <c r="X2695" s="48">
        <v>2892</v>
      </c>
    </row>
    <row r="2696" spans="2:24" x14ac:dyDescent="0.35">
      <c r="B2696" s="8" t="s">
        <v>6</v>
      </c>
      <c r="C2696" s="8" t="s">
        <v>29</v>
      </c>
      <c r="D2696" s="8" t="s">
        <v>30</v>
      </c>
      <c r="E2696" s="8" t="s">
        <v>23</v>
      </c>
      <c r="F2696" s="6" t="s">
        <v>39</v>
      </c>
      <c r="G2696" s="8">
        <v>2015</v>
      </c>
      <c r="H2696" s="8">
        <v>2</v>
      </c>
      <c r="I2696" s="10">
        <v>42036</v>
      </c>
      <c r="J2696" s="11">
        <v>2144</v>
      </c>
      <c r="K2696" s="51"/>
      <c r="O2696" s="1" t="s">
        <v>6</v>
      </c>
      <c r="P2696" s="1" t="s">
        <v>29</v>
      </c>
      <c r="Q2696" s="1" t="s">
        <v>30</v>
      </c>
      <c r="R2696" s="1" t="s">
        <v>23</v>
      </c>
      <c r="S2696" t="s">
        <v>39</v>
      </c>
      <c r="T2696" s="1">
        <v>2015</v>
      </c>
      <c r="U2696" s="1">
        <v>2</v>
      </c>
      <c r="V2696" s="50">
        <v>42036</v>
      </c>
      <c r="W2696" s="4">
        <v>1929.6</v>
      </c>
      <c r="X2696" s="48">
        <v>2144</v>
      </c>
    </row>
    <row r="2697" spans="2:24" x14ac:dyDescent="0.35">
      <c r="B2697" s="8" t="s">
        <v>7</v>
      </c>
      <c r="C2697" s="8" t="s">
        <v>32</v>
      </c>
      <c r="D2697" s="8" t="s">
        <v>8</v>
      </c>
      <c r="E2697" s="8" t="s">
        <v>0</v>
      </c>
      <c r="F2697" s="6" t="s">
        <v>42</v>
      </c>
      <c r="G2697" s="8">
        <v>2015</v>
      </c>
      <c r="H2697" s="8">
        <v>2</v>
      </c>
      <c r="I2697" s="10">
        <v>42036</v>
      </c>
      <c r="J2697" s="11">
        <v>6976</v>
      </c>
      <c r="K2697" s="51"/>
      <c r="O2697" s="1" t="s">
        <v>7</v>
      </c>
      <c r="P2697" s="1" t="s">
        <v>32</v>
      </c>
      <c r="Q2697" s="1" t="s">
        <v>8</v>
      </c>
      <c r="R2697" s="1" t="s">
        <v>0</v>
      </c>
      <c r="S2697" t="s">
        <v>42</v>
      </c>
      <c r="T2697" s="1">
        <v>2015</v>
      </c>
      <c r="U2697" s="1">
        <v>2</v>
      </c>
      <c r="V2697" s="50">
        <v>42036</v>
      </c>
      <c r="W2697" s="4">
        <v>6278.4</v>
      </c>
      <c r="X2697" s="48">
        <v>6976</v>
      </c>
    </row>
    <row r="2698" spans="2:24" x14ac:dyDescent="0.35">
      <c r="B2698" s="8" t="s">
        <v>12</v>
      </c>
      <c r="C2698" s="8" t="s">
        <v>44</v>
      </c>
      <c r="D2698" s="8" t="s">
        <v>13</v>
      </c>
      <c r="E2698" s="9" t="s">
        <v>0</v>
      </c>
      <c r="F2698" s="9" t="s">
        <v>26</v>
      </c>
      <c r="G2698" s="8">
        <v>2015</v>
      </c>
      <c r="H2698" s="8">
        <v>2</v>
      </c>
      <c r="I2698" s="10">
        <v>42036</v>
      </c>
      <c r="J2698" s="11">
        <v>4842</v>
      </c>
      <c r="K2698" s="51"/>
      <c r="O2698" s="1" t="s">
        <v>12</v>
      </c>
      <c r="P2698" s="1" t="s">
        <v>44</v>
      </c>
      <c r="Q2698" s="1" t="s">
        <v>13</v>
      </c>
      <c r="R2698" s="2" t="s">
        <v>0</v>
      </c>
      <c r="S2698" s="2" t="s">
        <v>26</v>
      </c>
      <c r="T2698" s="1">
        <v>2015</v>
      </c>
      <c r="U2698" s="1">
        <v>2</v>
      </c>
      <c r="V2698" s="50">
        <v>42036</v>
      </c>
      <c r="W2698" s="4">
        <v>4357.7999999999993</v>
      </c>
      <c r="X2698" s="48">
        <v>4842</v>
      </c>
    </row>
    <row r="2699" spans="2:24" x14ac:dyDescent="0.35">
      <c r="B2699" s="8" t="s">
        <v>14</v>
      </c>
      <c r="C2699" s="8" t="s">
        <v>37</v>
      </c>
      <c r="D2699" s="8" t="s">
        <v>38</v>
      </c>
      <c r="E2699" s="8" t="s">
        <v>0</v>
      </c>
      <c r="F2699" s="9" t="s">
        <v>45</v>
      </c>
      <c r="G2699" s="8">
        <v>2015</v>
      </c>
      <c r="H2699" s="8">
        <v>2</v>
      </c>
      <c r="I2699" s="10">
        <v>42036</v>
      </c>
      <c r="J2699" s="11">
        <v>4105</v>
      </c>
      <c r="K2699" s="51"/>
      <c r="O2699" s="1" t="s">
        <v>14</v>
      </c>
      <c r="P2699" s="1" t="s">
        <v>37</v>
      </c>
      <c r="Q2699" s="1" t="s">
        <v>38</v>
      </c>
      <c r="R2699" s="1" t="s">
        <v>0</v>
      </c>
      <c r="S2699" s="2" t="s">
        <v>45</v>
      </c>
      <c r="T2699" s="1">
        <v>2015</v>
      </c>
      <c r="U2699" s="1">
        <v>2</v>
      </c>
      <c r="V2699" s="50">
        <v>42036</v>
      </c>
      <c r="W2699" s="4">
        <v>3694.4999999999995</v>
      </c>
      <c r="X2699" s="48">
        <v>4105</v>
      </c>
    </row>
    <row r="2700" spans="2:24" x14ac:dyDescent="0.35">
      <c r="B2700" s="8" t="s">
        <v>3</v>
      </c>
      <c r="C2700" s="8" t="s">
        <v>25</v>
      </c>
      <c r="D2700" s="8" t="s">
        <v>4</v>
      </c>
      <c r="E2700" s="8" t="s">
        <v>27</v>
      </c>
      <c r="F2700" s="6" t="s">
        <v>28</v>
      </c>
      <c r="G2700" s="8">
        <v>2015</v>
      </c>
      <c r="H2700" s="8">
        <v>2</v>
      </c>
      <c r="I2700" s="10">
        <v>42036</v>
      </c>
      <c r="J2700" s="11">
        <v>4253</v>
      </c>
      <c r="K2700" s="51"/>
      <c r="O2700" s="1" t="s">
        <v>3</v>
      </c>
      <c r="P2700" s="1" t="s">
        <v>25</v>
      </c>
      <c r="Q2700" s="1" t="s">
        <v>4</v>
      </c>
      <c r="R2700" s="1" t="s">
        <v>27</v>
      </c>
      <c r="S2700" t="s">
        <v>28</v>
      </c>
      <c r="T2700" s="1">
        <v>2015</v>
      </c>
      <c r="U2700" s="1">
        <v>2</v>
      </c>
      <c r="V2700" s="50">
        <v>42036</v>
      </c>
      <c r="W2700" s="4">
        <v>3700.1100000000006</v>
      </c>
      <c r="X2700" s="48">
        <v>4253</v>
      </c>
    </row>
    <row r="2701" spans="2:24" x14ac:dyDescent="0.35">
      <c r="B2701" s="8" t="s">
        <v>3</v>
      </c>
      <c r="C2701" s="8" t="s">
        <v>25</v>
      </c>
      <c r="D2701" s="8" t="s">
        <v>4</v>
      </c>
      <c r="E2701" s="8" t="s">
        <v>27</v>
      </c>
      <c r="F2701" s="8" t="s">
        <v>31</v>
      </c>
      <c r="G2701" s="8">
        <v>2015</v>
      </c>
      <c r="H2701" s="8">
        <v>2</v>
      </c>
      <c r="I2701" s="10">
        <v>42036</v>
      </c>
      <c r="J2701" s="11">
        <v>4912</v>
      </c>
      <c r="K2701" s="51"/>
      <c r="O2701" s="1" t="s">
        <v>3</v>
      </c>
      <c r="P2701" s="1" t="s">
        <v>25</v>
      </c>
      <c r="Q2701" s="1" t="s">
        <v>4</v>
      </c>
      <c r="R2701" s="1" t="s">
        <v>27</v>
      </c>
      <c r="S2701" s="1" t="s">
        <v>31</v>
      </c>
      <c r="T2701" s="1">
        <v>2015</v>
      </c>
      <c r="U2701" s="1">
        <v>2</v>
      </c>
      <c r="V2701" s="50">
        <v>42036</v>
      </c>
      <c r="W2701" s="4">
        <v>4617.28</v>
      </c>
      <c r="X2701" s="48">
        <v>4912</v>
      </c>
    </row>
    <row r="2702" spans="2:24" x14ac:dyDescent="0.35">
      <c r="B2702" s="8" t="s">
        <v>6</v>
      </c>
      <c r="C2702" s="8" t="s">
        <v>40</v>
      </c>
      <c r="D2702" s="8" t="s">
        <v>41</v>
      </c>
      <c r="E2702" s="8" t="s">
        <v>27</v>
      </c>
      <c r="F2702" s="8" t="s">
        <v>33</v>
      </c>
      <c r="G2702" s="8">
        <v>2015</v>
      </c>
      <c r="H2702" s="8">
        <v>2</v>
      </c>
      <c r="I2702" s="10">
        <v>42036</v>
      </c>
      <c r="J2702" s="11">
        <v>3056</v>
      </c>
      <c r="K2702" s="51"/>
      <c r="O2702" s="1" t="s">
        <v>6</v>
      </c>
      <c r="P2702" s="1" t="s">
        <v>40</v>
      </c>
      <c r="Q2702" s="1" t="s">
        <v>41</v>
      </c>
      <c r="R2702" s="1" t="s">
        <v>27</v>
      </c>
      <c r="S2702" s="1" t="s">
        <v>33</v>
      </c>
      <c r="T2702" s="1">
        <v>2015</v>
      </c>
      <c r="U2702" s="1">
        <v>2</v>
      </c>
      <c r="V2702" s="50">
        <v>42036</v>
      </c>
      <c r="W2702" s="4">
        <v>2719.8399999999997</v>
      </c>
      <c r="X2702" s="48">
        <v>3056</v>
      </c>
    </row>
    <row r="2703" spans="2:24" x14ac:dyDescent="0.35">
      <c r="B2703" s="8" t="s">
        <v>6</v>
      </c>
      <c r="C2703" s="8" t="s">
        <v>40</v>
      </c>
      <c r="D2703" s="8" t="s">
        <v>41</v>
      </c>
      <c r="E2703" s="8" t="s">
        <v>23</v>
      </c>
      <c r="F2703" s="8" t="s">
        <v>36</v>
      </c>
      <c r="G2703" s="8">
        <v>2015</v>
      </c>
      <c r="H2703" s="8">
        <v>2</v>
      </c>
      <c r="I2703" s="10">
        <v>42036</v>
      </c>
      <c r="J2703" s="11">
        <v>2361</v>
      </c>
      <c r="K2703" s="51"/>
      <c r="O2703" s="1" t="s">
        <v>6</v>
      </c>
      <c r="P2703" s="1" t="s">
        <v>40</v>
      </c>
      <c r="Q2703" s="1" t="s">
        <v>41</v>
      </c>
      <c r="R2703" s="1" t="s">
        <v>23</v>
      </c>
      <c r="S2703" s="1" t="s">
        <v>36</v>
      </c>
      <c r="T2703" s="1">
        <v>2015</v>
      </c>
      <c r="U2703" s="1">
        <v>2</v>
      </c>
      <c r="V2703" s="50">
        <v>42036</v>
      </c>
      <c r="W2703" s="4">
        <v>2030.4600000000003</v>
      </c>
      <c r="X2703" s="48">
        <v>2361</v>
      </c>
    </row>
    <row r="2704" spans="2:24" x14ac:dyDescent="0.35">
      <c r="B2704" s="8" t="s">
        <v>7</v>
      </c>
      <c r="C2704" s="8" t="s">
        <v>43</v>
      </c>
      <c r="D2704" s="8" t="s">
        <v>10</v>
      </c>
      <c r="E2704" s="8" t="s">
        <v>23</v>
      </c>
      <c r="F2704" s="6" t="s">
        <v>24</v>
      </c>
      <c r="G2704" s="8">
        <v>2015</v>
      </c>
      <c r="H2704" s="8">
        <v>2</v>
      </c>
      <c r="I2704" s="10">
        <v>42036</v>
      </c>
      <c r="J2704" s="11">
        <v>1740</v>
      </c>
      <c r="K2704" s="51"/>
      <c r="O2704" s="1" t="s">
        <v>7</v>
      </c>
      <c r="P2704" s="1" t="s">
        <v>43</v>
      </c>
      <c r="Q2704" s="1" t="s">
        <v>10</v>
      </c>
      <c r="R2704" s="1" t="s">
        <v>23</v>
      </c>
      <c r="S2704" t="s">
        <v>24</v>
      </c>
      <c r="T2704" s="1">
        <v>2015</v>
      </c>
      <c r="U2704" s="1">
        <v>2</v>
      </c>
      <c r="V2704" s="50">
        <v>42036</v>
      </c>
      <c r="W2704" s="4">
        <v>1479.0000000000002</v>
      </c>
      <c r="X2704" s="48">
        <v>1740</v>
      </c>
    </row>
    <row r="2705" spans="2:24" x14ac:dyDescent="0.35">
      <c r="B2705" s="8" t="s">
        <v>7</v>
      </c>
      <c r="C2705" s="8" t="s">
        <v>43</v>
      </c>
      <c r="D2705" s="8" t="s">
        <v>10</v>
      </c>
      <c r="E2705" s="8" t="s">
        <v>23</v>
      </c>
      <c r="F2705" s="6" t="s">
        <v>39</v>
      </c>
      <c r="G2705" s="8">
        <v>2015</v>
      </c>
      <c r="H2705" s="8">
        <v>2</v>
      </c>
      <c r="I2705" s="10">
        <v>42036</v>
      </c>
      <c r="J2705" s="11">
        <v>2744</v>
      </c>
      <c r="K2705" s="51"/>
      <c r="O2705" s="1" t="s">
        <v>7</v>
      </c>
      <c r="P2705" s="1" t="s">
        <v>43</v>
      </c>
      <c r="Q2705" s="1" t="s">
        <v>10</v>
      </c>
      <c r="R2705" s="1" t="s">
        <v>23</v>
      </c>
      <c r="S2705" t="s">
        <v>39</v>
      </c>
      <c r="T2705" s="1">
        <v>2015</v>
      </c>
      <c r="U2705" s="1">
        <v>2</v>
      </c>
      <c r="V2705" s="50">
        <v>42036</v>
      </c>
      <c r="W2705" s="4">
        <v>2414.7199999999998</v>
      </c>
      <c r="X2705" s="48">
        <v>2744</v>
      </c>
    </row>
    <row r="2706" spans="2:24" x14ac:dyDescent="0.35">
      <c r="B2706" s="8" t="s">
        <v>7</v>
      </c>
      <c r="C2706" s="8" t="s">
        <v>32</v>
      </c>
      <c r="D2706" s="8" t="s">
        <v>8</v>
      </c>
      <c r="E2706" s="8" t="s">
        <v>0</v>
      </c>
      <c r="F2706" s="6" t="s">
        <v>26</v>
      </c>
      <c r="G2706" s="8">
        <v>2015</v>
      </c>
      <c r="H2706" s="8">
        <v>2</v>
      </c>
      <c r="I2706" s="10">
        <v>42036</v>
      </c>
      <c r="J2706" s="11">
        <v>2651</v>
      </c>
      <c r="K2706" s="51"/>
      <c r="O2706" s="1" t="s">
        <v>7</v>
      </c>
      <c r="P2706" s="1" t="s">
        <v>32</v>
      </c>
      <c r="Q2706" s="1" t="s">
        <v>8</v>
      </c>
      <c r="R2706" s="1" t="s">
        <v>0</v>
      </c>
      <c r="S2706" t="s">
        <v>26</v>
      </c>
      <c r="T2706" s="1">
        <v>2015</v>
      </c>
      <c r="U2706" s="1">
        <v>2</v>
      </c>
      <c r="V2706" s="50">
        <v>42036</v>
      </c>
      <c r="W2706" s="4">
        <v>2359.39</v>
      </c>
      <c r="X2706" s="48">
        <v>2651</v>
      </c>
    </row>
    <row r="2707" spans="2:24" x14ac:dyDescent="0.35">
      <c r="B2707" s="8" t="s">
        <v>3</v>
      </c>
      <c r="C2707" s="8" t="s">
        <v>22</v>
      </c>
      <c r="D2707" s="8" t="s">
        <v>5</v>
      </c>
      <c r="E2707" s="9" t="s">
        <v>0</v>
      </c>
      <c r="F2707" s="9" t="s">
        <v>45</v>
      </c>
      <c r="G2707" s="8">
        <v>2015</v>
      </c>
      <c r="H2707" s="8">
        <v>2</v>
      </c>
      <c r="I2707" s="10">
        <v>42036</v>
      </c>
      <c r="J2707" s="11">
        <v>2177</v>
      </c>
      <c r="K2707" s="51"/>
      <c r="O2707" s="1" t="s">
        <v>3</v>
      </c>
      <c r="P2707" s="1" t="s">
        <v>22</v>
      </c>
      <c r="Q2707" s="1" t="s">
        <v>5</v>
      </c>
      <c r="R2707" s="2" t="s">
        <v>0</v>
      </c>
      <c r="S2707" s="2" t="s">
        <v>45</v>
      </c>
      <c r="T2707" s="1">
        <v>2015</v>
      </c>
      <c r="U2707" s="1">
        <v>2</v>
      </c>
      <c r="V2707" s="50">
        <v>42036</v>
      </c>
      <c r="W2707" s="4">
        <v>1937.5299999999997</v>
      </c>
      <c r="X2707" s="48">
        <v>2177</v>
      </c>
    </row>
    <row r="2708" spans="2:24" x14ac:dyDescent="0.35">
      <c r="B2708" s="8" t="s">
        <v>7</v>
      </c>
      <c r="C2708" s="8" t="s">
        <v>48</v>
      </c>
      <c r="D2708" s="8" t="s">
        <v>9</v>
      </c>
      <c r="E2708" s="8" t="s">
        <v>23</v>
      </c>
      <c r="F2708" s="9" t="s">
        <v>36</v>
      </c>
      <c r="G2708" s="8">
        <v>2015</v>
      </c>
      <c r="H2708" s="8">
        <v>2</v>
      </c>
      <c r="I2708" s="10">
        <v>42036</v>
      </c>
      <c r="J2708" s="11">
        <v>2710</v>
      </c>
      <c r="K2708" s="51"/>
      <c r="O2708" s="1" t="s">
        <v>7</v>
      </c>
      <c r="P2708" s="1" t="s">
        <v>48</v>
      </c>
      <c r="Q2708" s="1" t="s">
        <v>9</v>
      </c>
      <c r="R2708" s="1" t="s">
        <v>23</v>
      </c>
      <c r="S2708" s="2" t="s">
        <v>36</v>
      </c>
      <c r="T2708" s="1">
        <v>2015</v>
      </c>
      <c r="U2708" s="1">
        <v>2</v>
      </c>
      <c r="V2708" s="50">
        <v>42036</v>
      </c>
      <c r="W2708" s="4">
        <v>2411.8999999999996</v>
      </c>
      <c r="X2708" s="48">
        <v>2710</v>
      </c>
    </row>
    <row r="2709" spans="2:24" x14ac:dyDescent="0.35">
      <c r="B2709" s="8" t="s">
        <v>7</v>
      </c>
      <c r="C2709" s="8" t="s">
        <v>48</v>
      </c>
      <c r="D2709" s="8" t="s">
        <v>9</v>
      </c>
      <c r="E2709" s="8" t="s">
        <v>23</v>
      </c>
      <c r="F2709" s="6" t="s">
        <v>24</v>
      </c>
      <c r="G2709" s="8">
        <v>2015</v>
      </c>
      <c r="H2709" s="8">
        <v>2</v>
      </c>
      <c r="I2709" s="10">
        <v>42036</v>
      </c>
      <c r="J2709" s="11">
        <v>2514</v>
      </c>
      <c r="K2709" s="51"/>
      <c r="O2709" s="1" t="s">
        <v>7</v>
      </c>
      <c r="P2709" s="1" t="s">
        <v>48</v>
      </c>
      <c r="Q2709" s="1" t="s">
        <v>9</v>
      </c>
      <c r="R2709" s="1" t="s">
        <v>23</v>
      </c>
      <c r="S2709" t="s">
        <v>24</v>
      </c>
      <c r="T2709" s="1">
        <v>2015</v>
      </c>
      <c r="U2709" s="1">
        <v>2</v>
      </c>
      <c r="V2709" s="50">
        <v>42036</v>
      </c>
      <c r="W2709" s="4">
        <v>2312.8799999999997</v>
      </c>
      <c r="X2709" s="48">
        <v>2514</v>
      </c>
    </row>
    <row r="2710" spans="2:24" x14ac:dyDescent="0.35">
      <c r="B2710" s="8" t="s">
        <v>7</v>
      </c>
      <c r="C2710" s="8" t="s">
        <v>49</v>
      </c>
      <c r="D2710" s="8" t="s">
        <v>11</v>
      </c>
      <c r="E2710" s="8" t="s">
        <v>23</v>
      </c>
      <c r="F2710" s="8" t="s">
        <v>39</v>
      </c>
      <c r="G2710" s="8">
        <v>2015</v>
      </c>
      <c r="H2710" s="8">
        <v>2</v>
      </c>
      <c r="I2710" s="10">
        <v>42036</v>
      </c>
      <c r="J2710" s="11">
        <v>1428</v>
      </c>
      <c r="K2710" s="51"/>
      <c r="O2710" s="1" t="s">
        <v>7</v>
      </c>
      <c r="P2710" s="1" t="s">
        <v>49</v>
      </c>
      <c r="Q2710" s="1" t="s">
        <v>11</v>
      </c>
      <c r="R2710" s="1" t="s">
        <v>23</v>
      </c>
      <c r="S2710" s="1" t="s">
        <v>39</v>
      </c>
      <c r="T2710" s="1">
        <v>2015</v>
      </c>
      <c r="U2710" s="1">
        <v>2</v>
      </c>
      <c r="V2710" s="50">
        <v>42036</v>
      </c>
      <c r="W2710" s="4">
        <v>1342.32</v>
      </c>
      <c r="X2710" s="48">
        <v>1428</v>
      </c>
    </row>
    <row r="2711" spans="2:24" x14ac:dyDescent="0.35">
      <c r="B2711" s="8" t="s">
        <v>7</v>
      </c>
      <c r="C2711" s="8" t="s">
        <v>49</v>
      </c>
      <c r="D2711" s="8" t="s">
        <v>11</v>
      </c>
      <c r="E2711" s="8" t="s">
        <v>0</v>
      </c>
      <c r="F2711" s="8" t="s">
        <v>42</v>
      </c>
      <c r="G2711" s="8">
        <v>2015</v>
      </c>
      <c r="H2711" s="8">
        <v>2</v>
      </c>
      <c r="I2711" s="10">
        <v>42036</v>
      </c>
      <c r="J2711" s="11">
        <v>4056</v>
      </c>
      <c r="K2711" s="51"/>
      <c r="O2711" s="1" t="s">
        <v>7</v>
      </c>
      <c r="P2711" s="1" t="s">
        <v>49</v>
      </c>
      <c r="Q2711" s="1" t="s">
        <v>11</v>
      </c>
      <c r="R2711" s="1" t="s">
        <v>0</v>
      </c>
      <c r="S2711" s="1" t="s">
        <v>42</v>
      </c>
      <c r="T2711" s="1">
        <v>2015</v>
      </c>
      <c r="U2711" s="1">
        <v>2</v>
      </c>
      <c r="V2711" s="50">
        <v>42036</v>
      </c>
      <c r="W2711" s="4">
        <v>3812.64</v>
      </c>
      <c r="X2711" s="48">
        <v>4056</v>
      </c>
    </row>
    <row r="2712" spans="2:24" x14ac:dyDescent="0.35">
      <c r="B2712" s="8" t="s">
        <v>12</v>
      </c>
      <c r="C2712" s="8" t="s">
        <v>34</v>
      </c>
      <c r="D2712" s="8" t="s">
        <v>35</v>
      </c>
      <c r="E2712" s="8" t="s">
        <v>0</v>
      </c>
      <c r="F2712" s="8" t="s">
        <v>26</v>
      </c>
      <c r="G2712" s="8">
        <v>2015</v>
      </c>
      <c r="H2712" s="8">
        <v>2</v>
      </c>
      <c r="I2712" s="10">
        <v>42036</v>
      </c>
      <c r="J2712" s="11">
        <v>3088</v>
      </c>
      <c r="K2712" s="51"/>
      <c r="O2712" s="1" t="s">
        <v>12</v>
      </c>
      <c r="P2712" s="1" t="s">
        <v>34</v>
      </c>
      <c r="Q2712" s="1" t="s">
        <v>35</v>
      </c>
      <c r="R2712" s="1" t="s">
        <v>0</v>
      </c>
      <c r="S2712" s="1" t="s">
        <v>26</v>
      </c>
      <c r="T2712" s="1">
        <v>2015</v>
      </c>
      <c r="U2712" s="1">
        <v>2</v>
      </c>
      <c r="V2712" s="50">
        <v>42036</v>
      </c>
      <c r="W2712" s="4">
        <v>2624.8</v>
      </c>
      <c r="X2712" s="48">
        <v>3088</v>
      </c>
    </row>
    <row r="2713" spans="2:24" x14ac:dyDescent="0.35">
      <c r="B2713" s="8" t="s">
        <v>12</v>
      </c>
      <c r="C2713" s="8" t="s">
        <v>34</v>
      </c>
      <c r="D2713" s="8" t="s">
        <v>35</v>
      </c>
      <c r="E2713" s="8" t="s">
        <v>0</v>
      </c>
      <c r="F2713" s="6" t="s">
        <v>45</v>
      </c>
      <c r="G2713" s="8">
        <v>2015</v>
      </c>
      <c r="H2713" s="8">
        <v>2</v>
      </c>
      <c r="I2713" s="10">
        <v>42036</v>
      </c>
      <c r="J2713" s="11">
        <v>3321</v>
      </c>
      <c r="K2713" s="51"/>
      <c r="O2713" s="1" t="s">
        <v>12</v>
      </c>
      <c r="P2713" s="1" t="s">
        <v>34</v>
      </c>
      <c r="Q2713" s="1" t="s">
        <v>35</v>
      </c>
      <c r="R2713" s="1" t="s">
        <v>0</v>
      </c>
      <c r="S2713" t="s">
        <v>45</v>
      </c>
      <c r="T2713" s="1">
        <v>2015</v>
      </c>
      <c r="U2713" s="1">
        <v>2</v>
      </c>
      <c r="V2713" s="50">
        <v>42036</v>
      </c>
      <c r="W2713" s="4">
        <v>2889.2700000000004</v>
      </c>
      <c r="X2713" s="48">
        <v>3321</v>
      </c>
    </row>
    <row r="2714" spans="2:24" x14ac:dyDescent="0.35">
      <c r="B2714" s="8" t="s">
        <v>14</v>
      </c>
      <c r="C2714" s="8" t="s">
        <v>37</v>
      </c>
      <c r="D2714" s="8" t="s">
        <v>38</v>
      </c>
      <c r="E2714" s="8" t="s">
        <v>27</v>
      </c>
      <c r="F2714" s="6" t="s">
        <v>28</v>
      </c>
      <c r="G2714" s="8">
        <v>2015</v>
      </c>
      <c r="H2714" s="8">
        <v>2</v>
      </c>
      <c r="I2714" s="10">
        <v>42036</v>
      </c>
      <c r="J2714" s="11">
        <v>3855</v>
      </c>
      <c r="K2714" s="51"/>
      <c r="O2714" s="1" t="s">
        <v>14</v>
      </c>
      <c r="P2714" s="1" t="s">
        <v>37</v>
      </c>
      <c r="Q2714" s="1" t="s">
        <v>38</v>
      </c>
      <c r="R2714" s="1" t="s">
        <v>27</v>
      </c>
      <c r="S2714" t="s">
        <v>28</v>
      </c>
      <c r="T2714" s="1">
        <v>2015</v>
      </c>
      <c r="U2714" s="1">
        <v>2</v>
      </c>
      <c r="V2714" s="50">
        <v>42036</v>
      </c>
      <c r="W2714" s="4">
        <v>3392.3999999999996</v>
      </c>
      <c r="X2714" s="48">
        <v>3855</v>
      </c>
    </row>
    <row r="2715" spans="2:24" x14ac:dyDescent="0.35">
      <c r="B2715" s="8" t="s">
        <v>14</v>
      </c>
      <c r="C2715" s="8" t="s">
        <v>37</v>
      </c>
      <c r="D2715" s="8" t="s">
        <v>38</v>
      </c>
      <c r="E2715" s="8" t="s">
        <v>27</v>
      </c>
      <c r="F2715" s="6" t="s">
        <v>31</v>
      </c>
      <c r="G2715" s="8">
        <v>2015</v>
      </c>
      <c r="H2715" s="8">
        <v>2</v>
      </c>
      <c r="I2715" s="10">
        <v>42036</v>
      </c>
      <c r="J2715" s="11">
        <v>3290</v>
      </c>
      <c r="K2715" s="51"/>
      <c r="O2715" s="1" t="s">
        <v>14</v>
      </c>
      <c r="P2715" s="1" t="s">
        <v>37</v>
      </c>
      <c r="Q2715" s="1" t="s">
        <v>38</v>
      </c>
      <c r="R2715" s="1" t="s">
        <v>27</v>
      </c>
      <c r="S2715" t="s">
        <v>31</v>
      </c>
      <c r="T2715" s="1">
        <v>2015</v>
      </c>
      <c r="U2715" s="1">
        <v>2</v>
      </c>
      <c r="V2715" s="50">
        <v>42036</v>
      </c>
      <c r="W2715" s="4">
        <v>2829.4000000000005</v>
      </c>
      <c r="X2715" s="48">
        <v>3290</v>
      </c>
    </row>
    <row r="2716" spans="2:24" x14ac:dyDescent="0.35">
      <c r="B2716" s="8" t="s">
        <v>12</v>
      </c>
      <c r="C2716" s="8" t="s">
        <v>44</v>
      </c>
      <c r="D2716" s="8" t="s">
        <v>13</v>
      </c>
      <c r="E2716" s="9" t="s">
        <v>23</v>
      </c>
      <c r="F2716" s="9" t="s">
        <v>36</v>
      </c>
      <c r="G2716" s="8">
        <v>2015</v>
      </c>
      <c r="H2716" s="8">
        <v>2</v>
      </c>
      <c r="I2716" s="10">
        <v>42036</v>
      </c>
      <c r="J2716" s="11">
        <v>1820</v>
      </c>
      <c r="K2716" s="51"/>
      <c r="O2716" s="1" t="s">
        <v>12</v>
      </c>
      <c r="P2716" s="1" t="s">
        <v>44</v>
      </c>
      <c r="Q2716" s="1" t="s">
        <v>13</v>
      </c>
      <c r="R2716" s="2" t="s">
        <v>23</v>
      </c>
      <c r="S2716" s="2" t="s">
        <v>36</v>
      </c>
      <c r="T2716" s="1">
        <v>2015</v>
      </c>
      <c r="U2716" s="1">
        <v>2</v>
      </c>
      <c r="V2716" s="50">
        <v>42036</v>
      </c>
      <c r="W2716" s="4">
        <v>1710.8</v>
      </c>
      <c r="X2716" s="48">
        <v>1820</v>
      </c>
    </row>
    <row r="2717" spans="2:24" x14ac:dyDescent="0.35">
      <c r="B2717" s="8" t="s">
        <v>14</v>
      </c>
      <c r="C2717" s="8" t="s">
        <v>46</v>
      </c>
      <c r="D2717" s="8" t="s">
        <v>47</v>
      </c>
      <c r="E2717" s="8" t="s">
        <v>23</v>
      </c>
      <c r="F2717" s="9" t="s">
        <v>24</v>
      </c>
      <c r="G2717" s="8">
        <v>2015</v>
      </c>
      <c r="H2717" s="8">
        <v>2</v>
      </c>
      <c r="I2717" s="10">
        <v>42036</v>
      </c>
      <c r="J2717" s="11">
        <v>2188</v>
      </c>
      <c r="K2717" s="51"/>
      <c r="O2717" s="1" t="s">
        <v>14</v>
      </c>
      <c r="P2717" s="1" t="s">
        <v>46</v>
      </c>
      <c r="Q2717" s="1" t="s">
        <v>47</v>
      </c>
      <c r="R2717" s="1" t="s">
        <v>23</v>
      </c>
      <c r="S2717" s="2" t="s">
        <v>24</v>
      </c>
      <c r="T2717" s="1">
        <v>2015</v>
      </c>
      <c r="U2717" s="1">
        <v>2</v>
      </c>
      <c r="V2717" s="50">
        <v>42036</v>
      </c>
      <c r="W2717" s="4">
        <v>2012.9599999999998</v>
      </c>
      <c r="X2717" s="48">
        <v>2188</v>
      </c>
    </row>
    <row r="2718" spans="2:24" x14ac:dyDescent="0.35">
      <c r="B2718" s="8" t="s">
        <v>14</v>
      </c>
      <c r="C2718" s="8" t="s">
        <v>46</v>
      </c>
      <c r="D2718" s="8" t="s">
        <v>47</v>
      </c>
      <c r="E2718" s="8" t="s">
        <v>23</v>
      </c>
      <c r="F2718" s="6" t="s">
        <v>39</v>
      </c>
      <c r="G2718" s="8">
        <v>2015</v>
      </c>
      <c r="H2718" s="8">
        <v>2</v>
      </c>
      <c r="I2718" s="10">
        <v>42036</v>
      </c>
      <c r="J2718" s="11">
        <v>2390</v>
      </c>
      <c r="K2718" s="51"/>
      <c r="O2718" s="1" t="s">
        <v>14</v>
      </c>
      <c r="P2718" s="1" t="s">
        <v>46</v>
      </c>
      <c r="Q2718" s="1" t="s">
        <v>47</v>
      </c>
      <c r="R2718" s="1" t="s">
        <v>23</v>
      </c>
      <c r="S2718" t="s">
        <v>39</v>
      </c>
      <c r="T2718" s="1">
        <v>2015</v>
      </c>
      <c r="U2718" s="1">
        <v>2</v>
      </c>
      <c r="V2718" s="50">
        <v>42036</v>
      </c>
      <c r="W2718" s="4">
        <v>2031.5000000000002</v>
      </c>
      <c r="X2718" s="48">
        <v>2390</v>
      </c>
    </row>
    <row r="2719" spans="2:24" x14ac:dyDescent="0.35">
      <c r="B2719" s="8" t="s">
        <v>7</v>
      </c>
      <c r="C2719" s="8" t="s">
        <v>43</v>
      </c>
      <c r="D2719" s="8" t="s">
        <v>10</v>
      </c>
      <c r="E2719" s="8" t="s">
        <v>0</v>
      </c>
      <c r="F2719" s="8" t="s">
        <v>42</v>
      </c>
      <c r="G2719" s="8">
        <v>2015</v>
      </c>
      <c r="H2719" s="8">
        <v>2</v>
      </c>
      <c r="I2719" s="10">
        <v>42036</v>
      </c>
      <c r="J2719" s="11">
        <v>4184</v>
      </c>
      <c r="K2719" s="51"/>
      <c r="O2719" s="1" t="s">
        <v>7</v>
      </c>
      <c r="P2719" s="1" t="s">
        <v>43</v>
      </c>
      <c r="Q2719" s="1" t="s">
        <v>10</v>
      </c>
      <c r="R2719" s="1" t="s">
        <v>0</v>
      </c>
      <c r="S2719" s="1" t="s">
        <v>42</v>
      </c>
      <c r="T2719" s="1">
        <v>2015</v>
      </c>
      <c r="U2719" s="1">
        <v>2</v>
      </c>
      <c r="V2719" s="50">
        <v>42036</v>
      </c>
      <c r="W2719" s="4">
        <v>3598.2400000000007</v>
      </c>
      <c r="X2719" s="48">
        <v>4184</v>
      </c>
    </row>
    <row r="2720" spans="2:24" x14ac:dyDescent="0.35">
      <c r="B2720" s="8" t="s">
        <v>6</v>
      </c>
      <c r="C2720" s="8" t="s">
        <v>40</v>
      </c>
      <c r="D2720" s="8" t="s">
        <v>41</v>
      </c>
      <c r="E2720" s="8" t="s">
        <v>27</v>
      </c>
      <c r="F2720" s="8" t="s">
        <v>31</v>
      </c>
      <c r="G2720" s="8">
        <v>2015</v>
      </c>
      <c r="H2720" s="8">
        <v>2</v>
      </c>
      <c r="I2720" s="10">
        <v>42036</v>
      </c>
      <c r="J2720" s="11">
        <v>4230</v>
      </c>
      <c r="K2720" s="51"/>
      <c r="O2720" s="1" t="s">
        <v>6</v>
      </c>
      <c r="P2720" s="1" t="s">
        <v>40</v>
      </c>
      <c r="Q2720" s="1" t="s">
        <v>41</v>
      </c>
      <c r="R2720" s="1" t="s">
        <v>27</v>
      </c>
      <c r="S2720" s="1" t="s">
        <v>31</v>
      </c>
      <c r="T2720" s="1">
        <v>2015</v>
      </c>
      <c r="U2720" s="1">
        <v>2</v>
      </c>
      <c r="V2720" s="50">
        <v>42036</v>
      </c>
      <c r="W2720" s="4">
        <v>3849.2999999999997</v>
      </c>
      <c r="X2720" s="48">
        <v>4230</v>
      </c>
    </row>
    <row r="2721" spans="2:24" x14ac:dyDescent="0.35">
      <c r="B2721" s="8" t="s">
        <v>3</v>
      </c>
      <c r="C2721" s="8" t="s">
        <v>22</v>
      </c>
      <c r="D2721" s="8" t="s">
        <v>5</v>
      </c>
      <c r="E2721" s="8" t="s">
        <v>23</v>
      </c>
      <c r="F2721" s="8" t="s">
        <v>39</v>
      </c>
      <c r="G2721" s="8">
        <v>2015</v>
      </c>
      <c r="H2721" s="8">
        <v>2</v>
      </c>
      <c r="I2721" s="10">
        <v>42036</v>
      </c>
      <c r="J2721" s="11">
        <v>1413</v>
      </c>
      <c r="K2721" s="51"/>
      <c r="O2721" s="1" t="s">
        <v>3</v>
      </c>
      <c r="P2721" s="1" t="s">
        <v>22</v>
      </c>
      <c r="Q2721" s="1" t="s">
        <v>5</v>
      </c>
      <c r="R2721" s="1" t="s">
        <v>23</v>
      </c>
      <c r="S2721" s="1" t="s">
        <v>39</v>
      </c>
      <c r="T2721" s="1">
        <v>2015</v>
      </c>
      <c r="U2721" s="1">
        <v>2</v>
      </c>
      <c r="V2721" s="50">
        <v>42036</v>
      </c>
      <c r="W2721" s="4">
        <v>1314.09</v>
      </c>
      <c r="X2721" s="48">
        <v>1413</v>
      </c>
    </row>
    <row r="2722" spans="2:24" x14ac:dyDescent="0.35">
      <c r="B2722" s="8" t="s">
        <v>3</v>
      </c>
      <c r="C2722" s="8" t="s">
        <v>22</v>
      </c>
      <c r="D2722" s="8" t="s">
        <v>5</v>
      </c>
      <c r="E2722" s="8" t="s">
        <v>0</v>
      </c>
      <c r="F2722" s="6" t="s">
        <v>42</v>
      </c>
      <c r="G2722" s="8">
        <v>2015</v>
      </c>
      <c r="H2722" s="8">
        <v>2</v>
      </c>
      <c r="I2722" s="10">
        <v>42036</v>
      </c>
      <c r="J2722" s="11">
        <v>6701</v>
      </c>
      <c r="K2722" s="51"/>
      <c r="O2722" s="1" t="s">
        <v>3</v>
      </c>
      <c r="P2722" s="1" t="s">
        <v>22</v>
      </c>
      <c r="Q2722" s="1" t="s">
        <v>5</v>
      </c>
      <c r="R2722" s="1" t="s">
        <v>0</v>
      </c>
      <c r="S2722" t="s">
        <v>42</v>
      </c>
      <c r="T2722" s="1">
        <v>2015</v>
      </c>
      <c r="U2722" s="1">
        <v>2</v>
      </c>
      <c r="V2722" s="50">
        <v>42036</v>
      </c>
      <c r="W2722" s="4">
        <v>6030.9</v>
      </c>
      <c r="X2722" s="48">
        <v>6701</v>
      </c>
    </row>
    <row r="2723" spans="2:24" x14ac:dyDescent="0.35">
      <c r="B2723" s="8" t="s">
        <v>6</v>
      </c>
      <c r="C2723" s="8" t="s">
        <v>29</v>
      </c>
      <c r="D2723" s="8" t="s">
        <v>30</v>
      </c>
      <c r="E2723" s="8" t="s">
        <v>0</v>
      </c>
      <c r="F2723" s="6" t="s">
        <v>26</v>
      </c>
      <c r="G2723" s="8">
        <v>2015</v>
      </c>
      <c r="H2723" s="8">
        <v>2</v>
      </c>
      <c r="I2723" s="10">
        <v>42036</v>
      </c>
      <c r="J2723" s="11">
        <v>4959</v>
      </c>
      <c r="K2723" s="51"/>
      <c r="O2723" s="1" t="s">
        <v>6</v>
      </c>
      <c r="P2723" s="1" t="s">
        <v>29</v>
      </c>
      <c r="Q2723" s="1" t="s">
        <v>30</v>
      </c>
      <c r="R2723" s="1" t="s">
        <v>0</v>
      </c>
      <c r="S2723" t="s">
        <v>26</v>
      </c>
      <c r="T2723" s="1">
        <v>2015</v>
      </c>
      <c r="U2723" s="1">
        <v>2</v>
      </c>
      <c r="V2723" s="50">
        <v>42036</v>
      </c>
      <c r="W2723" s="4">
        <v>4512.6899999999996</v>
      </c>
      <c r="X2723" s="48">
        <v>4959</v>
      </c>
    </row>
    <row r="2724" spans="2:24" x14ac:dyDescent="0.35">
      <c r="B2724" s="8" t="s">
        <v>7</v>
      </c>
      <c r="C2724" s="8" t="s">
        <v>48</v>
      </c>
      <c r="D2724" s="8" t="s">
        <v>9</v>
      </c>
      <c r="E2724" s="8" t="s">
        <v>27</v>
      </c>
      <c r="F2724" s="6" t="s">
        <v>28</v>
      </c>
      <c r="G2724" s="8">
        <v>2015</v>
      </c>
      <c r="H2724" s="8">
        <v>2</v>
      </c>
      <c r="I2724" s="10">
        <v>42036</v>
      </c>
      <c r="J2724" s="11">
        <v>5050</v>
      </c>
      <c r="K2724" s="51"/>
      <c r="O2724" s="1" t="s">
        <v>7</v>
      </c>
      <c r="P2724" s="1" t="s">
        <v>48</v>
      </c>
      <c r="Q2724" s="1" t="s">
        <v>9</v>
      </c>
      <c r="R2724" s="1" t="s">
        <v>27</v>
      </c>
      <c r="S2724" t="s">
        <v>28</v>
      </c>
      <c r="T2724" s="1">
        <v>2015</v>
      </c>
      <c r="U2724" s="1">
        <v>2</v>
      </c>
      <c r="V2724" s="50">
        <v>42036</v>
      </c>
      <c r="W2724" s="4">
        <v>4343</v>
      </c>
      <c r="X2724" s="48">
        <v>5050</v>
      </c>
    </row>
    <row r="2725" spans="2:24" x14ac:dyDescent="0.35">
      <c r="B2725" s="8" t="s">
        <v>7</v>
      </c>
      <c r="C2725" s="8" t="s">
        <v>48</v>
      </c>
      <c r="D2725" s="8" t="s">
        <v>9</v>
      </c>
      <c r="E2725" s="9" t="s">
        <v>27</v>
      </c>
      <c r="F2725" s="9" t="s">
        <v>31</v>
      </c>
      <c r="G2725" s="8">
        <v>2015</v>
      </c>
      <c r="H2725" s="8">
        <v>2</v>
      </c>
      <c r="I2725" s="10">
        <v>42036</v>
      </c>
      <c r="J2725" s="11">
        <v>3766</v>
      </c>
      <c r="K2725" s="51"/>
      <c r="O2725" s="1" t="s">
        <v>7</v>
      </c>
      <c r="P2725" s="1" t="s">
        <v>48</v>
      </c>
      <c r="Q2725" s="1" t="s">
        <v>9</v>
      </c>
      <c r="R2725" s="2" t="s">
        <v>27</v>
      </c>
      <c r="S2725" s="2" t="s">
        <v>31</v>
      </c>
      <c r="T2725" s="1">
        <v>2015</v>
      </c>
      <c r="U2725" s="1">
        <v>2</v>
      </c>
      <c r="V2725" s="50">
        <v>42036</v>
      </c>
      <c r="W2725" s="4">
        <v>3427.0599999999995</v>
      </c>
      <c r="X2725" s="48">
        <v>3766</v>
      </c>
    </row>
    <row r="2726" spans="2:24" x14ac:dyDescent="0.35">
      <c r="B2726" s="8" t="s">
        <v>7</v>
      </c>
      <c r="C2726" s="8" t="s">
        <v>49</v>
      </c>
      <c r="D2726" s="8" t="s">
        <v>11</v>
      </c>
      <c r="E2726" s="8" t="s">
        <v>27</v>
      </c>
      <c r="F2726" s="9" t="s">
        <v>33</v>
      </c>
      <c r="G2726" s="8">
        <v>2015</v>
      </c>
      <c r="H2726" s="8">
        <v>2</v>
      </c>
      <c r="I2726" s="10">
        <v>42036</v>
      </c>
      <c r="J2726" s="11">
        <v>3381</v>
      </c>
      <c r="K2726" s="51"/>
      <c r="O2726" s="1" t="s">
        <v>7</v>
      </c>
      <c r="P2726" s="1" t="s">
        <v>49</v>
      </c>
      <c r="Q2726" s="1" t="s">
        <v>11</v>
      </c>
      <c r="R2726" s="1" t="s">
        <v>27</v>
      </c>
      <c r="S2726" s="2" t="s">
        <v>33</v>
      </c>
      <c r="T2726" s="1">
        <v>2015</v>
      </c>
      <c r="U2726" s="1">
        <v>2</v>
      </c>
      <c r="V2726" s="50">
        <v>42036</v>
      </c>
      <c r="W2726" s="4">
        <v>3144.33</v>
      </c>
      <c r="X2726" s="48">
        <v>3381</v>
      </c>
    </row>
    <row r="2727" spans="2:24" x14ac:dyDescent="0.35">
      <c r="B2727" s="8" t="s">
        <v>7</v>
      </c>
      <c r="C2727" s="8" t="s">
        <v>49</v>
      </c>
      <c r="D2727" s="8" t="s">
        <v>11</v>
      </c>
      <c r="E2727" s="8" t="s">
        <v>23</v>
      </c>
      <c r="F2727" s="6" t="s">
        <v>36</v>
      </c>
      <c r="G2727" s="8">
        <v>2015</v>
      </c>
      <c r="H2727" s="8">
        <v>2</v>
      </c>
      <c r="I2727" s="10">
        <v>42036</v>
      </c>
      <c r="J2727" s="11">
        <v>1550</v>
      </c>
      <c r="K2727" s="51"/>
      <c r="O2727" s="1" t="s">
        <v>7</v>
      </c>
      <c r="P2727" s="1" t="s">
        <v>49</v>
      </c>
      <c r="Q2727" s="1" t="s">
        <v>11</v>
      </c>
      <c r="R2727" s="1" t="s">
        <v>23</v>
      </c>
      <c r="S2727" t="s">
        <v>36</v>
      </c>
      <c r="T2727" s="1">
        <v>2015</v>
      </c>
      <c r="U2727" s="1">
        <v>2</v>
      </c>
      <c r="V2727" s="50">
        <v>42036</v>
      </c>
      <c r="W2727" s="4">
        <v>1333.0000000000002</v>
      </c>
      <c r="X2727" s="48">
        <v>1550</v>
      </c>
    </row>
    <row r="2728" spans="2:24" x14ac:dyDescent="0.35">
      <c r="B2728" s="8" t="s">
        <v>7</v>
      </c>
      <c r="C2728" s="8" t="s">
        <v>43</v>
      </c>
      <c r="D2728" s="8" t="s">
        <v>10</v>
      </c>
      <c r="E2728" s="8" t="s">
        <v>23</v>
      </c>
      <c r="F2728" s="8" t="s">
        <v>36</v>
      </c>
      <c r="G2728" s="8">
        <v>2015</v>
      </c>
      <c r="H2728" s="8">
        <v>2</v>
      </c>
      <c r="I2728" s="10">
        <v>42036</v>
      </c>
      <c r="J2728" s="11">
        <v>2757</v>
      </c>
      <c r="K2728" s="51"/>
      <c r="O2728" s="1" t="s">
        <v>7</v>
      </c>
      <c r="P2728" s="1" t="s">
        <v>43</v>
      </c>
      <c r="Q2728" s="1" t="s">
        <v>10</v>
      </c>
      <c r="R2728" s="1" t="s">
        <v>23</v>
      </c>
      <c r="S2728" s="1" t="s">
        <v>36</v>
      </c>
      <c r="T2728" s="1">
        <v>2015</v>
      </c>
      <c r="U2728" s="1">
        <v>2</v>
      </c>
      <c r="V2728" s="50">
        <v>42036</v>
      </c>
      <c r="W2728" s="4">
        <v>2371.0200000000004</v>
      </c>
      <c r="X2728" s="48">
        <v>2757</v>
      </c>
    </row>
    <row r="2729" spans="2:24" x14ac:dyDescent="0.35">
      <c r="B2729" s="8" t="s">
        <v>6</v>
      </c>
      <c r="C2729" s="8" t="s">
        <v>40</v>
      </c>
      <c r="D2729" s="8" t="s">
        <v>41</v>
      </c>
      <c r="E2729" s="8" t="s">
        <v>0</v>
      </c>
      <c r="F2729" s="8" t="s">
        <v>45</v>
      </c>
      <c r="G2729" s="8">
        <v>2015</v>
      </c>
      <c r="H2729" s="8">
        <v>2</v>
      </c>
      <c r="I2729" s="10">
        <v>42036</v>
      </c>
      <c r="J2729" s="11">
        <v>4446</v>
      </c>
      <c r="K2729" s="51"/>
      <c r="O2729" s="1" t="s">
        <v>6</v>
      </c>
      <c r="P2729" s="1" t="s">
        <v>40</v>
      </c>
      <c r="Q2729" s="1" t="s">
        <v>41</v>
      </c>
      <c r="R2729" s="1" t="s">
        <v>0</v>
      </c>
      <c r="S2729" s="1" t="s">
        <v>45</v>
      </c>
      <c r="T2729" s="1">
        <v>2015</v>
      </c>
      <c r="U2729" s="1">
        <v>2</v>
      </c>
      <c r="V2729" s="50">
        <v>42036</v>
      </c>
      <c r="W2729" s="4">
        <v>4045.8599999999997</v>
      </c>
      <c r="X2729" s="48">
        <v>4446</v>
      </c>
    </row>
    <row r="2730" spans="2:24" x14ac:dyDescent="0.35">
      <c r="B2730" s="8" t="s">
        <v>7</v>
      </c>
      <c r="C2730" s="8" t="s">
        <v>32</v>
      </c>
      <c r="D2730" s="8" t="s">
        <v>8</v>
      </c>
      <c r="E2730" s="8" t="s">
        <v>27</v>
      </c>
      <c r="F2730" s="8" t="s">
        <v>28</v>
      </c>
      <c r="G2730" s="8">
        <v>2015</v>
      </c>
      <c r="H2730" s="8">
        <v>2</v>
      </c>
      <c r="I2730" s="10">
        <v>42036</v>
      </c>
      <c r="J2730" s="11">
        <v>3340</v>
      </c>
      <c r="K2730" s="51"/>
      <c r="O2730" s="1" t="s">
        <v>7</v>
      </c>
      <c r="P2730" s="1" t="s">
        <v>32</v>
      </c>
      <c r="Q2730" s="1" t="s">
        <v>8</v>
      </c>
      <c r="R2730" s="1" t="s">
        <v>27</v>
      </c>
      <c r="S2730" s="1" t="s">
        <v>28</v>
      </c>
      <c r="T2730" s="1">
        <v>2015</v>
      </c>
      <c r="U2730" s="1">
        <v>2</v>
      </c>
      <c r="V2730" s="50">
        <v>42036</v>
      </c>
      <c r="W2730" s="4">
        <v>2972.5999999999995</v>
      </c>
      <c r="X2730" s="48">
        <v>3340</v>
      </c>
    </row>
    <row r="2731" spans="2:24" x14ac:dyDescent="0.35">
      <c r="B2731" s="8" t="s">
        <v>7</v>
      </c>
      <c r="C2731" s="8" t="s">
        <v>32</v>
      </c>
      <c r="D2731" s="8" t="s">
        <v>8</v>
      </c>
      <c r="E2731" s="8" t="s">
        <v>27</v>
      </c>
      <c r="F2731" s="6" t="s">
        <v>31</v>
      </c>
      <c r="G2731" s="8">
        <v>2015</v>
      </c>
      <c r="H2731" s="8">
        <v>2</v>
      </c>
      <c r="I2731" s="10">
        <v>42036</v>
      </c>
      <c r="J2731" s="11">
        <v>4961</v>
      </c>
      <c r="K2731" s="51"/>
      <c r="O2731" s="1" t="s">
        <v>7</v>
      </c>
      <c r="P2731" s="1" t="s">
        <v>32</v>
      </c>
      <c r="Q2731" s="1" t="s">
        <v>8</v>
      </c>
      <c r="R2731" s="1" t="s">
        <v>27</v>
      </c>
      <c r="S2731" t="s">
        <v>31</v>
      </c>
      <c r="T2731" s="1">
        <v>2015</v>
      </c>
      <c r="U2731" s="1">
        <v>2</v>
      </c>
      <c r="V2731" s="50">
        <v>42036</v>
      </c>
      <c r="W2731" s="4">
        <v>4464.8999999999996</v>
      </c>
      <c r="X2731" s="48">
        <v>4961</v>
      </c>
    </row>
    <row r="2732" spans="2:24" x14ac:dyDescent="0.35">
      <c r="B2732" s="8" t="s">
        <v>6</v>
      </c>
      <c r="C2732" s="8" t="s">
        <v>29</v>
      </c>
      <c r="D2732" s="8" t="s">
        <v>30</v>
      </c>
      <c r="E2732" s="8" t="s">
        <v>23</v>
      </c>
      <c r="F2732" s="6" t="s">
        <v>24</v>
      </c>
      <c r="G2732" s="8">
        <v>2015</v>
      </c>
      <c r="H2732" s="8">
        <v>2</v>
      </c>
      <c r="I2732" s="10">
        <v>42036</v>
      </c>
      <c r="J2732" s="11">
        <v>1541</v>
      </c>
      <c r="K2732" s="51"/>
      <c r="O2732" s="1" t="s">
        <v>6</v>
      </c>
      <c r="P2732" s="1" t="s">
        <v>29</v>
      </c>
      <c r="Q2732" s="1" t="s">
        <v>30</v>
      </c>
      <c r="R2732" s="1" t="s">
        <v>23</v>
      </c>
      <c r="S2732" t="s">
        <v>24</v>
      </c>
      <c r="T2732" s="1">
        <v>2015</v>
      </c>
      <c r="U2732" s="1">
        <v>2</v>
      </c>
      <c r="V2732" s="50">
        <v>42036</v>
      </c>
      <c r="W2732" s="4">
        <v>1309.8500000000001</v>
      </c>
      <c r="X2732" s="48">
        <v>1541</v>
      </c>
    </row>
    <row r="2733" spans="2:24" x14ac:dyDescent="0.35">
      <c r="B2733" s="8" t="s">
        <v>7</v>
      </c>
      <c r="C2733" s="8" t="s">
        <v>48</v>
      </c>
      <c r="D2733" s="8" t="s">
        <v>9</v>
      </c>
      <c r="E2733" s="8" t="s">
        <v>0</v>
      </c>
      <c r="F2733" s="6" t="s">
        <v>42</v>
      </c>
      <c r="G2733" s="8">
        <v>2015</v>
      </c>
      <c r="H2733" s="8">
        <v>2</v>
      </c>
      <c r="I2733" s="10">
        <v>42036</v>
      </c>
      <c r="J2733" s="11">
        <v>6142</v>
      </c>
      <c r="K2733" s="51"/>
      <c r="O2733" s="1" t="s">
        <v>7</v>
      </c>
      <c r="P2733" s="1" t="s">
        <v>48</v>
      </c>
      <c r="Q2733" s="1" t="s">
        <v>9</v>
      </c>
      <c r="R2733" s="1" t="s">
        <v>0</v>
      </c>
      <c r="S2733" t="s">
        <v>42</v>
      </c>
      <c r="T2733" s="1">
        <v>2015</v>
      </c>
      <c r="U2733" s="1">
        <v>2</v>
      </c>
      <c r="V2733" s="50">
        <v>42036</v>
      </c>
      <c r="W2733" s="4">
        <v>5282.1200000000008</v>
      </c>
      <c r="X2733" s="48">
        <v>6142</v>
      </c>
    </row>
    <row r="2734" spans="2:24" x14ac:dyDescent="0.35">
      <c r="B2734" s="8" t="s">
        <v>7</v>
      </c>
      <c r="C2734" s="8" t="s">
        <v>48</v>
      </c>
      <c r="D2734" s="8" t="s">
        <v>9</v>
      </c>
      <c r="E2734" s="9" t="s">
        <v>0</v>
      </c>
      <c r="F2734" s="9" t="s">
        <v>26</v>
      </c>
      <c r="G2734" s="8">
        <v>2015</v>
      </c>
      <c r="H2734" s="8">
        <v>2</v>
      </c>
      <c r="I2734" s="10">
        <v>42036</v>
      </c>
      <c r="J2734" s="11">
        <v>5491</v>
      </c>
      <c r="K2734" s="51"/>
      <c r="O2734" s="1" t="s">
        <v>7</v>
      </c>
      <c r="P2734" s="1" t="s">
        <v>48</v>
      </c>
      <c r="Q2734" s="1" t="s">
        <v>9</v>
      </c>
      <c r="R2734" s="2" t="s">
        <v>0</v>
      </c>
      <c r="S2734" s="2" t="s">
        <v>26</v>
      </c>
      <c r="T2734" s="1">
        <v>2015</v>
      </c>
      <c r="U2734" s="1">
        <v>2</v>
      </c>
      <c r="V2734" s="50">
        <v>42036</v>
      </c>
      <c r="W2734" s="4">
        <v>5161.54</v>
      </c>
      <c r="X2734" s="48">
        <v>5491</v>
      </c>
    </row>
    <row r="2735" spans="2:24" x14ac:dyDescent="0.35">
      <c r="B2735" s="8" t="s">
        <v>7</v>
      </c>
      <c r="C2735" s="8" t="s">
        <v>49</v>
      </c>
      <c r="D2735" s="8" t="s">
        <v>11</v>
      </c>
      <c r="E2735" s="8" t="s">
        <v>0</v>
      </c>
      <c r="F2735" s="9" t="s">
        <v>45</v>
      </c>
      <c r="G2735" s="8">
        <v>2015</v>
      </c>
      <c r="H2735" s="8">
        <v>2</v>
      </c>
      <c r="I2735" s="10">
        <v>42036</v>
      </c>
      <c r="J2735" s="11">
        <v>3334</v>
      </c>
      <c r="K2735" s="51"/>
      <c r="O2735" s="1" t="s">
        <v>7</v>
      </c>
      <c r="P2735" s="1" t="s">
        <v>49</v>
      </c>
      <c r="Q2735" s="1" t="s">
        <v>11</v>
      </c>
      <c r="R2735" s="1" t="s">
        <v>0</v>
      </c>
      <c r="S2735" s="2" t="s">
        <v>45</v>
      </c>
      <c r="T2735" s="1">
        <v>2015</v>
      </c>
      <c r="U2735" s="1">
        <v>2</v>
      </c>
      <c r="V2735" s="50">
        <v>42036</v>
      </c>
      <c r="W2735" s="4">
        <v>2867.2400000000002</v>
      </c>
      <c r="X2735" s="48">
        <v>3334</v>
      </c>
    </row>
    <row r="2736" spans="2:24" x14ac:dyDescent="0.35">
      <c r="B2736" s="8" t="s">
        <v>7</v>
      </c>
      <c r="C2736" s="8" t="s">
        <v>49</v>
      </c>
      <c r="D2736" s="8" t="s">
        <v>11</v>
      </c>
      <c r="E2736" s="8" t="s">
        <v>27</v>
      </c>
      <c r="F2736" s="6" t="s">
        <v>28</v>
      </c>
      <c r="G2736" s="8">
        <v>2015</v>
      </c>
      <c r="H2736" s="8">
        <v>2</v>
      </c>
      <c r="I2736" s="10">
        <v>42036</v>
      </c>
      <c r="J2736" s="11">
        <v>3559</v>
      </c>
      <c r="K2736" s="51"/>
      <c r="O2736" s="1" t="s">
        <v>7</v>
      </c>
      <c r="P2736" s="1" t="s">
        <v>49</v>
      </c>
      <c r="Q2736" s="1" t="s">
        <v>11</v>
      </c>
      <c r="R2736" s="1" t="s">
        <v>27</v>
      </c>
      <c r="S2736" t="s">
        <v>28</v>
      </c>
      <c r="T2736" s="1">
        <v>2015</v>
      </c>
      <c r="U2736" s="1">
        <v>2</v>
      </c>
      <c r="V2736" s="50">
        <v>42036</v>
      </c>
      <c r="W2736" s="4">
        <v>3274.2799999999997</v>
      </c>
      <c r="X2736" s="48">
        <v>3559</v>
      </c>
    </row>
    <row r="2737" spans="2:24" x14ac:dyDescent="0.35">
      <c r="B2737" s="8" t="s">
        <v>12</v>
      </c>
      <c r="C2737" s="8" t="s">
        <v>34</v>
      </c>
      <c r="D2737" s="8" t="s">
        <v>35</v>
      </c>
      <c r="E2737" s="8" t="s">
        <v>27</v>
      </c>
      <c r="F2737" s="8" t="s">
        <v>31</v>
      </c>
      <c r="G2737" s="8">
        <v>2015</v>
      </c>
      <c r="H2737" s="8">
        <v>2</v>
      </c>
      <c r="I2737" s="10">
        <v>42036</v>
      </c>
      <c r="J2737" s="11">
        <v>3824</v>
      </c>
      <c r="K2737" s="51"/>
      <c r="O2737" s="1" t="s">
        <v>12</v>
      </c>
      <c r="P2737" s="1" t="s">
        <v>34</v>
      </c>
      <c r="Q2737" s="1" t="s">
        <v>35</v>
      </c>
      <c r="R2737" s="1" t="s">
        <v>27</v>
      </c>
      <c r="S2737" s="1" t="s">
        <v>31</v>
      </c>
      <c r="T2737" s="1">
        <v>2015</v>
      </c>
      <c r="U2737" s="1">
        <v>2</v>
      </c>
      <c r="V2737" s="50">
        <v>42036</v>
      </c>
      <c r="W2737" s="4">
        <v>3288.6400000000003</v>
      </c>
      <c r="X2737" s="48">
        <v>3824</v>
      </c>
    </row>
    <row r="2738" spans="2:24" x14ac:dyDescent="0.35">
      <c r="B2738" s="8" t="s">
        <v>12</v>
      </c>
      <c r="C2738" s="8" t="s">
        <v>34</v>
      </c>
      <c r="D2738" s="8" t="s">
        <v>35</v>
      </c>
      <c r="E2738" s="8" t="s">
        <v>27</v>
      </c>
      <c r="F2738" s="8" t="s">
        <v>33</v>
      </c>
      <c r="G2738" s="8">
        <v>2015</v>
      </c>
      <c r="H2738" s="8">
        <v>2</v>
      </c>
      <c r="I2738" s="10">
        <v>42036</v>
      </c>
      <c r="J2738" s="11">
        <v>4060</v>
      </c>
      <c r="K2738" s="51"/>
      <c r="O2738" s="1" t="s">
        <v>12</v>
      </c>
      <c r="P2738" s="1" t="s">
        <v>34</v>
      </c>
      <c r="Q2738" s="1" t="s">
        <v>35</v>
      </c>
      <c r="R2738" s="1" t="s">
        <v>27</v>
      </c>
      <c r="S2738" s="1" t="s">
        <v>33</v>
      </c>
      <c r="T2738" s="1">
        <v>2015</v>
      </c>
      <c r="U2738" s="1">
        <v>2</v>
      </c>
      <c r="V2738" s="50">
        <v>42036</v>
      </c>
      <c r="W2738" s="4">
        <v>3694.5999999999995</v>
      </c>
      <c r="X2738" s="48">
        <v>4060</v>
      </c>
    </row>
    <row r="2739" spans="2:24" x14ac:dyDescent="0.35">
      <c r="B2739" s="8" t="s">
        <v>14</v>
      </c>
      <c r="C2739" s="8" t="s">
        <v>37</v>
      </c>
      <c r="D2739" s="8" t="s">
        <v>38</v>
      </c>
      <c r="E2739" s="8" t="s">
        <v>23</v>
      </c>
      <c r="F2739" s="8" t="s">
        <v>36</v>
      </c>
      <c r="G2739" s="8">
        <v>2015</v>
      </c>
      <c r="H2739" s="8">
        <v>2</v>
      </c>
      <c r="I2739" s="10">
        <v>42036</v>
      </c>
      <c r="J2739" s="11">
        <v>2186</v>
      </c>
      <c r="K2739" s="51"/>
      <c r="O2739" s="1" t="s">
        <v>14</v>
      </c>
      <c r="P2739" s="1" t="s">
        <v>37</v>
      </c>
      <c r="Q2739" s="1" t="s">
        <v>38</v>
      </c>
      <c r="R2739" s="1" t="s">
        <v>23</v>
      </c>
      <c r="S2739" s="1" t="s">
        <v>36</v>
      </c>
      <c r="T2739" s="1">
        <v>2015</v>
      </c>
      <c r="U2739" s="1">
        <v>2</v>
      </c>
      <c r="V2739" s="50">
        <v>42036</v>
      </c>
      <c r="W2739" s="4">
        <v>1923.6799999999998</v>
      </c>
      <c r="X2739" s="48">
        <v>2186</v>
      </c>
    </row>
    <row r="2740" spans="2:24" x14ac:dyDescent="0.35">
      <c r="B2740" s="8" t="s">
        <v>12</v>
      </c>
      <c r="C2740" s="8" t="s">
        <v>44</v>
      </c>
      <c r="D2740" s="8" t="s">
        <v>13</v>
      </c>
      <c r="E2740" s="8" t="s">
        <v>23</v>
      </c>
      <c r="F2740" s="6" t="s">
        <v>39</v>
      </c>
      <c r="G2740" s="8">
        <v>2015</v>
      </c>
      <c r="H2740" s="8">
        <v>2</v>
      </c>
      <c r="I2740" s="10">
        <v>42036</v>
      </c>
      <c r="J2740" s="11">
        <v>2783</v>
      </c>
      <c r="K2740" s="51"/>
      <c r="O2740" s="1" t="s">
        <v>12</v>
      </c>
      <c r="P2740" s="1" t="s">
        <v>44</v>
      </c>
      <c r="Q2740" s="1" t="s">
        <v>13</v>
      </c>
      <c r="R2740" s="1" t="s">
        <v>23</v>
      </c>
      <c r="S2740" t="s">
        <v>39</v>
      </c>
      <c r="T2740" s="1">
        <v>2015</v>
      </c>
      <c r="U2740" s="1">
        <v>2</v>
      </c>
      <c r="V2740" s="50">
        <v>42036</v>
      </c>
      <c r="W2740" s="4">
        <v>2560.3599999999997</v>
      </c>
      <c r="X2740" s="48">
        <v>2783</v>
      </c>
    </row>
    <row r="2741" spans="2:24" x14ac:dyDescent="0.35">
      <c r="B2741" s="8" t="s">
        <v>12</v>
      </c>
      <c r="C2741" s="8" t="s">
        <v>44</v>
      </c>
      <c r="D2741" s="8" t="s">
        <v>13</v>
      </c>
      <c r="E2741" s="8" t="s">
        <v>0</v>
      </c>
      <c r="F2741" s="6" t="s">
        <v>42</v>
      </c>
      <c r="G2741" s="8">
        <v>2015</v>
      </c>
      <c r="H2741" s="8">
        <v>2</v>
      </c>
      <c r="I2741" s="10">
        <v>42036</v>
      </c>
      <c r="J2741" s="11">
        <v>5740</v>
      </c>
      <c r="K2741" s="51"/>
      <c r="O2741" s="1" t="s">
        <v>12</v>
      </c>
      <c r="P2741" s="1" t="s">
        <v>44</v>
      </c>
      <c r="Q2741" s="1" t="s">
        <v>13</v>
      </c>
      <c r="R2741" s="1" t="s">
        <v>0</v>
      </c>
      <c r="S2741" t="s">
        <v>42</v>
      </c>
      <c r="T2741" s="1">
        <v>2015</v>
      </c>
      <c r="U2741" s="1">
        <v>2</v>
      </c>
      <c r="V2741" s="50">
        <v>42036</v>
      </c>
      <c r="W2741" s="4">
        <v>5051.1999999999989</v>
      </c>
      <c r="X2741" s="48">
        <v>5740</v>
      </c>
    </row>
    <row r="2742" spans="2:24" x14ac:dyDescent="0.35">
      <c r="B2742" s="8" t="s">
        <v>14</v>
      </c>
      <c r="C2742" s="8" t="s">
        <v>46</v>
      </c>
      <c r="D2742" s="8" t="s">
        <v>47</v>
      </c>
      <c r="E2742" s="8" t="s">
        <v>0</v>
      </c>
      <c r="F2742" s="6" t="s">
        <v>26</v>
      </c>
      <c r="G2742" s="8">
        <v>2015</v>
      </c>
      <c r="H2742" s="8">
        <v>2</v>
      </c>
      <c r="I2742" s="10">
        <v>42036</v>
      </c>
      <c r="J2742" s="11">
        <v>5435</v>
      </c>
      <c r="K2742" s="51"/>
      <c r="O2742" s="1" t="s">
        <v>14</v>
      </c>
      <c r="P2742" s="1" t="s">
        <v>46</v>
      </c>
      <c r="Q2742" s="1" t="s">
        <v>47</v>
      </c>
      <c r="R2742" s="1" t="s">
        <v>0</v>
      </c>
      <c r="S2742" t="s">
        <v>26</v>
      </c>
      <c r="T2742" s="1">
        <v>2015</v>
      </c>
      <c r="U2742" s="1">
        <v>2</v>
      </c>
      <c r="V2742" s="50">
        <v>42036</v>
      </c>
      <c r="W2742" s="4">
        <v>4945.8499999999995</v>
      </c>
      <c r="X2742" s="48">
        <v>5435</v>
      </c>
    </row>
    <row r="2743" spans="2:24" x14ac:dyDescent="0.35">
      <c r="B2743" s="8" t="s">
        <v>14</v>
      </c>
      <c r="C2743" s="8" t="s">
        <v>46</v>
      </c>
      <c r="D2743" s="8" t="s">
        <v>47</v>
      </c>
      <c r="E2743" s="9" t="s">
        <v>0</v>
      </c>
      <c r="F2743" s="9" t="s">
        <v>45</v>
      </c>
      <c r="G2743" s="8">
        <v>2015</v>
      </c>
      <c r="H2743" s="8">
        <v>2</v>
      </c>
      <c r="I2743" s="10">
        <v>42036</v>
      </c>
      <c r="J2743" s="11">
        <v>3781</v>
      </c>
      <c r="K2743" s="51"/>
      <c r="O2743" s="1" t="s">
        <v>14</v>
      </c>
      <c r="P2743" s="1" t="s">
        <v>46</v>
      </c>
      <c r="Q2743" s="1" t="s">
        <v>47</v>
      </c>
      <c r="R2743" s="2" t="s">
        <v>0</v>
      </c>
      <c r="S2743" s="2" t="s">
        <v>45</v>
      </c>
      <c r="T2743" s="1">
        <v>2015</v>
      </c>
      <c r="U2743" s="1">
        <v>2</v>
      </c>
      <c r="V2743" s="50">
        <v>42036</v>
      </c>
      <c r="W2743" s="4">
        <v>3554.14</v>
      </c>
      <c r="X2743" s="48">
        <v>3781</v>
      </c>
    </row>
    <row r="2744" spans="2:24" x14ac:dyDescent="0.35">
      <c r="B2744" s="8" t="s">
        <v>3</v>
      </c>
      <c r="C2744" s="8" t="s">
        <v>25</v>
      </c>
      <c r="D2744" s="8" t="s">
        <v>4</v>
      </c>
      <c r="E2744" s="8" t="s">
        <v>27</v>
      </c>
      <c r="F2744" s="9" t="s">
        <v>33</v>
      </c>
      <c r="G2744" s="8">
        <v>2015</v>
      </c>
      <c r="H2744" s="8">
        <v>2</v>
      </c>
      <c r="I2744" s="10">
        <v>42036</v>
      </c>
      <c r="J2744" s="11">
        <v>3903</v>
      </c>
      <c r="K2744" s="51"/>
      <c r="O2744" s="1" t="s">
        <v>3</v>
      </c>
      <c r="P2744" s="1" t="s">
        <v>25</v>
      </c>
      <c r="Q2744" s="1" t="s">
        <v>4</v>
      </c>
      <c r="R2744" s="1" t="s">
        <v>27</v>
      </c>
      <c r="S2744" s="2" t="s">
        <v>33</v>
      </c>
      <c r="T2744" s="1">
        <v>2015</v>
      </c>
      <c r="U2744" s="1">
        <v>2</v>
      </c>
      <c r="V2744" s="50">
        <v>42036</v>
      </c>
      <c r="W2744" s="4">
        <v>3473.6699999999996</v>
      </c>
      <c r="X2744" s="48">
        <v>3903</v>
      </c>
    </row>
    <row r="2745" spans="2:24" x14ac:dyDescent="0.35">
      <c r="B2745" s="8" t="s">
        <v>3</v>
      </c>
      <c r="C2745" s="8" t="s">
        <v>25</v>
      </c>
      <c r="D2745" s="8" t="s">
        <v>4</v>
      </c>
      <c r="E2745" s="8" t="s">
        <v>23</v>
      </c>
      <c r="F2745" s="6" t="s">
        <v>36</v>
      </c>
      <c r="G2745" s="8">
        <v>2015</v>
      </c>
      <c r="H2745" s="8">
        <v>2</v>
      </c>
      <c r="I2745" s="10">
        <v>42036</v>
      </c>
      <c r="J2745" s="11">
        <v>2571</v>
      </c>
      <c r="K2745" s="51"/>
      <c r="O2745" s="1" t="s">
        <v>3</v>
      </c>
      <c r="P2745" s="1" t="s">
        <v>25</v>
      </c>
      <c r="Q2745" s="1" t="s">
        <v>4</v>
      </c>
      <c r="R2745" s="1" t="s">
        <v>23</v>
      </c>
      <c r="S2745" t="s">
        <v>36</v>
      </c>
      <c r="T2745" s="1">
        <v>2015</v>
      </c>
      <c r="U2745" s="1">
        <v>2</v>
      </c>
      <c r="V2745" s="50">
        <v>42036</v>
      </c>
      <c r="W2745" s="4">
        <v>2185.3500000000004</v>
      </c>
      <c r="X2745" s="48">
        <v>2571</v>
      </c>
    </row>
    <row r="2746" spans="2:24" x14ac:dyDescent="0.35">
      <c r="B2746" s="8" t="s">
        <v>6</v>
      </c>
      <c r="C2746" s="8" t="s">
        <v>40</v>
      </c>
      <c r="D2746" s="8" t="s">
        <v>41</v>
      </c>
      <c r="E2746" s="8" t="s">
        <v>23</v>
      </c>
      <c r="F2746" s="8" t="s">
        <v>39</v>
      </c>
      <c r="G2746" s="8">
        <v>2015</v>
      </c>
      <c r="H2746" s="8">
        <v>2</v>
      </c>
      <c r="I2746" s="10">
        <v>42036</v>
      </c>
      <c r="J2746" s="11">
        <v>2459</v>
      </c>
      <c r="K2746" s="51"/>
      <c r="O2746" s="1" t="s">
        <v>6</v>
      </c>
      <c r="P2746" s="1" t="s">
        <v>40</v>
      </c>
      <c r="Q2746" s="1" t="s">
        <v>41</v>
      </c>
      <c r="R2746" s="1" t="s">
        <v>23</v>
      </c>
      <c r="S2746" s="1" t="s">
        <v>39</v>
      </c>
      <c r="T2746" s="1">
        <v>2015</v>
      </c>
      <c r="U2746" s="1">
        <v>2</v>
      </c>
      <c r="V2746" s="50">
        <v>42036</v>
      </c>
      <c r="W2746" s="4">
        <v>2311.46</v>
      </c>
      <c r="X2746" s="48">
        <v>2459</v>
      </c>
    </row>
    <row r="2747" spans="2:24" x14ac:dyDescent="0.35">
      <c r="B2747" s="8" t="s">
        <v>7</v>
      </c>
      <c r="C2747" s="8" t="s">
        <v>48</v>
      </c>
      <c r="D2747" s="8" t="s">
        <v>9</v>
      </c>
      <c r="E2747" s="8" t="s">
        <v>0</v>
      </c>
      <c r="F2747" s="8" t="s">
        <v>45</v>
      </c>
      <c r="G2747" s="8">
        <v>2015</v>
      </c>
      <c r="H2747" s="8">
        <v>2</v>
      </c>
      <c r="I2747" s="10">
        <v>42036</v>
      </c>
      <c r="J2747" s="11">
        <v>2925</v>
      </c>
      <c r="K2747" s="51"/>
      <c r="O2747" s="1" t="s">
        <v>7</v>
      </c>
      <c r="P2747" s="1" t="s">
        <v>48</v>
      </c>
      <c r="Q2747" s="1" t="s">
        <v>9</v>
      </c>
      <c r="R2747" s="1" t="s">
        <v>0</v>
      </c>
      <c r="S2747" s="1" t="s">
        <v>45</v>
      </c>
      <c r="T2747" s="1">
        <v>2015</v>
      </c>
      <c r="U2747" s="1">
        <v>2</v>
      </c>
      <c r="V2747" s="50">
        <v>42036</v>
      </c>
      <c r="W2747" s="4">
        <v>2603.2499999999995</v>
      </c>
      <c r="X2747" s="48">
        <v>2925</v>
      </c>
    </row>
    <row r="2748" spans="2:24" x14ac:dyDescent="0.35">
      <c r="B2748" s="8" t="s">
        <v>7</v>
      </c>
      <c r="C2748" s="8" t="s">
        <v>49</v>
      </c>
      <c r="D2748" s="8" t="s">
        <v>11</v>
      </c>
      <c r="E2748" s="8" t="s">
        <v>27</v>
      </c>
      <c r="F2748" s="8" t="s">
        <v>31</v>
      </c>
      <c r="G2748" s="8">
        <v>2015</v>
      </c>
      <c r="H2748" s="8">
        <v>2</v>
      </c>
      <c r="I2748" s="10">
        <v>42036</v>
      </c>
      <c r="J2748" s="11">
        <v>4428</v>
      </c>
      <c r="K2748" s="51"/>
      <c r="O2748" s="1" t="s">
        <v>7</v>
      </c>
      <c r="P2748" s="1" t="s">
        <v>49</v>
      </c>
      <c r="Q2748" s="1" t="s">
        <v>11</v>
      </c>
      <c r="R2748" s="1" t="s">
        <v>27</v>
      </c>
      <c r="S2748" s="1" t="s">
        <v>31</v>
      </c>
      <c r="T2748" s="1">
        <v>2015</v>
      </c>
      <c r="U2748" s="1">
        <v>2</v>
      </c>
      <c r="V2748" s="50">
        <v>42036</v>
      </c>
      <c r="W2748" s="4">
        <v>3763.8</v>
      </c>
      <c r="X2748" s="48">
        <v>4428</v>
      </c>
    </row>
    <row r="2749" spans="2:24" x14ac:dyDescent="0.35">
      <c r="B2749" s="8" t="s">
        <v>7</v>
      </c>
      <c r="C2749" s="8" t="s">
        <v>43</v>
      </c>
      <c r="D2749" s="8" t="s">
        <v>10</v>
      </c>
      <c r="E2749" s="8" t="s">
        <v>27</v>
      </c>
      <c r="F2749" s="6" t="s">
        <v>33</v>
      </c>
      <c r="G2749" s="8">
        <v>2015</v>
      </c>
      <c r="H2749" s="8">
        <v>2</v>
      </c>
      <c r="I2749" s="10">
        <v>42036</v>
      </c>
      <c r="J2749" s="11">
        <v>2978</v>
      </c>
      <c r="K2749" s="51"/>
      <c r="O2749" s="1" t="s">
        <v>7</v>
      </c>
      <c r="P2749" s="1" t="s">
        <v>43</v>
      </c>
      <c r="Q2749" s="1" t="s">
        <v>10</v>
      </c>
      <c r="R2749" s="1" t="s">
        <v>27</v>
      </c>
      <c r="S2749" t="s">
        <v>33</v>
      </c>
      <c r="T2749" s="1">
        <v>2015</v>
      </c>
      <c r="U2749" s="1">
        <v>2</v>
      </c>
      <c r="V2749" s="50">
        <v>42036</v>
      </c>
      <c r="W2749" s="4">
        <v>2799.3199999999997</v>
      </c>
      <c r="X2749" s="48">
        <v>2978</v>
      </c>
    </row>
    <row r="2750" spans="2:24" x14ac:dyDescent="0.35">
      <c r="B2750" s="8" t="s">
        <v>7</v>
      </c>
      <c r="C2750" s="8" t="s">
        <v>32</v>
      </c>
      <c r="D2750" s="8" t="s">
        <v>8</v>
      </c>
      <c r="E2750" s="8" t="s">
        <v>0</v>
      </c>
      <c r="F2750" s="6" t="s">
        <v>45</v>
      </c>
      <c r="G2750" s="8">
        <v>2015</v>
      </c>
      <c r="H2750" s="8">
        <v>2</v>
      </c>
      <c r="I2750" s="10">
        <v>42036</v>
      </c>
      <c r="J2750" s="11">
        <v>4259</v>
      </c>
      <c r="K2750" s="51"/>
      <c r="O2750" s="1" t="s">
        <v>7</v>
      </c>
      <c r="P2750" s="1" t="s">
        <v>32</v>
      </c>
      <c r="Q2750" s="1" t="s">
        <v>8</v>
      </c>
      <c r="R2750" s="1" t="s">
        <v>0</v>
      </c>
      <c r="S2750" t="s">
        <v>45</v>
      </c>
      <c r="T2750" s="1">
        <v>2015</v>
      </c>
      <c r="U2750" s="1">
        <v>2</v>
      </c>
      <c r="V2750" s="50">
        <v>42036</v>
      </c>
      <c r="W2750" s="4">
        <v>3875.6899999999996</v>
      </c>
      <c r="X2750" s="48">
        <v>4259</v>
      </c>
    </row>
    <row r="2751" spans="2:24" x14ac:dyDescent="0.35">
      <c r="B2751" s="8" t="s">
        <v>7</v>
      </c>
      <c r="C2751" s="8" t="s">
        <v>48</v>
      </c>
      <c r="D2751" s="8" t="s">
        <v>9</v>
      </c>
      <c r="E2751" s="8" t="s">
        <v>23</v>
      </c>
      <c r="F2751" s="6" t="s">
        <v>39</v>
      </c>
      <c r="G2751" s="8">
        <v>2015</v>
      </c>
      <c r="H2751" s="8">
        <v>2</v>
      </c>
      <c r="I2751" s="10">
        <v>42036</v>
      </c>
      <c r="J2751" s="11">
        <v>1356</v>
      </c>
      <c r="K2751" s="51"/>
      <c r="O2751" s="1" t="s">
        <v>7</v>
      </c>
      <c r="P2751" s="1" t="s">
        <v>48</v>
      </c>
      <c r="Q2751" s="1" t="s">
        <v>9</v>
      </c>
      <c r="R2751" s="1" t="s">
        <v>23</v>
      </c>
      <c r="S2751" t="s">
        <v>39</v>
      </c>
      <c r="T2751" s="1">
        <v>2015</v>
      </c>
      <c r="U2751" s="1">
        <v>2</v>
      </c>
      <c r="V2751" s="50">
        <v>42036</v>
      </c>
      <c r="W2751" s="4">
        <v>1179.7200000000003</v>
      </c>
      <c r="X2751" s="48">
        <v>1356</v>
      </c>
    </row>
    <row r="2752" spans="2:24" x14ac:dyDescent="0.35">
      <c r="B2752" s="8" t="s">
        <v>7</v>
      </c>
      <c r="C2752" s="8" t="s">
        <v>49</v>
      </c>
      <c r="D2752" s="8" t="s">
        <v>11</v>
      </c>
      <c r="E2752" s="9" t="s">
        <v>0</v>
      </c>
      <c r="F2752" s="9" t="s">
        <v>26</v>
      </c>
      <c r="G2752" s="8">
        <v>2015</v>
      </c>
      <c r="H2752" s="8">
        <v>2</v>
      </c>
      <c r="I2752" s="10">
        <v>42036</v>
      </c>
      <c r="J2752" s="11">
        <v>4286</v>
      </c>
      <c r="K2752" s="51"/>
      <c r="O2752" s="1" t="s">
        <v>7</v>
      </c>
      <c r="P2752" s="1" t="s">
        <v>49</v>
      </c>
      <c r="Q2752" s="1" t="s">
        <v>11</v>
      </c>
      <c r="R2752" s="2" t="s">
        <v>0</v>
      </c>
      <c r="S2752" s="2" t="s">
        <v>26</v>
      </c>
      <c r="T2752" s="1">
        <v>2015</v>
      </c>
      <c r="U2752" s="1">
        <v>2</v>
      </c>
      <c r="V2752" s="50">
        <v>42036</v>
      </c>
      <c r="W2752" s="4">
        <v>4028.8399999999997</v>
      </c>
      <c r="X2752" s="48">
        <v>4286</v>
      </c>
    </row>
    <row r="2753" spans="2:24" x14ac:dyDescent="0.35">
      <c r="B2753" s="8" t="s">
        <v>12</v>
      </c>
      <c r="C2753" s="8" t="s">
        <v>34</v>
      </c>
      <c r="D2753" s="8" t="s">
        <v>35</v>
      </c>
      <c r="E2753" s="8" t="s">
        <v>27</v>
      </c>
      <c r="F2753" s="9" t="s">
        <v>28</v>
      </c>
      <c r="G2753" s="8">
        <v>2015</v>
      </c>
      <c r="H2753" s="8">
        <v>2</v>
      </c>
      <c r="I2753" s="10">
        <v>42036</v>
      </c>
      <c r="J2753" s="11">
        <v>3727</v>
      </c>
      <c r="K2753" s="51"/>
      <c r="O2753" s="1" t="s">
        <v>12</v>
      </c>
      <c r="P2753" s="1" t="s">
        <v>34</v>
      </c>
      <c r="Q2753" s="1" t="s">
        <v>35</v>
      </c>
      <c r="R2753" s="1" t="s">
        <v>27</v>
      </c>
      <c r="S2753" s="2" t="s">
        <v>28</v>
      </c>
      <c r="T2753" s="1">
        <v>2015</v>
      </c>
      <c r="U2753" s="1">
        <v>2</v>
      </c>
      <c r="V2753" s="50">
        <v>42036</v>
      </c>
      <c r="W2753" s="4">
        <v>3503.3799999999997</v>
      </c>
      <c r="X2753" s="48">
        <v>3727</v>
      </c>
    </row>
    <row r="2754" spans="2:24" x14ac:dyDescent="0.35">
      <c r="B2754" s="8" t="s">
        <v>14</v>
      </c>
      <c r="C2754" s="8" t="s">
        <v>37</v>
      </c>
      <c r="D2754" s="8" t="s">
        <v>38</v>
      </c>
      <c r="E2754" s="8" t="s">
        <v>27</v>
      </c>
      <c r="F2754" s="6" t="s">
        <v>33</v>
      </c>
      <c r="G2754" s="8">
        <v>2015</v>
      </c>
      <c r="H2754" s="8">
        <v>2</v>
      </c>
      <c r="I2754" s="10">
        <v>42036</v>
      </c>
      <c r="J2754" s="11">
        <v>4032</v>
      </c>
      <c r="K2754" s="51"/>
      <c r="O2754" s="1" t="s">
        <v>14</v>
      </c>
      <c r="P2754" s="1" t="s">
        <v>37</v>
      </c>
      <c r="Q2754" s="1" t="s">
        <v>38</v>
      </c>
      <c r="R2754" s="1" t="s">
        <v>27</v>
      </c>
      <c r="S2754" t="s">
        <v>33</v>
      </c>
      <c r="T2754" s="1">
        <v>2015</v>
      </c>
      <c r="U2754" s="1">
        <v>2</v>
      </c>
      <c r="V2754" s="50">
        <v>42036</v>
      </c>
      <c r="W2754" s="4">
        <v>3427.2000000000003</v>
      </c>
      <c r="X2754" s="48">
        <v>4032</v>
      </c>
    </row>
    <row r="2755" spans="2:24" x14ac:dyDescent="0.35">
      <c r="B2755" s="8" t="s">
        <v>12</v>
      </c>
      <c r="C2755" s="8" t="s">
        <v>44</v>
      </c>
      <c r="D2755" s="8" t="s">
        <v>13</v>
      </c>
      <c r="E2755" s="8" t="s">
        <v>23</v>
      </c>
      <c r="F2755" s="8" t="s">
        <v>24</v>
      </c>
      <c r="G2755" s="8">
        <v>2015</v>
      </c>
      <c r="H2755" s="8">
        <v>2</v>
      </c>
      <c r="I2755" s="10">
        <v>42036</v>
      </c>
      <c r="J2755" s="11">
        <v>2072</v>
      </c>
      <c r="K2755" s="51"/>
      <c r="O2755" s="1" t="s">
        <v>12</v>
      </c>
      <c r="P2755" s="1" t="s">
        <v>44</v>
      </c>
      <c r="Q2755" s="1" t="s">
        <v>13</v>
      </c>
      <c r="R2755" s="1" t="s">
        <v>23</v>
      </c>
      <c r="S2755" s="1" t="s">
        <v>24</v>
      </c>
      <c r="T2755" s="1">
        <v>2015</v>
      </c>
      <c r="U2755" s="1">
        <v>2</v>
      </c>
      <c r="V2755" s="50">
        <v>42036</v>
      </c>
      <c r="W2755" s="4">
        <v>1864.7999999999997</v>
      </c>
      <c r="X2755" s="48">
        <v>2072</v>
      </c>
    </row>
    <row r="2756" spans="2:24" x14ac:dyDescent="0.35">
      <c r="B2756" s="8" t="s">
        <v>14</v>
      </c>
      <c r="C2756" s="8" t="s">
        <v>46</v>
      </c>
      <c r="D2756" s="8" t="s">
        <v>47</v>
      </c>
      <c r="E2756" s="8" t="s">
        <v>0</v>
      </c>
      <c r="F2756" s="8" t="s">
        <v>42</v>
      </c>
      <c r="G2756" s="8">
        <v>2015</v>
      </c>
      <c r="H2756" s="8">
        <v>2</v>
      </c>
      <c r="I2756" s="10">
        <v>42036</v>
      </c>
      <c r="J2756" s="11">
        <v>4860</v>
      </c>
      <c r="K2756" s="51"/>
      <c r="O2756" s="1" t="s">
        <v>14</v>
      </c>
      <c r="P2756" s="1" t="s">
        <v>46</v>
      </c>
      <c r="Q2756" s="1" t="s">
        <v>47</v>
      </c>
      <c r="R2756" s="1" t="s">
        <v>0</v>
      </c>
      <c r="S2756" s="1" t="s">
        <v>42</v>
      </c>
      <c r="T2756" s="1">
        <v>2015</v>
      </c>
      <c r="U2756" s="1">
        <v>2</v>
      </c>
      <c r="V2756" s="50">
        <v>42036</v>
      </c>
      <c r="W2756" s="4">
        <v>4568.3999999999996</v>
      </c>
      <c r="X2756" s="48">
        <v>4860</v>
      </c>
    </row>
    <row r="2757" spans="2:24" x14ac:dyDescent="0.35">
      <c r="B2757" s="8" t="s">
        <v>7</v>
      </c>
      <c r="C2757" s="8" t="s">
        <v>48</v>
      </c>
      <c r="D2757" s="8" t="s">
        <v>9</v>
      </c>
      <c r="E2757" s="8" t="s">
        <v>27</v>
      </c>
      <c r="F2757" s="8" t="s">
        <v>33</v>
      </c>
      <c r="G2757" s="8">
        <v>2015</v>
      </c>
      <c r="H2757" s="8">
        <v>2</v>
      </c>
      <c r="I2757" s="10">
        <v>42036</v>
      </c>
      <c r="J2757" s="11">
        <v>3972</v>
      </c>
      <c r="K2757" s="51"/>
      <c r="O2757" s="1" t="s">
        <v>7</v>
      </c>
      <c r="P2757" s="1" t="s">
        <v>48</v>
      </c>
      <c r="Q2757" s="1" t="s">
        <v>9</v>
      </c>
      <c r="R2757" s="1" t="s">
        <v>27</v>
      </c>
      <c r="S2757" s="1" t="s">
        <v>33</v>
      </c>
      <c r="T2757" s="1">
        <v>2015</v>
      </c>
      <c r="U2757" s="1">
        <v>2</v>
      </c>
      <c r="V2757" s="50">
        <v>42036</v>
      </c>
      <c r="W2757" s="4">
        <v>3693.9599999999996</v>
      </c>
      <c r="X2757" s="48">
        <v>3972</v>
      </c>
    </row>
    <row r="2758" spans="2:24" x14ac:dyDescent="0.35">
      <c r="B2758" s="8" t="s">
        <v>7</v>
      </c>
      <c r="C2758" s="8" t="s">
        <v>49</v>
      </c>
      <c r="D2758" s="8" t="s">
        <v>11</v>
      </c>
      <c r="E2758" s="8" t="s">
        <v>23</v>
      </c>
      <c r="F2758" s="6" t="s">
        <v>24</v>
      </c>
      <c r="G2758" s="8">
        <v>2015</v>
      </c>
      <c r="H2758" s="8">
        <v>2</v>
      </c>
      <c r="I2758" s="10">
        <v>42036</v>
      </c>
      <c r="J2758" s="11">
        <v>2872</v>
      </c>
      <c r="K2758" s="51"/>
      <c r="O2758" s="1" t="s">
        <v>7</v>
      </c>
      <c r="P2758" s="1" t="s">
        <v>49</v>
      </c>
      <c r="Q2758" s="1" t="s">
        <v>11</v>
      </c>
      <c r="R2758" s="1" t="s">
        <v>23</v>
      </c>
      <c r="S2758" t="s">
        <v>24</v>
      </c>
      <c r="T2758" s="1">
        <v>2015</v>
      </c>
      <c r="U2758" s="1">
        <v>2</v>
      </c>
      <c r="V2758" s="50">
        <v>42036</v>
      </c>
      <c r="W2758" s="4">
        <v>2556.08</v>
      </c>
      <c r="X2758" s="48">
        <v>2872</v>
      </c>
    </row>
    <row r="2759" spans="2:24" x14ac:dyDescent="0.35">
      <c r="B2759" s="8" t="s">
        <v>3</v>
      </c>
      <c r="C2759" s="8" t="s">
        <v>22</v>
      </c>
      <c r="D2759" s="8" t="s">
        <v>5</v>
      </c>
      <c r="E2759" s="8" t="s">
        <v>23</v>
      </c>
      <c r="F2759" s="6" t="s">
        <v>24</v>
      </c>
      <c r="G2759" s="8">
        <v>2015</v>
      </c>
      <c r="H2759" s="8">
        <v>3</v>
      </c>
      <c r="I2759" s="10">
        <v>42064</v>
      </c>
      <c r="J2759" s="11">
        <v>2380</v>
      </c>
      <c r="K2759" s="51"/>
      <c r="O2759" s="1" t="s">
        <v>3</v>
      </c>
      <c r="P2759" s="1" t="s">
        <v>22</v>
      </c>
      <c r="Q2759" s="1" t="s">
        <v>5</v>
      </c>
      <c r="R2759" s="1" t="s">
        <v>23</v>
      </c>
      <c r="S2759" t="s">
        <v>24</v>
      </c>
      <c r="T2759" s="1">
        <v>2015</v>
      </c>
      <c r="U2759" s="1">
        <v>3</v>
      </c>
      <c r="V2759" s="50">
        <v>42064</v>
      </c>
      <c r="W2759" s="4">
        <v>2023.0000000000002</v>
      </c>
      <c r="X2759" s="48">
        <v>2380</v>
      </c>
    </row>
    <row r="2760" spans="2:24" x14ac:dyDescent="0.35">
      <c r="B2760" s="8" t="s">
        <v>3</v>
      </c>
      <c r="C2760" s="8" t="s">
        <v>25</v>
      </c>
      <c r="D2760" s="8" t="s">
        <v>4</v>
      </c>
      <c r="E2760" s="8" t="s">
        <v>23</v>
      </c>
      <c r="F2760" s="6" t="s">
        <v>24</v>
      </c>
      <c r="G2760" s="8">
        <v>2015</v>
      </c>
      <c r="H2760" s="8">
        <v>3</v>
      </c>
      <c r="I2760" s="10">
        <v>42064</v>
      </c>
      <c r="J2760" s="11">
        <v>2211</v>
      </c>
      <c r="K2760" s="51"/>
      <c r="O2760" s="1" t="s">
        <v>3</v>
      </c>
      <c r="P2760" s="1" t="s">
        <v>25</v>
      </c>
      <c r="Q2760" s="1" t="s">
        <v>4</v>
      </c>
      <c r="R2760" s="1" t="s">
        <v>23</v>
      </c>
      <c r="S2760" t="s">
        <v>24</v>
      </c>
      <c r="T2760" s="1">
        <v>2015</v>
      </c>
      <c r="U2760" s="1">
        <v>3</v>
      </c>
      <c r="V2760" s="50">
        <v>42064</v>
      </c>
      <c r="W2760" s="4">
        <v>1945.6799999999998</v>
      </c>
      <c r="X2760" s="48">
        <v>2211</v>
      </c>
    </row>
    <row r="2761" spans="2:24" x14ac:dyDescent="0.35">
      <c r="B2761" s="8" t="s">
        <v>3</v>
      </c>
      <c r="C2761" s="8" t="s">
        <v>25</v>
      </c>
      <c r="D2761" s="8" t="s">
        <v>4</v>
      </c>
      <c r="E2761" s="9" t="s">
        <v>0</v>
      </c>
      <c r="F2761" s="9" t="s">
        <v>26</v>
      </c>
      <c r="G2761" s="8">
        <v>2015</v>
      </c>
      <c r="H2761" s="8">
        <v>3</v>
      </c>
      <c r="I2761" s="10">
        <v>42064</v>
      </c>
      <c r="J2761" s="11">
        <v>4101</v>
      </c>
      <c r="K2761" s="51"/>
      <c r="O2761" s="1" t="s">
        <v>3</v>
      </c>
      <c r="P2761" s="1" t="s">
        <v>25</v>
      </c>
      <c r="Q2761" s="1" t="s">
        <v>4</v>
      </c>
      <c r="R2761" s="2" t="s">
        <v>0</v>
      </c>
      <c r="S2761" s="2" t="s">
        <v>26</v>
      </c>
      <c r="T2761" s="1">
        <v>2015</v>
      </c>
      <c r="U2761" s="1">
        <v>3</v>
      </c>
      <c r="V2761" s="50">
        <v>42064</v>
      </c>
      <c r="W2761" s="4">
        <v>3567.8700000000003</v>
      </c>
      <c r="X2761" s="48">
        <v>4101</v>
      </c>
    </row>
    <row r="2762" spans="2:24" x14ac:dyDescent="0.35">
      <c r="B2762" s="8" t="s">
        <v>3</v>
      </c>
      <c r="C2762" s="8" t="s">
        <v>22</v>
      </c>
      <c r="D2762" s="8" t="s">
        <v>5</v>
      </c>
      <c r="E2762" s="8" t="s">
        <v>0</v>
      </c>
      <c r="F2762" s="9" t="s">
        <v>26</v>
      </c>
      <c r="G2762" s="8">
        <v>2015</v>
      </c>
      <c r="H2762" s="8">
        <v>3</v>
      </c>
      <c r="I2762" s="10">
        <v>42064</v>
      </c>
      <c r="J2762" s="11">
        <v>5232</v>
      </c>
      <c r="K2762" s="51"/>
      <c r="O2762" s="1" t="s">
        <v>3</v>
      </c>
      <c r="P2762" s="1" t="s">
        <v>22</v>
      </c>
      <c r="Q2762" s="1" t="s">
        <v>5</v>
      </c>
      <c r="R2762" s="1" t="s">
        <v>0</v>
      </c>
      <c r="S2762" s="2" t="s">
        <v>26</v>
      </c>
      <c r="T2762" s="1">
        <v>2015</v>
      </c>
      <c r="U2762" s="1">
        <v>3</v>
      </c>
      <c r="V2762" s="50">
        <v>42064</v>
      </c>
      <c r="W2762" s="4">
        <v>4604.16</v>
      </c>
      <c r="X2762" s="48">
        <v>5232</v>
      </c>
    </row>
    <row r="2763" spans="2:24" x14ac:dyDescent="0.35">
      <c r="B2763" s="8" t="s">
        <v>3</v>
      </c>
      <c r="C2763" s="8" t="s">
        <v>22</v>
      </c>
      <c r="D2763" s="8" t="s">
        <v>5</v>
      </c>
      <c r="E2763" s="8" t="s">
        <v>27</v>
      </c>
      <c r="F2763" s="6" t="s">
        <v>28</v>
      </c>
      <c r="G2763" s="8">
        <v>2015</v>
      </c>
      <c r="H2763" s="8">
        <v>3</v>
      </c>
      <c r="I2763" s="10">
        <v>42064</v>
      </c>
      <c r="J2763" s="11">
        <v>4118</v>
      </c>
      <c r="K2763" s="51"/>
      <c r="O2763" s="1" t="s">
        <v>3</v>
      </c>
      <c r="P2763" s="1" t="s">
        <v>22</v>
      </c>
      <c r="Q2763" s="1" t="s">
        <v>5</v>
      </c>
      <c r="R2763" s="1" t="s">
        <v>27</v>
      </c>
      <c r="S2763" t="s">
        <v>28</v>
      </c>
      <c r="T2763" s="1">
        <v>2015</v>
      </c>
      <c r="U2763" s="1">
        <v>3</v>
      </c>
      <c r="V2763" s="50">
        <v>42064</v>
      </c>
      <c r="W2763" s="4">
        <v>3747.3799999999997</v>
      </c>
      <c r="X2763" s="48">
        <v>4118</v>
      </c>
    </row>
    <row r="2764" spans="2:24" x14ac:dyDescent="0.35">
      <c r="B2764" s="8" t="s">
        <v>6</v>
      </c>
      <c r="C2764" s="8" t="s">
        <v>29</v>
      </c>
      <c r="D2764" s="8" t="s">
        <v>30</v>
      </c>
      <c r="E2764" s="8" t="s">
        <v>27</v>
      </c>
      <c r="F2764" s="8" t="s">
        <v>31</v>
      </c>
      <c r="G2764" s="8">
        <v>2015</v>
      </c>
      <c r="H2764" s="8">
        <v>3</v>
      </c>
      <c r="I2764" s="10">
        <v>42064</v>
      </c>
      <c r="J2764" s="11">
        <v>4626</v>
      </c>
      <c r="K2764" s="51"/>
      <c r="O2764" s="1" t="s">
        <v>6</v>
      </c>
      <c r="P2764" s="1" t="s">
        <v>29</v>
      </c>
      <c r="Q2764" s="1" t="s">
        <v>30</v>
      </c>
      <c r="R2764" s="1" t="s">
        <v>27</v>
      </c>
      <c r="S2764" s="1" t="s">
        <v>31</v>
      </c>
      <c r="T2764" s="1">
        <v>2015</v>
      </c>
      <c r="U2764" s="1">
        <v>3</v>
      </c>
      <c r="V2764" s="50">
        <v>42064</v>
      </c>
      <c r="W2764" s="4">
        <v>3978.3600000000006</v>
      </c>
      <c r="X2764" s="48">
        <v>4626</v>
      </c>
    </row>
    <row r="2765" spans="2:24" x14ac:dyDescent="0.35">
      <c r="B2765" s="8" t="s">
        <v>7</v>
      </c>
      <c r="C2765" s="8" t="s">
        <v>32</v>
      </c>
      <c r="D2765" s="8" t="s">
        <v>8</v>
      </c>
      <c r="E2765" s="8" t="s">
        <v>27</v>
      </c>
      <c r="F2765" s="8" t="s">
        <v>33</v>
      </c>
      <c r="G2765" s="8">
        <v>2015</v>
      </c>
      <c r="H2765" s="8">
        <v>3</v>
      </c>
      <c r="I2765" s="10">
        <v>42064</v>
      </c>
      <c r="J2765" s="11">
        <v>2887</v>
      </c>
      <c r="K2765" s="51"/>
      <c r="O2765" s="1" t="s">
        <v>7</v>
      </c>
      <c r="P2765" s="1" t="s">
        <v>32</v>
      </c>
      <c r="Q2765" s="1" t="s">
        <v>8</v>
      </c>
      <c r="R2765" s="1" t="s">
        <v>27</v>
      </c>
      <c r="S2765" s="1" t="s">
        <v>33</v>
      </c>
      <c r="T2765" s="1">
        <v>2015</v>
      </c>
      <c r="U2765" s="1">
        <v>3</v>
      </c>
      <c r="V2765" s="50">
        <v>42064</v>
      </c>
      <c r="W2765" s="4">
        <v>2713.7799999999997</v>
      </c>
      <c r="X2765" s="48">
        <v>2887</v>
      </c>
    </row>
    <row r="2766" spans="2:24" x14ac:dyDescent="0.35">
      <c r="B2766" s="8" t="s">
        <v>12</v>
      </c>
      <c r="C2766" s="8" t="s">
        <v>34</v>
      </c>
      <c r="D2766" s="8" t="s">
        <v>35</v>
      </c>
      <c r="E2766" s="8" t="s">
        <v>23</v>
      </c>
      <c r="F2766" s="8" t="s">
        <v>36</v>
      </c>
      <c r="G2766" s="8">
        <v>2015</v>
      </c>
      <c r="H2766" s="8">
        <v>3</v>
      </c>
      <c r="I2766" s="10">
        <v>42064</v>
      </c>
      <c r="J2766" s="11">
        <v>2814</v>
      </c>
      <c r="K2766" s="51"/>
      <c r="O2766" s="1" t="s">
        <v>12</v>
      </c>
      <c r="P2766" s="1" t="s">
        <v>34</v>
      </c>
      <c r="Q2766" s="1" t="s">
        <v>35</v>
      </c>
      <c r="R2766" s="1" t="s">
        <v>23</v>
      </c>
      <c r="S2766" s="1" t="s">
        <v>36</v>
      </c>
      <c r="T2766" s="1">
        <v>2015</v>
      </c>
      <c r="U2766" s="1">
        <v>3</v>
      </c>
      <c r="V2766" s="50">
        <v>42064</v>
      </c>
      <c r="W2766" s="4">
        <v>2476.3199999999997</v>
      </c>
      <c r="X2766" s="48">
        <v>2814</v>
      </c>
    </row>
    <row r="2767" spans="2:24" x14ac:dyDescent="0.35">
      <c r="B2767" s="8" t="s">
        <v>14</v>
      </c>
      <c r="C2767" s="8" t="s">
        <v>37</v>
      </c>
      <c r="D2767" s="8" t="s">
        <v>38</v>
      </c>
      <c r="E2767" s="8" t="s">
        <v>23</v>
      </c>
      <c r="F2767" s="6" t="s">
        <v>24</v>
      </c>
      <c r="G2767" s="8">
        <v>2015</v>
      </c>
      <c r="H2767" s="8">
        <v>3</v>
      </c>
      <c r="I2767" s="10">
        <v>42064</v>
      </c>
      <c r="J2767" s="11">
        <v>2296</v>
      </c>
      <c r="K2767" s="51"/>
      <c r="O2767" s="1" t="s">
        <v>14</v>
      </c>
      <c r="P2767" s="1" t="s">
        <v>37</v>
      </c>
      <c r="Q2767" s="1" t="s">
        <v>38</v>
      </c>
      <c r="R2767" s="1" t="s">
        <v>23</v>
      </c>
      <c r="S2767" t="s">
        <v>24</v>
      </c>
      <c r="T2767" s="1">
        <v>2015</v>
      </c>
      <c r="U2767" s="1">
        <v>3</v>
      </c>
      <c r="V2767" s="50">
        <v>42064</v>
      </c>
      <c r="W2767" s="4">
        <v>2066.3999999999996</v>
      </c>
      <c r="X2767" s="48">
        <v>2296</v>
      </c>
    </row>
    <row r="2768" spans="2:24" x14ac:dyDescent="0.35">
      <c r="B2768" s="8" t="s">
        <v>3</v>
      </c>
      <c r="C2768" s="8" t="s">
        <v>25</v>
      </c>
      <c r="D2768" s="8" t="s">
        <v>4</v>
      </c>
      <c r="E2768" s="8" t="s">
        <v>23</v>
      </c>
      <c r="F2768" s="6" t="s">
        <v>39</v>
      </c>
      <c r="G2768" s="8">
        <v>2015</v>
      </c>
      <c r="H2768" s="8">
        <v>3</v>
      </c>
      <c r="I2768" s="10">
        <v>42064</v>
      </c>
      <c r="J2768" s="11">
        <v>2503</v>
      </c>
      <c r="K2768" s="51"/>
      <c r="O2768" s="1" t="s">
        <v>3</v>
      </c>
      <c r="P2768" s="1" t="s">
        <v>25</v>
      </c>
      <c r="Q2768" s="1" t="s">
        <v>4</v>
      </c>
      <c r="R2768" s="1" t="s">
        <v>23</v>
      </c>
      <c r="S2768" t="s">
        <v>39</v>
      </c>
      <c r="T2768" s="1">
        <v>2015</v>
      </c>
      <c r="U2768" s="1">
        <v>3</v>
      </c>
      <c r="V2768" s="50">
        <v>42064</v>
      </c>
      <c r="W2768" s="4">
        <v>2327.79</v>
      </c>
      <c r="X2768" s="48">
        <v>2503</v>
      </c>
    </row>
    <row r="2769" spans="2:24" x14ac:dyDescent="0.35">
      <c r="B2769" s="8" t="s">
        <v>6</v>
      </c>
      <c r="C2769" s="8" t="s">
        <v>40</v>
      </c>
      <c r="D2769" s="8" t="s">
        <v>41</v>
      </c>
      <c r="E2769" s="8" t="s">
        <v>0</v>
      </c>
      <c r="F2769" s="6" t="s">
        <v>42</v>
      </c>
      <c r="G2769" s="8">
        <v>2015</v>
      </c>
      <c r="H2769" s="8">
        <v>3</v>
      </c>
      <c r="I2769" s="10">
        <v>42064</v>
      </c>
      <c r="J2769" s="11">
        <v>6530</v>
      </c>
      <c r="K2769" s="51"/>
      <c r="O2769" s="1" t="s">
        <v>6</v>
      </c>
      <c r="P2769" s="1" t="s">
        <v>40</v>
      </c>
      <c r="Q2769" s="1" t="s">
        <v>41</v>
      </c>
      <c r="R2769" s="1" t="s">
        <v>0</v>
      </c>
      <c r="S2769" t="s">
        <v>42</v>
      </c>
      <c r="T2769" s="1">
        <v>2015</v>
      </c>
      <c r="U2769" s="1">
        <v>3</v>
      </c>
      <c r="V2769" s="50">
        <v>42064</v>
      </c>
      <c r="W2769" s="4">
        <v>5550.5000000000009</v>
      </c>
      <c r="X2769" s="48">
        <v>6530</v>
      </c>
    </row>
    <row r="2770" spans="2:24" x14ac:dyDescent="0.35">
      <c r="B2770" s="8" t="s">
        <v>7</v>
      </c>
      <c r="C2770" s="8" t="s">
        <v>43</v>
      </c>
      <c r="D2770" s="8" t="s">
        <v>10</v>
      </c>
      <c r="E2770" s="9" t="s">
        <v>0</v>
      </c>
      <c r="F2770" s="9" t="s">
        <v>26</v>
      </c>
      <c r="G2770" s="8">
        <v>2015</v>
      </c>
      <c r="H2770" s="8">
        <v>3</v>
      </c>
      <c r="I2770" s="10">
        <v>42064</v>
      </c>
      <c r="J2770" s="11">
        <v>3238</v>
      </c>
      <c r="K2770" s="51"/>
      <c r="O2770" s="1" t="s">
        <v>7</v>
      </c>
      <c r="P2770" s="1" t="s">
        <v>43</v>
      </c>
      <c r="Q2770" s="1" t="s">
        <v>10</v>
      </c>
      <c r="R2770" s="2" t="s">
        <v>0</v>
      </c>
      <c r="S2770" s="2" t="s">
        <v>26</v>
      </c>
      <c r="T2770" s="1">
        <v>2015</v>
      </c>
      <c r="U2770" s="1">
        <v>3</v>
      </c>
      <c r="V2770" s="50">
        <v>42064</v>
      </c>
      <c r="W2770" s="4">
        <v>2914.2</v>
      </c>
      <c r="X2770" s="48">
        <v>3238</v>
      </c>
    </row>
    <row r="2771" spans="2:24" x14ac:dyDescent="0.35">
      <c r="B2771" s="8" t="s">
        <v>12</v>
      </c>
      <c r="C2771" s="8" t="s">
        <v>44</v>
      </c>
      <c r="D2771" s="8" t="s">
        <v>13</v>
      </c>
      <c r="E2771" s="8" t="s">
        <v>0</v>
      </c>
      <c r="F2771" s="9" t="s">
        <v>45</v>
      </c>
      <c r="G2771" s="8">
        <v>2015</v>
      </c>
      <c r="H2771" s="8">
        <v>3</v>
      </c>
      <c r="I2771" s="10">
        <v>42064</v>
      </c>
      <c r="J2771" s="11">
        <v>3889</v>
      </c>
      <c r="K2771" s="51"/>
      <c r="O2771" s="1" t="s">
        <v>12</v>
      </c>
      <c r="P2771" s="1" t="s">
        <v>44</v>
      </c>
      <c r="Q2771" s="1" t="s">
        <v>13</v>
      </c>
      <c r="R2771" s="1" t="s">
        <v>0</v>
      </c>
      <c r="S2771" s="2" t="s">
        <v>45</v>
      </c>
      <c r="T2771" s="1">
        <v>2015</v>
      </c>
      <c r="U2771" s="1">
        <v>3</v>
      </c>
      <c r="V2771" s="50">
        <v>42064</v>
      </c>
      <c r="W2771" s="4">
        <v>3538.99</v>
      </c>
      <c r="X2771" s="48">
        <v>3889</v>
      </c>
    </row>
    <row r="2772" spans="2:24" x14ac:dyDescent="0.35">
      <c r="B2772" s="8" t="s">
        <v>14</v>
      </c>
      <c r="C2772" s="8" t="s">
        <v>46</v>
      </c>
      <c r="D2772" s="8" t="s">
        <v>47</v>
      </c>
      <c r="E2772" s="8" t="s">
        <v>27</v>
      </c>
      <c r="F2772" s="6" t="s">
        <v>28</v>
      </c>
      <c r="G2772" s="8">
        <v>2015</v>
      </c>
      <c r="H2772" s="8">
        <v>3</v>
      </c>
      <c r="I2772" s="10">
        <v>42064</v>
      </c>
      <c r="J2772" s="11">
        <v>4739</v>
      </c>
      <c r="K2772" s="51"/>
      <c r="O2772" s="1" t="s">
        <v>14</v>
      </c>
      <c r="P2772" s="1" t="s">
        <v>46</v>
      </c>
      <c r="Q2772" s="1" t="s">
        <v>47</v>
      </c>
      <c r="R2772" s="1" t="s">
        <v>27</v>
      </c>
      <c r="S2772" t="s">
        <v>28</v>
      </c>
      <c r="T2772" s="1">
        <v>2015</v>
      </c>
      <c r="U2772" s="1">
        <v>3</v>
      </c>
      <c r="V2772" s="50">
        <v>42064</v>
      </c>
      <c r="W2772" s="4">
        <v>4217.7099999999991</v>
      </c>
      <c r="X2772" s="48">
        <v>4739</v>
      </c>
    </row>
    <row r="2773" spans="2:24" x14ac:dyDescent="0.35">
      <c r="B2773" s="8" t="s">
        <v>3</v>
      </c>
      <c r="C2773" s="8" t="s">
        <v>22</v>
      </c>
      <c r="D2773" s="8" t="s">
        <v>5</v>
      </c>
      <c r="E2773" s="8" t="s">
        <v>27</v>
      </c>
      <c r="F2773" s="8" t="s">
        <v>31</v>
      </c>
      <c r="G2773" s="8">
        <v>2015</v>
      </c>
      <c r="H2773" s="8">
        <v>3</v>
      </c>
      <c r="I2773" s="10">
        <v>42064</v>
      </c>
      <c r="J2773" s="11">
        <v>5509</v>
      </c>
      <c r="K2773" s="51"/>
      <c r="O2773" s="1" t="s">
        <v>3</v>
      </c>
      <c r="P2773" s="1" t="s">
        <v>22</v>
      </c>
      <c r="Q2773" s="1" t="s">
        <v>5</v>
      </c>
      <c r="R2773" s="1" t="s">
        <v>27</v>
      </c>
      <c r="S2773" s="1" t="s">
        <v>31</v>
      </c>
      <c r="T2773" s="1">
        <v>2015</v>
      </c>
      <c r="U2773" s="1">
        <v>3</v>
      </c>
      <c r="V2773" s="50">
        <v>42064</v>
      </c>
      <c r="W2773" s="4">
        <v>5178.46</v>
      </c>
      <c r="X2773" s="48">
        <v>5509</v>
      </c>
    </row>
    <row r="2774" spans="2:24" x14ac:dyDescent="0.35">
      <c r="B2774" s="8" t="s">
        <v>6</v>
      </c>
      <c r="C2774" s="8" t="s">
        <v>29</v>
      </c>
      <c r="D2774" s="8" t="s">
        <v>30</v>
      </c>
      <c r="E2774" s="8" t="s">
        <v>27</v>
      </c>
      <c r="F2774" s="8" t="s">
        <v>33</v>
      </c>
      <c r="G2774" s="8">
        <v>2015</v>
      </c>
      <c r="H2774" s="8">
        <v>3</v>
      </c>
      <c r="I2774" s="10">
        <v>42064</v>
      </c>
      <c r="J2774" s="11">
        <v>3647</v>
      </c>
      <c r="K2774" s="51"/>
      <c r="O2774" s="1" t="s">
        <v>6</v>
      </c>
      <c r="P2774" s="1" t="s">
        <v>29</v>
      </c>
      <c r="Q2774" s="1" t="s">
        <v>30</v>
      </c>
      <c r="R2774" s="1" t="s">
        <v>27</v>
      </c>
      <c r="S2774" s="1" t="s">
        <v>33</v>
      </c>
      <c r="T2774" s="1">
        <v>2015</v>
      </c>
      <c r="U2774" s="1">
        <v>3</v>
      </c>
      <c r="V2774" s="50">
        <v>42064</v>
      </c>
      <c r="W2774" s="4">
        <v>3282.2999999999997</v>
      </c>
      <c r="X2774" s="48">
        <v>3647</v>
      </c>
    </row>
    <row r="2775" spans="2:24" x14ac:dyDescent="0.35">
      <c r="B2775" s="8" t="s">
        <v>7</v>
      </c>
      <c r="C2775" s="8" t="s">
        <v>32</v>
      </c>
      <c r="D2775" s="8" t="s">
        <v>8</v>
      </c>
      <c r="E2775" s="8" t="s">
        <v>23</v>
      </c>
      <c r="F2775" s="8" t="s">
        <v>36</v>
      </c>
      <c r="G2775" s="8">
        <v>2015</v>
      </c>
      <c r="H2775" s="8">
        <v>3</v>
      </c>
      <c r="I2775" s="10">
        <v>42064</v>
      </c>
      <c r="J2775" s="11">
        <v>1602</v>
      </c>
      <c r="K2775" s="51"/>
      <c r="O2775" s="1" t="s">
        <v>7</v>
      </c>
      <c r="P2775" s="1" t="s">
        <v>32</v>
      </c>
      <c r="Q2775" s="1" t="s">
        <v>8</v>
      </c>
      <c r="R2775" s="1" t="s">
        <v>23</v>
      </c>
      <c r="S2775" s="1" t="s">
        <v>36</v>
      </c>
      <c r="T2775" s="1">
        <v>2015</v>
      </c>
      <c r="U2775" s="1">
        <v>3</v>
      </c>
      <c r="V2775" s="50">
        <v>42064</v>
      </c>
      <c r="W2775" s="4">
        <v>1473.84</v>
      </c>
      <c r="X2775" s="48">
        <v>1602</v>
      </c>
    </row>
    <row r="2776" spans="2:24" x14ac:dyDescent="0.35">
      <c r="B2776" s="8" t="s">
        <v>12</v>
      </c>
      <c r="C2776" s="8" t="s">
        <v>34</v>
      </c>
      <c r="D2776" s="8" t="s">
        <v>35</v>
      </c>
      <c r="E2776" s="8" t="s">
        <v>23</v>
      </c>
      <c r="F2776" s="6" t="s">
        <v>24</v>
      </c>
      <c r="G2776" s="8">
        <v>2015</v>
      </c>
      <c r="H2776" s="8">
        <v>3</v>
      </c>
      <c r="I2776" s="10">
        <v>42064</v>
      </c>
      <c r="J2776" s="11">
        <v>1850</v>
      </c>
      <c r="K2776" s="51"/>
      <c r="O2776" s="1" t="s">
        <v>12</v>
      </c>
      <c r="P2776" s="1" t="s">
        <v>34</v>
      </c>
      <c r="Q2776" s="1" t="s">
        <v>35</v>
      </c>
      <c r="R2776" s="1" t="s">
        <v>23</v>
      </c>
      <c r="S2776" t="s">
        <v>24</v>
      </c>
      <c r="T2776" s="1">
        <v>2015</v>
      </c>
      <c r="U2776" s="1">
        <v>3</v>
      </c>
      <c r="V2776" s="50">
        <v>42064</v>
      </c>
      <c r="W2776" s="4">
        <v>1739</v>
      </c>
      <c r="X2776" s="48">
        <v>1850</v>
      </c>
    </row>
    <row r="2777" spans="2:24" x14ac:dyDescent="0.35">
      <c r="B2777" s="8" t="s">
        <v>14</v>
      </c>
      <c r="C2777" s="8" t="s">
        <v>37</v>
      </c>
      <c r="D2777" s="8" t="s">
        <v>38</v>
      </c>
      <c r="E2777" s="8" t="s">
        <v>23</v>
      </c>
      <c r="F2777" s="6" t="s">
        <v>39</v>
      </c>
      <c r="G2777" s="8">
        <v>2015</v>
      </c>
      <c r="H2777" s="8">
        <v>3</v>
      </c>
      <c r="I2777" s="10">
        <v>42064</v>
      </c>
      <c r="J2777" s="11">
        <v>1487</v>
      </c>
      <c r="K2777" s="51"/>
      <c r="O2777" s="1" t="s">
        <v>14</v>
      </c>
      <c r="P2777" s="1" t="s">
        <v>37</v>
      </c>
      <c r="Q2777" s="1" t="s">
        <v>38</v>
      </c>
      <c r="R2777" s="1" t="s">
        <v>23</v>
      </c>
      <c r="S2777" t="s">
        <v>39</v>
      </c>
      <c r="T2777" s="1">
        <v>2015</v>
      </c>
      <c r="U2777" s="1">
        <v>3</v>
      </c>
      <c r="V2777" s="50">
        <v>42064</v>
      </c>
      <c r="W2777" s="4">
        <v>1263.95</v>
      </c>
      <c r="X2777" s="48">
        <v>1487</v>
      </c>
    </row>
    <row r="2778" spans="2:24" x14ac:dyDescent="0.35">
      <c r="B2778" s="8" t="s">
        <v>3</v>
      </c>
      <c r="C2778" s="8" t="s">
        <v>25</v>
      </c>
      <c r="D2778" s="8" t="s">
        <v>4</v>
      </c>
      <c r="E2778" s="8" t="s">
        <v>0</v>
      </c>
      <c r="F2778" s="6" t="s">
        <v>42</v>
      </c>
      <c r="G2778" s="8">
        <v>2015</v>
      </c>
      <c r="H2778" s="8">
        <v>3</v>
      </c>
      <c r="I2778" s="10">
        <v>42064</v>
      </c>
      <c r="J2778" s="11">
        <v>4190</v>
      </c>
      <c r="K2778" s="51"/>
      <c r="O2778" s="1" t="s">
        <v>3</v>
      </c>
      <c r="P2778" s="1" t="s">
        <v>25</v>
      </c>
      <c r="Q2778" s="1" t="s">
        <v>4</v>
      </c>
      <c r="R2778" s="1" t="s">
        <v>0</v>
      </c>
      <c r="S2778" t="s">
        <v>42</v>
      </c>
      <c r="T2778" s="1">
        <v>2015</v>
      </c>
      <c r="U2778" s="1">
        <v>3</v>
      </c>
      <c r="V2778" s="50">
        <v>42064</v>
      </c>
      <c r="W2778" s="4">
        <v>3645.3</v>
      </c>
      <c r="X2778" s="48">
        <v>4190</v>
      </c>
    </row>
    <row r="2779" spans="2:24" x14ac:dyDescent="0.35">
      <c r="B2779" s="8" t="s">
        <v>6</v>
      </c>
      <c r="C2779" s="8" t="s">
        <v>40</v>
      </c>
      <c r="D2779" s="8" t="s">
        <v>41</v>
      </c>
      <c r="E2779" s="9" t="s">
        <v>0</v>
      </c>
      <c r="F2779" s="9" t="s">
        <v>26</v>
      </c>
      <c r="G2779" s="8">
        <v>2015</v>
      </c>
      <c r="H2779" s="8">
        <v>3</v>
      </c>
      <c r="I2779" s="10">
        <v>42064</v>
      </c>
      <c r="J2779" s="11">
        <v>3536</v>
      </c>
      <c r="K2779" s="51"/>
      <c r="O2779" s="1" t="s">
        <v>6</v>
      </c>
      <c r="P2779" s="1" t="s">
        <v>40</v>
      </c>
      <c r="Q2779" s="1" t="s">
        <v>41</v>
      </c>
      <c r="R2779" s="2" t="s">
        <v>0</v>
      </c>
      <c r="S2779" s="2" t="s">
        <v>26</v>
      </c>
      <c r="T2779" s="1">
        <v>2015</v>
      </c>
      <c r="U2779" s="1">
        <v>3</v>
      </c>
      <c r="V2779" s="50">
        <v>42064</v>
      </c>
      <c r="W2779" s="4">
        <v>3005.6000000000004</v>
      </c>
      <c r="X2779" s="48">
        <v>3536</v>
      </c>
    </row>
    <row r="2780" spans="2:24" x14ac:dyDescent="0.35">
      <c r="B2780" s="8" t="s">
        <v>7</v>
      </c>
      <c r="C2780" s="8" t="s">
        <v>43</v>
      </c>
      <c r="D2780" s="8" t="s">
        <v>10</v>
      </c>
      <c r="E2780" s="8" t="s">
        <v>0</v>
      </c>
      <c r="F2780" s="9" t="s">
        <v>45</v>
      </c>
      <c r="G2780" s="8">
        <v>2015</v>
      </c>
      <c r="H2780" s="8">
        <v>3</v>
      </c>
      <c r="I2780" s="10">
        <v>42064</v>
      </c>
      <c r="J2780" s="11">
        <v>4104</v>
      </c>
      <c r="K2780" s="51"/>
      <c r="O2780" s="1" t="s">
        <v>7</v>
      </c>
      <c r="P2780" s="1" t="s">
        <v>43</v>
      </c>
      <c r="Q2780" s="1" t="s">
        <v>10</v>
      </c>
      <c r="R2780" s="1" t="s">
        <v>0</v>
      </c>
      <c r="S2780" s="2" t="s">
        <v>45</v>
      </c>
      <c r="T2780" s="1">
        <v>2015</v>
      </c>
      <c r="U2780" s="1">
        <v>3</v>
      </c>
      <c r="V2780" s="50">
        <v>42064</v>
      </c>
      <c r="W2780" s="4">
        <v>3529.4400000000005</v>
      </c>
      <c r="X2780" s="48">
        <v>4104</v>
      </c>
    </row>
    <row r="2781" spans="2:24" x14ac:dyDescent="0.35">
      <c r="B2781" s="8" t="s">
        <v>12</v>
      </c>
      <c r="C2781" s="8" t="s">
        <v>44</v>
      </c>
      <c r="D2781" s="8" t="s">
        <v>13</v>
      </c>
      <c r="E2781" s="8" t="s">
        <v>27</v>
      </c>
      <c r="F2781" s="6" t="s">
        <v>28</v>
      </c>
      <c r="G2781" s="8">
        <v>2015</v>
      </c>
      <c r="H2781" s="8">
        <v>3</v>
      </c>
      <c r="I2781" s="10">
        <v>42064</v>
      </c>
      <c r="J2781" s="11">
        <v>3232</v>
      </c>
      <c r="K2781" s="51"/>
      <c r="O2781" s="1" t="s">
        <v>12</v>
      </c>
      <c r="P2781" s="1" t="s">
        <v>44</v>
      </c>
      <c r="Q2781" s="1" t="s">
        <v>13</v>
      </c>
      <c r="R2781" s="1" t="s">
        <v>27</v>
      </c>
      <c r="S2781" t="s">
        <v>28</v>
      </c>
      <c r="T2781" s="1">
        <v>2015</v>
      </c>
      <c r="U2781" s="1">
        <v>3</v>
      </c>
      <c r="V2781" s="50">
        <v>42064</v>
      </c>
      <c r="W2781" s="4">
        <v>3005.7599999999998</v>
      </c>
      <c r="X2781" s="48">
        <v>3232</v>
      </c>
    </row>
    <row r="2782" spans="2:24" x14ac:dyDescent="0.35">
      <c r="B2782" s="8" t="s">
        <v>14</v>
      </c>
      <c r="C2782" s="8" t="s">
        <v>46</v>
      </c>
      <c r="D2782" s="8" t="s">
        <v>47</v>
      </c>
      <c r="E2782" s="8" t="s">
        <v>27</v>
      </c>
      <c r="F2782" s="8" t="s">
        <v>31</v>
      </c>
      <c r="G2782" s="8">
        <v>2015</v>
      </c>
      <c r="H2782" s="8">
        <v>3</v>
      </c>
      <c r="I2782" s="10">
        <v>42064</v>
      </c>
      <c r="J2782" s="11">
        <v>3526</v>
      </c>
      <c r="K2782" s="51"/>
      <c r="O2782" s="1" t="s">
        <v>14</v>
      </c>
      <c r="P2782" s="1" t="s">
        <v>46</v>
      </c>
      <c r="Q2782" s="1" t="s">
        <v>47</v>
      </c>
      <c r="R2782" s="1" t="s">
        <v>27</v>
      </c>
      <c r="S2782" s="1" t="s">
        <v>31</v>
      </c>
      <c r="T2782" s="1">
        <v>2015</v>
      </c>
      <c r="U2782" s="1">
        <v>3</v>
      </c>
      <c r="V2782" s="50">
        <v>42064</v>
      </c>
      <c r="W2782" s="4">
        <v>3314.4399999999996</v>
      </c>
      <c r="X2782" s="48">
        <v>3526</v>
      </c>
    </row>
    <row r="2783" spans="2:24" x14ac:dyDescent="0.35">
      <c r="B2783" s="8" t="s">
        <v>3</v>
      </c>
      <c r="C2783" s="8" t="s">
        <v>22</v>
      </c>
      <c r="D2783" s="8" t="s">
        <v>5</v>
      </c>
      <c r="E2783" s="8" t="s">
        <v>27</v>
      </c>
      <c r="F2783" s="8" t="s">
        <v>33</v>
      </c>
      <c r="G2783" s="8">
        <v>2015</v>
      </c>
      <c r="H2783" s="8">
        <v>3</v>
      </c>
      <c r="I2783" s="10">
        <v>42064</v>
      </c>
      <c r="J2783" s="11">
        <v>3702</v>
      </c>
      <c r="K2783" s="51"/>
      <c r="O2783" s="1" t="s">
        <v>3</v>
      </c>
      <c r="P2783" s="1" t="s">
        <v>22</v>
      </c>
      <c r="Q2783" s="1" t="s">
        <v>5</v>
      </c>
      <c r="R2783" s="1" t="s">
        <v>27</v>
      </c>
      <c r="S2783" s="1" t="s">
        <v>33</v>
      </c>
      <c r="T2783" s="1">
        <v>2015</v>
      </c>
      <c r="U2783" s="1">
        <v>3</v>
      </c>
      <c r="V2783" s="50">
        <v>42064</v>
      </c>
      <c r="W2783" s="4">
        <v>3183.7200000000003</v>
      </c>
      <c r="X2783" s="48">
        <v>3702</v>
      </c>
    </row>
    <row r="2784" spans="2:24" x14ac:dyDescent="0.35">
      <c r="B2784" s="8" t="s">
        <v>6</v>
      </c>
      <c r="C2784" s="8" t="s">
        <v>29</v>
      </c>
      <c r="D2784" s="8" t="s">
        <v>30</v>
      </c>
      <c r="E2784" s="8" t="s">
        <v>23</v>
      </c>
      <c r="F2784" s="8" t="s">
        <v>36</v>
      </c>
      <c r="G2784" s="8">
        <v>2015</v>
      </c>
      <c r="H2784" s="8">
        <v>3</v>
      </c>
      <c r="I2784" s="10">
        <v>42064</v>
      </c>
      <c r="J2784" s="11">
        <v>2979</v>
      </c>
      <c r="K2784" s="51"/>
      <c r="O2784" s="1" t="s">
        <v>6</v>
      </c>
      <c r="P2784" s="1" t="s">
        <v>29</v>
      </c>
      <c r="Q2784" s="1" t="s">
        <v>30</v>
      </c>
      <c r="R2784" s="1" t="s">
        <v>23</v>
      </c>
      <c r="S2784" s="1" t="s">
        <v>36</v>
      </c>
      <c r="T2784" s="1">
        <v>2015</v>
      </c>
      <c r="U2784" s="1">
        <v>3</v>
      </c>
      <c r="V2784" s="50">
        <v>42064</v>
      </c>
      <c r="W2784" s="4">
        <v>2710.89</v>
      </c>
      <c r="X2784" s="48">
        <v>2979</v>
      </c>
    </row>
    <row r="2785" spans="2:24" x14ac:dyDescent="0.35">
      <c r="B2785" s="8" t="s">
        <v>7</v>
      </c>
      <c r="C2785" s="8" t="s">
        <v>32</v>
      </c>
      <c r="D2785" s="8" t="s">
        <v>8</v>
      </c>
      <c r="E2785" s="8" t="s">
        <v>23</v>
      </c>
      <c r="F2785" s="6" t="s">
        <v>24</v>
      </c>
      <c r="G2785" s="8">
        <v>2015</v>
      </c>
      <c r="H2785" s="8">
        <v>3</v>
      </c>
      <c r="I2785" s="10">
        <v>42064</v>
      </c>
      <c r="J2785" s="11">
        <v>3354</v>
      </c>
      <c r="K2785" s="51"/>
      <c r="O2785" s="1" t="s">
        <v>7</v>
      </c>
      <c r="P2785" s="1" t="s">
        <v>32</v>
      </c>
      <c r="Q2785" s="1" t="s">
        <v>8</v>
      </c>
      <c r="R2785" s="1" t="s">
        <v>23</v>
      </c>
      <c r="S2785" t="s">
        <v>24</v>
      </c>
      <c r="T2785" s="1">
        <v>2015</v>
      </c>
      <c r="U2785" s="1">
        <v>3</v>
      </c>
      <c r="V2785" s="50">
        <v>42064</v>
      </c>
      <c r="W2785" s="4">
        <v>2884.4400000000005</v>
      </c>
      <c r="X2785" s="48">
        <v>3354</v>
      </c>
    </row>
    <row r="2786" spans="2:24" x14ac:dyDescent="0.35">
      <c r="B2786" s="8" t="s">
        <v>12</v>
      </c>
      <c r="C2786" s="8" t="s">
        <v>34</v>
      </c>
      <c r="D2786" s="8" t="s">
        <v>35</v>
      </c>
      <c r="E2786" s="8" t="s">
        <v>23</v>
      </c>
      <c r="F2786" s="6" t="s">
        <v>39</v>
      </c>
      <c r="G2786" s="8">
        <v>2015</v>
      </c>
      <c r="H2786" s="8">
        <v>3</v>
      </c>
      <c r="I2786" s="10">
        <v>42064</v>
      </c>
      <c r="J2786" s="11">
        <v>1412</v>
      </c>
      <c r="K2786" s="51"/>
      <c r="O2786" s="1" t="s">
        <v>12</v>
      </c>
      <c r="P2786" s="1" t="s">
        <v>34</v>
      </c>
      <c r="Q2786" s="1" t="s">
        <v>35</v>
      </c>
      <c r="R2786" s="1" t="s">
        <v>23</v>
      </c>
      <c r="S2786" t="s">
        <v>39</v>
      </c>
      <c r="T2786" s="1">
        <v>2015</v>
      </c>
      <c r="U2786" s="1">
        <v>3</v>
      </c>
      <c r="V2786" s="50">
        <v>42064</v>
      </c>
      <c r="W2786" s="4">
        <v>1256.6799999999998</v>
      </c>
      <c r="X2786" s="48">
        <v>1412</v>
      </c>
    </row>
    <row r="2787" spans="2:24" x14ac:dyDescent="0.35">
      <c r="B2787" s="8" t="s">
        <v>14</v>
      </c>
      <c r="C2787" s="8" t="s">
        <v>37</v>
      </c>
      <c r="D2787" s="8" t="s">
        <v>38</v>
      </c>
      <c r="E2787" s="8" t="s">
        <v>0</v>
      </c>
      <c r="F2787" s="6" t="s">
        <v>42</v>
      </c>
      <c r="G2787" s="8">
        <v>2015</v>
      </c>
      <c r="H2787" s="8">
        <v>3</v>
      </c>
      <c r="I2787" s="10">
        <v>42064</v>
      </c>
      <c r="J2787" s="11">
        <v>5695</v>
      </c>
      <c r="K2787" s="51"/>
      <c r="O2787" s="1" t="s">
        <v>14</v>
      </c>
      <c r="P2787" s="1" t="s">
        <v>37</v>
      </c>
      <c r="Q2787" s="1" t="s">
        <v>38</v>
      </c>
      <c r="R2787" s="1" t="s">
        <v>0</v>
      </c>
      <c r="S2787" t="s">
        <v>42</v>
      </c>
      <c r="T2787" s="1">
        <v>2015</v>
      </c>
      <c r="U2787" s="1">
        <v>3</v>
      </c>
      <c r="V2787" s="50">
        <v>42064</v>
      </c>
      <c r="W2787" s="4">
        <v>4954.6500000000005</v>
      </c>
      <c r="X2787" s="48">
        <v>5695</v>
      </c>
    </row>
    <row r="2788" spans="2:24" x14ac:dyDescent="0.35">
      <c r="B2788" s="8" t="s">
        <v>6</v>
      </c>
      <c r="C2788" s="8" t="s">
        <v>29</v>
      </c>
      <c r="D2788" s="8" t="s">
        <v>30</v>
      </c>
      <c r="E2788" s="9" t="s">
        <v>0</v>
      </c>
      <c r="F2788" s="9" t="s">
        <v>45</v>
      </c>
      <c r="G2788" s="8">
        <v>2015</v>
      </c>
      <c r="H2788" s="8">
        <v>3</v>
      </c>
      <c r="I2788" s="10">
        <v>42064</v>
      </c>
      <c r="J2788" s="11">
        <v>3727</v>
      </c>
      <c r="K2788" s="51"/>
      <c r="O2788" s="1" t="s">
        <v>6</v>
      </c>
      <c r="P2788" s="1" t="s">
        <v>29</v>
      </c>
      <c r="Q2788" s="1" t="s">
        <v>30</v>
      </c>
      <c r="R2788" s="2" t="s">
        <v>0</v>
      </c>
      <c r="S2788" s="2" t="s">
        <v>45</v>
      </c>
      <c r="T2788" s="1">
        <v>2015</v>
      </c>
      <c r="U2788" s="1">
        <v>3</v>
      </c>
      <c r="V2788" s="50">
        <v>42064</v>
      </c>
      <c r="W2788" s="4">
        <v>3167.9500000000003</v>
      </c>
      <c r="X2788" s="48">
        <v>3727</v>
      </c>
    </row>
    <row r="2789" spans="2:24" x14ac:dyDescent="0.35">
      <c r="B2789" s="8" t="s">
        <v>7</v>
      </c>
      <c r="C2789" s="8" t="s">
        <v>43</v>
      </c>
      <c r="D2789" s="8" t="s">
        <v>10</v>
      </c>
      <c r="E2789" s="8" t="s">
        <v>27</v>
      </c>
      <c r="F2789" s="9" t="s">
        <v>28</v>
      </c>
      <c r="G2789" s="8">
        <v>2015</v>
      </c>
      <c r="H2789" s="8">
        <v>3</v>
      </c>
      <c r="I2789" s="10">
        <v>42064</v>
      </c>
      <c r="J2789" s="11">
        <v>4193</v>
      </c>
      <c r="K2789" s="51"/>
      <c r="O2789" s="1" t="s">
        <v>7</v>
      </c>
      <c r="P2789" s="1" t="s">
        <v>43</v>
      </c>
      <c r="Q2789" s="1" t="s">
        <v>10</v>
      </c>
      <c r="R2789" s="1" t="s">
        <v>27</v>
      </c>
      <c r="S2789" s="2" t="s">
        <v>28</v>
      </c>
      <c r="T2789" s="1">
        <v>2015</v>
      </c>
      <c r="U2789" s="1">
        <v>3</v>
      </c>
      <c r="V2789" s="50">
        <v>42064</v>
      </c>
      <c r="W2789" s="4">
        <v>3899.49</v>
      </c>
      <c r="X2789" s="48">
        <v>4193</v>
      </c>
    </row>
    <row r="2790" spans="2:24" x14ac:dyDescent="0.35">
      <c r="B2790" s="8" t="s">
        <v>12</v>
      </c>
      <c r="C2790" s="8" t="s">
        <v>44</v>
      </c>
      <c r="D2790" s="8" t="s">
        <v>13</v>
      </c>
      <c r="E2790" s="8" t="s">
        <v>27</v>
      </c>
      <c r="F2790" s="6" t="s">
        <v>31</v>
      </c>
      <c r="G2790" s="8">
        <v>2015</v>
      </c>
      <c r="H2790" s="8">
        <v>3</v>
      </c>
      <c r="I2790" s="10">
        <v>42064</v>
      </c>
      <c r="J2790" s="11">
        <v>4862</v>
      </c>
      <c r="K2790" s="51"/>
      <c r="O2790" s="1" t="s">
        <v>12</v>
      </c>
      <c r="P2790" s="1" t="s">
        <v>44</v>
      </c>
      <c r="Q2790" s="1" t="s">
        <v>13</v>
      </c>
      <c r="R2790" s="1" t="s">
        <v>27</v>
      </c>
      <c r="S2790" t="s">
        <v>31</v>
      </c>
      <c r="T2790" s="1">
        <v>2015</v>
      </c>
      <c r="U2790" s="1">
        <v>3</v>
      </c>
      <c r="V2790" s="50">
        <v>42064</v>
      </c>
      <c r="W2790" s="4">
        <v>4132.7000000000007</v>
      </c>
      <c r="X2790" s="48">
        <v>4862</v>
      </c>
    </row>
    <row r="2791" spans="2:24" x14ac:dyDescent="0.35">
      <c r="B2791" s="8" t="s">
        <v>14</v>
      </c>
      <c r="C2791" s="8" t="s">
        <v>46</v>
      </c>
      <c r="D2791" s="8" t="s">
        <v>47</v>
      </c>
      <c r="E2791" s="8" t="s">
        <v>27</v>
      </c>
      <c r="F2791" s="8" t="s">
        <v>33</v>
      </c>
      <c r="G2791" s="8">
        <v>2015</v>
      </c>
      <c r="H2791" s="8">
        <v>3</v>
      </c>
      <c r="I2791" s="10">
        <v>42064</v>
      </c>
      <c r="J2791" s="11">
        <v>3769</v>
      </c>
      <c r="K2791" s="51"/>
      <c r="O2791" s="1" t="s">
        <v>14</v>
      </c>
      <c r="P2791" s="1" t="s">
        <v>46</v>
      </c>
      <c r="Q2791" s="1" t="s">
        <v>47</v>
      </c>
      <c r="R2791" s="1" t="s">
        <v>27</v>
      </c>
      <c r="S2791" s="1" t="s">
        <v>33</v>
      </c>
      <c r="T2791" s="1">
        <v>2015</v>
      </c>
      <c r="U2791" s="1">
        <v>3</v>
      </c>
      <c r="V2791" s="50">
        <v>42064</v>
      </c>
      <c r="W2791" s="4">
        <v>3392.0999999999995</v>
      </c>
      <c r="X2791" s="48">
        <v>3769</v>
      </c>
    </row>
    <row r="2792" spans="2:24" x14ac:dyDescent="0.35">
      <c r="B2792" s="8" t="s">
        <v>3</v>
      </c>
      <c r="C2792" s="8" t="s">
        <v>22</v>
      </c>
      <c r="D2792" s="8" t="s">
        <v>5</v>
      </c>
      <c r="E2792" s="8" t="s">
        <v>23</v>
      </c>
      <c r="F2792" s="8" t="s">
        <v>36</v>
      </c>
      <c r="G2792" s="8">
        <v>2015</v>
      </c>
      <c r="H2792" s="8">
        <v>3</v>
      </c>
      <c r="I2792" s="10">
        <v>42064</v>
      </c>
      <c r="J2792" s="11">
        <v>2346</v>
      </c>
      <c r="K2792" s="51"/>
      <c r="O2792" s="1" t="s">
        <v>3</v>
      </c>
      <c r="P2792" s="1" t="s">
        <v>22</v>
      </c>
      <c r="Q2792" s="1" t="s">
        <v>5</v>
      </c>
      <c r="R2792" s="1" t="s">
        <v>23</v>
      </c>
      <c r="S2792" s="1" t="s">
        <v>36</v>
      </c>
      <c r="T2792" s="1">
        <v>2015</v>
      </c>
      <c r="U2792" s="1">
        <v>3</v>
      </c>
      <c r="V2792" s="50">
        <v>42064</v>
      </c>
      <c r="W2792" s="4">
        <v>2111.3999999999996</v>
      </c>
      <c r="X2792" s="48">
        <v>2346</v>
      </c>
    </row>
    <row r="2793" spans="2:24" x14ac:dyDescent="0.35">
      <c r="B2793" s="8" t="s">
        <v>6</v>
      </c>
      <c r="C2793" s="8" t="s">
        <v>40</v>
      </c>
      <c r="D2793" s="8" t="s">
        <v>41</v>
      </c>
      <c r="E2793" s="8" t="s">
        <v>23</v>
      </c>
      <c r="F2793" s="8" t="s">
        <v>24</v>
      </c>
      <c r="G2793" s="8">
        <v>2015</v>
      </c>
      <c r="H2793" s="8">
        <v>3</v>
      </c>
      <c r="I2793" s="10">
        <v>42064</v>
      </c>
      <c r="J2793" s="11">
        <v>1770</v>
      </c>
      <c r="K2793" s="51"/>
      <c r="O2793" s="1" t="s">
        <v>6</v>
      </c>
      <c r="P2793" s="1" t="s">
        <v>40</v>
      </c>
      <c r="Q2793" s="1" t="s">
        <v>41</v>
      </c>
      <c r="R2793" s="1" t="s">
        <v>23</v>
      </c>
      <c r="S2793" s="1" t="s">
        <v>24</v>
      </c>
      <c r="T2793" s="1">
        <v>2015</v>
      </c>
      <c r="U2793" s="1">
        <v>3</v>
      </c>
      <c r="V2793" s="50">
        <v>42064</v>
      </c>
      <c r="W2793" s="4">
        <v>1575.2999999999997</v>
      </c>
      <c r="X2793" s="48">
        <v>1770</v>
      </c>
    </row>
    <row r="2794" spans="2:24" x14ac:dyDescent="0.35">
      <c r="B2794" s="8" t="s">
        <v>7</v>
      </c>
      <c r="C2794" s="8" t="s">
        <v>32</v>
      </c>
      <c r="D2794" s="8" t="s">
        <v>8</v>
      </c>
      <c r="E2794" s="8" t="s">
        <v>23</v>
      </c>
      <c r="F2794" s="6" t="s">
        <v>39</v>
      </c>
      <c r="G2794" s="8">
        <v>2015</v>
      </c>
      <c r="H2794" s="8">
        <v>3</v>
      </c>
      <c r="I2794" s="10">
        <v>42064</v>
      </c>
      <c r="J2794" s="11">
        <v>2144</v>
      </c>
      <c r="K2794" s="51"/>
      <c r="O2794" s="1" t="s">
        <v>7</v>
      </c>
      <c r="P2794" s="1" t="s">
        <v>32</v>
      </c>
      <c r="Q2794" s="1" t="s">
        <v>8</v>
      </c>
      <c r="R2794" s="1" t="s">
        <v>23</v>
      </c>
      <c r="S2794" t="s">
        <v>39</v>
      </c>
      <c r="T2794" s="1">
        <v>2015</v>
      </c>
      <c r="U2794" s="1">
        <v>3</v>
      </c>
      <c r="V2794" s="50">
        <v>42064</v>
      </c>
      <c r="W2794" s="4">
        <v>1886.7199999999998</v>
      </c>
      <c r="X2794" s="48">
        <v>2144</v>
      </c>
    </row>
    <row r="2795" spans="2:24" x14ac:dyDescent="0.35">
      <c r="B2795" s="8" t="s">
        <v>12</v>
      </c>
      <c r="C2795" s="8" t="s">
        <v>34</v>
      </c>
      <c r="D2795" s="8" t="s">
        <v>35</v>
      </c>
      <c r="E2795" s="8" t="s">
        <v>0</v>
      </c>
      <c r="F2795" s="6" t="s">
        <v>42</v>
      </c>
      <c r="G2795" s="8">
        <v>2015</v>
      </c>
      <c r="H2795" s="8">
        <v>3</v>
      </c>
      <c r="I2795" s="10">
        <v>42064</v>
      </c>
      <c r="J2795" s="11">
        <v>6406</v>
      </c>
      <c r="K2795" s="51"/>
      <c r="O2795" s="1" t="s">
        <v>12</v>
      </c>
      <c r="P2795" s="1" t="s">
        <v>34</v>
      </c>
      <c r="Q2795" s="1" t="s">
        <v>35</v>
      </c>
      <c r="R2795" s="1" t="s">
        <v>0</v>
      </c>
      <c r="S2795" t="s">
        <v>42</v>
      </c>
      <c r="T2795" s="1">
        <v>2015</v>
      </c>
      <c r="U2795" s="1">
        <v>3</v>
      </c>
      <c r="V2795" s="50">
        <v>42064</v>
      </c>
      <c r="W2795" s="4">
        <v>5701.3399999999992</v>
      </c>
      <c r="X2795" s="48">
        <v>6406</v>
      </c>
    </row>
    <row r="2796" spans="2:24" x14ac:dyDescent="0.35">
      <c r="B2796" s="8" t="s">
        <v>14</v>
      </c>
      <c r="C2796" s="8" t="s">
        <v>37</v>
      </c>
      <c r="D2796" s="8" t="s">
        <v>38</v>
      </c>
      <c r="E2796" s="8" t="s">
        <v>0</v>
      </c>
      <c r="F2796" s="6" t="s">
        <v>26</v>
      </c>
      <c r="G2796" s="8">
        <v>2015</v>
      </c>
      <c r="H2796" s="8">
        <v>3</v>
      </c>
      <c r="I2796" s="10">
        <v>42064</v>
      </c>
      <c r="J2796" s="11">
        <v>3375</v>
      </c>
      <c r="K2796" s="51"/>
      <c r="O2796" s="1" t="s">
        <v>14</v>
      </c>
      <c r="P2796" s="1" t="s">
        <v>37</v>
      </c>
      <c r="Q2796" s="1" t="s">
        <v>38</v>
      </c>
      <c r="R2796" s="1" t="s">
        <v>0</v>
      </c>
      <c r="S2796" t="s">
        <v>26</v>
      </c>
      <c r="T2796" s="1">
        <v>2015</v>
      </c>
      <c r="U2796" s="1">
        <v>3</v>
      </c>
      <c r="V2796" s="50">
        <v>42064</v>
      </c>
      <c r="W2796" s="4">
        <v>3138.75</v>
      </c>
      <c r="X2796" s="48">
        <v>3375</v>
      </c>
    </row>
    <row r="2797" spans="2:24" x14ac:dyDescent="0.35">
      <c r="B2797" s="8" t="s">
        <v>3</v>
      </c>
      <c r="C2797" s="8" t="s">
        <v>25</v>
      </c>
      <c r="D2797" s="8" t="s">
        <v>4</v>
      </c>
      <c r="E2797" s="9" t="s">
        <v>0</v>
      </c>
      <c r="F2797" s="9" t="s">
        <v>45</v>
      </c>
      <c r="G2797" s="8">
        <v>2015</v>
      </c>
      <c r="H2797" s="8">
        <v>3</v>
      </c>
      <c r="I2797" s="10">
        <v>42064</v>
      </c>
      <c r="J2797" s="11">
        <v>3427</v>
      </c>
      <c r="K2797" s="51"/>
      <c r="O2797" s="1" t="s">
        <v>3</v>
      </c>
      <c r="P2797" s="1" t="s">
        <v>25</v>
      </c>
      <c r="Q2797" s="1" t="s">
        <v>4</v>
      </c>
      <c r="R2797" s="2" t="s">
        <v>0</v>
      </c>
      <c r="S2797" s="2" t="s">
        <v>45</v>
      </c>
      <c r="T2797" s="1">
        <v>2015</v>
      </c>
      <c r="U2797" s="1">
        <v>3</v>
      </c>
      <c r="V2797" s="50">
        <v>42064</v>
      </c>
      <c r="W2797" s="4">
        <v>2947.2200000000003</v>
      </c>
      <c r="X2797" s="48">
        <v>3427</v>
      </c>
    </row>
    <row r="2798" spans="2:24" x14ac:dyDescent="0.35">
      <c r="B2798" s="8" t="s">
        <v>6</v>
      </c>
      <c r="C2798" s="8" t="s">
        <v>29</v>
      </c>
      <c r="D2798" s="8" t="s">
        <v>30</v>
      </c>
      <c r="E2798" s="8" t="s">
        <v>27</v>
      </c>
      <c r="F2798" s="9" t="s">
        <v>28</v>
      </c>
      <c r="G2798" s="8">
        <v>2015</v>
      </c>
      <c r="H2798" s="8">
        <v>3</v>
      </c>
      <c r="I2798" s="10">
        <v>42064</v>
      </c>
      <c r="J2798" s="11">
        <v>4408</v>
      </c>
      <c r="K2798" s="51"/>
      <c r="O2798" s="1" t="s">
        <v>6</v>
      </c>
      <c r="P2798" s="1" t="s">
        <v>29</v>
      </c>
      <c r="Q2798" s="1" t="s">
        <v>30</v>
      </c>
      <c r="R2798" s="1" t="s">
        <v>27</v>
      </c>
      <c r="S2798" s="2" t="s">
        <v>28</v>
      </c>
      <c r="T2798" s="1">
        <v>2015</v>
      </c>
      <c r="U2798" s="1">
        <v>3</v>
      </c>
      <c r="V2798" s="50">
        <v>42064</v>
      </c>
      <c r="W2798" s="4">
        <v>3790.8800000000006</v>
      </c>
      <c r="X2798" s="48">
        <v>4408</v>
      </c>
    </row>
    <row r="2799" spans="2:24" x14ac:dyDescent="0.35">
      <c r="B2799" s="8" t="s">
        <v>7</v>
      </c>
      <c r="C2799" s="8" t="s">
        <v>43</v>
      </c>
      <c r="D2799" s="8" t="s">
        <v>10</v>
      </c>
      <c r="E2799" s="8" t="s">
        <v>27</v>
      </c>
      <c r="F2799" s="6" t="s">
        <v>31</v>
      </c>
      <c r="G2799" s="8">
        <v>2015</v>
      </c>
      <c r="H2799" s="8">
        <v>3</v>
      </c>
      <c r="I2799" s="10">
        <v>42064</v>
      </c>
      <c r="J2799" s="11">
        <v>2898</v>
      </c>
      <c r="K2799" s="51"/>
      <c r="O2799" s="1" t="s">
        <v>7</v>
      </c>
      <c r="P2799" s="1" t="s">
        <v>43</v>
      </c>
      <c r="Q2799" s="1" t="s">
        <v>10</v>
      </c>
      <c r="R2799" s="1" t="s">
        <v>27</v>
      </c>
      <c r="S2799" t="s">
        <v>31</v>
      </c>
      <c r="T2799" s="1">
        <v>2015</v>
      </c>
      <c r="U2799" s="1">
        <v>3</v>
      </c>
      <c r="V2799" s="50">
        <v>42064</v>
      </c>
      <c r="W2799" s="4">
        <v>2492.2800000000002</v>
      </c>
      <c r="X2799" s="48">
        <v>2898</v>
      </c>
    </row>
    <row r="2800" spans="2:24" x14ac:dyDescent="0.35">
      <c r="B2800" s="8" t="s">
        <v>12</v>
      </c>
      <c r="C2800" s="8" t="s">
        <v>44</v>
      </c>
      <c r="D2800" s="8" t="s">
        <v>13</v>
      </c>
      <c r="E2800" s="8" t="s">
        <v>27</v>
      </c>
      <c r="F2800" s="8" t="s">
        <v>33</v>
      </c>
      <c r="G2800" s="8">
        <v>2015</v>
      </c>
      <c r="H2800" s="8">
        <v>3</v>
      </c>
      <c r="I2800" s="10">
        <v>42064</v>
      </c>
      <c r="J2800" s="11">
        <v>3212</v>
      </c>
      <c r="K2800" s="51"/>
      <c r="O2800" s="1" t="s">
        <v>12</v>
      </c>
      <c r="P2800" s="1" t="s">
        <v>44</v>
      </c>
      <c r="Q2800" s="1" t="s">
        <v>13</v>
      </c>
      <c r="R2800" s="1" t="s">
        <v>27</v>
      </c>
      <c r="S2800" s="1" t="s">
        <v>33</v>
      </c>
      <c r="T2800" s="1">
        <v>2015</v>
      </c>
      <c r="U2800" s="1">
        <v>3</v>
      </c>
      <c r="V2800" s="50">
        <v>42064</v>
      </c>
      <c r="W2800" s="4">
        <v>2987.16</v>
      </c>
      <c r="X2800" s="48">
        <v>3212</v>
      </c>
    </row>
    <row r="2801" spans="2:24" x14ac:dyDescent="0.35">
      <c r="B2801" s="8" t="s">
        <v>14</v>
      </c>
      <c r="C2801" s="8" t="s">
        <v>46</v>
      </c>
      <c r="D2801" s="8" t="s">
        <v>47</v>
      </c>
      <c r="E2801" s="8" t="s">
        <v>23</v>
      </c>
      <c r="F2801" s="8" t="s">
        <v>36</v>
      </c>
      <c r="G2801" s="8">
        <v>2015</v>
      </c>
      <c r="H2801" s="8">
        <v>3</v>
      </c>
      <c r="I2801" s="10">
        <v>42064</v>
      </c>
      <c r="J2801" s="11">
        <v>2656</v>
      </c>
      <c r="K2801" s="51"/>
      <c r="O2801" s="1" t="s">
        <v>14</v>
      </c>
      <c r="P2801" s="1" t="s">
        <v>46</v>
      </c>
      <c r="Q2801" s="1" t="s">
        <v>47</v>
      </c>
      <c r="R2801" s="1" t="s">
        <v>23</v>
      </c>
      <c r="S2801" s="1" t="s">
        <v>36</v>
      </c>
      <c r="T2801" s="1">
        <v>2015</v>
      </c>
      <c r="U2801" s="1">
        <v>3</v>
      </c>
      <c r="V2801" s="50">
        <v>42064</v>
      </c>
      <c r="W2801" s="4">
        <v>2496.64</v>
      </c>
      <c r="X2801" s="48">
        <v>2656</v>
      </c>
    </row>
    <row r="2802" spans="2:24" x14ac:dyDescent="0.35">
      <c r="B2802" s="8" t="s">
        <v>6</v>
      </c>
      <c r="C2802" s="8" t="s">
        <v>29</v>
      </c>
      <c r="D2802" s="8" t="s">
        <v>30</v>
      </c>
      <c r="E2802" s="8" t="s">
        <v>23</v>
      </c>
      <c r="F2802" s="8" t="s">
        <v>39</v>
      </c>
      <c r="G2802" s="8">
        <v>2015</v>
      </c>
      <c r="H2802" s="8">
        <v>3</v>
      </c>
      <c r="I2802" s="10">
        <v>42064</v>
      </c>
      <c r="J2802" s="11">
        <v>2076</v>
      </c>
      <c r="K2802" s="51"/>
      <c r="O2802" s="1" t="s">
        <v>6</v>
      </c>
      <c r="P2802" s="1" t="s">
        <v>29</v>
      </c>
      <c r="Q2802" s="1" t="s">
        <v>30</v>
      </c>
      <c r="R2802" s="1" t="s">
        <v>23</v>
      </c>
      <c r="S2802" s="1" t="s">
        <v>39</v>
      </c>
      <c r="T2802" s="1">
        <v>2015</v>
      </c>
      <c r="U2802" s="1">
        <v>3</v>
      </c>
      <c r="V2802" s="50">
        <v>42064</v>
      </c>
      <c r="W2802" s="4">
        <v>1806.1200000000003</v>
      </c>
      <c r="X2802" s="48">
        <v>2076</v>
      </c>
    </row>
    <row r="2803" spans="2:24" x14ac:dyDescent="0.35">
      <c r="B2803" s="8" t="s">
        <v>7</v>
      </c>
      <c r="C2803" s="8" t="s">
        <v>32</v>
      </c>
      <c r="D2803" s="8" t="s">
        <v>8</v>
      </c>
      <c r="E2803" s="8" t="s">
        <v>0</v>
      </c>
      <c r="F2803" s="6" t="s">
        <v>42</v>
      </c>
      <c r="G2803" s="8">
        <v>2015</v>
      </c>
      <c r="H2803" s="8">
        <v>3</v>
      </c>
      <c r="I2803" s="10">
        <v>42064</v>
      </c>
      <c r="J2803" s="11">
        <v>6195</v>
      </c>
      <c r="K2803" s="51"/>
      <c r="O2803" s="1" t="s">
        <v>7</v>
      </c>
      <c r="P2803" s="1" t="s">
        <v>32</v>
      </c>
      <c r="Q2803" s="1" t="s">
        <v>8</v>
      </c>
      <c r="R2803" s="1" t="s">
        <v>0</v>
      </c>
      <c r="S2803" t="s">
        <v>42</v>
      </c>
      <c r="T2803" s="1">
        <v>2015</v>
      </c>
      <c r="U2803" s="1">
        <v>3</v>
      </c>
      <c r="V2803" s="50">
        <v>42064</v>
      </c>
      <c r="W2803" s="4">
        <v>5575.4999999999991</v>
      </c>
      <c r="X2803" s="48">
        <v>6195</v>
      </c>
    </row>
    <row r="2804" spans="2:24" x14ac:dyDescent="0.35">
      <c r="B2804" s="8" t="s">
        <v>12</v>
      </c>
      <c r="C2804" s="8" t="s">
        <v>44</v>
      </c>
      <c r="D2804" s="8" t="s">
        <v>13</v>
      </c>
      <c r="E2804" s="8" t="s">
        <v>0</v>
      </c>
      <c r="F2804" s="6" t="s">
        <v>26</v>
      </c>
      <c r="G2804" s="8">
        <v>2015</v>
      </c>
      <c r="H2804" s="8">
        <v>3</v>
      </c>
      <c r="I2804" s="10">
        <v>42064</v>
      </c>
      <c r="J2804" s="11">
        <v>3522</v>
      </c>
      <c r="K2804" s="51"/>
      <c r="O2804" s="1" t="s">
        <v>12</v>
      </c>
      <c r="P2804" s="1" t="s">
        <v>44</v>
      </c>
      <c r="Q2804" s="1" t="s">
        <v>13</v>
      </c>
      <c r="R2804" s="1" t="s">
        <v>0</v>
      </c>
      <c r="S2804" t="s">
        <v>26</v>
      </c>
      <c r="T2804" s="1">
        <v>2015</v>
      </c>
      <c r="U2804" s="1">
        <v>3</v>
      </c>
      <c r="V2804" s="50">
        <v>42064</v>
      </c>
      <c r="W2804" s="4">
        <v>3028.9200000000005</v>
      </c>
      <c r="X2804" s="48">
        <v>3522</v>
      </c>
    </row>
    <row r="2805" spans="2:24" x14ac:dyDescent="0.35">
      <c r="B2805" s="8" t="s">
        <v>14</v>
      </c>
      <c r="C2805" s="8" t="s">
        <v>37</v>
      </c>
      <c r="D2805" s="8" t="s">
        <v>38</v>
      </c>
      <c r="E2805" s="8" t="s">
        <v>0</v>
      </c>
      <c r="F2805" s="6" t="s">
        <v>45</v>
      </c>
      <c r="G2805" s="8">
        <v>2015</v>
      </c>
      <c r="H2805" s="8">
        <v>3</v>
      </c>
      <c r="I2805" s="10">
        <v>42064</v>
      </c>
      <c r="J2805" s="11">
        <v>2588</v>
      </c>
      <c r="K2805" s="51"/>
      <c r="O2805" s="1" t="s">
        <v>14</v>
      </c>
      <c r="P2805" s="1" t="s">
        <v>37</v>
      </c>
      <c r="Q2805" s="1" t="s">
        <v>38</v>
      </c>
      <c r="R2805" s="1" t="s">
        <v>0</v>
      </c>
      <c r="S2805" t="s">
        <v>45</v>
      </c>
      <c r="T2805" s="1">
        <v>2015</v>
      </c>
      <c r="U2805" s="1">
        <v>3</v>
      </c>
      <c r="V2805" s="50">
        <v>42064</v>
      </c>
      <c r="W2805" s="4">
        <v>2432.7199999999998</v>
      </c>
      <c r="X2805" s="48">
        <v>2588</v>
      </c>
    </row>
    <row r="2806" spans="2:24" x14ac:dyDescent="0.35">
      <c r="B2806" s="8" t="s">
        <v>3</v>
      </c>
      <c r="C2806" s="8" t="s">
        <v>25</v>
      </c>
      <c r="D2806" s="8" t="s">
        <v>4</v>
      </c>
      <c r="E2806" s="9" t="s">
        <v>27</v>
      </c>
      <c r="F2806" s="9" t="s">
        <v>28</v>
      </c>
      <c r="G2806" s="8">
        <v>2015</v>
      </c>
      <c r="H2806" s="8">
        <v>3</v>
      </c>
      <c r="I2806" s="10">
        <v>42064</v>
      </c>
      <c r="J2806" s="11">
        <v>3336</v>
      </c>
      <c r="K2806" s="51"/>
      <c r="O2806" s="1" t="s">
        <v>3</v>
      </c>
      <c r="P2806" s="1" t="s">
        <v>25</v>
      </c>
      <c r="Q2806" s="1" t="s">
        <v>4</v>
      </c>
      <c r="R2806" s="2" t="s">
        <v>27</v>
      </c>
      <c r="S2806" s="2" t="s">
        <v>28</v>
      </c>
      <c r="T2806" s="1">
        <v>2015</v>
      </c>
      <c r="U2806" s="1">
        <v>3</v>
      </c>
      <c r="V2806" s="50">
        <v>42064</v>
      </c>
      <c r="W2806" s="4">
        <v>3069.12</v>
      </c>
      <c r="X2806" s="48">
        <v>3336</v>
      </c>
    </row>
    <row r="2807" spans="2:24" x14ac:dyDescent="0.35">
      <c r="B2807" s="8" t="s">
        <v>3</v>
      </c>
      <c r="C2807" s="8" t="s">
        <v>25</v>
      </c>
      <c r="D2807" s="8" t="s">
        <v>4</v>
      </c>
      <c r="E2807" s="8" t="s">
        <v>27</v>
      </c>
      <c r="F2807" s="9" t="s">
        <v>31</v>
      </c>
      <c r="G2807" s="8">
        <v>2015</v>
      </c>
      <c r="H2807" s="8">
        <v>3</v>
      </c>
      <c r="I2807" s="10">
        <v>42064</v>
      </c>
      <c r="J2807" s="11">
        <v>4395</v>
      </c>
      <c r="K2807" s="51"/>
      <c r="O2807" s="1" t="s">
        <v>3</v>
      </c>
      <c r="P2807" s="1" t="s">
        <v>25</v>
      </c>
      <c r="Q2807" s="1" t="s">
        <v>4</v>
      </c>
      <c r="R2807" s="1" t="s">
        <v>27</v>
      </c>
      <c r="S2807" s="2" t="s">
        <v>31</v>
      </c>
      <c r="T2807" s="1">
        <v>2015</v>
      </c>
      <c r="U2807" s="1">
        <v>3</v>
      </c>
      <c r="V2807" s="50">
        <v>42064</v>
      </c>
      <c r="W2807" s="4">
        <v>3735.7500000000005</v>
      </c>
      <c r="X2807" s="48">
        <v>4395</v>
      </c>
    </row>
    <row r="2808" spans="2:24" x14ac:dyDescent="0.35">
      <c r="B2808" s="8" t="s">
        <v>6</v>
      </c>
      <c r="C2808" s="8" t="s">
        <v>40</v>
      </c>
      <c r="D2808" s="8" t="s">
        <v>41</v>
      </c>
      <c r="E2808" s="8" t="s">
        <v>27</v>
      </c>
      <c r="F2808" s="6" t="s">
        <v>33</v>
      </c>
      <c r="G2808" s="8">
        <v>2015</v>
      </c>
      <c r="H2808" s="8">
        <v>3</v>
      </c>
      <c r="I2808" s="10">
        <v>42064</v>
      </c>
      <c r="J2808" s="11">
        <v>3425</v>
      </c>
      <c r="K2808" s="51"/>
      <c r="O2808" s="1" t="s">
        <v>6</v>
      </c>
      <c r="P2808" s="1" t="s">
        <v>40</v>
      </c>
      <c r="Q2808" s="1" t="s">
        <v>41</v>
      </c>
      <c r="R2808" s="1" t="s">
        <v>27</v>
      </c>
      <c r="S2808" t="s">
        <v>33</v>
      </c>
      <c r="T2808" s="1">
        <v>2015</v>
      </c>
      <c r="U2808" s="1">
        <v>3</v>
      </c>
      <c r="V2808" s="50">
        <v>42064</v>
      </c>
      <c r="W2808" s="4">
        <v>3151</v>
      </c>
      <c r="X2808" s="48">
        <v>3425</v>
      </c>
    </row>
    <row r="2809" spans="2:24" x14ac:dyDescent="0.35">
      <c r="B2809" s="8" t="s">
        <v>6</v>
      </c>
      <c r="C2809" s="8" t="s">
        <v>40</v>
      </c>
      <c r="D2809" s="8" t="s">
        <v>41</v>
      </c>
      <c r="E2809" s="8" t="s">
        <v>23</v>
      </c>
      <c r="F2809" s="8" t="s">
        <v>36</v>
      </c>
      <c r="G2809" s="8">
        <v>2015</v>
      </c>
      <c r="H2809" s="8">
        <v>3</v>
      </c>
      <c r="I2809" s="10">
        <v>42064</v>
      </c>
      <c r="J2809" s="11">
        <v>1517</v>
      </c>
      <c r="K2809" s="51"/>
      <c r="O2809" s="1" t="s">
        <v>6</v>
      </c>
      <c r="P2809" s="1" t="s">
        <v>40</v>
      </c>
      <c r="Q2809" s="1" t="s">
        <v>41</v>
      </c>
      <c r="R2809" s="1" t="s">
        <v>23</v>
      </c>
      <c r="S2809" s="1" t="s">
        <v>36</v>
      </c>
      <c r="T2809" s="1">
        <v>2015</v>
      </c>
      <c r="U2809" s="1">
        <v>3</v>
      </c>
      <c r="V2809" s="50">
        <v>42064</v>
      </c>
      <c r="W2809" s="4">
        <v>1304.6200000000001</v>
      </c>
      <c r="X2809" s="48">
        <v>1517</v>
      </c>
    </row>
    <row r="2810" spans="2:24" x14ac:dyDescent="0.35">
      <c r="B2810" s="8" t="s">
        <v>7</v>
      </c>
      <c r="C2810" s="8" t="s">
        <v>43</v>
      </c>
      <c r="D2810" s="8" t="s">
        <v>10</v>
      </c>
      <c r="E2810" s="8" t="s">
        <v>23</v>
      </c>
      <c r="F2810" s="8" t="s">
        <v>24</v>
      </c>
      <c r="G2810" s="8">
        <v>2015</v>
      </c>
      <c r="H2810" s="8">
        <v>3</v>
      </c>
      <c r="I2810" s="10">
        <v>42064</v>
      </c>
      <c r="J2810" s="11">
        <v>2502</v>
      </c>
      <c r="K2810" s="51"/>
      <c r="O2810" s="1" t="s">
        <v>7</v>
      </c>
      <c r="P2810" s="1" t="s">
        <v>43</v>
      </c>
      <c r="Q2810" s="1" t="s">
        <v>10</v>
      </c>
      <c r="R2810" s="1" t="s">
        <v>23</v>
      </c>
      <c r="S2810" s="1" t="s">
        <v>24</v>
      </c>
      <c r="T2810" s="1">
        <v>2015</v>
      </c>
      <c r="U2810" s="1">
        <v>3</v>
      </c>
      <c r="V2810" s="50">
        <v>42064</v>
      </c>
      <c r="W2810" s="4">
        <v>2351.8799999999997</v>
      </c>
      <c r="X2810" s="48">
        <v>2502</v>
      </c>
    </row>
    <row r="2811" spans="2:24" x14ac:dyDescent="0.35">
      <c r="B2811" s="8" t="s">
        <v>7</v>
      </c>
      <c r="C2811" s="8" t="s">
        <v>43</v>
      </c>
      <c r="D2811" s="8" t="s">
        <v>10</v>
      </c>
      <c r="E2811" s="8" t="s">
        <v>23</v>
      </c>
      <c r="F2811" s="8" t="s">
        <v>39</v>
      </c>
      <c r="G2811" s="8">
        <v>2015</v>
      </c>
      <c r="H2811" s="8">
        <v>3</v>
      </c>
      <c r="I2811" s="10">
        <v>42064</v>
      </c>
      <c r="J2811" s="11">
        <v>2434</v>
      </c>
      <c r="K2811" s="51"/>
      <c r="O2811" s="1" t="s">
        <v>7</v>
      </c>
      <c r="P2811" s="1" t="s">
        <v>43</v>
      </c>
      <c r="Q2811" s="1" t="s">
        <v>10</v>
      </c>
      <c r="R2811" s="1" t="s">
        <v>23</v>
      </c>
      <c r="S2811" s="1" t="s">
        <v>39</v>
      </c>
      <c r="T2811" s="1">
        <v>2015</v>
      </c>
      <c r="U2811" s="1">
        <v>3</v>
      </c>
      <c r="V2811" s="50">
        <v>42064</v>
      </c>
      <c r="W2811" s="4">
        <v>2068.9</v>
      </c>
      <c r="X2811" s="48">
        <v>2434</v>
      </c>
    </row>
    <row r="2812" spans="2:24" x14ac:dyDescent="0.35">
      <c r="B2812" s="8" t="s">
        <v>7</v>
      </c>
      <c r="C2812" s="8" t="s">
        <v>32</v>
      </c>
      <c r="D2812" s="8" t="s">
        <v>8</v>
      </c>
      <c r="E2812" s="8" t="s">
        <v>0</v>
      </c>
      <c r="F2812" s="6" t="s">
        <v>26</v>
      </c>
      <c r="G2812" s="8">
        <v>2015</v>
      </c>
      <c r="H2812" s="8">
        <v>3</v>
      </c>
      <c r="I2812" s="10">
        <v>42064</v>
      </c>
      <c r="J2812" s="11">
        <v>4415</v>
      </c>
      <c r="K2812" s="51"/>
      <c r="O2812" s="1" t="s">
        <v>7</v>
      </c>
      <c r="P2812" s="1" t="s">
        <v>32</v>
      </c>
      <c r="Q2812" s="1" t="s">
        <v>8</v>
      </c>
      <c r="R2812" s="1" t="s">
        <v>0</v>
      </c>
      <c r="S2812" t="s">
        <v>26</v>
      </c>
      <c r="T2812" s="1">
        <v>2015</v>
      </c>
      <c r="U2812" s="1">
        <v>3</v>
      </c>
      <c r="V2812" s="50">
        <v>42064</v>
      </c>
      <c r="W2812" s="4">
        <v>3796.9000000000005</v>
      </c>
      <c r="X2812" s="48">
        <v>4415</v>
      </c>
    </row>
    <row r="2813" spans="2:24" x14ac:dyDescent="0.35">
      <c r="B2813" s="8" t="s">
        <v>3</v>
      </c>
      <c r="C2813" s="8" t="s">
        <v>22</v>
      </c>
      <c r="D2813" s="8" t="s">
        <v>5</v>
      </c>
      <c r="E2813" s="8" t="s">
        <v>0</v>
      </c>
      <c r="F2813" s="6" t="s">
        <v>45</v>
      </c>
      <c r="G2813" s="8">
        <v>2015</v>
      </c>
      <c r="H2813" s="8">
        <v>3</v>
      </c>
      <c r="I2813" s="10">
        <v>42064</v>
      </c>
      <c r="J2813" s="11">
        <v>3962</v>
      </c>
      <c r="K2813" s="51"/>
      <c r="O2813" s="1" t="s">
        <v>3</v>
      </c>
      <c r="P2813" s="1" t="s">
        <v>22</v>
      </c>
      <c r="Q2813" s="1" t="s">
        <v>5</v>
      </c>
      <c r="R2813" s="1" t="s">
        <v>0</v>
      </c>
      <c r="S2813" t="s">
        <v>45</v>
      </c>
      <c r="T2813" s="1">
        <v>2015</v>
      </c>
      <c r="U2813" s="1">
        <v>3</v>
      </c>
      <c r="V2813" s="50">
        <v>42064</v>
      </c>
      <c r="W2813" s="4">
        <v>3407.3200000000006</v>
      </c>
      <c r="X2813" s="48">
        <v>3962</v>
      </c>
    </row>
    <row r="2814" spans="2:24" x14ac:dyDescent="0.35">
      <c r="B2814" s="8" t="s">
        <v>7</v>
      </c>
      <c r="C2814" s="8" t="s">
        <v>48</v>
      </c>
      <c r="D2814" s="8" t="s">
        <v>9</v>
      </c>
      <c r="E2814" s="8" t="s">
        <v>23</v>
      </c>
      <c r="F2814" s="6" t="s">
        <v>36</v>
      </c>
      <c r="G2814" s="8">
        <v>2015</v>
      </c>
      <c r="H2814" s="8">
        <v>3</v>
      </c>
      <c r="I2814" s="10">
        <v>42064</v>
      </c>
      <c r="J2814" s="11">
        <v>2803</v>
      </c>
      <c r="K2814" s="51"/>
      <c r="O2814" s="1" t="s">
        <v>7</v>
      </c>
      <c r="P2814" s="1" t="s">
        <v>48</v>
      </c>
      <c r="Q2814" s="1" t="s">
        <v>9</v>
      </c>
      <c r="R2814" s="1" t="s">
        <v>23</v>
      </c>
      <c r="S2814" t="s">
        <v>36</v>
      </c>
      <c r="T2814" s="1">
        <v>2015</v>
      </c>
      <c r="U2814" s="1">
        <v>3</v>
      </c>
      <c r="V2814" s="50">
        <v>42064</v>
      </c>
      <c r="W2814" s="4">
        <v>2634.8199999999997</v>
      </c>
      <c r="X2814" s="48">
        <v>2803</v>
      </c>
    </row>
    <row r="2815" spans="2:24" x14ac:dyDescent="0.35">
      <c r="B2815" s="8" t="s">
        <v>7</v>
      </c>
      <c r="C2815" s="8" t="s">
        <v>48</v>
      </c>
      <c r="D2815" s="8" t="s">
        <v>9</v>
      </c>
      <c r="E2815" s="9" t="s">
        <v>23</v>
      </c>
      <c r="F2815" s="9" t="s">
        <v>24</v>
      </c>
      <c r="G2815" s="8">
        <v>2015</v>
      </c>
      <c r="H2815" s="8">
        <v>3</v>
      </c>
      <c r="I2815" s="10">
        <v>42064</v>
      </c>
      <c r="J2815" s="11">
        <v>2147</v>
      </c>
      <c r="K2815" s="51"/>
      <c r="O2815" s="1" t="s">
        <v>7</v>
      </c>
      <c r="P2815" s="1" t="s">
        <v>48</v>
      </c>
      <c r="Q2815" s="1" t="s">
        <v>9</v>
      </c>
      <c r="R2815" s="2" t="s">
        <v>23</v>
      </c>
      <c r="S2815" s="2" t="s">
        <v>24</v>
      </c>
      <c r="T2815" s="1">
        <v>2015</v>
      </c>
      <c r="U2815" s="1">
        <v>3</v>
      </c>
      <c r="V2815" s="50">
        <v>42064</v>
      </c>
      <c r="W2815" s="4">
        <v>2018.1799999999998</v>
      </c>
      <c r="X2815" s="48">
        <v>2147</v>
      </c>
    </row>
    <row r="2816" spans="2:24" x14ac:dyDescent="0.35">
      <c r="B2816" s="8" t="s">
        <v>7</v>
      </c>
      <c r="C2816" s="8" t="s">
        <v>49</v>
      </c>
      <c r="D2816" s="8" t="s">
        <v>11</v>
      </c>
      <c r="E2816" s="8" t="s">
        <v>23</v>
      </c>
      <c r="F2816" s="9" t="s">
        <v>39</v>
      </c>
      <c r="G2816" s="8">
        <v>2015</v>
      </c>
      <c r="H2816" s="8">
        <v>3</v>
      </c>
      <c r="I2816" s="10">
        <v>42064</v>
      </c>
      <c r="J2816" s="11">
        <v>1970</v>
      </c>
      <c r="K2816" s="51"/>
      <c r="O2816" s="1" t="s">
        <v>7</v>
      </c>
      <c r="P2816" s="1" t="s">
        <v>49</v>
      </c>
      <c r="Q2816" s="1" t="s">
        <v>11</v>
      </c>
      <c r="R2816" s="1" t="s">
        <v>23</v>
      </c>
      <c r="S2816" s="2" t="s">
        <v>39</v>
      </c>
      <c r="T2816" s="1">
        <v>2015</v>
      </c>
      <c r="U2816" s="1">
        <v>3</v>
      </c>
      <c r="V2816" s="50">
        <v>42064</v>
      </c>
      <c r="W2816" s="4">
        <v>1772.9999999999998</v>
      </c>
      <c r="X2816" s="48">
        <v>1970</v>
      </c>
    </row>
    <row r="2817" spans="2:24" x14ac:dyDescent="0.35">
      <c r="B2817" s="8" t="s">
        <v>7</v>
      </c>
      <c r="C2817" s="8" t="s">
        <v>49</v>
      </c>
      <c r="D2817" s="8" t="s">
        <v>11</v>
      </c>
      <c r="E2817" s="8" t="s">
        <v>0</v>
      </c>
      <c r="F2817" s="6" t="s">
        <v>42</v>
      </c>
      <c r="G2817" s="8">
        <v>2015</v>
      </c>
      <c r="H2817" s="8">
        <v>3</v>
      </c>
      <c r="I2817" s="10">
        <v>42064</v>
      </c>
      <c r="J2817" s="11">
        <v>6007</v>
      </c>
      <c r="K2817" s="51"/>
      <c r="O2817" s="1" t="s">
        <v>7</v>
      </c>
      <c r="P2817" s="1" t="s">
        <v>49</v>
      </c>
      <c r="Q2817" s="1" t="s">
        <v>11</v>
      </c>
      <c r="R2817" s="1" t="s">
        <v>0</v>
      </c>
      <c r="S2817" t="s">
        <v>42</v>
      </c>
      <c r="T2817" s="1">
        <v>2015</v>
      </c>
      <c r="U2817" s="1">
        <v>3</v>
      </c>
      <c r="V2817" s="50">
        <v>42064</v>
      </c>
      <c r="W2817" s="4">
        <v>5346.23</v>
      </c>
      <c r="X2817" s="48">
        <v>6007</v>
      </c>
    </row>
    <row r="2818" spans="2:24" x14ac:dyDescent="0.35">
      <c r="B2818" s="8" t="s">
        <v>12</v>
      </c>
      <c r="C2818" s="8" t="s">
        <v>34</v>
      </c>
      <c r="D2818" s="8" t="s">
        <v>35</v>
      </c>
      <c r="E2818" s="8" t="s">
        <v>0</v>
      </c>
      <c r="F2818" s="8" t="s">
        <v>26</v>
      </c>
      <c r="G2818" s="8">
        <v>2015</v>
      </c>
      <c r="H2818" s="8">
        <v>3</v>
      </c>
      <c r="I2818" s="10">
        <v>42064</v>
      </c>
      <c r="J2818" s="11">
        <v>4637</v>
      </c>
      <c r="K2818" s="51"/>
      <c r="O2818" s="1" t="s">
        <v>12</v>
      </c>
      <c r="P2818" s="1" t="s">
        <v>34</v>
      </c>
      <c r="Q2818" s="1" t="s">
        <v>35</v>
      </c>
      <c r="R2818" s="1" t="s">
        <v>0</v>
      </c>
      <c r="S2818" s="1" t="s">
        <v>26</v>
      </c>
      <c r="T2818" s="1">
        <v>2015</v>
      </c>
      <c r="U2818" s="1">
        <v>3</v>
      </c>
      <c r="V2818" s="50">
        <v>42064</v>
      </c>
      <c r="W2818" s="4">
        <v>4173.2999999999993</v>
      </c>
      <c r="X2818" s="48">
        <v>4637</v>
      </c>
    </row>
    <row r="2819" spans="2:24" x14ac:dyDescent="0.35">
      <c r="B2819" s="8" t="s">
        <v>12</v>
      </c>
      <c r="C2819" s="8" t="s">
        <v>34</v>
      </c>
      <c r="D2819" s="8" t="s">
        <v>35</v>
      </c>
      <c r="E2819" s="8" t="s">
        <v>0</v>
      </c>
      <c r="F2819" s="8" t="s">
        <v>45</v>
      </c>
      <c r="G2819" s="8">
        <v>2015</v>
      </c>
      <c r="H2819" s="8">
        <v>3</v>
      </c>
      <c r="I2819" s="10">
        <v>42064</v>
      </c>
      <c r="J2819" s="11">
        <v>4511</v>
      </c>
      <c r="K2819" s="51"/>
      <c r="O2819" s="1" t="s">
        <v>12</v>
      </c>
      <c r="P2819" s="1" t="s">
        <v>34</v>
      </c>
      <c r="Q2819" s="1" t="s">
        <v>35</v>
      </c>
      <c r="R2819" s="1" t="s">
        <v>0</v>
      </c>
      <c r="S2819" s="1" t="s">
        <v>45</v>
      </c>
      <c r="T2819" s="1">
        <v>2015</v>
      </c>
      <c r="U2819" s="1">
        <v>3</v>
      </c>
      <c r="V2819" s="50">
        <v>42064</v>
      </c>
      <c r="W2819" s="4">
        <v>4195.2299999999996</v>
      </c>
      <c r="X2819" s="48">
        <v>4511</v>
      </c>
    </row>
    <row r="2820" spans="2:24" x14ac:dyDescent="0.35">
      <c r="B2820" s="8" t="s">
        <v>14</v>
      </c>
      <c r="C2820" s="8" t="s">
        <v>37</v>
      </c>
      <c r="D2820" s="8" t="s">
        <v>38</v>
      </c>
      <c r="E2820" s="8" t="s">
        <v>27</v>
      </c>
      <c r="F2820" s="8" t="s">
        <v>28</v>
      </c>
      <c r="G2820" s="8">
        <v>2015</v>
      </c>
      <c r="H2820" s="8">
        <v>3</v>
      </c>
      <c r="I2820" s="10">
        <v>42064</v>
      </c>
      <c r="J2820" s="11">
        <v>3957</v>
      </c>
      <c r="K2820" s="51"/>
      <c r="O2820" s="1" t="s">
        <v>14</v>
      </c>
      <c r="P2820" s="1" t="s">
        <v>37</v>
      </c>
      <c r="Q2820" s="1" t="s">
        <v>38</v>
      </c>
      <c r="R2820" s="1" t="s">
        <v>27</v>
      </c>
      <c r="S2820" s="1" t="s">
        <v>28</v>
      </c>
      <c r="T2820" s="1">
        <v>2015</v>
      </c>
      <c r="U2820" s="1">
        <v>3</v>
      </c>
      <c r="V2820" s="50">
        <v>42064</v>
      </c>
      <c r="W2820" s="4">
        <v>3600.87</v>
      </c>
      <c r="X2820" s="48">
        <v>3957</v>
      </c>
    </row>
    <row r="2821" spans="2:24" x14ac:dyDescent="0.35">
      <c r="B2821" s="8" t="s">
        <v>14</v>
      </c>
      <c r="C2821" s="8" t="s">
        <v>37</v>
      </c>
      <c r="D2821" s="8" t="s">
        <v>38</v>
      </c>
      <c r="E2821" s="8" t="s">
        <v>27</v>
      </c>
      <c r="F2821" s="6" t="s">
        <v>31</v>
      </c>
      <c r="G2821" s="8">
        <v>2015</v>
      </c>
      <c r="H2821" s="8">
        <v>3</v>
      </c>
      <c r="I2821" s="10">
        <v>42064</v>
      </c>
      <c r="J2821" s="11">
        <v>5029</v>
      </c>
      <c r="K2821" s="51"/>
      <c r="O2821" s="1" t="s">
        <v>14</v>
      </c>
      <c r="P2821" s="1" t="s">
        <v>37</v>
      </c>
      <c r="Q2821" s="1" t="s">
        <v>38</v>
      </c>
      <c r="R2821" s="1" t="s">
        <v>27</v>
      </c>
      <c r="S2821" t="s">
        <v>31</v>
      </c>
      <c r="T2821" s="1">
        <v>2015</v>
      </c>
      <c r="U2821" s="1">
        <v>3</v>
      </c>
      <c r="V2821" s="50">
        <v>42064</v>
      </c>
      <c r="W2821" s="4">
        <v>4475.8099999999995</v>
      </c>
      <c r="X2821" s="48">
        <v>5029</v>
      </c>
    </row>
    <row r="2822" spans="2:24" x14ac:dyDescent="0.35">
      <c r="B2822" s="8" t="s">
        <v>12</v>
      </c>
      <c r="C2822" s="8" t="s">
        <v>44</v>
      </c>
      <c r="D2822" s="8" t="s">
        <v>13</v>
      </c>
      <c r="E2822" s="8" t="s">
        <v>23</v>
      </c>
      <c r="F2822" s="6" t="s">
        <v>36</v>
      </c>
      <c r="G2822" s="8">
        <v>2015</v>
      </c>
      <c r="H2822" s="8">
        <v>3</v>
      </c>
      <c r="I2822" s="10">
        <v>42064</v>
      </c>
      <c r="J2822" s="11">
        <v>2662</v>
      </c>
      <c r="K2822" s="51"/>
      <c r="O2822" s="1" t="s">
        <v>12</v>
      </c>
      <c r="P2822" s="1" t="s">
        <v>44</v>
      </c>
      <c r="Q2822" s="1" t="s">
        <v>13</v>
      </c>
      <c r="R2822" s="1" t="s">
        <v>23</v>
      </c>
      <c r="S2822" t="s">
        <v>36</v>
      </c>
      <c r="T2822" s="1">
        <v>2015</v>
      </c>
      <c r="U2822" s="1">
        <v>3</v>
      </c>
      <c r="V2822" s="50">
        <v>42064</v>
      </c>
      <c r="W2822" s="4">
        <v>2502.2799999999997</v>
      </c>
      <c r="X2822" s="48">
        <v>2662</v>
      </c>
    </row>
    <row r="2823" spans="2:24" x14ac:dyDescent="0.35">
      <c r="B2823" s="8" t="s">
        <v>14</v>
      </c>
      <c r="C2823" s="8" t="s">
        <v>46</v>
      </c>
      <c r="D2823" s="8" t="s">
        <v>47</v>
      </c>
      <c r="E2823" s="8" t="s">
        <v>23</v>
      </c>
      <c r="F2823" s="6" t="s">
        <v>24</v>
      </c>
      <c r="G2823" s="8">
        <v>2015</v>
      </c>
      <c r="H2823" s="8">
        <v>3</v>
      </c>
      <c r="I2823" s="10">
        <v>42064</v>
      </c>
      <c r="J2823" s="11">
        <v>2888</v>
      </c>
      <c r="K2823" s="51"/>
      <c r="O2823" s="1" t="s">
        <v>14</v>
      </c>
      <c r="P2823" s="1" t="s">
        <v>46</v>
      </c>
      <c r="Q2823" s="1" t="s">
        <v>47</v>
      </c>
      <c r="R2823" s="1" t="s">
        <v>23</v>
      </c>
      <c r="S2823" t="s">
        <v>24</v>
      </c>
      <c r="T2823" s="1">
        <v>2015</v>
      </c>
      <c r="U2823" s="1">
        <v>3</v>
      </c>
      <c r="V2823" s="50">
        <v>42064</v>
      </c>
      <c r="W2823" s="4">
        <v>2714.72</v>
      </c>
      <c r="X2823" s="48">
        <v>2888</v>
      </c>
    </row>
    <row r="2824" spans="2:24" x14ac:dyDescent="0.35">
      <c r="B2824" s="8" t="s">
        <v>14</v>
      </c>
      <c r="C2824" s="8" t="s">
        <v>46</v>
      </c>
      <c r="D2824" s="8" t="s">
        <v>47</v>
      </c>
      <c r="E2824" s="9" t="s">
        <v>23</v>
      </c>
      <c r="F2824" s="9" t="s">
        <v>39</v>
      </c>
      <c r="G2824" s="8">
        <v>2015</v>
      </c>
      <c r="H2824" s="8">
        <v>3</v>
      </c>
      <c r="I2824" s="10">
        <v>42064</v>
      </c>
      <c r="J2824" s="11">
        <v>2577</v>
      </c>
      <c r="K2824" s="51"/>
      <c r="O2824" s="1" t="s">
        <v>14</v>
      </c>
      <c r="P2824" s="1" t="s">
        <v>46</v>
      </c>
      <c r="Q2824" s="1" t="s">
        <v>47</v>
      </c>
      <c r="R2824" s="2" t="s">
        <v>23</v>
      </c>
      <c r="S2824" s="2" t="s">
        <v>39</v>
      </c>
      <c r="T2824" s="1">
        <v>2015</v>
      </c>
      <c r="U2824" s="1">
        <v>3</v>
      </c>
      <c r="V2824" s="50">
        <v>42064</v>
      </c>
      <c r="W2824" s="4">
        <v>2396.6099999999997</v>
      </c>
      <c r="X2824" s="48">
        <v>2577</v>
      </c>
    </row>
    <row r="2825" spans="2:24" x14ac:dyDescent="0.35">
      <c r="B2825" s="8" t="s">
        <v>7</v>
      </c>
      <c r="C2825" s="8" t="s">
        <v>43</v>
      </c>
      <c r="D2825" s="8" t="s">
        <v>10</v>
      </c>
      <c r="E2825" s="8" t="s">
        <v>0</v>
      </c>
      <c r="F2825" s="9" t="s">
        <v>42</v>
      </c>
      <c r="G2825" s="8">
        <v>2015</v>
      </c>
      <c r="H2825" s="8">
        <v>3</v>
      </c>
      <c r="I2825" s="10">
        <v>42064</v>
      </c>
      <c r="J2825" s="11">
        <v>6094</v>
      </c>
      <c r="K2825" s="51"/>
      <c r="O2825" s="1" t="s">
        <v>7</v>
      </c>
      <c r="P2825" s="1" t="s">
        <v>43</v>
      </c>
      <c r="Q2825" s="1" t="s">
        <v>10</v>
      </c>
      <c r="R2825" s="1" t="s">
        <v>0</v>
      </c>
      <c r="S2825" s="2" t="s">
        <v>42</v>
      </c>
      <c r="T2825" s="1">
        <v>2015</v>
      </c>
      <c r="U2825" s="1">
        <v>3</v>
      </c>
      <c r="V2825" s="50">
        <v>42064</v>
      </c>
      <c r="W2825" s="4">
        <v>5423.66</v>
      </c>
      <c r="X2825" s="48">
        <v>6094</v>
      </c>
    </row>
    <row r="2826" spans="2:24" x14ac:dyDescent="0.35">
      <c r="B2826" s="8" t="s">
        <v>6</v>
      </c>
      <c r="C2826" s="8" t="s">
        <v>40</v>
      </c>
      <c r="D2826" s="8" t="s">
        <v>41</v>
      </c>
      <c r="E2826" s="8" t="s">
        <v>27</v>
      </c>
      <c r="F2826" s="6" t="s">
        <v>31</v>
      </c>
      <c r="G2826" s="8">
        <v>2015</v>
      </c>
      <c r="H2826" s="8">
        <v>3</v>
      </c>
      <c r="I2826" s="10">
        <v>42064</v>
      </c>
      <c r="J2826" s="11">
        <v>4131</v>
      </c>
      <c r="K2826" s="51"/>
      <c r="O2826" s="1" t="s">
        <v>6</v>
      </c>
      <c r="P2826" s="1" t="s">
        <v>40</v>
      </c>
      <c r="Q2826" s="1" t="s">
        <v>41</v>
      </c>
      <c r="R2826" s="1" t="s">
        <v>27</v>
      </c>
      <c r="S2826" t="s">
        <v>31</v>
      </c>
      <c r="T2826" s="1">
        <v>2015</v>
      </c>
      <c r="U2826" s="1">
        <v>3</v>
      </c>
      <c r="V2826" s="50">
        <v>42064</v>
      </c>
      <c r="W2826" s="4">
        <v>3552.6600000000003</v>
      </c>
      <c r="X2826" s="48">
        <v>4131</v>
      </c>
    </row>
    <row r="2827" spans="2:24" x14ac:dyDescent="0.35">
      <c r="B2827" s="8" t="s">
        <v>3</v>
      </c>
      <c r="C2827" s="8" t="s">
        <v>22</v>
      </c>
      <c r="D2827" s="8" t="s">
        <v>5</v>
      </c>
      <c r="E2827" s="8" t="s">
        <v>23</v>
      </c>
      <c r="F2827" s="8" t="s">
        <v>39</v>
      </c>
      <c r="G2827" s="8">
        <v>2015</v>
      </c>
      <c r="H2827" s="8">
        <v>3</v>
      </c>
      <c r="I2827" s="10">
        <v>42064</v>
      </c>
      <c r="J2827" s="11">
        <v>2262</v>
      </c>
      <c r="K2827" s="51"/>
      <c r="O2827" s="1" t="s">
        <v>3</v>
      </c>
      <c r="P2827" s="1" t="s">
        <v>22</v>
      </c>
      <c r="Q2827" s="1" t="s">
        <v>5</v>
      </c>
      <c r="R2827" s="1" t="s">
        <v>23</v>
      </c>
      <c r="S2827" s="1" t="s">
        <v>39</v>
      </c>
      <c r="T2827" s="1">
        <v>2015</v>
      </c>
      <c r="U2827" s="1">
        <v>3</v>
      </c>
      <c r="V2827" s="50">
        <v>42064</v>
      </c>
      <c r="W2827" s="4">
        <v>2081.04</v>
      </c>
      <c r="X2827" s="48">
        <v>2262</v>
      </c>
    </row>
    <row r="2828" spans="2:24" x14ac:dyDescent="0.35">
      <c r="B2828" s="8" t="s">
        <v>3</v>
      </c>
      <c r="C2828" s="8" t="s">
        <v>22</v>
      </c>
      <c r="D2828" s="8" t="s">
        <v>5</v>
      </c>
      <c r="E2828" s="8" t="s">
        <v>0</v>
      </c>
      <c r="F2828" s="8" t="s">
        <v>42</v>
      </c>
      <c r="G2828" s="8">
        <v>2015</v>
      </c>
      <c r="H2828" s="8">
        <v>3</v>
      </c>
      <c r="I2828" s="10">
        <v>42064</v>
      </c>
      <c r="J2828" s="11">
        <v>4556</v>
      </c>
      <c r="K2828" s="51"/>
      <c r="O2828" s="1" t="s">
        <v>3</v>
      </c>
      <c r="P2828" s="1" t="s">
        <v>22</v>
      </c>
      <c r="Q2828" s="1" t="s">
        <v>5</v>
      </c>
      <c r="R2828" s="1" t="s">
        <v>0</v>
      </c>
      <c r="S2828" s="1" t="s">
        <v>42</v>
      </c>
      <c r="T2828" s="1">
        <v>2015</v>
      </c>
      <c r="U2828" s="1">
        <v>3</v>
      </c>
      <c r="V2828" s="50">
        <v>42064</v>
      </c>
      <c r="W2828" s="4">
        <v>4237.08</v>
      </c>
      <c r="X2828" s="48">
        <v>4556</v>
      </c>
    </row>
    <row r="2829" spans="2:24" x14ac:dyDescent="0.35">
      <c r="B2829" s="8" t="s">
        <v>6</v>
      </c>
      <c r="C2829" s="8" t="s">
        <v>29</v>
      </c>
      <c r="D2829" s="8" t="s">
        <v>30</v>
      </c>
      <c r="E2829" s="8" t="s">
        <v>0</v>
      </c>
      <c r="F2829" s="8" t="s">
        <v>26</v>
      </c>
      <c r="G2829" s="8">
        <v>2015</v>
      </c>
      <c r="H2829" s="8">
        <v>3</v>
      </c>
      <c r="I2829" s="10">
        <v>42064</v>
      </c>
      <c r="J2829" s="11">
        <v>5463</v>
      </c>
      <c r="K2829" s="51"/>
      <c r="O2829" s="1" t="s">
        <v>6</v>
      </c>
      <c r="P2829" s="1" t="s">
        <v>29</v>
      </c>
      <c r="Q2829" s="1" t="s">
        <v>30</v>
      </c>
      <c r="R2829" s="1" t="s">
        <v>0</v>
      </c>
      <c r="S2829" s="1" t="s">
        <v>26</v>
      </c>
      <c r="T2829" s="1">
        <v>2015</v>
      </c>
      <c r="U2829" s="1">
        <v>3</v>
      </c>
      <c r="V2829" s="50">
        <v>42064</v>
      </c>
      <c r="W2829" s="4">
        <v>4971.33</v>
      </c>
      <c r="X2829" s="48">
        <v>5463</v>
      </c>
    </row>
    <row r="2830" spans="2:24" x14ac:dyDescent="0.35">
      <c r="B2830" s="8" t="s">
        <v>7</v>
      </c>
      <c r="C2830" s="8" t="s">
        <v>48</v>
      </c>
      <c r="D2830" s="8" t="s">
        <v>9</v>
      </c>
      <c r="E2830" s="8" t="s">
        <v>27</v>
      </c>
      <c r="F2830" s="6" t="s">
        <v>28</v>
      </c>
      <c r="G2830" s="8">
        <v>2015</v>
      </c>
      <c r="H2830" s="8">
        <v>3</v>
      </c>
      <c r="I2830" s="10">
        <v>42064</v>
      </c>
      <c r="J2830" s="11">
        <v>4416</v>
      </c>
      <c r="K2830" s="51"/>
      <c r="O2830" s="1" t="s">
        <v>7</v>
      </c>
      <c r="P2830" s="1" t="s">
        <v>48</v>
      </c>
      <c r="Q2830" s="1" t="s">
        <v>9</v>
      </c>
      <c r="R2830" s="1" t="s">
        <v>27</v>
      </c>
      <c r="S2830" t="s">
        <v>28</v>
      </c>
      <c r="T2830" s="1">
        <v>2015</v>
      </c>
      <c r="U2830" s="1">
        <v>3</v>
      </c>
      <c r="V2830" s="50">
        <v>42064</v>
      </c>
      <c r="W2830" s="4">
        <v>4018.5599999999995</v>
      </c>
      <c r="X2830" s="48">
        <v>4416</v>
      </c>
    </row>
    <row r="2831" spans="2:24" x14ac:dyDescent="0.35">
      <c r="B2831" s="8" t="s">
        <v>7</v>
      </c>
      <c r="C2831" s="8" t="s">
        <v>48</v>
      </c>
      <c r="D2831" s="8" t="s">
        <v>9</v>
      </c>
      <c r="E2831" s="8" t="s">
        <v>27</v>
      </c>
      <c r="F2831" s="6" t="s">
        <v>31</v>
      </c>
      <c r="G2831" s="8">
        <v>2015</v>
      </c>
      <c r="H2831" s="8">
        <v>3</v>
      </c>
      <c r="I2831" s="10">
        <v>42064</v>
      </c>
      <c r="J2831" s="11">
        <v>5533</v>
      </c>
      <c r="K2831" s="51"/>
      <c r="O2831" s="1" t="s">
        <v>7</v>
      </c>
      <c r="P2831" s="1" t="s">
        <v>48</v>
      </c>
      <c r="Q2831" s="1" t="s">
        <v>9</v>
      </c>
      <c r="R2831" s="1" t="s">
        <v>27</v>
      </c>
      <c r="S2831" t="s">
        <v>31</v>
      </c>
      <c r="T2831" s="1">
        <v>2015</v>
      </c>
      <c r="U2831" s="1">
        <v>3</v>
      </c>
      <c r="V2831" s="50">
        <v>42064</v>
      </c>
      <c r="W2831" s="4">
        <v>4869.0399999999991</v>
      </c>
      <c r="X2831" s="48">
        <v>5533</v>
      </c>
    </row>
    <row r="2832" spans="2:24" x14ac:dyDescent="0.35">
      <c r="B2832" s="8" t="s">
        <v>7</v>
      </c>
      <c r="C2832" s="8" t="s">
        <v>49</v>
      </c>
      <c r="D2832" s="8" t="s">
        <v>11</v>
      </c>
      <c r="E2832" s="8" t="s">
        <v>27</v>
      </c>
      <c r="F2832" s="6" t="s">
        <v>33</v>
      </c>
      <c r="G2832" s="8">
        <v>2015</v>
      </c>
      <c r="H2832" s="8">
        <v>3</v>
      </c>
      <c r="I2832" s="10">
        <v>42064</v>
      </c>
      <c r="J2832" s="11">
        <v>3065</v>
      </c>
      <c r="K2832" s="51"/>
      <c r="O2832" s="1" t="s">
        <v>7</v>
      </c>
      <c r="P2832" s="1" t="s">
        <v>49</v>
      </c>
      <c r="Q2832" s="1" t="s">
        <v>11</v>
      </c>
      <c r="R2832" s="1" t="s">
        <v>27</v>
      </c>
      <c r="S2832" t="s">
        <v>33</v>
      </c>
      <c r="T2832" s="1">
        <v>2015</v>
      </c>
      <c r="U2832" s="1">
        <v>3</v>
      </c>
      <c r="V2832" s="50">
        <v>42064</v>
      </c>
      <c r="W2832" s="4">
        <v>2789.1499999999996</v>
      </c>
      <c r="X2832" s="48">
        <v>3065</v>
      </c>
    </row>
    <row r="2833" spans="2:24" x14ac:dyDescent="0.35">
      <c r="B2833" s="8" t="s">
        <v>7</v>
      </c>
      <c r="C2833" s="8" t="s">
        <v>49</v>
      </c>
      <c r="D2833" s="8" t="s">
        <v>11</v>
      </c>
      <c r="E2833" s="9" t="s">
        <v>23</v>
      </c>
      <c r="F2833" s="9" t="s">
        <v>36</v>
      </c>
      <c r="G2833" s="8">
        <v>2015</v>
      </c>
      <c r="H2833" s="8">
        <v>3</v>
      </c>
      <c r="I2833" s="10">
        <v>42064</v>
      </c>
      <c r="J2833" s="11">
        <v>2184</v>
      </c>
      <c r="K2833" s="51"/>
      <c r="O2833" s="1" t="s">
        <v>7</v>
      </c>
      <c r="P2833" s="1" t="s">
        <v>49</v>
      </c>
      <c r="Q2833" s="1" t="s">
        <v>11</v>
      </c>
      <c r="R2833" s="2" t="s">
        <v>23</v>
      </c>
      <c r="S2833" s="2" t="s">
        <v>36</v>
      </c>
      <c r="T2833" s="1">
        <v>2015</v>
      </c>
      <c r="U2833" s="1">
        <v>3</v>
      </c>
      <c r="V2833" s="50">
        <v>42064</v>
      </c>
      <c r="W2833" s="4">
        <v>2009.2799999999997</v>
      </c>
      <c r="X2833" s="48">
        <v>2184</v>
      </c>
    </row>
    <row r="2834" spans="2:24" x14ac:dyDescent="0.35">
      <c r="B2834" s="8" t="s">
        <v>7</v>
      </c>
      <c r="C2834" s="8" t="s">
        <v>43</v>
      </c>
      <c r="D2834" s="8" t="s">
        <v>10</v>
      </c>
      <c r="E2834" s="8" t="s">
        <v>23</v>
      </c>
      <c r="F2834" s="9" t="s">
        <v>36</v>
      </c>
      <c r="G2834" s="8">
        <v>2015</v>
      </c>
      <c r="H2834" s="8">
        <v>3</v>
      </c>
      <c r="I2834" s="10">
        <v>42064</v>
      </c>
      <c r="J2834" s="11">
        <v>2698</v>
      </c>
      <c r="K2834" s="51"/>
      <c r="O2834" s="1" t="s">
        <v>7</v>
      </c>
      <c r="P2834" s="1" t="s">
        <v>43</v>
      </c>
      <c r="Q2834" s="1" t="s">
        <v>10</v>
      </c>
      <c r="R2834" s="1" t="s">
        <v>23</v>
      </c>
      <c r="S2834" s="2" t="s">
        <v>36</v>
      </c>
      <c r="T2834" s="1">
        <v>2015</v>
      </c>
      <c r="U2834" s="1">
        <v>3</v>
      </c>
      <c r="V2834" s="50">
        <v>42064</v>
      </c>
      <c r="W2834" s="4">
        <v>2293.3000000000002</v>
      </c>
      <c r="X2834" s="48">
        <v>2698</v>
      </c>
    </row>
    <row r="2835" spans="2:24" x14ac:dyDescent="0.35">
      <c r="B2835" s="8" t="s">
        <v>6</v>
      </c>
      <c r="C2835" s="8" t="s">
        <v>40</v>
      </c>
      <c r="D2835" s="8" t="s">
        <v>41</v>
      </c>
      <c r="E2835" s="8" t="s">
        <v>0</v>
      </c>
      <c r="F2835" s="6" t="s">
        <v>45</v>
      </c>
      <c r="G2835" s="8">
        <v>2015</v>
      </c>
      <c r="H2835" s="8">
        <v>3</v>
      </c>
      <c r="I2835" s="10">
        <v>42064</v>
      </c>
      <c r="J2835" s="11">
        <v>2112</v>
      </c>
      <c r="K2835" s="51"/>
      <c r="O2835" s="1" t="s">
        <v>6</v>
      </c>
      <c r="P2835" s="1" t="s">
        <v>40</v>
      </c>
      <c r="Q2835" s="1" t="s">
        <v>41</v>
      </c>
      <c r="R2835" s="1" t="s">
        <v>0</v>
      </c>
      <c r="S2835" t="s">
        <v>45</v>
      </c>
      <c r="T2835" s="1">
        <v>2015</v>
      </c>
      <c r="U2835" s="1">
        <v>3</v>
      </c>
      <c r="V2835" s="50">
        <v>42064</v>
      </c>
      <c r="W2835" s="4">
        <v>1879.6799999999998</v>
      </c>
      <c r="X2835" s="48">
        <v>2112</v>
      </c>
    </row>
    <row r="2836" spans="2:24" x14ac:dyDescent="0.35">
      <c r="B2836" s="8" t="s">
        <v>7</v>
      </c>
      <c r="C2836" s="8" t="s">
        <v>32</v>
      </c>
      <c r="D2836" s="8" t="s">
        <v>8</v>
      </c>
      <c r="E2836" s="8" t="s">
        <v>27</v>
      </c>
      <c r="F2836" s="8" t="s">
        <v>28</v>
      </c>
      <c r="G2836" s="8">
        <v>2015</v>
      </c>
      <c r="H2836" s="8">
        <v>3</v>
      </c>
      <c r="I2836" s="10">
        <v>42064</v>
      </c>
      <c r="J2836" s="11">
        <v>4673</v>
      </c>
      <c r="K2836" s="51"/>
      <c r="O2836" s="1" t="s">
        <v>7</v>
      </c>
      <c r="P2836" s="1" t="s">
        <v>32</v>
      </c>
      <c r="Q2836" s="1" t="s">
        <v>8</v>
      </c>
      <c r="R2836" s="1" t="s">
        <v>27</v>
      </c>
      <c r="S2836" s="1" t="s">
        <v>28</v>
      </c>
      <c r="T2836" s="1">
        <v>2015</v>
      </c>
      <c r="U2836" s="1">
        <v>3</v>
      </c>
      <c r="V2836" s="50">
        <v>42064</v>
      </c>
      <c r="W2836" s="4">
        <v>4158.9699999999993</v>
      </c>
      <c r="X2836" s="48">
        <v>4673</v>
      </c>
    </row>
    <row r="2837" spans="2:24" x14ac:dyDescent="0.35">
      <c r="B2837" s="8" t="s">
        <v>7</v>
      </c>
      <c r="C2837" s="8" t="s">
        <v>32</v>
      </c>
      <c r="D2837" s="8" t="s">
        <v>8</v>
      </c>
      <c r="E2837" s="8" t="s">
        <v>27</v>
      </c>
      <c r="F2837" s="8" t="s">
        <v>31</v>
      </c>
      <c r="G2837" s="8">
        <v>2015</v>
      </c>
      <c r="H2837" s="8">
        <v>3</v>
      </c>
      <c r="I2837" s="10">
        <v>42064</v>
      </c>
      <c r="J2837" s="11">
        <v>4546</v>
      </c>
      <c r="K2837" s="51"/>
      <c r="O2837" s="1" t="s">
        <v>7</v>
      </c>
      <c r="P2837" s="1" t="s">
        <v>32</v>
      </c>
      <c r="Q2837" s="1" t="s">
        <v>8</v>
      </c>
      <c r="R2837" s="1" t="s">
        <v>27</v>
      </c>
      <c r="S2837" s="1" t="s">
        <v>31</v>
      </c>
      <c r="T2837" s="1">
        <v>2015</v>
      </c>
      <c r="U2837" s="1">
        <v>3</v>
      </c>
      <c r="V2837" s="50">
        <v>42064</v>
      </c>
      <c r="W2837" s="4">
        <v>3909.5600000000004</v>
      </c>
      <c r="X2837" s="48">
        <v>4546</v>
      </c>
    </row>
    <row r="2838" spans="2:24" x14ac:dyDescent="0.35">
      <c r="B2838" s="8" t="s">
        <v>6</v>
      </c>
      <c r="C2838" s="8" t="s">
        <v>29</v>
      </c>
      <c r="D2838" s="8" t="s">
        <v>30</v>
      </c>
      <c r="E2838" s="8" t="s">
        <v>23</v>
      </c>
      <c r="F2838" s="8" t="s">
        <v>24</v>
      </c>
      <c r="G2838" s="8">
        <v>2015</v>
      </c>
      <c r="H2838" s="8">
        <v>3</v>
      </c>
      <c r="I2838" s="10">
        <v>42064</v>
      </c>
      <c r="J2838" s="11">
        <v>1597</v>
      </c>
      <c r="K2838" s="51"/>
      <c r="O2838" s="1" t="s">
        <v>6</v>
      </c>
      <c r="P2838" s="1" t="s">
        <v>29</v>
      </c>
      <c r="Q2838" s="1" t="s">
        <v>30</v>
      </c>
      <c r="R2838" s="1" t="s">
        <v>23</v>
      </c>
      <c r="S2838" s="1" t="s">
        <v>24</v>
      </c>
      <c r="T2838" s="1">
        <v>2015</v>
      </c>
      <c r="U2838" s="1">
        <v>3</v>
      </c>
      <c r="V2838" s="50">
        <v>42064</v>
      </c>
      <c r="W2838" s="4">
        <v>1389.39</v>
      </c>
      <c r="X2838" s="48">
        <v>1597</v>
      </c>
    </row>
    <row r="2839" spans="2:24" x14ac:dyDescent="0.35">
      <c r="B2839" s="8" t="s">
        <v>7</v>
      </c>
      <c r="C2839" s="8" t="s">
        <v>48</v>
      </c>
      <c r="D2839" s="8" t="s">
        <v>9</v>
      </c>
      <c r="E2839" s="8" t="s">
        <v>0</v>
      </c>
      <c r="F2839" s="6" t="s">
        <v>42</v>
      </c>
      <c r="G2839" s="8">
        <v>2015</v>
      </c>
      <c r="H2839" s="8">
        <v>3</v>
      </c>
      <c r="I2839" s="10">
        <v>42064</v>
      </c>
      <c r="J2839" s="11">
        <v>6437</v>
      </c>
      <c r="K2839" s="51"/>
      <c r="O2839" s="1" t="s">
        <v>7</v>
      </c>
      <c r="P2839" s="1" t="s">
        <v>48</v>
      </c>
      <c r="Q2839" s="1" t="s">
        <v>9</v>
      </c>
      <c r="R2839" s="1" t="s">
        <v>0</v>
      </c>
      <c r="S2839" t="s">
        <v>42</v>
      </c>
      <c r="T2839" s="1">
        <v>2015</v>
      </c>
      <c r="U2839" s="1">
        <v>3</v>
      </c>
      <c r="V2839" s="50">
        <v>42064</v>
      </c>
      <c r="W2839" s="4">
        <v>6050.78</v>
      </c>
      <c r="X2839" s="48">
        <v>6437</v>
      </c>
    </row>
    <row r="2840" spans="2:24" x14ac:dyDescent="0.35">
      <c r="B2840" s="8" t="s">
        <v>7</v>
      </c>
      <c r="C2840" s="8" t="s">
        <v>48</v>
      </c>
      <c r="D2840" s="8" t="s">
        <v>9</v>
      </c>
      <c r="E2840" s="8" t="s">
        <v>0</v>
      </c>
      <c r="F2840" s="6" t="s">
        <v>26</v>
      </c>
      <c r="G2840" s="8">
        <v>2015</v>
      </c>
      <c r="H2840" s="8">
        <v>3</v>
      </c>
      <c r="I2840" s="10">
        <v>42064</v>
      </c>
      <c r="J2840" s="11">
        <v>2938</v>
      </c>
      <c r="K2840" s="51"/>
      <c r="O2840" s="1" t="s">
        <v>7</v>
      </c>
      <c r="P2840" s="1" t="s">
        <v>48</v>
      </c>
      <c r="Q2840" s="1" t="s">
        <v>9</v>
      </c>
      <c r="R2840" s="1" t="s">
        <v>0</v>
      </c>
      <c r="S2840" t="s">
        <v>26</v>
      </c>
      <c r="T2840" s="1">
        <v>2015</v>
      </c>
      <c r="U2840" s="1">
        <v>3</v>
      </c>
      <c r="V2840" s="50">
        <v>42064</v>
      </c>
      <c r="W2840" s="4">
        <v>2614.8199999999997</v>
      </c>
      <c r="X2840" s="48">
        <v>2938</v>
      </c>
    </row>
    <row r="2841" spans="2:24" x14ac:dyDescent="0.35">
      <c r="B2841" s="8" t="s">
        <v>7</v>
      </c>
      <c r="C2841" s="8" t="s">
        <v>49</v>
      </c>
      <c r="D2841" s="8" t="s">
        <v>11</v>
      </c>
      <c r="E2841" s="8" t="s">
        <v>0</v>
      </c>
      <c r="F2841" s="6" t="s">
        <v>45</v>
      </c>
      <c r="G2841" s="8">
        <v>2015</v>
      </c>
      <c r="H2841" s="8">
        <v>3</v>
      </c>
      <c r="I2841" s="10">
        <v>42064</v>
      </c>
      <c r="J2841" s="11">
        <v>2339</v>
      </c>
      <c r="K2841" s="51"/>
      <c r="O2841" s="1" t="s">
        <v>7</v>
      </c>
      <c r="P2841" s="1" t="s">
        <v>49</v>
      </c>
      <c r="Q2841" s="1" t="s">
        <v>11</v>
      </c>
      <c r="R2841" s="1" t="s">
        <v>0</v>
      </c>
      <c r="S2841" t="s">
        <v>45</v>
      </c>
      <c r="T2841" s="1">
        <v>2015</v>
      </c>
      <c r="U2841" s="1">
        <v>3</v>
      </c>
      <c r="V2841" s="50">
        <v>42064</v>
      </c>
      <c r="W2841" s="4">
        <v>2151.8799999999997</v>
      </c>
      <c r="X2841" s="48">
        <v>2339</v>
      </c>
    </row>
    <row r="2842" spans="2:24" x14ac:dyDescent="0.35">
      <c r="B2842" s="8" t="s">
        <v>7</v>
      </c>
      <c r="C2842" s="8" t="s">
        <v>49</v>
      </c>
      <c r="D2842" s="8" t="s">
        <v>11</v>
      </c>
      <c r="E2842" s="9" t="s">
        <v>27</v>
      </c>
      <c r="F2842" s="9" t="s">
        <v>28</v>
      </c>
      <c r="G2842" s="8">
        <v>2015</v>
      </c>
      <c r="H2842" s="8">
        <v>3</v>
      </c>
      <c r="I2842" s="10">
        <v>42064</v>
      </c>
      <c r="J2842" s="11">
        <v>3311</v>
      </c>
      <c r="K2842" s="51"/>
      <c r="O2842" s="1" t="s">
        <v>7</v>
      </c>
      <c r="P2842" s="1" t="s">
        <v>49</v>
      </c>
      <c r="Q2842" s="1" t="s">
        <v>11</v>
      </c>
      <c r="R2842" s="2" t="s">
        <v>27</v>
      </c>
      <c r="S2842" s="2" t="s">
        <v>28</v>
      </c>
      <c r="T2842" s="1">
        <v>2015</v>
      </c>
      <c r="U2842" s="1">
        <v>3</v>
      </c>
      <c r="V2842" s="50">
        <v>42064</v>
      </c>
      <c r="W2842" s="4">
        <v>2913.68</v>
      </c>
      <c r="X2842" s="48">
        <v>3311</v>
      </c>
    </row>
    <row r="2843" spans="2:24" x14ac:dyDescent="0.35">
      <c r="B2843" s="8" t="s">
        <v>12</v>
      </c>
      <c r="C2843" s="8" t="s">
        <v>34</v>
      </c>
      <c r="D2843" s="8" t="s">
        <v>35</v>
      </c>
      <c r="E2843" s="8" t="s">
        <v>27</v>
      </c>
      <c r="F2843" s="9" t="s">
        <v>31</v>
      </c>
      <c r="G2843" s="8">
        <v>2015</v>
      </c>
      <c r="H2843" s="8">
        <v>3</v>
      </c>
      <c r="I2843" s="10">
        <v>42064</v>
      </c>
      <c r="J2843" s="11">
        <v>4496</v>
      </c>
      <c r="K2843" s="51"/>
      <c r="O2843" s="1" t="s">
        <v>12</v>
      </c>
      <c r="P2843" s="1" t="s">
        <v>34</v>
      </c>
      <c r="Q2843" s="1" t="s">
        <v>35</v>
      </c>
      <c r="R2843" s="1" t="s">
        <v>27</v>
      </c>
      <c r="S2843" s="2" t="s">
        <v>31</v>
      </c>
      <c r="T2843" s="1">
        <v>2015</v>
      </c>
      <c r="U2843" s="1">
        <v>3</v>
      </c>
      <c r="V2843" s="50">
        <v>42064</v>
      </c>
      <c r="W2843" s="4">
        <v>4001.4399999999996</v>
      </c>
      <c r="X2843" s="48">
        <v>4496</v>
      </c>
    </row>
    <row r="2844" spans="2:24" x14ac:dyDescent="0.35">
      <c r="B2844" s="8" t="s">
        <v>12</v>
      </c>
      <c r="C2844" s="8" t="s">
        <v>34</v>
      </c>
      <c r="D2844" s="8" t="s">
        <v>35</v>
      </c>
      <c r="E2844" s="8" t="s">
        <v>27</v>
      </c>
      <c r="F2844" s="6" t="s">
        <v>33</v>
      </c>
      <c r="G2844" s="8">
        <v>2015</v>
      </c>
      <c r="H2844" s="8">
        <v>3</v>
      </c>
      <c r="I2844" s="10">
        <v>42064</v>
      </c>
      <c r="J2844" s="11">
        <v>3548</v>
      </c>
      <c r="K2844" s="51"/>
      <c r="O2844" s="1" t="s">
        <v>12</v>
      </c>
      <c r="P2844" s="1" t="s">
        <v>34</v>
      </c>
      <c r="Q2844" s="1" t="s">
        <v>35</v>
      </c>
      <c r="R2844" s="1" t="s">
        <v>27</v>
      </c>
      <c r="S2844" t="s">
        <v>33</v>
      </c>
      <c r="T2844" s="1">
        <v>2015</v>
      </c>
      <c r="U2844" s="1">
        <v>3</v>
      </c>
      <c r="V2844" s="50">
        <v>42064</v>
      </c>
      <c r="W2844" s="4">
        <v>3335.12</v>
      </c>
      <c r="X2844" s="48">
        <v>3548</v>
      </c>
    </row>
    <row r="2845" spans="2:24" x14ac:dyDescent="0.35">
      <c r="B2845" s="8" t="s">
        <v>14</v>
      </c>
      <c r="C2845" s="8" t="s">
        <v>37</v>
      </c>
      <c r="D2845" s="8" t="s">
        <v>38</v>
      </c>
      <c r="E2845" s="8" t="s">
        <v>23</v>
      </c>
      <c r="F2845" s="8" t="s">
        <v>36</v>
      </c>
      <c r="G2845" s="8">
        <v>2015</v>
      </c>
      <c r="H2845" s="8">
        <v>3</v>
      </c>
      <c r="I2845" s="10">
        <v>42064</v>
      </c>
      <c r="J2845" s="11">
        <v>2145</v>
      </c>
      <c r="K2845" s="51"/>
      <c r="O2845" s="1" t="s">
        <v>14</v>
      </c>
      <c r="P2845" s="1" t="s">
        <v>37</v>
      </c>
      <c r="Q2845" s="1" t="s">
        <v>38</v>
      </c>
      <c r="R2845" s="1" t="s">
        <v>23</v>
      </c>
      <c r="S2845" s="1" t="s">
        <v>36</v>
      </c>
      <c r="T2845" s="1">
        <v>2015</v>
      </c>
      <c r="U2845" s="1">
        <v>3</v>
      </c>
      <c r="V2845" s="50">
        <v>42064</v>
      </c>
      <c r="W2845" s="4">
        <v>1887.6</v>
      </c>
      <c r="X2845" s="48">
        <v>2145</v>
      </c>
    </row>
    <row r="2846" spans="2:24" x14ac:dyDescent="0.35">
      <c r="B2846" s="8" t="s">
        <v>12</v>
      </c>
      <c r="C2846" s="8" t="s">
        <v>44</v>
      </c>
      <c r="D2846" s="8" t="s">
        <v>13</v>
      </c>
      <c r="E2846" s="8" t="s">
        <v>23</v>
      </c>
      <c r="F2846" s="8" t="s">
        <v>39</v>
      </c>
      <c r="G2846" s="8">
        <v>2015</v>
      </c>
      <c r="H2846" s="8">
        <v>3</v>
      </c>
      <c r="I2846" s="10">
        <v>42064</v>
      </c>
      <c r="J2846" s="11">
        <v>1925</v>
      </c>
      <c r="K2846" s="51"/>
      <c r="O2846" s="1" t="s">
        <v>12</v>
      </c>
      <c r="P2846" s="1" t="s">
        <v>44</v>
      </c>
      <c r="Q2846" s="1" t="s">
        <v>13</v>
      </c>
      <c r="R2846" s="1" t="s">
        <v>23</v>
      </c>
      <c r="S2846" s="1" t="s">
        <v>39</v>
      </c>
      <c r="T2846" s="1">
        <v>2015</v>
      </c>
      <c r="U2846" s="1">
        <v>3</v>
      </c>
      <c r="V2846" s="50">
        <v>42064</v>
      </c>
      <c r="W2846" s="4">
        <v>1636.2500000000002</v>
      </c>
      <c r="X2846" s="48">
        <v>1925</v>
      </c>
    </row>
    <row r="2847" spans="2:24" x14ac:dyDescent="0.35">
      <c r="B2847" s="8" t="s">
        <v>12</v>
      </c>
      <c r="C2847" s="8" t="s">
        <v>44</v>
      </c>
      <c r="D2847" s="8" t="s">
        <v>13</v>
      </c>
      <c r="E2847" s="8" t="s">
        <v>0</v>
      </c>
      <c r="F2847" s="8" t="s">
        <v>42</v>
      </c>
      <c r="G2847" s="8">
        <v>2015</v>
      </c>
      <c r="H2847" s="8">
        <v>3</v>
      </c>
      <c r="I2847" s="10">
        <v>42064</v>
      </c>
      <c r="J2847" s="11">
        <v>4225</v>
      </c>
      <c r="K2847" s="51"/>
      <c r="O2847" s="1" t="s">
        <v>12</v>
      </c>
      <c r="P2847" s="1" t="s">
        <v>44</v>
      </c>
      <c r="Q2847" s="1" t="s">
        <v>13</v>
      </c>
      <c r="R2847" s="1" t="s">
        <v>0</v>
      </c>
      <c r="S2847" s="1" t="s">
        <v>42</v>
      </c>
      <c r="T2847" s="1">
        <v>2015</v>
      </c>
      <c r="U2847" s="1">
        <v>3</v>
      </c>
      <c r="V2847" s="50">
        <v>42064</v>
      </c>
      <c r="W2847" s="4">
        <v>3591.2500000000005</v>
      </c>
      <c r="X2847" s="48">
        <v>4225</v>
      </c>
    </row>
    <row r="2848" spans="2:24" x14ac:dyDescent="0.35">
      <c r="B2848" s="8" t="s">
        <v>14</v>
      </c>
      <c r="C2848" s="8" t="s">
        <v>46</v>
      </c>
      <c r="D2848" s="8" t="s">
        <v>47</v>
      </c>
      <c r="E2848" s="8" t="s">
        <v>0</v>
      </c>
      <c r="F2848" s="6" t="s">
        <v>26</v>
      </c>
      <c r="G2848" s="8">
        <v>2015</v>
      </c>
      <c r="H2848" s="8">
        <v>3</v>
      </c>
      <c r="I2848" s="10">
        <v>42064</v>
      </c>
      <c r="J2848" s="11">
        <v>3220</v>
      </c>
      <c r="K2848" s="51"/>
      <c r="O2848" s="1" t="s">
        <v>14</v>
      </c>
      <c r="P2848" s="1" t="s">
        <v>46</v>
      </c>
      <c r="Q2848" s="1" t="s">
        <v>47</v>
      </c>
      <c r="R2848" s="1" t="s">
        <v>0</v>
      </c>
      <c r="S2848" t="s">
        <v>26</v>
      </c>
      <c r="T2848" s="1">
        <v>2015</v>
      </c>
      <c r="U2848" s="1">
        <v>3</v>
      </c>
      <c r="V2848" s="50">
        <v>42064</v>
      </c>
      <c r="W2848" s="4">
        <v>2930.2</v>
      </c>
      <c r="X2848" s="48">
        <v>3220</v>
      </c>
    </row>
    <row r="2849" spans="2:24" x14ac:dyDescent="0.35">
      <c r="B2849" s="8" t="s">
        <v>14</v>
      </c>
      <c r="C2849" s="8" t="s">
        <v>46</v>
      </c>
      <c r="D2849" s="8" t="s">
        <v>47</v>
      </c>
      <c r="E2849" s="8" t="s">
        <v>0</v>
      </c>
      <c r="F2849" s="6" t="s">
        <v>45</v>
      </c>
      <c r="G2849" s="8">
        <v>2015</v>
      </c>
      <c r="H2849" s="8">
        <v>3</v>
      </c>
      <c r="I2849" s="10">
        <v>42064</v>
      </c>
      <c r="J2849" s="11">
        <v>2475</v>
      </c>
      <c r="K2849" s="51"/>
      <c r="O2849" s="1" t="s">
        <v>14</v>
      </c>
      <c r="P2849" s="1" t="s">
        <v>46</v>
      </c>
      <c r="Q2849" s="1" t="s">
        <v>47</v>
      </c>
      <c r="R2849" s="1" t="s">
        <v>0</v>
      </c>
      <c r="S2849" t="s">
        <v>45</v>
      </c>
      <c r="T2849" s="1">
        <v>2015</v>
      </c>
      <c r="U2849" s="1">
        <v>3</v>
      </c>
      <c r="V2849" s="50">
        <v>42064</v>
      </c>
      <c r="W2849" s="4">
        <v>2227.5</v>
      </c>
      <c r="X2849" s="48">
        <v>2475</v>
      </c>
    </row>
    <row r="2850" spans="2:24" x14ac:dyDescent="0.35">
      <c r="B2850" s="8" t="s">
        <v>3</v>
      </c>
      <c r="C2850" s="8" t="s">
        <v>25</v>
      </c>
      <c r="D2850" s="8" t="s">
        <v>4</v>
      </c>
      <c r="E2850" s="8" t="s">
        <v>27</v>
      </c>
      <c r="F2850" s="6" t="s">
        <v>33</v>
      </c>
      <c r="G2850" s="8">
        <v>2015</v>
      </c>
      <c r="H2850" s="8">
        <v>3</v>
      </c>
      <c r="I2850" s="10">
        <v>42064</v>
      </c>
      <c r="J2850" s="11">
        <v>3004</v>
      </c>
      <c r="K2850" s="51"/>
      <c r="O2850" s="1" t="s">
        <v>3</v>
      </c>
      <c r="P2850" s="1" t="s">
        <v>25</v>
      </c>
      <c r="Q2850" s="1" t="s">
        <v>4</v>
      </c>
      <c r="R2850" s="1" t="s">
        <v>27</v>
      </c>
      <c r="S2850" t="s">
        <v>33</v>
      </c>
      <c r="T2850" s="1">
        <v>2015</v>
      </c>
      <c r="U2850" s="1">
        <v>3</v>
      </c>
      <c r="V2850" s="50">
        <v>42064</v>
      </c>
      <c r="W2850" s="4">
        <v>2823.7599999999998</v>
      </c>
      <c r="X2850" s="48">
        <v>3004</v>
      </c>
    </row>
    <row r="2851" spans="2:24" x14ac:dyDescent="0.35">
      <c r="B2851" s="8" t="s">
        <v>3</v>
      </c>
      <c r="C2851" s="8" t="s">
        <v>25</v>
      </c>
      <c r="D2851" s="8" t="s">
        <v>4</v>
      </c>
      <c r="E2851" s="9" t="s">
        <v>23</v>
      </c>
      <c r="F2851" s="9" t="s">
        <v>36</v>
      </c>
      <c r="G2851" s="8">
        <v>2015</v>
      </c>
      <c r="H2851" s="8">
        <v>3</v>
      </c>
      <c r="I2851" s="10">
        <v>42064</v>
      </c>
      <c r="J2851" s="11">
        <v>2077</v>
      </c>
      <c r="K2851" s="51"/>
      <c r="O2851" s="1" t="s">
        <v>3</v>
      </c>
      <c r="P2851" s="1" t="s">
        <v>25</v>
      </c>
      <c r="Q2851" s="1" t="s">
        <v>4</v>
      </c>
      <c r="R2851" s="2" t="s">
        <v>23</v>
      </c>
      <c r="S2851" s="2" t="s">
        <v>36</v>
      </c>
      <c r="T2851" s="1">
        <v>2015</v>
      </c>
      <c r="U2851" s="1">
        <v>3</v>
      </c>
      <c r="V2851" s="50">
        <v>42064</v>
      </c>
      <c r="W2851" s="4">
        <v>1890.0699999999997</v>
      </c>
      <c r="X2851" s="48">
        <v>2077</v>
      </c>
    </row>
    <row r="2852" spans="2:24" x14ac:dyDescent="0.35">
      <c r="B2852" s="8" t="s">
        <v>6</v>
      </c>
      <c r="C2852" s="8" t="s">
        <v>40</v>
      </c>
      <c r="D2852" s="8" t="s">
        <v>41</v>
      </c>
      <c r="E2852" s="8" t="s">
        <v>23</v>
      </c>
      <c r="F2852" s="9" t="s">
        <v>39</v>
      </c>
      <c r="G2852" s="8">
        <v>2015</v>
      </c>
      <c r="H2852" s="8">
        <v>3</v>
      </c>
      <c r="I2852" s="10">
        <v>42064</v>
      </c>
      <c r="J2852" s="11">
        <v>2849</v>
      </c>
      <c r="K2852" s="51"/>
      <c r="O2852" s="1" t="s">
        <v>6</v>
      </c>
      <c r="P2852" s="1" t="s">
        <v>40</v>
      </c>
      <c r="Q2852" s="1" t="s">
        <v>41</v>
      </c>
      <c r="R2852" s="1" t="s">
        <v>23</v>
      </c>
      <c r="S2852" s="2" t="s">
        <v>39</v>
      </c>
      <c r="T2852" s="1">
        <v>2015</v>
      </c>
      <c r="U2852" s="1">
        <v>3</v>
      </c>
      <c r="V2852" s="50">
        <v>42064</v>
      </c>
      <c r="W2852" s="4">
        <v>2621.08</v>
      </c>
      <c r="X2852" s="48">
        <v>2849</v>
      </c>
    </row>
    <row r="2853" spans="2:24" x14ac:dyDescent="0.35">
      <c r="B2853" s="8" t="s">
        <v>7</v>
      </c>
      <c r="C2853" s="8" t="s">
        <v>48</v>
      </c>
      <c r="D2853" s="8" t="s">
        <v>9</v>
      </c>
      <c r="E2853" s="8" t="s">
        <v>0</v>
      </c>
      <c r="F2853" s="6" t="s">
        <v>45</v>
      </c>
      <c r="G2853" s="8">
        <v>2015</v>
      </c>
      <c r="H2853" s="8">
        <v>3</v>
      </c>
      <c r="I2853" s="10">
        <v>42064</v>
      </c>
      <c r="J2853" s="11">
        <v>3738</v>
      </c>
      <c r="K2853" s="51"/>
      <c r="O2853" s="1" t="s">
        <v>7</v>
      </c>
      <c r="P2853" s="1" t="s">
        <v>48</v>
      </c>
      <c r="Q2853" s="1" t="s">
        <v>9</v>
      </c>
      <c r="R2853" s="1" t="s">
        <v>0</v>
      </c>
      <c r="S2853" t="s">
        <v>45</v>
      </c>
      <c r="T2853" s="1">
        <v>2015</v>
      </c>
      <c r="U2853" s="1">
        <v>3</v>
      </c>
      <c r="V2853" s="50">
        <v>42064</v>
      </c>
      <c r="W2853" s="4">
        <v>3252.0600000000004</v>
      </c>
      <c r="X2853" s="48">
        <v>3738</v>
      </c>
    </row>
    <row r="2854" spans="2:24" x14ac:dyDescent="0.35">
      <c r="B2854" s="8" t="s">
        <v>7</v>
      </c>
      <c r="C2854" s="8" t="s">
        <v>49</v>
      </c>
      <c r="D2854" s="8" t="s">
        <v>11</v>
      </c>
      <c r="E2854" s="8" t="s">
        <v>27</v>
      </c>
      <c r="F2854" s="8" t="s">
        <v>31</v>
      </c>
      <c r="G2854" s="8">
        <v>2015</v>
      </c>
      <c r="H2854" s="8">
        <v>3</v>
      </c>
      <c r="I2854" s="10">
        <v>42064</v>
      </c>
      <c r="J2854" s="11">
        <v>2956</v>
      </c>
      <c r="K2854" s="51"/>
      <c r="O2854" s="1" t="s">
        <v>7</v>
      </c>
      <c r="P2854" s="1" t="s">
        <v>49</v>
      </c>
      <c r="Q2854" s="1" t="s">
        <v>11</v>
      </c>
      <c r="R2854" s="1" t="s">
        <v>27</v>
      </c>
      <c r="S2854" s="1" t="s">
        <v>31</v>
      </c>
      <c r="T2854" s="1">
        <v>2015</v>
      </c>
      <c r="U2854" s="1">
        <v>3</v>
      </c>
      <c r="V2854" s="50">
        <v>42064</v>
      </c>
      <c r="W2854" s="4">
        <v>2749.08</v>
      </c>
      <c r="X2854" s="48">
        <v>2956</v>
      </c>
    </row>
    <row r="2855" spans="2:24" x14ac:dyDescent="0.35">
      <c r="B2855" s="8" t="s">
        <v>7</v>
      </c>
      <c r="C2855" s="8" t="s">
        <v>43</v>
      </c>
      <c r="D2855" s="8" t="s">
        <v>10</v>
      </c>
      <c r="E2855" s="8" t="s">
        <v>27</v>
      </c>
      <c r="F2855" s="8" t="s">
        <v>33</v>
      </c>
      <c r="G2855" s="8">
        <v>2015</v>
      </c>
      <c r="H2855" s="8">
        <v>3</v>
      </c>
      <c r="I2855" s="10">
        <v>42064</v>
      </c>
      <c r="J2855" s="11">
        <v>2885</v>
      </c>
      <c r="K2855" s="51"/>
      <c r="O2855" s="1" t="s">
        <v>7</v>
      </c>
      <c r="P2855" s="1" t="s">
        <v>43</v>
      </c>
      <c r="Q2855" s="1" t="s">
        <v>10</v>
      </c>
      <c r="R2855" s="1" t="s">
        <v>27</v>
      </c>
      <c r="S2855" s="1" t="s">
        <v>33</v>
      </c>
      <c r="T2855" s="1">
        <v>2015</v>
      </c>
      <c r="U2855" s="1">
        <v>3</v>
      </c>
      <c r="V2855" s="50">
        <v>42064</v>
      </c>
      <c r="W2855" s="4">
        <v>2625.35</v>
      </c>
      <c r="X2855" s="48">
        <v>2885</v>
      </c>
    </row>
    <row r="2856" spans="2:24" x14ac:dyDescent="0.35">
      <c r="B2856" s="8" t="s">
        <v>7</v>
      </c>
      <c r="C2856" s="8" t="s">
        <v>32</v>
      </c>
      <c r="D2856" s="8" t="s">
        <v>8</v>
      </c>
      <c r="E2856" s="8" t="s">
        <v>0</v>
      </c>
      <c r="F2856" s="8" t="s">
        <v>45</v>
      </c>
      <c r="G2856" s="8">
        <v>2015</v>
      </c>
      <c r="H2856" s="8">
        <v>3</v>
      </c>
      <c r="I2856" s="10">
        <v>42064</v>
      </c>
      <c r="J2856" s="11">
        <v>4878</v>
      </c>
      <c r="K2856" s="51"/>
      <c r="O2856" s="1" t="s">
        <v>7</v>
      </c>
      <c r="P2856" s="1" t="s">
        <v>32</v>
      </c>
      <c r="Q2856" s="1" t="s">
        <v>8</v>
      </c>
      <c r="R2856" s="1" t="s">
        <v>0</v>
      </c>
      <c r="S2856" s="1" t="s">
        <v>45</v>
      </c>
      <c r="T2856" s="1">
        <v>2015</v>
      </c>
      <c r="U2856" s="1">
        <v>3</v>
      </c>
      <c r="V2856" s="50">
        <v>42064</v>
      </c>
      <c r="W2856" s="4">
        <v>4390.2</v>
      </c>
      <c r="X2856" s="48">
        <v>4878</v>
      </c>
    </row>
    <row r="2857" spans="2:24" x14ac:dyDescent="0.35">
      <c r="B2857" s="8" t="s">
        <v>7</v>
      </c>
      <c r="C2857" s="8" t="s">
        <v>48</v>
      </c>
      <c r="D2857" s="8" t="s">
        <v>9</v>
      </c>
      <c r="E2857" s="8" t="s">
        <v>23</v>
      </c>
      <c r="F2857" s="6" t="s">
        <v>39</v>
      </c>
      <c r="G2857" s="8">
        <v>2015</v>
      </c>
      <c r="H2857" s="8">
        <v>3</v>
      </c>
      <c r="I2857" s="10">
        <v>42064</v>
      </c>
      <c r="J2857" s="11">
        <v>1486</v>
      </c>
      <c r="K2857" s="51"/>
      <c r="O2857" s="1" t="s">
        <v>7</v>
      </c>
      <c r="P2857" s="1" t="s">
        <v>48</v>
      </c>
      <c r="Q2857" s="1" t="s">
        <v>9</v>
      </c>
      <c r="R2857" s="1" t="s">
        <v>23</v>
      </c>
      <c r="S2857" t="s">
        <v>39</v>
      </c>
      <c r="T2857" s="1">
        <v>2015</v>
      </c>
      <c r="U2857" s="1">
        <v>3</v>
      </c>
      <c r="V2857" s="50">
        <v>42064</v>
      </c>
      <c r="W2857" s="4">
        <v>1352.2599999999998</v>
      </c>
      <c r="X2857" s="48">
        <v>1486</v>
      </c>
    </row>
    <row r="2858" spans="2:24" x14ac:dyDescent="0.35">
      <c r="B2858" s="8" t="s">
        <v>7</v>
      </c>
      <c r="C2858" s="8" t="s">
        <v>49</v>
      </c>
      <c r="D2858" s="8" t="s">
        <v>11</v>
      </c>
      <c r="E2858" s="8" t="s">
        <v>0</v>
      </c>
      <c r="F2858" s="6" t="s">
        <v>26</v>
      </c>
      <c r="G2858" s="8">
        <v>2015</v>
      </c>
      <c r="H2858" s="8">
        <v>3</v>
      </c>
      <c r="I2858" s="10">
        <v>42064</v>
      </c>
      <c r="J2858" s="11">
        <v>4434</v>
      </c>
      <c r="K2858" s="51"/>
      <c r="O2858" s="1" t="s">
        <v>7</v>
      </c>
      <c r="P2858" s="1" t="s">
        <v>49</v>
      </c>
      <c r="Q2858" s="1" t="s">
        <v>11</v>
      </c>
      <c r="R2858" s="1" t="s">
        <v>0</v>
      </c>
      <c r="S2858" t="s">
        <v>26</v>
      </c>
      <c r="T2858" s="1">
        <v>2015</v>
      </c>
      <c r="U2858" s="1">
        <v>3</v>
      </c>
      <c r="V2858" s="50">
        <v>42064</v>
      </c>
      <c r="W2858" s="4">
        <v>3946.2599999999998</v>
      </c>
      <c r="X2858" s="48">
        <v>4434</v>
      </c>
    </row>
    <row r="2859" spans="2:24" x14ac:dyDescent="0.35">
      <c r="B2859" s="8" t="s">
        <v>12</v>
      </c>
      <c r="C2859" s="8" t="s">
        <v>34</v>
      </c>
      <c r="D2859" s="8" t="s">
        <v>35</v>
      </c>
      <c r="E2859" s="8" t="s">
        <v>27</v>
      </c>
      <c r="F2859" s="6" t="s">
        <v>28</v>
      </c>
      <c r="G2859" s="8">
        <v>2015</v>
      </c>
      <c r="H2859" s="8">
        <v>3</v>
      </c>
      <c r="I2859" s="10">
        <v>42064</v>
      </c>
      <c r="J2859" s="11">
        <v>4330</v>
      </c>
      <c r="K2859" s="51"/>
      <c r="O2859" s="1" t="s">
        <v>12</v>
      </c>
      <c r="P2859" s="1" t="s">
        <v>34</v>
      </c>
      <c r="Q2859" s="1" t="s">
        <v>35</v>
      </c>
      <c r="R2859" s="1" t="s">
        <v>27</v>
      </c>
      <c r="S2859" t="s">
        <v>28</v>
      </c>
      <c r="T2859" s="1">
        <v>2015</v>
      </c>
      <c r="U2859" s="1">
        <v>3</v>
      </c>
      <c r="V2859" s="50">
        <v>42064</v>
      </c>
      <c r="W2859" s="4">
        <v>3940.2999999999997</v>
      </c>
      <c r="X2859" s="48">
        <v>4330</v>
      </c>
    </row>
    <row r="2860" spans="2:24" x14ac:dyDescent="0.35">
      <c r="B2860" s="8" t="s">
        <v>14</v>
      </c>
      <c r="C2860" s="8" t="s">
        <v>37</v>
      </c>
      <c r="D2860" s="8" t="s">
        <v>38</v>
      </c>
      <c r="E2860" s="9" t="s">
        <v>27</v>
      </c>
      <c r="F2860" s="9" t="s">
        <v>33</v>
      </c>
      <c r="G2860" s="8">
        <v>2015</v>
      </c>
      <c r="H2860" s="8">
        <v>3</v>
      </c>
      <c r="I2860" s="10">
        <v>42064</v>
      </c>
      <c r="J2860" s="11">
        <v>3797</v>
      </c>
      <c r="K2860" s="51"/>
      <c r="O2860" s="1" t="s">
        <v>14</v>
      </c>
      <c r="P2860" s="1" t="s">
        <v>37</v>
      </c>
      <c r="Q2860" s="1" t="s">
        <v>38</v>
      </c>
      <c r="R2860" s="2" t="s">
        <v>27</v>
      </c>
      <c r="S2860" s="2" t="s">
        <v>33</v>
      </c>
      <c r="T2860" s="1">
        <v>2015</v>
      </c>
      <c r="U2860" s="1">
        <v>3</v>
      </c>
      <c r="V2860" s="50">
        <v>42064</v>
      </c>
      <c r="W2860" s="4">
        <v>3531.2099999999996</v>
      </c>
      <c r="X2860" s="48">
        <v>3797</v>
      </c>
    </row>
    <row r="2861" spans="2:24" x14ac:dyDescent="0.35">
      <c r="B2861" s="8" t="s">
        <v>12</v>
      </c>
      <c r="C2861" s="8" t="s">
        <v>44</v>
      </c>
      <c r="D2861" s="8" t="s">
        <v>13</v>
      </c>
      <c r="E2861" s="8" t="s">
        <v>23</v>
      </c>
      <c r="F2861" s="9" t="s">
        <v>24</v>
      </c>
      <c r="G2861" s="8">
        <v>2015</v>
      </c>
      <c r="H2861" s="8">
        <v>3</v>
      </c>
      <c r="I2861" s="10">
        <v>42064</v>
      </c>
      <c r="J2861" s="11">
        <v>1804</v>
      </c>
      <c r="K2861" s="51"/>
      <c r="O2861" s="1" t="s">
        <v>12</v>
      </c>
      <c r="P2861" s="1" t="s">
        <v>44</v>
      </c>
      <c r="Q2861" s="1" t="s">
        <v>13</v>
      </c>
      <c r="R2861" s="1" t="s">
        <v>23</v>
      </c>
      <c r="S2861" s="2" t="s">
        <v>24</v>
      </c>
      <c r="T2861" s="1">
        <v>2015</v>
      </c>
      <c r="U2861" s="1">
        <v>3</v>
      </c>
      <c r="V2861" s="50">
        <v>42064</v>
      </c>
      <c r="W2861" s="4">
        <v>1677.7199999999998</v>
      </c>
      <c r="X2861" s="48">
        <v>1804</v>
      </c>
    </row>
    <row r="2862" spans="2:24" x14ac:dyDescent="0.35">
      <c r="B2862" s="8" t="s">
        <v>14</v>
      </c>
      <c r="C2862" s="8" t="s">
        <v>46</v>
      </c>
      <c r="D2862" s="8" t="s">
        <v>47</v>
      </c>
      <c r="E2862" s="8" t="s">
        <v>0</v>
      </c>
      <c r="F2862" s="6" t="s">
        <v>42</v>
      </c>
      <c r="G2862" s="8">
        <v>2015</v>
      </c>
      <c r="H2862" s="8">
        <v>3</v>
      </c>
      <c r="I2862" s="10">
        <v>42064</v>
      </c>
      <c r="J2862" s="11">
        <v>4886</v>
      </c>
      <c r="K2862" s="51"/>
      <c r="O2862" s="1" t="s">
        <v>14</v>
      </c>
      <c r="P2862" s="1" t="s">
        <v>46</v>
      </c>
      <c r="Q2862" s="1" t="s">
        <v>47</v>
      </c>
      <c r="R2862" s="1" t="s">
        <v>0</v>
      </c>
      <c r="S2862" t="s">
        <v>42</v>
      </c>
      <c r="T2862" s="1">
        <v>2015</v>
      </c>
      <c r="U2862" s="1">
        <v>3</v>
      </c>
      <c r="V2862" s="50">
        <v>42064</v>
      </c>
      <c r="W2862" s="4">
        <v>4495.12</v>
      </c>
      <c r="X2862" s="48">
        <v>4886</v>
      </c>
    </row>
    <row r="2863" spans="2:24" x14ac:dyDescent="0.35">
      <c r="B2863" s="8" t="s">
        <v>7</v>
      </c>
      <c r="C2863" s="8" t="s">
        <v>48</v>
      </c>
      <c r="D2863" s="8" t="s">
        <v>9</v>
      </c>
      <c r="E2863" s="8" t="s">
        <v>27</v>
      </c>
      <c r="F2863" s="8" t="s">
        <v>33</v>
      </c>
      <c r="G2863" s="8">
        <v>2015</v>
      </c>
      <c r="H2863" s="8">
        <v>3</v>
      </c>
      <c r="I2863" s="10">
        <v>42064</v>
      </c>
      <c r="J2863" s="11">
        <v>2932</v>
      </c>
      <c r="K2863" s="51"/>
      <c r="O2863" s="1" t="s">
        <v>7</v>
      </c>
      <c r="P2863" s="1" t="s">
        <v>48</v>
      </c>
      <c r="Q2863" s="1" t="s">
        <v>9</v>
      </c>
      <c r="R2863" s="1" t="s">
        <v>27</v>
      </c>
      <c r="S2863" s="1" t="s">
        <v>33</v>
      </c>
      <c r="T2863" s="1">
        <v>2015</v>
      </c>
      <c r="U2863" s="1">
        <v>3</v>
      </c>
      <c r="V2863" s="50">
        <v>42064</v>
      </c>
      <c r="W2863" s="4">
        <v>2668.12</v>
      </c>
      <c r="X2863" s="48">
        <v>2932</v>
      </c>
    </row>
    <row r="2864" spans="2:24" x14ac:dyDescent="0.35">
      <c r="B2864" s="8" t="s">
        <v>7</v>
      </c>
      <c r="C2864" s="8" t="s">
        <v>49</v>
      </c>
      <c r="D2864" s="8" t="s">
        <v>11</v>
      </c>
      <c r="E2864" s="8" t="s">
        <v>23</v>
      </c>
      <c r="F2864" s="8" t="s">
        <v>24</v>
      </c>
      <c r="G2864" s="8">
        <v>2015</v>
      </c>
      <c r="H2864" s="8">
        <v>3</v>
      </c>
      <c r="I2864" s="10">
        <v>42064</v>
      </c>
      <c r="J2864" s="11">
        <v>2616</v>
      </c>
      <c r="K2864" s="51"/>
      <c r="O2864" s="1" t="s">
        <v>7</v>
      </c>
      <c r="P2864" s="1" t="s">
        <v>49</v>
      </c>
      <c r="Q2864" s="1" t="s">
        <v>11</v>
      </c>
      <c r="R2864" s="1" t="s">
        <v>23</v>
      </c>
      <c r="S2864" s="1" t="s">
        <v>24</v>
      </c>
      <c r="T2864" s="1">
        <v>2015</v>
      </c>
      <c r="U2864" s="1">
        <v>3</v>
      </c>
      <c r="V2864" s="50">
        <v>42064</v>
      </c>
      <c r="W2864" s="4">
        <v>2249.7600000000002</v>
      </c>
      <c r="X2864" s="48">
        <v>2616</v>
      </c>
    </row>
    <row r="2865" spans="2:24" x14ac:dyDescent="0.35">
      <c r="B2865" s="8" t="s">
        <v>3</v>
      </c>
      <c r="C2865" s="8" t="s">
        <v>22</v>
      </c>
      <c r="D2865" s="8" t="s">
        <v>5</v>
      </c>
      <c r="E2865" s="8" t="s">
        <v>23</v>
      </c>
      <c r="F2865" s="8" t="s">
        <v>24</v>
      </c>
      <c r="G2865" s="8">
        <v>2015</v>
      </c>
      <c r="H2865" s="8">
        <v>4</v>
      </c>
      <c r="I2865" s="10">
        <v>42095</v>
      </c>
      <c r="J2865" s="11">
        <v>2587</v>
      </c>
      <c r="K2865" s="51"/>
      <c r="O2865" s="1" t="s">
        <v>3</v>
      </c>
      <c r="P2865" s="1" t="s">
        <v>22</v>
      </c>
      <c r="Q2865" s="1" t="s">
        <v>5</v>
      </c>
      <c r="R2865" s="1" t="s">
        <v>23</v>
      </c>
      <c r="S2865" s="1" t="s">
        <v>24</v>
      </c>
      <c r="T2865" s="1">
        <v>2015</v>
      </c>
      <c r="U2865" s="1">
        <v>4</v>
      </c>
      <c r="V2865" s="50">
        <v>42095</v>
      </c>
      <c r="W2865" s="4">
        <v>2198.9500000000003</v>
      </c>
      <c r="X2865" s="48">
        <v>2587</v>
      </c>
    </row>
    <row r="2866" spans="2:24" x14ac:dyDescent="0.35">
      <c r="B2866" s="8" t="s">
        <v>3</v>
      </c>
      <c r="C2866" s="8" t="s">
        <v>25</v>
      </c>
      <c r="D2866" s="8" t="s">
        <v>4</v>
      </c>
      <c r="E2866" s="8" t="s">
        <v>23</v>
      </c>
      <c r="F2866" s="6" t="s">
        <v>24</v>
      </c>
      <c r="G2866" s="8">
        <v>2015</v>
      </c>
      <c r="H2866" s="8">
        <v>4</v>
      </c>
      <c r="I2866" s="10">
        <v>42095</v>
      </c>
      <c r="J2866" s="11">
        <v>1783</v>
      </c>
      <c r="K2866" s="51"/>
      <c r="O2866" s="1" t="s">
        <v>3</v>
      </c>
      <c r="P2866" s="1" t="s">
        <v>25</v>
      </c>
      <c r="Q2866" s="1" t="s">
        <v>4</v>
      </c>
      <c r="R2866" s="1" t="s">
        <v>23</v>
      </c>
      <c r="S2866" t="s">
        <v>24</v>
      </c>
      <c r="T2866" s="1">
        <v>2015</v>
      </c>
      <c r="U2866" s="1">
        <v>4</v>
      </c>
      <c r="V2866" s="50">
        <v>42095</v>
      </c>
      <c r="W2866" s="4">
        <v>1551.2100000000003</v>
      </c>
      <c r="X2866" s="48">
        <v>1783</v>
      </c>
    </row>
    <row r="2867" spans="2:24" x14ac:dyDescent="0.35">
      <c r="B2867" s="8" t="s">
        <v>3</v>
      </c>
      <c r="C2867" s="8" t="s">
        <v>25</v>
      </c>
      <c r="D2867" s="8" t="s">
        <v>4</v>
      </c>
      <c r="E2867" s="8" t="s">
        <v>0</v>
      </c>
      <c r="F2867" s="6" t="s">
        <v>26</v>
      </c>
      <c r="G2867" s="8">
        <v>2015</v>
      </c>
      <c r="H2867" s="8">
        <v>4</v>
      </c>
      <c r="I2867" s="10">
        <v>42095</v>
      </c>
      <c r="J2867" s="11">
        <v>4752</v>
      </c>
      <c r="K2867" s="51"/>
      <c r="O2867" s="1" t="s">
        <v>3</v>
      </c>
      <c r="P2867" s="1" t="s">
        <v>25</v>
      </c>
      <c r="Q2867" s="1" t="s">
        <v>4</v>
      </c>
      <c r="R2867" s="1" t="s">
        <v>0</v>
      </c>
      <c r="S2867" t="s">
        <v>26</v>
      </c>
      <c r="T2867" s="1">
        <v>2015</v>
      </c>
      <c r="U2867" s="1">
        <v>4</v>
      </c>
      <c r="V2867" s="50">
        <v>42095</v>
      </c>
      <c r="W2867" s="4">
        <v>4229.28</v>
      </c>
      <c r="X2867" s="48">
        <v>4752</v>
      </c>
    </row>
    <row r="2868" spans="2:24" x14ac:dyDescent="0.35">
      <c r="B2868" s="8" t="s">
        <v>3</v>
      </c>
      <c r="C2868" s="8" t="s">
        <v>22</v>
      </c>
      <c r="D2868" s="8" t="s">
        <v>5</v>
      </c>
      <c r="E2868" s="8" t="s">
        <v>0</v>
      </c>
      <c r="F2868" s="6" t="s">
        <v>26</v>
      </c>
      <c r="G2868" s="8">
        <v>2015</v>
      </c>
      <c r="H2868" s="8">
        <v>4</v>
      </c>
      <c r="I2868" s="10">
        <v>42095</v>
      </c>
      <c r="J2868" s="11">
        <v>3505</v>
      </c>
      <c r="K2868" s="51"/>
      <c r="O2868" s="1" t="s">
        <v>3</v>
      </c>
      <c r="P2868" s="1" t="s">
        <v>22</v>
      </c>
      <c r="Q2868" s="1" t="s">
        <v>5</v>
      </c>
      <c r="R2868" s="1" t="s">
        <v>0</v>
      </c>
      <c r="S2868" t="s">
        <v>26</v>
      </c>
      <c r="T2868" s="1">
        <v>2015</v>
      </c>
      <c r="U2868" s="1">
        <v>4</v>
      </c>
      <c r="V2868" s="50">
        <v>42095</v>
      </c>
      <c r="W2868" s="4">
        <v>3259.6499999999996</v>
      </c>
      <c r="X2868" s="48">
        <v>3505</v>
      </c>
    </row>
    <row r="2869" spans="2:24" x14ac:dyDescent="0.35">
      <c r="B2869" s="8" t="s">
        <v>3</v>
      </c>
      <c r="C2869" s="8" t="s">
        <v>22</v>
      </c>
      <c r="D2869" s="8" t="s">
        <v>5</v>
      </c>
      <c r="E2869" s="9" t="s">
        <v>27</v>
      </c>
      <c r="F2869" s="9" t="s">
        <v>28</v>
      </c>
      <c r="G2869" s="8">
        <v>2015</v>
      </c>
      <c r="H2869" s="8">
        <v>4</v>
      </c>
      <c r="I2869" s="10">
        <v>42095</v>
      </c>
      <c r="J2869" s="11">
        <v>5070</v>
      </c>
      <c r="K2869" s="51"/>
      <c r="O2869" s="1" t="s">
        <v>3</v>
      </c>
      <c r="P2869" s="1" t="s">
        <v>22</v>
      </c>
      <c r="Q2869" s="1" t="s">
        <v>5</v>
      </c>
      <c r="R2869" s="2" t="s">
        <v>27</v>
      </c>
      <c r="S2869" s="2" t="s">
        <v>28</v>
      </c>
      <c r="T2869" s="1">
        <v>2015</v>
      </c>
      <c r="U2869" s="1">
        <v>4</v>
      </c>
      <c r="V2869" s="50">
        <v>42095</v>
      </c>
      <c r="W2869" s="4">
        <v>4309.5</v>
      </c>
      <c r="X2869" s="48">
        <v>5070</v>
      </c>
    </row>
    <row r="2870" spans="2:24" x14ac:dyDescent="0.35">
      <c r="B2870" s="8" t="s">
        <v>6</v>
      </c>
      <c r="C2870" s="8" t="s">
        <v>29</v>
      </c>
      <c r="D2870" s="8" t="s">
        <v>30</v>
      </c>
      <c r="E2870" s="8" t="s">
        <v>27</v>
      </c>
      <c r="F2870" s="9" t="s">
        <v>31</v>
      </c>
      <c r="G2870" s="8">
        <v>2015</v>
      </c>
      <c r="H2870" s="8">
        <v>4</v>
      </c>
      <c r="I2870" s="10">
        <v>42095</v>
      </c>
      <c r="J2870" s="11">
        <v>4532</v>
      </c>
      <c r="K2870" s="51"/>
      <c r="O2870" s="1" t="s">
        <v>6</v>
      </c>
      <c r="P2870" s="1" t="s">
        <v>29</v>
      </c>
      <c r="Q2870" s="1" t="s">
        <v>30</v>
      </c>
      <c r="R2870" s="1" t="s">
        <v>27</v>
      </c>
      <c r="S2870" s="2" t="s">
        <v>31</v>
      </c>
      <c r="T2870" s="1">
        <v>2015</v>
      </c>
      <c r="U2870" s="1">
        <v>4</v>
      </c>
      <c r="V2870" s="50">
        <v>42095</v>
      </c>
      <c r="W2870" s="4">
        <v>4169.4399999999996</v>
      </c>
      <c r="X2870" s="48">
        <v>4532</v>
      </c>
    </row>
    <row r="2871" spans="2:24" x14ac:dyDescent="0.35">
      <c r="B2871" s="8" t="s">
        <v>7</v>
      </c>
      <c r="C2871" s="8" t="s">
        <v>32</v>
      </c>
      <c r="D2871" s="8" t="s">
        <v>8</v>
      </c>
      <c r="E2871" s="8" t="s">
        <v>27</v>
      </c>
      <c r="F2871" s="6" t="s">
        <v>33</v>
      </c>
      <c r="G2871" s="8">
        <v>2015</v>
      </c>
      <c r="H2871" s="8">
        <v>4</v>
      </c>
      <c r="I2871" s="10">
        <v>42095</v>
      </c>
      <c r="J2871" s="11">
        <v>3525</v>
      </c>
      <c r="K2871" s="51"/>
      <c r="O2871" s="1" t="s">
        <v>7</v>
      </c>
      <c r="P2871" s="1" t="s">
        <v>32</v>
      </c>
      <c r="Q2871" s="1" t="s">
        <v>8</v>
      </c>
      <c r="R2871" s="1" t="s">
        <v>27</v>
      </c>
      <c r="S2871" t="s">
        <v>33</v>
      </c>
      <c r="T2871" s="1">
        <v>2015</v>
      </c>
      <c r="U2871" s="1">
        <v>4</v>
      </c>
      <c r="V2871" s="50">
        <v>42095</v>
      </c>
      <c r="W2871" s="4">
        <v>3207.7499999999995</v>
      </c>
      <c r="X2871" s="48">
        <v>3525</v>
      </c>
    </row>
    <row r="2872" spans="2:24" x14ac:dyDescent="0.35">
      <c r="B2872" s="8" t="s">
        <v>12</v>
      </c>
      <c r="C2872" s="8" t="s">
        <v>34</v>
      </c>
      <c r="D2872" s="8" t="s">
        <v>35</v>
      </c>
      <c r="E2872" s="8" t="s">
        <v>23</v>
      </c>
      <c r="F2872" s="8" t="s">
        <v>36</v>
      </c>
      <c r="G2872" s="8">
        <v>2015</v>
      </c>
      <c r="H2872" s="8">
        <v>4</v>
      </c>
      <c r="I2872" s="10">
        <v>42095</v>
      </c>
      <c r="J2872" s="11">
        <v>1963</v>
      </c>
      <c r="K2872" s="51"/>
      <c r="O2872" s="1" t="s">
        <v>12</v>
      </c>
      <c r="P2872" s="1" t="s">
        <v>34</v>
      </c>
      <c r="Q2872" s="1" t="s">
        <v>35</v>
      </c>
      <c r="R2872" s="1" t="s">
        <v>23</v>
      </c>
      <c r="S2872" s="1" t="s">
        <v>36</v>
      </c>
      <c r="T2872" s="1">
        <v>2015</v>
      </c>
      <c r="U2872" s="1">
        <v>4</v>
      </c>
      <c r="V2872" s="50">
        <v>42095</v>
      </c>
      <c r="W2872" s="4">
        <v>1766.6999999999998</v>
      </c>
      <c r="X2872" s="48">
        <v>1963</v>
      </c>
    </row>
    <row r="2873" spans="2:24" x14ac:dyDescent="0.35">
      <c r="B2873" s="8" t="s">
        <v>14</v>
      </c>
      <c r="C2873" s="8" t="s">
        <v>37</v>
      </c>
      <c r="D2873" s="8" t="s">
        <v>38</v>
      </c>
      <c r="E2873" s="8" t="s">
        <v>23</v>
      </c>
      <c r="F2873" s="8" t="s">
        <v>24</v>
      </c>
      <c r="G2873" s="8">
        <v>2015</v>
      </c>
      <c r="H2873" s="8">
        <v>4</v>
      </c>
      <c r="I2873" s="10">
        <v>42095</v>
      </c>
      <c r="J2873" s="11">
        <v>1949</v>
      </c>
      <c r="K2873" s="51"/>
      <c r="O2873" s="1" t="s">
        <v>14</v>
      </c>
      <c r="P2873" s="1" t="s">
        <v>37</v>
      </c>
      <c r="Q2873" s="1" t="s">
        <v>38</v>
      </c>
      <c r="R2873" s="1" t="s">
        <v>23</v>
      </c>
      <c r="S2873" s="1" t="s">
        <v>24</v>
      </c>
      <c r="T2873" s="1">
        <v>2015</v>
      </c>
      <c r="U2873" s="1">
        <v>4</v>
      </c>
      <c r="V2873" s="50">
        <v>42095</v>
      </c>
      <c r="W2873" s="4">
        <v>1715.12</v>
      </c>
      <c r="X2873" s="48">
        <v>1949</v>
      </c>
    </row>
    <row r="2874" spans="2:24" x14ac:dyDescent="0.35">
      <c r="B2874" s="8" t="s">
        <v>3</v>
      </c>
      <c r="C2874" s="8" t="s">
        <v>25</v>
      </c>
      <c r="D2874" s="8" t="s">
        <v>4</v>
      </c>
      <c r="E2874" s="8" t="s">
        <v>23</v>
      </c>
      <c r="F2874" s="8" t="s">
        <v>39</v>
      </c>
      <c r="G2874" s="8">
        <v>2015</v>
      </c>
      <c r="H2874" s="8">
        <v>4</v>
      </c>
      <c r="I2874" s="10">
        <v>42095</v>
      </c>
      <c r="J2874" s="11">
        <v>2160</v>
      </c>
      <c r="K2874" s="51"/>
      <c r="O2874" s="1" t="s">
        <v>3</v>
      </c>
      <c r="P2874" s="1" t="s">
        <v>25</v>
      </c>
      <c r="Q2874" s="1" t="s">
        <v>4</v>
      </c>
      <c r="R2874" s="1" t="s">
        <v>23</v>
      </c>
      <c r="S2874" s="1" t="s">
        <v>39</v>
      </c>
      <c r="T2874" s="1">
        <v>2015</v>
      </c>
      <c r="U2874" s="1">
        <v>4</v>
      </c>
      <c r="V2874" s="50">
        <v>42095</v>
      </c>
      <c r="W2874" s="4">
        <v>1922.3999999999999</v>
      </c>
      <c r="X2874" s="48">
        <v>2160</v>
      </c>
    </row>
    <row r="2875" spans="2:24" x14ac:dyDescent="0.35">
      <c r="B2875" s="8" t="s">
        <v>6</v>
      </c>
      <c r="C2875" s="8" t="s">
        <v>40</v>
      </c>
      <c r="D2875" s="8" t="s">
        <v>41</v>
      </c>
      <c r="E2875" s="8" t="s">
        <v>0</v>
      </c>
      <c r="F2875" s="6" t="s">
        <v>42</v>
      </c>
      <c r="G2875" s="8">
        <v>2015</v>
      </c>
      <c r="H2875" s="8">
        <v>4</v>
      </c>
      <c r="I2875" s="10">
        <v>42095</v>
      </c>
      <c r="J2875" s="11">
        <v>4981</v>
      </c>
      <c r="K2875" s="51"/>
      <c r="O2875" s="1" t="s">
        <v>6</v>
      </c>
      <c r="P2875" s="1" t="s">
        <v>40</v>
      </c>
      <c r="Q2875" s="1" t="s">
        <v>41</v>
      </c>
      <c r="R2875" s="1" t="s">
        <v>0</v>
      </c>
      <c r="S2875" t="s">
        <v>42</v>
      </c>
      <c r="T2875" s="1">
        <v>2015</v>
      </c>
      <c r="U2875" s="1">
        <v>4</v>
      </c>
      <c r="V2875" s="50">
        <v>42095</v>
      </c>
      <c r="W2875" s="4">
        <v>4532.7099999999991</v>
      </c>
      <c r="X2875" s="48">
        <v>4981</v>
      </c>
    </row>
    <row r="2876" spans="2:24" x14ac:dyDescent="0.35">
      <c r="B2876" s="8" t="s">
        <v>7</v>
      </c>
      <c r="C2876" s="8" t="s">
        <v>43</v>
      </c>
      <c r="D2876" s="8" t="s">
        <v>10</v>
      </c>
      <c r="E2876" s="8" t="s">
        <v>0</v>
      </c>
      <c r="F2876" s="6" t="s">
        <v>26</v>
      </c>
      <c r="G2876" s="8">
        <v>2015</v>
      </c>
      <c r="H2876" s="8">
        <v>4</v>
      </c>
      <c r="I2876" s="10">
        <v>42095</v>
      </c>
      <c r="J2876" s="11">
        <v>4552</v>
      </c>
      <c r="K2876" s="51"/>
      <c r="O2876" s="1" t="s">
        <v>7</v>
      </c>
      <c r="P2876" s="1" t="s">
        <v>43</v>
      </c>
      <c r="Q2876" s="1" t="s">
        <v>10</v>
      </c>
      <c r="R2876" s="1" t="s">
        <v>0</v>
      </c>
      <c r="S2876" t="s">
        <v>26</v>
      </c>
      <c r="T2876" s="1">
        <v>2015</v>
      </c>
      <c r="U2876" s="1">
        <v>4</v>
      </c>
      <c r="V2876" s="50">
        <v>42095</v>
      </c>
      <c r="W2876" s="4">
        <v>3960.2400000000007</v>
      </c>
      <c r="X2876" s="48">
        <v>4552</v>
      </c>
    </row>
    <row r="2877" spans="2:24" x14ac:dyDescent="0.35">
      <c r="B2877" s="8" t="s">
        <v>12</v>
      </c>
      <c r="C2877" s="8" t="s">
        <v>44</v>
      </c>
      <c r="D2877" s="8" t="s">
        <v>13</v>
      </c>
      <c r="E2877" s="8" t="s">
        <v>0</v>
      </c>
      <c r="F2877" s="6" t="s">
        <v>45</v>
      </c>
      <c r="G2877" s="8">
        <v>2015</v>
      </c>
      <c r="H2877" s="8">
        <v>4</v>
      </c>
      <c r="I2877" s="10">
        <v>42095</v>
      </c>
      <c r="J2877" s="11">
        <v>2293</v>
      </c>
      <c r="K2877" s="51"/>
      <c r="O2877" s="1" t="s">
        <v>12</v>
      </c>
      <c r="P2877" s="1" t="s">
        <v>44</v>
      </c>
      <c r="Q2877" s="1" t="s">
        <v>13</v>
      </c>
      <c r="R2877" s="1" t="s">
        <v>0</v>
      </c>
      <c r="S2877" t="s">
        <v>45</v>
      </c>
      <c r="T2877" s="1">
        <v>2015</v>
      </c>
      <c r="U2877" s="1">
        <v>4</v>
      </c>
      <c r="V2877" s="50">
        <v>42095</v>
      </c>
      <c r="W2877" s="4">
        <v>2109.56</v>
      </c>
      <c r="X2877" s="48">
        <v>2293</v>
      </c>
    </row>
    <row r="2878" spans="2:24" x14ac:dyDescent="0.35">
      <c r="B2878" s="8" t="s">
        <v>14</v>
      </c>
      <c r="C2878" s="8" t="s">
        <v>46</v>
      </c>
      <c r="D2878" s="8" t="s">
        <v>47</v>
      </c>
      <c r="E2878" s="9" t="s">
        <v>27</v>
      </c>
      <c r="F2878" s="9" t="s">
        <v>28</v>
      </c>
      <c r="G2878" s="8">
        <v>2015</v>
      </c>
      <c r="H2878" s="8">
        <v>4</v>
      </c>
      <c r="I2878" s="10">
        <v>42095</v>
      </c>
      <c r="J2878" s="11">
        <v>4289</v>
      </c>
      <c r="K2878" s="51"/>
      <c r="O2878" s="1" t="s">
        <v>14</v>
      </c>
      <c r="P2878" s="1" t="s">
        <v>46</v>
      </c>
      <c r="Q2878" s="1" t="s">
        <v>47</v>
      </c>
      <c r="R2878" s="2" t="s">
        <v>27</v>
      </c>
      <c r="S2878" s="2" t="s">
        <v>28</v>
      </c>
      <c r="T2878" s="1">
        <v>2015</v>
      </c>
      <c r="U2878" s="1">
        <v>4</v>
      </c>
      <c r="V2878" s="50">
        <v>42095</v>
      </c>
      <c r="W2878" s="4">
        <v>3902.99</v>
      </c>
      <c r="X2878" s="48">
        <v>4289</v>
      </c>
    </row>
    <row r="2879" spans="2:24" x14ac:dyDescent="0.35">
      <c r="B2879" s="8" t="s">
        <v>3</v>
      </c>
      <c r="C2879" s="8" t="s">
        <v>22</v>
      </c>
      <c r="D2879" s="8" t="s">
        <v>5</v>
      </c>
      <c r="E2879" s="8" t="s">
        <v>27</v>
      </c>
      <c r="F2879" s="9" t="s">
        <v>31</v>
      </c>
      <c r="G2879" s="8">
        <v>2015</v>
      </c>
      <c r="H2879" s="8">
        <v>4</v>
      </c>
      <c r="I2879" s="10">
        <v>42095</v>
      </c>
      <c r="J2879" s="11">
        <v>3915</v>
      </c>
      <c r="K2879" s="51"/>
      <c r="O2879" s="1" t="s">
        <v>3</v>
      </c>
      <c r="P2879" s="1" t="s">
        <v>22</v>
      </c>
      <c r="Q2879" s="1" t="s">
        <v>5</v>
      </c>
      <c r="R2879" s="1" t="s">
        <v>27</v>
      </c>
      <c r="S2879" s="2" t="s">
        <v>31</v>
      </c>
      <c r="T2879" s="1">
        <v>2015</v>
      </c>
      <c r="U2879" s="1">
        <v>4</v>
      </c>
      <c r="V2879" s="50">
        <v>42095</v>
      </c>
      <c r="W2879" s="4">
        <v>3640.95</v>
      </c>
      <c r="X2879" s="48">
        <v>3915</v>
      </c>
    </row>
    <row r="2880" spans="2:24" x14ac:dyDescent="0.35">
      <c r="B2880" s="8" t="s">
        <v>6</v>
      </c>
      <c r="C2880" s="8" t="s">
        <v>29</v>
      </c>
      <c r="D2880" s="8" t="s">
        <v>30</v>
      </c>
      <c r="E2880" s="8" t="s">
        <v>27</v>
      </c>
      <c r="F2880" s="6" t="s">
        <v>33</v>
      </c>
      <c r="G2880" s="8">
        <v>2015</v>
      </c>
      <c r="H2880" s="8">
        <v>4</v>
      </c>
      <c r="I2880" s="10">
        <v>42095</v>
      </c>
      <c r="J2880" s="11">
        <v>3950</v>
      </c>
      <c r="K2880" s="51"/>
      <c r="O2880" s="1" t="s">
        <v>6</v>
      </c>
      <c r="P2880" s="1" t="s">
        <v>29</v>
      </c>
      <c r="Q2880" s="1" t="s">
        <v>30</v>
      </c>
      <c r="R2880" s="1" t="s">
        <v>27</v>
      </c>
      <c r="S2880" t="s">
        <v>33</v>
      </c>
      <c r="T2880" s="1">
        <v>2015</v>
      </c>
      <c r="U2880" s="1">
        <v>4</v>
      </c>
      <c r="V2880" s="50">
        <v>42095</v>
      </c>
      <c r="W2880" s="4">
        <v>3475.9999999999995</v>
      </c>
      <c r="X2880" s="48">
        <v>3950</v>
      </c>
    </row>
    <row r="2881" spans="2:24" x14ac:dyDescent="0.35">
      <c r="B2881" s="8" t="s">
        <v>7</v>
      </c>
      <c r="C2881" s="8" t="s">
        <v>32</v>
      </c>
      <c r="D2881" s="8" t="s">
        <v>8</v>
      </c>
      <c r="E2881" s="8" t="s">
        <v>23</v>
      </c>
      <c r="F2881" s="8" t="s">
        <v>36</v>
      </c>
      <c r="G2881" s="8">
        <v>2015</v>
      </c>
      <c r="H2881" s="8">
        <v>4</v>
      </c>
      <c r="I2881" s="10">
        <v>42095</v>
      </c>
      <c r="J2881" s="11">
        <v>2551</v>
      </c>
      <c r="K2881" s="51"/>
      <c r="O2881" s="1" t="s">
        <v>7</v>
      </c>
      <c r="P2881" s="1" t="s">
        <v>32</v>
      </c>
      <c r="Q2881" s="1" t="s">
        <v>8</v>
      </c>
      <c r="R2881" s="1" t="s">
        <v>23</v>
      </c>
      <c r="S2881" s="1" t="s">
        <v>36</v>
      </c>
      <c r="T2881" s="1">
        <v>2015</v>
      </c>
      <c r="U2881" s="1">
        <v>4</v>
      </c>
      <c r="V2881" s="50">
        <v>42095</v>
      </c>
      <c r="W2881" s="4">
        <v>2346.9199999999996</v>
      </c>
      <c r="X2881" s="48">
        <v>2551</v>
      </c>
    </row>
    <row r="2882" spans="2:24" x14ac:dyDescent="0.35">
      <c r="B2882" s="8" t="s">
        <v>12</v>
      </c>
      <c r="C2882" s="8" t="s">
        <v>34</v>
      </c>
      <c r="D2882" s="8" t="s">
        <v>35</v>
      </c>
      <c r="E2882" s="8" t="s">
        <v>23</v>
      </c>
      <c r="F2882" s="8" t="s">
        <v>24</v>
      </c>
      <c r="G2882" s="8">
        <v>2015</v>
      </c>
      <c r="H2882" s="8">
        <v>4</v>
      </c>
      <c r="I2882" s="10">
        <v>42095</v>
      </c>
      <c r="J2882" s="11">
        <v>3109</v>
      </c>
      <c r="K2882" s="51"/>
      <c r="O2882" s="1" t="s">
        <v>12</v>
      </c>
      <c r="P2882" s="1" t="s">
        <v>34</v>
      </c>
      <c r="Q2882" s="1" t="s">
        <v>35</v>
      </c>
      <c r="R2882" s="1" t="s">
        <v>23</v>
      </c>
      <c r="S2882" s="1" t="s">
        <v>24</v>
      </c>
      <c r="T2882" s="1">
        <v>2015</v>
      </c>
      <c r="U2882" s="1">
        <v>4</v>
      </c>
      <c r="V2882" s="50">
        <v>42095</v>
      </c>
      <c r="W2882" s="4">
        <v>2673.7400000000002</v>
      </c>
      <c r="X2882" s="48">
        <v>3109</v>
      </c>
    </row>
    <row r="2883" spans="2:24" x14ac:dyDescent="0.35">
      <c r="B2883" s="8" t="s">
        <v>14</v>
      </c>
      <c r="C2883" s="8" t="s">
        <v>37</v>
      </c>
      <c r="D2883" s="8" t="s">
        <v>38</v>
      </c>
      <c r="E2883" s="8" t="s">
        <v>23</v>
      </c>
      <c r="F2883" s="8" t="s">
        <v>39</v>
      </c>
      <c r="G2883" s="8">
        <v>2015</v>
      </c>
      <c r="H2883" s="8">
        <v>4</v>
      </c>
      <c r="I2883" s="10">
        <v>42095</v>
      </c>
      <c r="J2883" s="11">
        <v>2000</v>
      </c>
      <c r="K2883" s="51"/>
      <c r="O2883" s="1" t="s">
        <v>14</v>
      </c>
      <c r="P2883" s="1" t="s">
        <v>37</v>
      </c>
      <c r="Q2883" s="1" t="s">
        <v>38</v>
      </c>
      <c r="R2883" s="1" t="s">
        <v>23</v>
      </c>
      <c r="S2883" s="1" t="s">
        <v>39</v>
      </c>
      <c r="T2883" s="1">
        <v>2015</v>
      </c>
      <c r="U2883" s="1">
        <v>4</v>
      </c>
      <c r="V2883" s="50">
        <v>42095</v>
      </c>
      <c r="W2883" s="4">
        <v>1860</v>
      </c>
      <c r="X2883" s="48">
        <v>2000</v>
      </c>
    </row>
    <row r="2884" spans="2:24" x14ac:dyDescent="0.35">
      <c r="B2884" s="8" t="s">
        <v>3</v>
      </c>
      <c r="C2884" s="8" t="s">
        <v>25</v>
      </c>
      <c r="D2884" s="8" t="s">
        <v>4</v>
      </c>
      <c r="E2884" s="8" t="s">
        <v>0</v>
      </c>
      <c r="F2884" s="6" t="s">
        <v>42</v>
      </c>
      <c r="G2884" s="8">
        <v>2015</v>
      </c>
      <c r="H2884" s="8">
        <v>4</v>
      </c>
      <c r="I2884" s="10">
        <v>42095</v>
      </c>
      <c r="J2884" s="11">
        <v>6669</v>
      </c>
      <c r="K2884" s="51"/>
      <c r="O2884" s="1" t="s">
        <v>3</v>
      </c>
      <c r="P2884" s="1" t="s">
        <v>25</v>
      </c>
      <c r="Q2884" s="1" t="s">
        <v>4</v>
      </c>
      <c r="R2884" s="1" t="s">
        <v>0</v>
      </c>
      <c r="S2884" t="s">
        <v>42</v>
      </c>
      <c r="T2884" s="1">
        <v>2015</v>
      </c>
      <c r="U2884" s="1">
        <v>4</v>
      </c>
      <c r="V2884" s="50">
        <v>42095</v>
      </c>
      <c r="W2884" s="4">
        <v>6002.0999999999995</v>
      </c>
      <c r="X2884" s="48">
        <v>6669</v>
      </c>
    </row>
    <row r="2885" spans="2:24" x14ac:dyDescent="0.35">
      <c r="B2885" s="8" t="s">
        <v>6</v>
      </c>
      <c r="C2885" s="8" t="s">
        <v>40</v>
      </c>
      <c r="D2885" s="8" t="s">
        <v>41</v>
      </c>
      <c r="E2885" s="8" t="s">
        <v>0</v>
      </c>
      <c r="F2885" s="6" t="s">
        <v>26</v>
      </c>
      <c r="G2885" s="8">
        <v>2015</v>
      </c>
      <c r="H2885" s="8">
        <v>4</v>
      </c>
      <c r="I2885" s="10">
        <v>42095</v>
      </c>
      <c r="J2885" s="11">
        <v>3860</v>
      </c>
      <c r="K2885" s="51"/>
      <c r="O2885" s="1" t="s">
        <v>6</v>
      </c>
      <c r="P2885" s="1" t="s">
        <v>40</v>
      </c>
      <c r="Q2885" s="1" t="s">
        <v>41</v>
      </c>
      <c r="R2885" s="1" t="s">
        <v>0</v>
      </c>
      <c r="S2885" t="s">
        <v>26</v>
      </c>
      <c r="T2885" s="1">
        <v>2015</v>
      </c>
      <c r="U2885" s="1">
        <v>4</v>
      </c>
      <c r="V2885" s="50">
        <v>42095</v>
      </c>
      <c r="W2885" s="4">
        <v>3589.7999999999997</v>
      </c>
      <c r="X2885" s="48">
        <v>3860</v>
      </c>
    </row>
    <row r="2886" spans="2:24" x14ac:dyDescent="0.35">
      <c r="B2886" s="8" t="s">
        <v>7</v>
      </c>
      <c r="C2886" s="8" t="s">
        <v>43</v>
      </c>
      <c r="D2886" s="8" t="s">
        <v>10</v>
      </c>
      <c r="E2886" s="8" t="s">
        <v>0</v>
      </c>
      <c r="F2886" s="6" t="s">
        <v>45</v>
      </c>
      <c r="G2886" s="8">
        <v>2015</v>
      </c>
      <c r="H2886" s="8">
        <v>4</v>
      </c>
      <c r="I2886" s="10">
        <v>42095</v>
      </c>
      <c r="J2886" s="11">
        <v>4950</v>
      </c>
      <c r="K2886" s="51"/>
      <c r="O2886" s="1" t="s">
        <v>7</v>
      </c>
      <c r="P2886" s="1" t="s">
        <v>43</v>
      </c>
      <c r="Q2886" s="1" t="s">
        <v>10</v>
      </c>
      <c r="R2886" s="1" t="s">
        <v>0</v>
      </c>
      <c r="S2886" t="s">
        <v>45</v>
      </c>
      <c r="T2886" s="1">
        <v>2015</v>
      </c>
      <c r="U2886" s="1">
        <v>4</v>
      </c>
      <c r="V2886" s="50">
        <v>42095</v>
      </c>
      <c r="W2886" s="4">
        <v>4455</v>
      </c>
      <c r="X2886" s="48">
        <v>4950</v>
      </c>
    </row>
    <row r="2887" spans="2:24" x14ac:dyDescent="0.35">
      <c r="B2887" s="8" t="s">
        <v>12</v>
      </c>
      <c r="C2887" s="8" t="s">
        <v>44</v>
      </c>
      <c r="D2887" s="8" t="s">
        <v>13</v>
      </c>
      <c r="E2887" s="9" t="s">
        <v>27</v>
      </c>
      <c r="F2887" s="9" t="s">
        <v>28</v>
      </c>
      <c r="G2887" s="8">
        <v>2015</v>
      </c>
      <c r="H2887" s="8">
        <v>4</v>
      </c>
      <c r="I2887" s="10">
        <v>42095</v>
      </c>
      <c r="J2887" s="11">
        <v>4064</v>
      </c>
      <c r="K2887" s="51"/>
      <c r="O2887" s="1" t="s">
        <v>12</v>
      </c>
      <c r="P2887" s="1" t="s">
        <v>44</v>
      </c>
      <c r="Q2887" s="1" t="s">
        <v>13</v>
      </c>
      <c r="R2887" s="2" t="s">
        <v>27</v>
      </c>
      <c r="S2887" s="2" t="s">
        <v>28</v>
      </c>
      <c r="T2887" s="1">
        <v>2015</v>
      </c>
      <c r="U2887" s="1">
        <v>4</v>
      </c>
      <c r="V2887" s="50">
        <v>42095</v>
      </c>
      <c r="W2887" s="4">
        <v>3454.4000000000005</v>
      </c>
      <c r="X2887" s="48">
        <v>4064</v>
      </c>
    </row>
    <row r="2888" spans="2:24" x14ac:dyDescent="0.35">
      <c r="B2888" s="8" t="s">
        <v>14</v>
      </c>
      <c r="C2888" s="8" t="s">
        <v>46</v>
      </c>
      <c r="D2888" s="8" t="s">
        <v>47</v>
      </c>
      <c r="E2888" s="8" t="s">
        <v>27</v>
      </c>
      <c r="F2888" s="9" t="s">
        <v>31</v>
      </c>
      <c r="G2888" s="8">
        <v>2015</v>
      </c>
      <c r="H2888" s="8">
        <v>4</v>
      </c>
      <c r="I2888" s="10">
        <v>42095</v>
      </c>
      <c r="J2888" s="11">
        <v>3929</v>
      </c>
      <c r="K2888" s="51"/>
      <c r="O2888" s="1" t="s">
        <v>14</v>
      </c>
      <c r="P2888" s="1" t="s">
        <v>46</v>
      </c>
      <c r="Q2888" s="1" t="s">
        <v>47</v>
      </c>
      <c r="R2888" s="1" t="s">
        <v>27</v>
      </c>
      <c r="S2888" s="2" t="s">
        <v>31</v>
      </c>
      <c r="T2888" s="1">
        <v>2015</v>
      </c>
      <c r="U2888" s="1">
        <v>4</v>
      </c>
      <c r="V2888" s="50">
        <v>42095</v>
      </c>
      <c r="W2888" s="4">
        <v>3457.5199999999995</v>
      </c>
      <c r="X2888" s="48">
        <v>3929</v>
      </c>
    </row>
    <row r="2889" spans="2:24" x14ac:dyDescent="0.35">
      <c r="B2889" s="8" t="s">
        <v>3</v>
      </c>
      <c r="C2889" s="8" t="s">
        <v>22</v>
      </c>
      <c r="D2889" s="8" t="s">
        <v>5</v>
      </c>
      <c r="E2889" s="8" t="s">
        <v>27</v>
      </c>
      <c r="F2889" s="6" t="s">
        <v>33</v>
      </c>
      <c r="G2889" s="8">
        <v>2015</v>
      </c>
      <c r="H2889" s="8">
        <v>4</v>
      </c>
      <c r="I2889" s="10">
        <v>42095</v>
      </c>
      <c r="J2889" s="11">
        <v>3993</v>
      </c>
      <c r="K2889" s="51"/>
      <c r="O2889" s="1" t="s">
        <v>3</v>
      </c>
      <c r="P2889" s="1" t="s">
        <v>22</v>
      </c>
      <c r="Q2889" s="1" t="s">
        <v>5</v>
      </c>
      <c r="R2889" s="1" t="s">
        <v>27</v>
      </c>
      <c r="S2889" t="s">
        <v>33</v>
      </c>
      <c r="T2889" s="1">
        <v>2015</v>
      </c>
      <c r="U2889" s="1">
        <v>4</v>
      </c>
      <c r="V2889" s="50">
        <v>42095</v>
      </c>
      <c r="W2889" s="4">
        <v>3553.7699999999995</v>
      </c>
      <c r="X2889" s="48">
        <v>3993</v>
      </c>
    </row>
    <row r="2890" spans="2:24" x14ac:dyDescent="0.35">
      <c r="B2890" s="8" t="s">
        <v>6</v>
      </c>
      <c r="C2890" s="8" t="s">
        <v>29</v>
      </c>
      <c r="D2890" s="8" t="s">
        <v>30</v>
      </c>
      <c r="E2890" s="8" t="s">
        <v>23</v>
      </c>
      <c r="F2890" s="8" t="s">
        <v>36</v>
      </c>
      <c r="G2890" s="8">
        <v>2015</v>
      </c>
      <c r="H2890" s="8">
        <v>4</v>
      </c>
      <c r="I2890" s="10">
        <v>42095</v>
      </c>
      <c r="J2890" s="11">
        <v>1986</v>
      </c>
      <c r="K2890" s="51"/>
      <c r="O2890" s="1" t="s">
        <v>6</v>
      </c>
      <c r="P2890" s="1" t="s">
        <v>29</v>
      </c>
      <c r="Q2890" s="1" t="s">
        <v>30</v>
      </c>
      <c r="R2890" s="1" t="s">
        <v>23</v>
      </c>
      <c r="S2890" s="1" t="s">
        <v>36</v>
      </c>
      <c r="T2890" s="1">
        <v>2015</v>
      </c>
      <c r="U2890" s="1">
        <v>4</v>
      </c>
      <c r="V2890" s="50">
        <v>42095</v>
      </c>
      <c r="W2890" s="4">
        <v>1807.2599999999998</v>
      </c>
      <c r="X2890" s="48">
        <v>1986</v>
      </c>
    </row>
    <row r="2891" spans="2:24" x14ac:dyDescent="0.35">
      <c r="B2891" s="8" t="s">
        <v>7</v>
      </c>
      <c r="C2891" s="8" t="s">
        <v>32</v>
      </c>
      <c r="D2891" s="8" t="s">
        <v>8</v>
      </c>
      <c r="E2891" s="8" t="s">
        <v>23</v>
      </c>
      <c r="F2891" s="8" t="s">
        <v>24</v>
      </c>
      <c r="G2891" s="8">
        <v>2015</v>
      </c>
      <c r="H2891" s="8">
        <v>4</v>
      </c>
      <c r="I2891" s="10">
        <v>42095</v>
      </c>
      <c r="J2891" s="11">
        <v>2573</v>
      </c>
      <c r="K2891" s="51"/>
      <c r="O2891" s="1" t="s">
        <v>7</v>
      </c>
      <c r="P2891" s="1" t="s">
        <v>32</v>
      </c>
      <c r="Q2891" s="1" t="s">
        <v>8</v>
      </c>
      <c r="R2891" s="1" t="s">
        <v>23</v>
      </c>
      <c r="S2891" s="1" t="s">
        <v>24</v>
      </c>
      <c r="T2891" s="1">
        <v>2015</v>
      </c>
      <c r="U2891" s="1">
        <v>4</v>
      </c>
      <c r="V2891" s="50">
        <v>42095</v>
      </c>
      <c r="W2891" s="4">
        <v>2238.5100000000002</v>
      </c>
      <c r="X2891" s="48">
        <v>2573</v>
      </c>
    </row>
    <row r="2892" spans="2:24" x14ac:dyDescent="0.35">
      <c r="B2892" s="8" t="s">
        <v>12</v>
      </c>
      <c r="C2892" s="8" t="s">
        <v>34</v>
      </c>
      <c r="D2892" s="8" t="s">
        <v>35</v>
      </c>
      <c r="E2892" s="8" t="s">
        <v>23</v>
      </c>
      <c r="F2892" s="8" t="s">
        <v>39</v>
      </c>
      <c r="G2892" s="8">
        <v>2015</v>
      </c>
      <c r="H2892" s="8">
        <v>4</v>
      </c>
      <c r="I2892" s="10">
        <v>42095</v>
      </c>
      <c r="J2892" s="11">
        <v>2307</v>
      </c>
      <c r="K2892" s="51"/>
      <c r="O2892" s="1" t="s">
        <v>12</v>
      </c>
      <c r="P2892" s="1" t="s">
        <v>34</v>
      </c>
      <c r="Q2892" s="1" t="s">
        <v>35</v>
      </c>
      <c r="R2892" s="1" t="s">
        <v>23</v>
      </c>
      <c r="S2892" s="1" t="s">
        <v>39</v>
      </c>
      <c r="T2892" s="1">
        <v>2015</v>
      </c>
      <c r="U2892" s="1">
        <v>4</v>
      </c>
      <c r="V2892" s="50">
        <v>42095</v>
      </c>
      <c r="W2892" s="4">
        <v>2076.2999999999997</v>
      </c>
      <c r="X2892" s="48">
        <v>2307</v>
      </c>
    </row>
    <row r="2893" spans="2:24" x14ac:dyDescent="0.35">
      <c r="B2893" s="8" t="s">
        <v>14</v>
      </c>
      <c r="C2893" s="8" t="s">
        <v>37</v>
      </c>
      <c r="D2893" s="8" t="s">
        <v>38</v>
      </c>
      <c r="E2893" s="8" t="s">
        <v>0</v>
      </c>
      <c r="F2893" s="6" t="s">
        <v>42</v>
      </c>
      <c r="G2893" s="8">
        <v>2015</v>
      </c>
      <c r="H2893" s="8">
        <v>4</v>
      </c>
      <c r="I2893" s="10">
        <v>42095</v>
      </c>
      <c r="J2893" s="11">
        <v>4217</v>
      </c>
      <c r="K2893" s="51"/>
      <c r="O2893" s="1" t="s">
        <v>14</v>
      </c>
      <c r="P2893" s="1" t="s">
        <v>37</v>
      </c>
      <c r="Q2893" s="1" t="s">
        <v>38</v>
      </c>
      <c r="R2893" s="1" t="s">
        <v>0</v>
      </c>
      <c r="S2893" t="s">
        <v>42</v>
      </c>
      <c r="T2893" s="1">
        <v>2015</v>
      </c>
      <c r="U2893" s="1">
        <v>4</v>
      </c>
      <c r="V2893" s="50">
        <v>42095</v>
      </c>
      <c r="W2893" s="4">
        <v>3668.7900000000004</v>
      </c>
      <c r="X2893" s="48">
        <v>4217</v>
      </c>
    </row>
    <row r="2894" spans="2:24" x14ac:dyDescent="0.35">
      <c r="B2894" s="8" t="s">
        <v>6</v>
      </c>
      <c r="C2894" s="8" t="s">
        <v>29</v>
      </c>
      <c r="D2894" s="8" t="s">
        <v>30</v>
      </c>
      <c r="E2894" s="8" t="s">
        <v>0</v>
      </c>
      <c r="F2894" s="6" t="s">
        <v>45</v>
      </c>
      <c r="G2894" s="8">
        <v>2015</v>
      </c>
      <c r="H2894" s="8">
        <v>4</v>
      </c>
      <c r="I2894" s="10">
        <v>42095</v>
      </c>
      <c r="J2894" s="11">
        <v>4827</v>
      </c>
      <c r="K2894" s="51"/>
      <c r="O2894" s="1" t="s">
        <v>6</v>
      </c>
      <c r="P2894" s="1" t="s">
        <v>29</v>
      </c>
      <c r="Q2894" s="1" t="s">
        <v>30</v>
      </c>
      <c r="R2894" s="1" t="s">
        <v>0</v>
      </c>
      <c r="S2894" t="s">
        <v>45</v>
      </c>
      <c r="T2894" s="1">
        <v>2015</v>
      </c>
      <c r="U2894" s="1">
        <v>4</v>
      </c>
      <c r="V2894" s="50">
        <v>42095</v>
      </c>
      <c r="W2894" s="4">
        <v>4392.57</v>
      </c>
      <c r="X2894" s="48">
        <v>4827</v>
      </c>
    </row>
    <row r="2895" spans="2:24" x14ac:dyDescent="0.35">
      <c r="B2895" s="8" t="s">
        <v>7</v>
      </c>
      <c r="C2895" s="8" t="s">
        <v>43</v>
      </c>
      <c r="D2895" s="8" t="s">
        <v>10</v>
      </c>
      <c r="E2895" s="8" t="s">
        <v>27</v>
      </c>
      <c r="F2895" s="6" t="s">
        <v>28</v>
      </c>
      <c r="G2895" s="8">
        <v>2015</v>
      </c>
      <c r="H2895" s="8">
        <v>4</v>
      </c>
      <c r="I2895" s="10">
        <v>42095</v>
      </c>
      <c r="J2895" s="11">
        <v>3916</v>
      </c>
      <c r="K2895" s="51"/>
      <c r="O2895" s="1" t="s">
        <v>7</v>
      </c>
      <c r="P2895" s="1" t="s">
        <v>43</v>
      </c>
      <c r="Q2895" s="1" t="s">
        <v>10</v>
      </c>
      <c r="R2895" s="1" t="s">
        <v>27</v>
      </c>
      <c r="S2895" t="s">
        <v>28</v>
      </c>
      <c r="T2895" s="1">
        <v>2015</v>
      </c>
      <c r="U2895" s="1">
        <v>4</v>
      </c>
      <c r="V2895" s="50">
        <v>42095</v>
      </c>
      <c r="W2895" s="4">
        <v>3602.72</v>
      </c>
      <c r="X2895" s="48">
        <v>3916</v>
      </c>
    </row>
    <row r="2896" spans="2:24" x14ac:dyDescent="0.35">
      <c r="B2896" s="8" t="s">
        <v>12</v>
      </c>
      <c r="C2896" s="8" t="s">
        <v>44</v>
      </c>
      <c r="D2896" s="8" t="s">
        <v>13</v>
      </c>
      <c r="E2896" s="9" t="s">
        <v>27</v>
      </c>
      <c r="F2896" s="9" t="s">
        <v>31</v>
      </c>
      <c r="G2896" s="8">
        <v>2015</v>
      </c>
      <c r="H2896" s="8">
        <v>4</v>
      </c>
      <c r="I2896" s="10">
        <v>42095</v>
      </c>
      <c r="J2896" s="11">
        <v>4641</v>
      </c>
      <c r="K2896" s="51"/>
      <c r="O2896" s="1" t="s">
        <v>12</v>
      </c>
      <c r="P2896" s="1" t="s">
        <v>44</v>
      </c>
      <c r="Q2896" s="1" t="s">
        <v>13</v>
      </c>
      <c r="R2896" s="2" t="s">
        <v>27</v>
      </c>
      <c r="S2896" s="2" t="s">
        <v>31</v>
      </c>
      <c r="T2896" s="1">
        <v>2015</v>
      </c>
      <c r="U2896" s="1">
        <v>4</v>
      </c>
      <c r="V2896" s="50">
        <v>42095</v>
      </c>
      <c r="W2896" s="4">
        <v>4316.13</v>
      </c>
      <c r="X2896" s="48">
        <v>4641</v>
      </c>
    </row>
    <row r="2897" spans="2:24" x14ac:dyDescent="0.35">
      <c r="B2897" s="8" t="s">
        <v>14</v>
      </c>
      <c r="C2897" s="8" t="s">
        <v>46</v>
      </c>
      <c r="D2897" s="8" t="s">
        <v>47</v>
      </c>
      <c r="E2897" s="8" t="s">
        <v>27</v>
      </c>
      <c r="F2897" s="9" t="s">
        <v>33</v>
      </c>
      <c r="G2897" s="8">
        <v>2015</v>
      </c>
      <c r="H2897" s="8">
        <v>4</v>
      </c>
      <c r="I2897" s="10">
        <v>42095</v>
      </c>
      <c r="J2897" s="11">
        <v>2827</v>
      </c>
      <c r="K2897" s="51"/>
      <c r="O2897" s="1" t="s">
        <v>14</v>
      </c>
      <c r="P2897" s="1" t="s">
        <v>46</v>
      </c>
      <c r="Q2897" s="1" t="s">
        <v>47</v>
      </c>
      <c r="R2897" s="1" t="s">
        <v>27</v>
      </c>
      <c r="S2897" s="2" t="s">
        <v>33</v>
      </c>
      <c r="T2897" s="1">
        <v>2015</v>
      </c>
      <c r="U2897" s="1">
        <v>4</v>
      </c>
      <c r="V2897" s="50">
        <v>42095</v>
      </c>
      <c r="W2897" s="4">
        <v>2544.2999999999997</v>
      </c>
      <c r="X2897" s="48">
        <v>2827</v>
      </c>
    </row>
    <row r="2898" spans="2:24" x14ac:dyDescent="0.35">
      <c r="B2898" s="8" t="s">
        <v>3</v>
      </c>
      <c r="C2898" s="8" t="s">
        <v>22</v>
      </c>
      <c r="D2898" s="8" t="s">
        <v>5</v>
      </c>
      <c r="E2898" s="8" t="s">
        <v>23</v>
      </c>
      <c r="F2898" s="6" t="s">
        <v>36</v>
      </c>
      <c r="G2898" s="8">
        <v>2015</v>
      </c>
      <c r="H2898" s="8">
        <v>4</v>
      </c>
      <c r="I2898" s="10">
        <v>42095</v>
      </c>
      <c r="J2898" s="11">
        <v>2889</v>
      </c>
      <c r="K2898" s="51"/>
      <c r="O2898" s="1" t="s">
        <v>3</v>
      </c>
      <c r="P2898" s="1" t="s">
        <v>22</v>
      </c>
      <c r="Q2898" s="1" t="s">
        <v>5</v>
      </c>
      <c r="R2898" s="1" t="s">
        <v>23</v>
      </c>
      <c r="S2898" t="s">
        <v>36</v>
      </c>
      <c r="T2898" s="1">
        <v>2015</v>
      </c>
      <c r="U2898" s="1">
        <v>4</v>
      </c>
      <c r="V2898" s="50">
        <v>42095</v>
      </c>
      <c r="W2898" s="4">
        <v>2657.8799999999997</v>
      </c>
      <c r="X2898" s="48">
        <v>2889</v>
      </c>
    </row>
    <row r="2899" spans="2:24" x14ac:dyDescent="0.35">
      <c r="B2899" s="8" t="s">
        <v>6</v>
      </c>
      <c r="C2899" s="8" t="s">
        <v>40</v>
      </c>
      <c r="D2899" s="8" t="s">
        <v>41</v>
      </c>
      <c r="E2899" s="8" t="s">
        <v>23</v>
      </c>
      <c r="F2899" s="8" t="s">
        <v>24</v>
      </c>
      <c r="G2899" s="8">
        <v>2015</v>
      </c>
      <c r="H2899" s="8">
        <v>4</v>
      </c>
      <c r="I2899" s="10">
        <v>42095</v>
      </c>
      <c r="J2899" s="11">
        <v>2196</v>
      </c>
      <c r="K2899" s="51"/>
      <c r="O2899" s="1" t="s">
        <v>6</v>
      </c>
      <c r="P2899" s="1" t="s">
        <v>40</v>
      </c>
      <c r="Q2899" s="1" t="s">
        <v>41</v>
      </c>
      <c r="R2899" s="1" t="s">
        <v>23</v>
      </c>
      <c r="S2899" s="1" t="s">
        <v>24</v>
      </c>
      <c r="T2899" s="1">
        <v>2015</v>
      </c>
      <c r="U2899" s="1">
        <v>4</v>
      </c>
      <c r="V2899" s="50">
        <v>42095</v>
      </c>
      <c r="W2899" s="4">
        <v>2064.2399999999998</v>
      </c>
      <c r="X2899" s="48">
        <v>2196</v>
      </c>
    </row>
    <row r="2900" spans="2:24" x14ac:dyDescent="0.35">
      <c r="B2900" s="8" t="s">
        <v>7</v>
      </c>
      <c r="C2900" s="8" t="s">
        <v>32</v>
      </c>
      <c r="D2900" s="8" t="s">
        <v>8</v>
      </c>
      <c r="E2900" s="8" t="s">
        <v>23</v>
      </c>
      <c r="F2900" s="8" t="s">
        <v>39</v>
      </c>
      <c r="G2900" s="8">
        <v>2015</v>
      </c>
      <c r="H2900" s="8">
        <v>4</v>
      </c>
      <c r="I2900" s="10">
        <v>42095</v>
      </c>
      <c r="J2900" s="11">
        <v>2540</v>
      </c>
      <c r="K2900" s="51"/>
      <c r="O2900" s="1" t="s">
        <v>7</v>
      </c>
      <c r="P2900" s="1" t="s">
        <v>32</v>
      </c>
      <c r="Q2900" s="1" t="s">
        <v>8</v>
      </c>
      <c r="R2900" s="1" t="s">
        <v>23</v>
      </c>
      <c r="S2900" s="1" t="s">
        <v>39</v>
      </c>
      <c r="T2900" s="1">
        <v>2015</v>
      </c>
      <c r="U2900" s="1">
        <v>4</v>
      </c>
      <c r="V2900" s="50">
        <v>42095</v>
      </c>
      <c r="W2900" s="4">
        <v>2159</v>
      </c>
      <c r="X2900" s="48">
        <v>2540</v>
      </c>
    </row>
    <row r="2901" spans="2:24" x14ac:dyDescent="0.35">
      <c r="B2901" s="8" t="s">
        <v>12</v>
      </c>
      <c r="C2901" s="8" t="s">
        <v>34</v>
      </c>
      <c r="D2901" s="8" t="s">
        <v>35</v>
      </c>
      <c r="E2901" s="8" t="s">
        <v>0</v>
      </c>
      <c r="F2901" s="8" t="s">
        <v>42</v>
      </c>
      <c r="G2901" s="8">
        <v>2015</v>
      </c>
      <c r="H2901" s="8">
        <v>4</v>
      </c>
      <c r="I2901" s="10">
        <v>42095</v>
      </c>
      <c r="J2901" s="11">
        <v>4165</v>
      </c>
      <c r="K2901" s="51"/>
      <c r="O2901" s="1" t="s">
        <v>12</v>
      </c>
      <c r="P2901" s="1" t="s">
        <v>34</v>
      </c>
      <c r="Q2901" s="1" t="s">
        <v>35</v>
      </c>
      <c r="R2901" s="1" t="s">
        <v>0</v>
      </c>
      <c r="S2901" s="1" t="s">
        <v>42</v>
      </c>
      <c r="T2901" s="1">
        <v>2015</v>
      </c>
      <c r="U2901" s="1">
        <v>4</v>
      </c>
      <c r="V2901" s="50">
        <v>42095</v>
      </c>
      <c r="W2901" s="4">
        <v>3831.7999999999997</v>
      </c>
      <c r="X2901" s="48">
        <v>4165</v>
      </c>
    </row>
    <row r="2902" spans="2:24" x14ac:dyDescent="0.35">
      <c r="B2902" s="8" t="s">
        <v>14</v>
      </c>
      <c r="C2902" s="8" t="s">
        <v>37</v>
      </c>
      <c r="D2902" s="8" t="s">
        <v>38</v>
      </c>
      <c r="E2902" s="8" t="s">
        <v>0</v>
      </c>
      <c r="F2902" s="6" t="s">
        <v>26</v>
      </c>
      <c r="G2902" s="8">
        <v>2015</v>
      </c>
      <c r="H2902" s="8">
        <v>4</v>
      </c>
      <c r="I2902" s="10">
        <v>42095</v>
      </c>
      <c r="J2902" s="11">
        <v>3971</v>
      </c>
      <c r="K2902" s="51"/>
      <c r="O2902" s="1" t="s">
        <v>14</v>
      </c>
      <c r="P2902" s="1" t="s">
        <v>37</v>
      </c>
      <c r="Q2902" s="1" t="s">
        <v>38</v>
      </c>
      <c r="R2902" s="1" t="s">
        <v>0</v>
      </c>
      <c r="S2902" t="s">
        <v>26</v>
      </c>
      <c r="T2902" s="1">
        <v>2015</v>
      </c>
      <c r="U2902" s="1">
        <v>4</v>
      </c>
      <c r="V2902" s="50">
        <v>42095</v>
      </c>
      <c r="W2902" s="4">
        <v>3653.3199999999997</v>
      </c>
      <c r="X2902" s="48">
        <v>3971</v>
      </c>
    </row>
    <row r="2903" spans="2:24" x14ac:dyDescent="0.35">
      <c r="B2903" s="8" t="s">
        <v>3</v>
      </c>
      <c r="C2903" s="8" t="s">
        <v>25</v>
      </c>
      <c r="D2903" s="8" t="s">
        <v>4</v>
      </c>
      <c r="E2903" s="8" t="s">
        <v>0</v>
      </c>
      <c r="F2903" s="6" t="s">
        <v>45</v>
      </c>
      <c r="G2903" s="8">
        <v>2015</v>
      </c>
      <c r="H2903" s="8">
        <v>4</v>
      </c>
      <c r="I2903" s="10">
        <v>42095</v>
      </c>
      <c r="J2903" s="11">
        <v>3469</v>
      </c>
      <c r="K2903" s="51"/>
      <c r="O2903" s="1" t="s">
        <v>3</v>
      </c>
      <c r="P2903" s="1" t="s">
        <v>25</v>
      </c>
      <c r="Q2903" s="1" t="s">
        <v>4</v>
      </c>
      <c r="R2903" s="1" t="s">
        <v>0</v>
      </c>
      <c r="S2903" t="s">
        <v>45</v>
      </c>
      <c r="T2903" s="1">
        <v>2015</v>
      </c>
      <c r="U2903" s="1">
        <v>4</v>
      </c>
      <c r="V2903" s="50">
        <v>42095</v>
      </c>
      <c r="W2903" s="4">
        <v>3122.0999999999995</v>
      </c>
      <c r="X2903" s="48">
        <v>3469</v>
      </c>
    </row>
    <row r="2904" spans="2:24" x14ac:dyDescent="0.35">
      <c r="B2904" s="8" t="s">
        <v>6</v>
      </c>
      <c r="C2904" s="8" t="s">
        <v>29</v>
      </c>
      <c r="D2904" s="8" t="s">
        <v>30</v>
      </c>
      <c r="E2904" s="8" t="s">
        <v>27</v>
      </c>
      <c r="F2904" s="6" t="s">
        <v>28</v>
      </c>
      <c r="G2904" s="8">
        <v>2015</v>
      </c>
      <c r="H2904" s="8">
        <v>4</v>
      </c>
      <c r="I2904" s="10">
        <v>42095</v>
      </c>
      <c r="J2904" s="11">
        <v>4670</v>
      </c>
      <c r="K2904" s="51"/>
      <c r="O2904" s="1" t="s">
        <v>6</v>
      </c>
      <c r="P2904" s="1" t="s">
        <v>29</v>
      </c>
      <c r="Q2904" s="1" t="s">
        <v>30</v>
      </c>
      <c r="R2904" s="1" t="s">
        <v>27</v>
      </c>
      <c r="S2904" t="s">
        <v>28</v>
      </c>
      <c r="T2904" s="1">
        <v>2015</v>
      </c>
      <c r="U2904" s="1">
        <v>4</v>
      </c>
      <c r="V2904" s="50">
        <v>42095</v>
      </c>
      <c r="W2904" s="4">
        <v>4062.9000000000005</v>
      </c>
      <c r="X2904" s="48">
        <v>4670</v>
      </c>
    </row>
    <row r="2905" spans="2:24" x14ac:dyDescent="0.35">
      <c r="B2905" s="8" t="s">
        <v>7</v>
      </c>
      <c r="C2905" s="8" t="s">
        <v>43</v>
      </c>
      <c r="D2905" s="8" t="s">
        <v>10</v>
      </c>
      <c r="E2905" s="9" t="s">
        <v>27</v>
      </c>
      <c r="F2905" s="9" t="s">
        <v>31</v>
      </c>
      <c r="G2905" s="8">
        <v>2015</v>
      </c>
      <c r="H2905" s="8">
        <v>4</v>
      </c>
      <c r="I2905" s="10">
        <v>42095</v>
      </c>
      <c r="J2905" s="11">
        <v>2696</v>
      </c>
      <c r="K2905" s="51"/>
      <c r="O2905" s="1" t="s">
        <v>7</v>
      </c>
      <c r="P2905" s="1" t="s">
        <v>43</v>
      </c>
      <c r="Q2905" s="1" t="s">
        <v>10</v>
      </c>
      <c r="R2905" s="2" t="s">
        <v>27</v>
      </c>
      <c r="S2905" s="2" t="s">
        <v>31</v>
      </c>
      <c r="T2905" s="1">
        <v>2015</v>
      </c>
      <c r="U2905" s="1">
        <v>4</v>
      </c>
      <c r="V2905" s="50">
        <v>42095</v>
      </c>
      <c r="W2905" s="4">
        <v>2507.2799999999997</v>
      </c>
      <c r="X2905" s="48">
        <v>2696</v>
      </c>
    </row>
    <row r="2906" spans="2:24" x14ac:dyDescent="0.35">
      <c r="B2906" s="8" t="s">
        <v>12</v>
      </c>
      <c r="C2906" s="8" t="s">
        <v>44</v>
      </c>
      <c r="D2906" s="8" t="s">
        <v>13</v>
      </c>
      <c r="E2906" s="8" t="s">
        <v>27</v>
      </c>
      <c r="F2906" s="9" t="s">
        <v>33</v>
      </c>
      <c r="G2906" s="8">
        <v>2015</v>
      </c>
      <c r="H2906" s="8">
        <v>4</v>
      </c>
      <c r="I2906" s="10">
        <v>42095</v>
      </c>
      <c r="J2906" s="11">
        <v>3957</v>
      </c>
      <c r="K2906" s="51"/>
      <c r="O2906" s="1" t="s">
        <v>12</v>
      </c>
      <c r="P2906" s="1" t="s">
        <v>44</v>
      </c>
      <c r="Q2906" s="1" t="s">
        <v>13</v>
      </c>
      <c r="R2906" s="1" t="s">
        <v>27</v>
      </c>
      <c r="S2906" s="2" t="s">
        <v>33</v>
      </c>
      <c r="T2906" s="1">
        <v>2015</v>
      </c>
      <c r="U2906" s="1">
        <v>4</v>
      </c>
      <c r="V2906" s="50">
        <v>42095</v>
      </c>
      <c r="W2906" s="4">
        <v>3719.58</v>
      </c>
      <c r="X2906" s="48">
        <v>3957</v>
      </c>
    </row>
    <row r="2907" spans="2:24" x14ac:dyDescent="0.35">
      <c r="B2907" s="8" t="s">
        <v>14</v>
      </c>
      <c r="C2907" s="8" t="s">
        <v>46</v>
      </c>
      <c r="D2907" s="8" t="s">
        <v>47</v>
      </c>
      <c r="E2907" s="8" t="s">
        <v>23</v>
      </c>
      <c r="F2907" s="6" t="s">
        <v>36</v>
      </c>
      <c r="G2907" s="8">
        <v>2015</v>
      </c>
      <c r="H2907" s="8">
        <v>4</v>
      </c>
      <c r="I2907" s="10">
        <v>42095</v>
      </c>
      <c r="J2907" s="11">
        <v>2384</v>
      </c>
      <c r="K2907" s="51"/>
      <c r="O2907" s="1" t="s">
        <v>14</v>
      </c>
      <c r="P2907" s="1" t="s">
        <v>46</v>
      </c>
      <c r="Q2907" s="1" t="s">
        <v>47</v>
      </c>
      <c r="R2907" s="1" t="s">
        <v>23</v>
      </c>
      <c r="S2907" t="s">
        <v>36</v>
      </c>
      <c r="T2907" s="1">
        <v>2015</v>
      </c>
      <c r="U2907" s="1">
        <v>4</v>
      </c>
      <c r="V2907" s="50">
        <v>42095</v>
      </c>
      <c r="W2907" s="4">
        <v>2074.0800000000004</v>
      </c>
      <c r="X2907" s="48">
        <v>2384</v>
      </c>
    </row>
    <row r="2908" spans="2:24" x14ac:dyDescent="0.35">
      <c r="B2908" s="8" t="s">
        <v>6</v>
      </c>
      <c r="C2908" s="8" t="s">
        <v>29</v>
      </c>
      <c r="D2908" s="8" t="s">
        <v>30</v>
      </c>
      <c r="E2908" s="8" t="s">
        <v>23</v>
      </c>
      <c r="F2908" s="8" t="s">
        <v>39</v>
      </c>
      <c r="G2908" s="8">
        <v>2015</v>
      </c>
      <c r="H2908" s="8">
        <v>4</v>
      </c>
      <c r="I2908" s="10">
        <v>42095</v>
      </c>
      <c r="J2908" s="11">
        <v>1985</v>
      </c>
      <c r="K2908" s="51"/>
      <c r="O2908" s="1" t="s">
        <v>6</v>
      </c>
      <c r="P2908" s="1" t="s">
        <v>29</v>
      </c>
      <c r="Q2908" s="1" t="s">
        <v>30</v>
      </c>
      <c r="R2908" s="1" t="s">
        <v>23</v>
      </c>
      <c r="S2908" s="1" t="s">
        <v>39</v>
      </c>
      <c r="T2908" s="1">
        <v>2015</v>
      </c>
      <c r="U2908" s="1">
        <v>4</v>
      </c>
      <c r="V2908" s="50">
        <v>42095</v>
      </c>
      <c r="W2908" s="4">
        <v>1806.35</v>
      </c>
      <c r="X2908" s="48">
        <v>1985</v>
      </c>
    </row>
    <row r="2909" spans="2:24" x14ac:dyDescent="0.35">
      <c r="B2909" s="8" t="s">
        <v>7</v>
      </c>
      <c r="C2909" s="8" t="s">
        <v>32</v>
      </c>
      <c r="D2909" s="8" t="s">
        <v>8</v>
      </c>
      <c r="E2909" s="8" t="s">
        <v>0</v>
      </c>
      <c r="F2909" s="8" t="s">
        <v>42</v>
      </c>
      <c r="G2909" s="8">
        <v>2015</v>
      </c>
      <c r="H2909" s="8">
        <v>4</v>
      </c>
      <c r="I2909" s="10">
        <v>42095</v>
      </c>
      <c r="J2909" s="11">
        <v>5587</v>
      </c>
      <c r="K2909" s="51"/>
      <c r="O2909" s="1" t="s">
        <v>7</v>
      </c>
      <c r="P2909" s="1" t="s">
        <v>32</v>
      </c>
      <c r="Q2909" s="1" t="s">
        <v>8</v>
      </c>
      <c r="R2909" s="1" t="s">
        <v>0</v>
      </c>
      <c r="S2909" s="1" t="s">
        <v>42</v>
      </c>
      <c r="T2909" s="1">
        <v>2015</v>
      </c>
      <c r="U2909" s="1">
        <v>4</v>
      </c>
      <c r="V2909" s="50">
        <v>42095</v>
      </c>
      <c r="W2909" s="4">
        <v>4860.6900000000005</v>
      </c>
      <c r="X2909" s="48">
        <v>5587</v>
      </c>
    </row>
    <row r="2910" spans="2:24" x14ac:dyDescent="0.35">
      <c r="B2910" s="8" t="s">
        <v>12</v>
      </c>
      <c r="C2910" s="8" t="s">
        <v>44</v>
      </c>
      <c r="D2910" s="8" t="s">
        <v>13</v>
      </c>
      <c r="E2910" s="8" t="s">
        <v>0</v>
      </c>
      <c r="F2910" s="8" t="s">
        <v>26</v>
      </c>
      <c r="G2910" s="8">
        <v>2015</v>
      </c>
      <c r="H2910" s="8">
        <v>4</v>
      </c>
      <c r="I2910" s="10">
        <v>42095</v>
      </c>
      <c r="J2910" s="11">
        <v>3958</v>
      </c>
      <c r="K2910" s="51"/>
      <c r="O2910" s="1" t="s">
        <v>12</v>
      </c>
      <c r="P2910" s="1" t="s">
        <v>44</v>
      </c>
      <c r="Q2910" s="1" t="s">
        <v>13</v>
      </c>
      <c r="R2910" s="1" t="s">
        <v>0</v>
      </c>
      <c r="S2910" s="1" t="s">
        <v>26</v>
      </c>
      <c r="T2910" s="1">
        <v>2015</v>
      </c>
      <c r="U2910" s="1">
        <v>4</v>
      </c>
      <c r="V2910" s="50">
        <v>42095</v>
      </c>
      <c r="W2910" s="4">
        <v>3443.4600000000005</v>
      </c>
      <c r="X2910" s="48">
        <v>3958</v>
      </c>
    </row>
    <row r="2911" spans="2:24" x14ac:dyDescent="0.35">
      <c r="B2911" s="8" t="s">
        <v>14</v>
      </c>
      <c r="C2911" s="8" t="s">
        <v>37</v>
      </c>
      <c r="D2911" s="8" t="s">
        <v>38</v>
      </c>
      <c r="E2911" s="8" t="s">
        <v>0</v>
      </c>
      <c r="F2911" s="6" t="s">
        <v>45</v>
      </c>
      <c r="G2911" s="8">
        <v>2015</v>
      </c>
      <c r="H2911" s="8">
        <v>4</v>
      </c>
      <c r="I2911" s="10">
        <v>42095</v>
      </c>
      <c r="J2911" s="11">
        <v>4183</v>
      </c>
      <c r="K2911" s="51"/>
      <c r="O2911" s="1" t="s">
        <v>14</v>
      </c>
      <c r="P2911" s="1" t="s">
        <v>37</v>
      </c>
      <c r="Q2911" s="1" t="s">
        <v>38</v>
      </c>
      <c r="R2911" s="1" t="s">
        <v>0</v>
      </c>
      <c r="S2911" t="s">
        <v>45</v>
      </c>
      <c r="T2911" s="1">
        <v>2015</v>
      </c>
      <c r="U2911" s="1">
        <v>4</v>
      </c>
      <c r="V2911" s="50">
        <v>42095</v>
      </c>
      <c r="W2911" s="4">
        <v>3764.7</v>
      </c>
      <c r="X2911" s="48">
        <v>4183</v>
      </c>
    </row>
    <row r="2912" spans="2:24" x14ac:dyDescent="0.35">
      <c r="B2912" s="8" t="s">
        <v>3</v>
      </c>
      <c r="C2912" s="8" t="s">
        <v>25</v>
      </c>
      <c r="D2912" s="8" t="s">
        <v>4</v>
      </c>
      <c r="E2912" s="8" t="s">
        <v>27</v>
      </c>
      <c r="F2912" s="6" t="s">
        <v>28</v>
      </c>
      <c r="G2912" s="8">
        <v>2015</v>
      </c>
      <c r="H2912" s="8">
        <v>4</v>
      </c>
      <c r="I2912" s="10">
        <v>42095</v>
      </c>
      <c r="J2912" s="11">
        <v>4493</v>
      </c>
      <c r="K2912" s="51"/>
      <c r="O2912" s="1" t="s">
        <v>3</v>
      </c>
      <c r="P2912" s="1" t="s">
        <v>25</v>
      </c>
      <c r="Q2912" s="1" t="s">
        <v>4</v>
      </c>
      <c r="R2912" s="1" t="s">
        <v>27</v>
      </c>
      <c r="S2912" t="s">
        <v>28</v>
      </c>
      <c r="T2912" s="1">
        <v>2015</v>
      </c>
      <c r="U2912" s="1">
        <v>4</v>
      </c>
      <c r="V2912" s="50">
        <v>42095</v>
      </c>
      <c r="W2912" s="4">
        <v>3908.9100000000003</v>
      </c>
      <c r="X2912" s="48">
        <v>4493</v>
      </c>
    </row>
    <row r="2913" spans="2:24" x14ac:dyDescent="0.35">
      <c r="B2913" s="8" t="s">
        <v>3</v>
      </c>
      <c r="C2913" s="8" t="s">
        <v>25</v>
      </c>
      <c r="D2913" s="8" t="s">
        <v>4</v>
      </c>
      <c r="E2913" s="8" t="s">
        <v>27</v>
      </c>
      <c r="F2913" s="6" t="s">
        <v>31</v>
      </c>
      <c r="G2913" s="8">
        <v>2015</v>
      </c>
      <c r="H2913" s="8">
        <v>4</v>
      </c>
      <c r="I2913" s="10">
        <v>42095</v>
      </c>
      <c r="J2913" s="11">
        <v>3251</v>
      </c>
      <c r="K2913" s="51"/>
      <c r="O2913" s="1" t="s">
        <v>3</v>
      </c>
      <c r="P2913" s="1" t="s">
        <v>25</v>
      </c>
      <c r="Q2913" s="1" t="s">
        <v>4</v>
      </c>
      <c r="R2913" s="1" t="s">
        <v>27</v>
      </c>
      <c r="S2913" t="s">
        <v>31</v>
      </c>
      <c r="T2913" s="1">
        <v>2015</v>
      </c>
      <c r="U2913" s="1">
        <v>4</v>
      </c>
      <c r="V2913" s="50">
        <v>42095</v>
      </c>
      <c r="W2913" s="4">
        <v>2958.41</v>
      </c>
      <c r="X2913" s="48">
        <v>3251</v>
      </c>
    </row>
    <row r="2914" spans="2:24" x14ac:dyDescent="0.35">
      <c r="B2914" s="8" t="s">
        <v>6</v>
      </c>
      <c r="C2914" s="8" t="s">
        <v>40</v>
      </c>
      <c r="D2914" s="8" t="s">
        <v>41</v>
      </c>
      <c r="E2914" s="9" t="s">
        <v>27</v>
      </c>
      <c r="F2914" s="9" t="s">
        <v>33</v>
      </c>
      <c r="G2914" s="8">
        <v>2015</v>
      </c>
      <c r="H2914" s="8">
        <v>4</v>
      </c>
      <c r="I2914" s="10">
        <v>42095</v>
      </c>
      <c r="J2914" s="11">
        <v>2828</v>
      </c>
      <c r="K2914" s="51"/>
      <c r="O2914" s="1" t="s">
        <v>6</v>
      </c>
      <c r="P2914" s="1" t="s">
        <v>40</v>
      </c>
      <c r="Q2914" s="1" t="s">
        <v>41</v>
      </c>
      <c r="R2914" s="2" t="s">
        <v>27</v>
      </c>
      <c r="S2914" s="2" t="s">
        <v>33</v>
      </c>
      <c r="T2914" s="1">
        <v>2015</v>
      </c>
      <c r="U2914" s="1">
        <v>4</v>
      </c>
      <c r="V2914" s="50">
        <v>42095</v>
      </c>
      <c r="W2914" s="4">
        <v>2403.8000000000002</v>
      </c>
      <c r="X2914" s="48">
        <v>2828</v>
      </c>
    </row>
    <row r="2915" spans="2:24" x14ac:dyDescent="0.35">
      <c r="B2915" s="8" t="s">
        <v>6</v>
      </c>
      <c r="C2915" s="8" t="s">
        <v>40</v>
      </c>
      <c r="D2915" s="8" t="s">
        <v>41</v>
      </c>
      <c r="E2915" s="8" t="s">
        <v>23</v>
      </c>
      <c r="F2915" s="9" t="s">
        <v>36</v>
      </c>
      <c r="G2915" s="8">
        <v>2015</v>
      </c>
      <c r="H2915" s="8">
        <v>4</v>
      </c>
      <c r="I2915" s="10">
        <v>42095</v>
      </c>
      <c r="J2915" s="11">
        <v>2537</v>
      </c>
      <c r="K2915" s="51"/>
      <c r="O2915" s="1" t="s">
        <v>6</v>
      </c>
      <c r="P2915" s="1" t="s">
        <v>40</v>
      </c>
      <c r="Q2915" s="1" t="s">
        <v>41</v>
      </c>
      <c r="R2915" s="1" t="s">
        <v>23</v>
      </c>
      <c r="S2915" s="2" t="s">
        <v>36</v>
      </c>
      <c r="T2915" s="1">
        <v>2015</v>
      </c>
      <c r="U2915" s="1">
        <v>4</v>
      </c>
      <c r="V2915" s="50">
        <v>42095</v>
      </c>
      <c r="W2915" s="4">
        <v>2334.04</v>
      </c>
      <c r="X2915" s="48">
        <v>2537</v>
      </c>
    </row>
    <row r="2916" spans="2:24" x14ac:dyDescent="0.35">
      <c r="B2916" s="8" t="s">
        <v>7</v>
      </c>
      <c r="C2916" s="8" t="s">
        <v>43</v>
      </c>
      <c r="D2916" s="8" t="s">
        <v>10</v>
      </c>
      <c r="E2916" s="8" t="s">
        <v>23</v>
      </c>
      <c r="F2916" s="6" t="s">
        <v>24</v>
      </c>
      <c r="G2916" s="8">
        <v>2015</v>
      </c>
      <c r="H2916" s="8">
        <v>4</v>
      </c>
      <c r="I2916" s="10">
        <v>42095</v>
      </c>
      <c r="J2916" s="11">
        <v>3363</v>
      </c>
      <c r="K2916" s="51"/>
      <c r="O2916" s="1" t="s">
        <v>7</v>
      </c>
      <c r="P2916" s="1" t="s">
        <v>43</v>
      </c>
      <c r="Q2916" s="1" t="s">
        <v>10</v>
      </c>
      <c r="R2916" s="1" t="s">
        <v>23</v>
      </c>
      <c r="S2916" t="s">
        <v>24</v>
      </c>
      <c r="T2916" s="1">
        <v>2015</v>
      </c>
      <c r="U2916" s="1">
        <v>4</v>
      </c>
      <c r="V2916" s="50">
        <v>42095</v>
      </c>
      <c r="W2916" s="4">
        <v>2858.55</v>
      </c>
      <c r="X2916" s="48">
        <v>3363</v>
      </c>
    </row>
    <row r="2917" spans="2:24" x14ac:dyDescent="0.35">
      <c r="B2917" s="8" t="s">
        <v>7</v>
      </c>
      <c r="C2917" s="8" t="s">
        <v>43</v>
      </c>
      <c r="D2917" s="8" t="s">
        <v>10</v>
      </c>
      <c r="E2917" s="8" t="s">
        <v>23</v>
      </c>
      <c r="F2917" s="8" t="s">
        <v>39</v>
      </c>
      <c r="G2917" s="8">
        <v>2015</v>
      </c>
      <c r="H2917" s="8">
        <v>4</v>
      </c>
      <c r="I2917" s="10">
        <v>42095</v>
      </c>
      <c r="J2917" s="11">
        <v>1630</v>
      </c>
      <c r="K2917" s="51"/>
      <c r="O2917" s="1" t="s">
        <v>7</v>
      </c>
      <c r="P2917" s="1" t="s">
        <v>43</v>
      </c>
      <c r="Q2917" s="1" t="s">
        <v>10</v>
      </c>
      <c r="R2917" s="1" t="s">
        <v>23</v>
      </c>
      <c r="S2917" s="1" t="s">
        <v>39</v>
      </c>
      <c r="T2917" s="1">
        <v>2015</v>
      </c>
      <c r="U2917" s="1">
        <v>4</v>
      </c>
      <c r="V2917" s="50">
        <v>42095</v>
      </c>
      <c r="W2917" s="4">
        <v>1434.3999999999999</v>
      </c>
      <c r="X2917" s="48">
        <v>1630</v>
      </c>
    </row>
    <row r="2918" spans="2:24" x14ac:dyDescent="0.35">
      <c r="B2918" s="8" t="s">
        <v>7</v>
      </c>
      <c r="C2918" s="8" t="s">
        <v>32</v>
      </c>
      <c r="D2918" s="8" t="s">
        <v>8</v>
      </c>
      <c r="E2918" s="8" t="s">
        <v>0</v>
      </c>
      <c r="F2918" s="8" t="s">
        <v>26</v>
      </c>
      <c r="G2918" s="8">
        <v>2015</v>
      </c>
      <c r="H2918" s="8">
        <v>4</v>
      </c>
      <c r="I2918" s="10">
        <v>42095</v>
      </c>
      <c r="J2918" s="11">
        <v>3210</v>
      </c>
      <c r="K2918" s="51"/>
      <c r="O2918" s="1" t="s">
        <v>7</v>
      </c>
      <c r="P2918" s="1" t="s">
        <v>32</v>
      </c>
      <c r="Q2918" s="1" t="s">
        <v>8</v>
      </c>
      <c r="R2918" s="1" t="s">
        <v>0</v>
      </c>
      <c r="S2918" s="1" t="s">
        <v>26</v>
      </c>
      <c r="T2918" s="1">
        <v>2015</v>
      </c>
      <c r="U2918" s="1">
        <v>4</v>
      </c>
      <c r="V2918" s="50">
        <v>42095</v>
      </c>
      <c r="W2918" s="4">
        <v>2760.6000000000004</v>
      </c>
      <c r="X2918" s="48">
        <v>3210</v>
      </c>
    </row>
    <row r="2919" spans="2:24" x14ac:dyDescent="0.35">
      <c r="B2919" s="8" t="s">
        <v>3</v>
      </c>
      <c r="C2919" s="8" t="s">
        <v>22</v>
      </c>
      <c r="D2919" s="8" t="s">
        <v>5</v>
      </c>
      <c r="E2919" s="8" t="s">
        <v>0</v>
      </c>
      <c r="F2919" s="8" t="s">
        <v>45</v>
      </c>
      <c r="G2919" s="8">
        <v>2015</v>
      </c>
      <c r="H2919" s="8">
        <v>4</v>
      </c>
      <c r="I2919" s="10">
        <v>42095</v>
      </c>
      <c r="J2919" s="11">
        <v>4042</v>
      </c>
      <c r="K2919" s="51"/>
      <c r="O2919" s="1" t="s">
        <v>3</v>
      </c>
      <c r="P2919" s="1" t="s">
        <v>22</v>
      </c>
      <c r="Q2919" s="1" t="s">
        <v>5</v>
      </c>
      <c r="R2919" s="1" t="s">
        <v>0</v>
      </c>
      <c r="S2919" s="1" t="s">
        <v>45</v>
      </c>
      <c r="T2919" s="1">
        <v>2015</v>
      </c>
      <c r="U2919" s="1">
        <v>4</v>
      </c>
      <c r="V2919" s="50">
        <v>42095</v>
      </c>
      <c r="W2919" s="4">
        <v>3799.4799999999996</v>
      </c>
      <c r="X2919" s="48">
        <v>4042</v>
      </c>
    </row>
    <row r="2920" spans="2:24" x14ac:dyDescent="0.35">
      <c r="B2920" s="8" t="s">
        <v>7</v>
      </c>
      <c r="C2920" s="8" t="s">
        <v>48</v>
      </c>
      <c r="D2920" s="8" t="s">
        <v>9</v>
      </c>
      <c r="E2920" s="8" t="s">
        <v>23</v>
      </c>
      <c r="F2920" s="6" t="s">
        <v>36</v>
      </c>
      <c r="G2920" s="8">
        <v>2015</v>
      </c>
      <c r="H2920" s="8">
        <v>4</v>
      </c>
      <c r="I2920" s="10">
        <v>42095</v>
      </c>
      <c r="J2920" s="11">
        <v>1819</v>
      </c>
      <c r="K2920" s="51"/>
      <c r="O2920" s="1" t="s">
        <v>7</v>
      </c>
      <c r="P2920" s="1" t="s">
        <v>48</v>
      </c>
      <c r="Q2920" s="1" t="s">
        <v>9</v>
      </c>
      <c r="R2920" s="1" t="s">
        <v>23</v>
      </c>
      <c r="S2920" t="s">
        <v>36</v>
      </c>
      <c r="T2920" s="1">
        <v>2015</v>
      </c>
      <c r="U2920" s="1">
        <v>4</v>
      </c>
      <c r="V2920" s="50">
        <v>42095</v>
      </c>
      <c r="W2920" s="4">
        <v>1637.1</v>
      </c>
      <c r="X2920" s="48">
        <v>1819</v>
      </c>
    </row>
    <row r="2921" spans="2:24" x14ac:dyDescent="0.35">
      <c r="B2921" s="8" t="s">
        <v>7</v>
      </c>
      <c r="C2921" s="8" t="s">
        <v>48</v>
      </c>
      <c r="D2921" s="8" t="s">
        <v>9</v>
      </c>
      <c r="E2921" s="8" t="s">
        <v>23</v>
      </c>
      <c r="F2921" s="6" t="s">
        <v>24</v>
      </c>
      <c r="G2921" s="8">
        <v>2015</v>
      </c>
      <c r="H2921" s="8">
        <v>4</v>
      </c>
      <c r="I2921" s="10">
        <v>42095</v>
      </c>
      <c r="J2921" s="11">
        <v>3200</v>
      </c>
      <c r="K2921" s="51"/>
      <c r="O2921" s="1" t="s">
        <v>7</v>
      </c>
      <c r="P2921" s="1" t="s">
        <v>48</v>
      </c>
      <c r="Q2921" s="1" t="s">
        <v>9</v>
      </c>
      <c r="R2921" s="1" t="s">
        <v>23</v>
      </c>
      <c r="S2921" t="s">
        <v>24</v>
      </c>
      <c r="T2921" s="1">
        <v>2015</v>
      </c>
      <c r="U2921" s="1">
        <v>4</v>
      </c>
      <c r="V2921" s="50">
        <v>42095</v>
      </c>
      <c r="W2921" s="4">
        <v>2720.0000000000005</v>
      </c>
      <c r="X2921" s="48">
        <v>3200</v>
      </c>
    </row>
    <row r="2922" spans="2:24" x14ac:dyDescent="0.35">
      <c r="B2922" s="8" t="s">
        <v>7</v>
      </c>
      <c r="C2922" s="8" t="s">
        <v>49</v>
      </c>
      <c r="D2922" s="8" t="s">
        <v>11</v>
      </c>
      <c r="E2922" s="8" t="s">
        <v>23</v>
      </c>
      <c r="F2922" s="6" t="s">
        <v>39</v>
      </c>
      <c r="G2922" s="8">
        <v>2015</v>
      </c>
      <c r="H2922" s="8">
        <v>4</v>
      </c>
      <c r="I2922" s="10">
        <v>42095</v>
      </c>
      <c r="J2922" s="11">
        <v>1570</v>
      </c>
      <c r="K2922" s="51"/>
      <c r="O2922" s="1" t="s">
        <v>7</v>
      </c>
      <c r="P2922" s="1" t="s">
        <v>49</v>
      </c>
      <c r="Q2922" s="1" t="s">
        <v>11</v>
      </c>
      <c r="R2922" s="1" t="s">
        <v>23</v>
      </c>
      <c r="S2922" t="s">
        <v>39</v>
      </c>
      <c r="T2922" s="1">
        <v>2015</v>
      </c>
      <c r="U2922" s="1">
        <v>4</v>
      </c>
      <c r="V2922" s="50">
        <v>42095</v>
      </c>
      <c r="W2922" s="4">
        <v>1428.6999999999998</v>
      </c>
      <c r="X2922" s="48">
        <v>1570</v>
      </c>
    </row>
    <row r="2923" spans="2:24" x14ac:dyDescent="0.35">
      <c r="B2923" s="8" t="s">
        <v>7</v>
      </c>
      <c r="C2923" s="8" t="s">
        <v>49</v>
      </c>
      <c r="D2923" s="8" t="s">
        <v>11</v>
      </c>
      <c r="E2923" s="9" t="s">
        <v>0</v>
      </c>
      <c r="F2923" s="9" t="s">
        <v>42</v>
      </c>
      <c r="G2923" s="8">
        <v>2015</v>
      </c>
      <c r="H2923" s="8">
        <v>4</v>
      </c>
      <c r="I2923" s="10">
        <v>42095</v>
      </c>
      <c r="J2923" s="11">
        <v>5962</v>
      </c>
      <c r="K2923" s="51"/>
      <c r="O2923" s="1" t="s">
        <v>7</v>
      </c>
      <c r="P2923" s="1" t="s">
        <v>49</v>
      </c>
      <c r="Q2923" s="1" t="s">
        <v>11</v>
      </c>
      <c r="R2923" s="2" t="s">
        <v>0</v>
      </c>
      <c r="S2923" s="2" t="s">
        <v>42</v>
      </c>
      <c r="T2923" s="1">
        <v>2015</v>
      </c>
      <c r="U2923" s="1">
        <v>4</v>
      </c>
      <c r="V2923" s="50">
        <v>42095</v>
      </c>
      <c r="W2923" s="4">
        <v>5306.1799999999994</v>
      </c>
      <c r="X2923" s="48">
        <v>5962</v>
      </c>
    </row>
    <row r="2924" spans="2:24" x14ac:dyDescent="0.35">
      <c r="B2924" s="8" t="s">
        <v>12</v>
      </c>
      <c r="C2924" s="8" t="s">
        <v>34</v>
      </c>
      <c r="D2924" s="8" t="s">
        <v>35</v>
      </c>
      <c r="E2924" s="8" t="s">
        <v>0</v>
      </c>
      <c r="F2924" s="9" t="s">
        <v>26</v>
      </c>
      <c r="G2924" s="8">
        <v>2015</v>
      </c>
      <c r="H2924" s="8">
        <v>4</v>
      </c>
      <c r="I2924" s="10">
        <v>42095</v>
      </c>
      <c r="J2924" s="11">
        <v>3290</v>
      </c>
      <c r="K2924" s="51"/>
      <c r="O2924" s="1" t="s">
        <v>12</v>
      </c>
      <c r="P2924" s="1" t="s">
        <v>34</v>
      </c>
      <c r="Q2924" s="1" t="s">
        <v>35</v>
      </c>
      <c r="R2924" s="1" t="s">
        <v>0</v>
      </c>
      <c r="S2924" s="2" t="s">
        <v>26</v>
      </c>
      <c r="T2924" s="1">
        <v>2015</v>
      </c>
      <c r="U2924" s="1">
        <v>4</v>
      </c>
      <c r="V2924" s="50">
        <v>42095</v>
      </c>
      <c r="W2924" s="4">
        <v>2960.9999999999995</v>
      </c>
      <c r="X2924" s="48">
        <v>3290</v>
      </c>
    </row>
    <row r="2925" spans="2:24" x14ac:dyDescent="0.35">
      <c r="B2925" s="8" t="s">
        <v>12</v>
      </c>
      <c r="C2925" s="8" t="s">
        <v>34</v>
      </c>
      <c r="D2925" s="8" t="s">
        <v>35</v>
      </c>
      <c r="E2925" s="8" t="s">
        <v>0</v>
      </c>
      <c r="F2925" s="6" t="s">
        <v>45</v>
      </c>
      <c r="G2925" s="8">
        <v>2015</v>
      </c>
      <c r="H2925" s="8">
        <v>4</v>
      </c>
      <c r="I2925" s="10">
        <v>42095</v>
      </c>
      <c r="J2925" s="11">
        <v>3082</v>
      </c>
      <c r="K2925" s="51"/>
      <c r="O2925" s="1" t="s">
        <v>12</v>
      </c>
      <c r="P2925" s="1" t="s">
        <v>34</v>
      </c>
      <c r="Q2925" s="1" t="s">
        <v>35</v>
      </c>
      <c r="R2925" s="1" t="s">
        <v>0</v>
      </c>
      <c r="S2925" t="s">
        <v>45</v>
      </c>
      <c r="T2925" s="1">
        <v>2015</v>
      </c>
      <c r="U2925" s="1">
        <v>4</v>
      </c>
      <c r="V2925" s="50">
        <v>42095</v>
      </c>
      <c r="W2925" s="4">
        <v>2742.9799999999996</v>
      </c>
      <c r="X2925" s="48">
        <v>3082</v>
      </c>
    </row>
    <row r="2926" spans="2:24" x14ac:dyDescent="0.35">
      <c r="B2926" s="8" t="s">
        <v>14</v>
      </c>
      <c r="C2926" s="8" t="s">
        <v>37</v>
      </c>
      <c r="D2926" s="8" t="s">
        <v>38</v>
      </c>
      <c r="E2926" s="8" t="s">
        <v>27</v>
      </c>
      <c r="F2926" s="8" t="s">
        <v>28</v>
      </c>
      <c r="G2926" s="8">
        <v>2015</v>
      </c>
      <c r="H2926" s="8">
        <v>4</v>
      </c>
      <c r="I2926" s="10">
        <v>42095</v>
      </c>
      <c r="J2926" s="11">
        <v>4471</v>
      </c>
      <c r="K2926" s="51"/>
      <c r="O2926" s="1" t="s">
        <v>14</v>
      </c>
      <c r="P2926" s="1" t="s">
        <v>37</v>
      </c>
      <c r="Q2926" s="1" t="s">
        <v>38</v>
      </c>
      <c r="R2926" s="1" t="s">
        <v>27</v>
      </c>
      <c r="S2926" s="1" t="s">
        <v>28</v>
      </c>
      <c r="T2926" s="1">
        <v>2015</v>
      </c>
      <c r="U2926" s="1">
        <v>4</v>
      </c>
      <c r="V2926" s="50">
        <v>42095</v>
      </c>
      <c r="W2926" s="4">
        <v>4202.74</v>
      </c>
      <c r="X2926" s="48">
        <v>4471</v>
      </c>
    </row>
    <row r="2927" spans="2:24" x14ac:dyDescent="0.35">
      <c r="B2927" s="8" t="s">
        <v>14</v>
      </c>
      <c r="C2927" s="8" t="s">
        <v>37</v>
      </c>
      <c r="D2927" s="8" t="s">
        <v>38</v>
      </c>
      <c r="E2927" s="8" t="s">
        <v>27</v>
      </c>
      <c r="F2927" s="8" t="s">
        <v>31</v>
      </c>
      <c r="G2927" s="8">
        <v>2015</v>
      </c>
      <c r="H2927" s="8">
        <v>4</v>
      </c>
      <c r="I2927" s="10">
        <v>42095</v>
      </c>
      <c r="J2927" s="11">
        <v>3681</v>
      </c>
      <c r="K2927" s="51"/>
      <c r="O2927" s="1" t="s">
        <v>14</v>
      </c>
      <c r="P2927" s="1" t="s">
        <v>37</v>
      </c>
      <c r="Q2927" s="1" t="s">
        <v>38</v>
      </c>
      <c r="R2927" s="1" t="s">
        <v>27</v>
      </c>
      <c r="S2927" s="1" t="s">
        <v>31</v>
      </c>
      <c r="T2927" s="1">
        <v>2015</v>
      </c>
      <c r="U2927" s="1">
        <v>4</v>
      </c>
      <c r="V2927" s="50">
        <v>42095</v>
      </c>
      <c r="W2927" s="4">
        <v>3423.33</v>
      </c>
      <c r="X2927" s="48">
        <v>3681</v>
      </c>
    </row>
    <row r="2928" spans="2:24" x14ac:dyDescent="0.35">
      <c r="B2928" s="8" t="s">
        <v>12</v>
      </c>
      <c r="C2928" s="8" t="s">
        <v>44</v>
      </c>
      <c r="D2928" s="8" t="s">
        <v>13</v>
      </c>
      <c r="E2928" s="8" t="s">
        <v>23</v>
      </c>
      <c r="F2928" s="8" t="s">
        <v>36</v>
      </c>
      <c r="G2928" s="8">
        <v>2015</v>
      </c>
      <c r="H2928" s="8">
        <v>4</v>
      </c>
      <c r="I2928" s="10">
        <v>42095</v>
      </c>
      <c r="J2928" s="11">
        <v>2889</v>
      </c>
      <c r="K2928" s="51"/>
      <c r="O2928" s="1" t="s">
        <v>12</v>
      </c>
      <c r="P2928" s="1" t="s">
        <v>44</v>
      </c>
      <c r="Q2928" s="1" t="s">
        <v>13</v>
      </c>
      <c r="R2928" s="1" t="s">
        <v>23</v>
      </c>
      <c r="S2928" s="1" t="s">
        <v>36</v>
      </c>
      <c r="T2928" s="1">
        <v>2015</v>
      </c>
      <c r="U2928" s="1">
        <v>4</v>
      </c>
      <c r="V2928" s="50">
        <v>42095</v>
      </c>
      <c r="W2928" s="4">
        <v>2542.3199999999997</v>
      </c>
      <c r="X2928" s="48">
        <v>2889</v>
      </c>
    </row>
    <row r="2929" spans="2:24" x14ac:dyDescent="0.35">
      <c r="B2929" s="8" t="s">
        <v>14</v>
      </c>
      <c r="C2929" s="8" t="s">
        <v>46</v>
      </c>
      <c r="D2929" s="8" t="s">
        <v>47</v>
      </c>
      <c r="E2929" s="8" t="s">
        <v>23</v>
      </c>
      <c r="F2929" s="6" t="s">
        <v>24</v>
      </c>
      <c r="G2929" s="8">
        <v>2015</v>
      </c>
      <c r="H2929" s="8">
        <v>4</v>
      </c>
      <c r="I2929" s="10">
        <v>42095</v>
      </c>
      <c r="J2929" s="11">
        <v>1884</v>
      </c>
      <c r="K2929" s="51"/>
      <c r="O2929" s="1" t="s">
        <v>14</v>
      </c>
      <c r="P2929" s="1" t="s">
        <v>46</v>
      </c>
      <c r="Q2929" s="1" t="s">
        <v>47</v>
      </c>
      <c r="R2929" s="1" t="s">
        <v>23</v>
      </c>
      <c r="S2929" t="s">
        <v>24</v>
      </c>
      <c r="T2929" s="1">
        <v>2015</v>
      </c>
      <c r="U2929" s="1">
        <v>4</v>
      </c>
      <c r="V2929" s="50">
        <v>42095</v>
      </c>
      <c r="W2929" s="4">
        <v>1676.7599999999998</v>
      </c>
      <c r="X2929" s="48">
        <v>1884</v>
      </c>
    </row>
    <row r="2930" spans="2:24" x14ac:dyDescent="0.35">
      <c r="B2930" s="8" t="s">
        <v>14</v>
      </c>
      <c r="C2930" s="8" t="s">
        <v>46</v>
      </c>
      <c r="D2930" s="8" t="s">
        <v>47</v>
      </c>
      <c r="E2930" s="8" t="s">
        <v>23</v>
      </c>
      <c r="F2930" s="6" t="s">
        <v>39</v>
      </c>
      <c r="G2930" s="8">
        <v>2015</v>
      </c>
      <c r="H2930" s="8">
        <v>4</v>
      </c>
      <c r="I2930" s="10">
        <v>42095</v>
      </c>
      <c r="J2930" s="11">
        <v>2485</v>
      </c>
      <c r="K2930" s="51"/>
      <c r="O2930" s="1" t="s">
        <v>14</v>
      </c>
      <c r="P2930" s="1" t="s">
        <v>46</v>
      </c>
      <c r="Q2930" s="1" t="s">
        <v>47</v>
      </c>
      <c r="R2930" s="1" t="s">
        <v>23</v>
      </c>
      <c r="S2930" t="s">
        <v>39</v>
      </c>
      <c r="T2930" s="1">
        <v>2015</v>
      </c>
      <c r="U2930" s="1">
        <v>4</v>
      </c>
      <c r="V2930" s="50">
        <v>42095</v>
      </c>
      <c r="W2930" s="4">
        <v>2211.6499999999996</v>
      </c>
      <c r="X2930" s="48">
        <v>2485</v>
      </c>
    </row>
    <row r="2931" spans="2:24" x14ac:dyDescent="0.35">
      <c r="B2931" s="8" t="s">
        <v>7</v>
      </c>
      <c r="C2931" s="8" t="s">
        <v>43</v>
      </c>
      <c r="D2931" s="8" t="s">
        <v>10</v>
      </c>
      <c r="E2931" s="8" t="s">
        <v>0</v>
      </c>
      <c r="F2931" s="6" t="s">
        <v>42</v>
      </c>
      <c r="G2931" s="8">
        <v>2015</v>
      </c>
      <c r="H2931" s="8">
        <v>4</v>
      </c>
      <c r="I2931" s="10">
        <v>42095</v>
      </c>
      <c r="J2931" s="11">
        <v>4466</v>
      </c>
      <c r="K2931" s="51"/>
      <c r="O2931" s="1" t="s">
        <v>7</v>
      </c>
      <c r="P2931" s="1" t="s">
        <v>43</v>
      </c>
      <c r="Q2931" s="1" t="s">
        <v>10</v>
      </c>
      <c r="R2931" s="1" t="s">
        <v>0</v>
      </c>
      <c r="S2931" t="s">
        <v>42</v>
      </c>
      <c r="T2931" s="1">
        <v>2015</v>
      </c>
      <c r="U2931" s="1">
        <v>4</v>
      </c>
      <c r="V2931" s="50">
        <v>42095</v>
      </c>
      <c r="W2931" s="4">
        <v>4153.38</v>
      </c>
      <c r="X2931" s="48">
        <v>4466</v>
      </c>
    </row>
    <row r="2932" spans="2:24" x14ac:dyDescent="0.35">
      <c r="B2932" s="8" t="s">
        <v>6</v>
      </c>
      <c r="C2932" s="8" t="s">
        <v>40</v>
      </c>
      <c r="D2932" s="8" t="s">
        <v>41</v>
      </c>
      <c r="E2932" s="9" t="s">
        <v>27</v>
      </c>
      <c r="F2932" s="9" t="s">
        <v>31</v>
      </c>
      <c r="G2932" s="8">
        <v>2015</v>
      </c>
      <c r="H2932" s="8">
        <v>4</v>
      </c>
      <c r="I2932" s="10">
        <v>42095</v>
      </c>
      <c r="J2932" s="11">
        <v>4125</v>
      </c>
      <c r="K2932" s="51"/>
      <c r="O2932" s="1" t="s">
        <v>6</v>
      </c>
      <c r="P2932" s="1" t="s">
        <v>40</v>
      </c>
      <c r="Q2932" s="1" t="s">
        <v>41</v>
      </c>
      <c r="R2932" s="2" t="s">
        <v>27</v>
      </c>
      <c r="S2932" s="2" t="s">
        <v>31</v>
      </c>
      <c r="T2932" s="1">
        <v>2015</v>
      </c>
      <c r="U2932" s="1">
        <v>4</v>
      </c>
      <c r="V2932" s="50">
        <v>42095</v>
      </c>
      <c r="W2932" s="4">
        <v>3629.9999999999995</v>
      </c>
      <c r="X2932" s="48">
        <v>4125</v>
      </c>
    </row>
    <row r="2933" spans="2:24" x14ac:dyDescent="0.35">
      <c r="B2933" s="8" t="s">
        <v>3</v>
      </c>
      <c r="C2933" s="8" t="s">
        <v>22</v>
      </c>
      <c r="D2933" s="8" t="s">
        <v>5</v>
      </c>
      <c r="E2933" s="8" t="s">
        <v>23</v>
      </c>
      <c r="F2933" s="9" t="s">
        <v>39</v>
      </c>
      <c r="G2933" s="8">
        <v>2015</v>
      </c>
      <c r="H2933" s="8">
        <v>4</v>
      </c>
      <c r="I2933" s="10">
        <v>42095</v>
      </c>
      <c r="J2933" s="11">
        <v>1339</v>
      </c>
      <c r="K2933" s="51"/>
      <c r="O2933" s="1" t="s">
        <v>3</v>
      </c>
      <c r="P2933" s="1" t="s">
        <v>22</v>
      </c>
      <c r="Q2933" s="1" t="s">
        <v>5</v>
      </c>
      <c r="R2933" s="1" t="s">
        <v>23</v>
      </c>
      <c r="S2933" s="2" t="s">
        <v>39</v>
      </c>
      <c r="T2933" s="1">
        <v>2015</v>
      </c>
      <c r="U2933" s="1">
        <v>4</v>
      </c>
      <c r="V2933" s="50">
        <v>42095</v>
      </c>
      <c r="W2933" s="4">
        <v>1191.7099999999998</v>
      </c>
      <c r="X2933" s="48">
        <v>1339</v>
      </c>
    </row>
    <row r="2934" spans="2:24" x14ac:dyDescent="0.35">
      <c r="B2934" s="8" t="s">
        <v>3</v>
      </c>
      <c r="C2934" s="8" t="s">
        <v>22</v>
      </c>
      <c r="D2934" s="8" t="s">
        <v>5</v>
      </c>
      <c r="E2934" s="8" t="s">
        <v>0</v>
      </c>
      <c r="F2934" s="6" t="s">
        <v>42</v>
      </c>
      <c r="G2934" s="8">
        <v>2015</v>
      </c>
      <c r="H2934" s="8">
        <v>4</v>
      </c>
      <c r="I2934" s="10">
        <v>42095</v>
      </c>
      <c r="J2934" s="11">
        <v>4503</v>
      </c>
      <c r="K2934" s="51"/>
      <c r="O2934" s="1" t="s">
        <v>3</v>
      </c>
      <c r="P2934" s="1" t="s">
        <v>22</v>
      </c>
      <c r="Q2934" s="1" t="s">
        <v>5</v>
      </c>
      <c r="R2934" s="1" t="s">
        <v>0</v>
      </c>
      <c r="S2934" t="s">
        <v>42</v>
      </c>
      <c r="T2934" s="1">
        <v>2015</v>
      </c>
      <c r="U2934" s="1">
        <v>4</v>
      </c>
      <c r="V2934" s="50">
        <v>42095</v>
      </c>
      <c r="W2934" s="4">
        <v>3827.55</v>
      </c>
      <c r="X2934" s="48">
        <v>4503</v>
      </c>
    </row>
    <row r="2935" spans="2:24" x14ac:dyDescent="0.35">
      <c r="B2935" s="8" t="s">
        <v>6</v>
      </c>
      <c r="C2935" s="8" t="s">
        <v>29</v>
      </c>
      <c r="D2935" s="8" t="s">
        <v>30</v>
      </c>
      <c r="E2935" s="8" t="s">
        <v>0</v>
      </c>
      <c r="F2935" s="8" t="s">
        <v>26</v>
      </c>
      <c r="G2935" s="8">
        <v>2015</v>
      </c>
      <c r="H2935" s="8">
        <v>4</v>
      </c>
      <c r="I2935" s="10">
        <v>42095</v>
      </c>
      <c r="J2935" s="11">
        <v>4895</v>
      </c>
      <c r="K2935" s="51"/>
      <c r="O2935" s="1" t="s">
        <v>6</v>
      </c>
      <c r="P2935" s="1" t="s">
        <v>29</v>
      </c>
      <c r="Q2935" s="1" t="s">
        <v>30</v>
      </c>
      <c r="R2935" s="1" t="s">
        <v>0</v>
      </c>
      <c r="S2935" s="1" t="s">
        <v>26</v>
      </c>
      <c r="T2935" s="1">
        <v>2015</v>
      </c>
      <c r="U2935" s="1">
        <v>4</v>
      </c>
      <c r="V2935" s="50">
        <v>42095</v>
      </c>
      <c r="W2935" s="4">
        <v>4454.45</v>
      </c>
      <c r="X2935" s="48">
        <v>4895</v>
      </c>
    </row>
    <row r="2936" spans="2:24" x14ac:dyDescent="0.35">
      <c r="B2936" s="8" t="s">
        <v>7</v>
      </c>
      <c r="C2936" s="8" t="s">
        <v>48</v>
      </c>
      <c r="D2936" s="8" t="s">
        <v>9</v>
      </c>
      <c r="E2936" s="8" t="s">
        <v>27</v>
      </c>
      <c r="F2936" s="8" t="s">
        <v>28</v>
      </c>
      <c r="G2936" s="8">
        <v>2015</v>
      </c>
      <c r="H2936" s="8">
        <v>4</v>
      </c>
      <c r="I2936" s="10">
        <v>42095</v>
      </c>
      <c r="J2936" s="11">
        <v>4839</v>
      </c>
      <c r="K2936" s="51"/>
      <c r="O2936" s="1" t="s">
        <v>7</v>
      </c>
      <c r="P2936" s="1" t="s">
        <v>48</v>
      </c>
      <c r="Q2936" s="1" t="s">
        <v>9</v>
      </c>
      <c r="R2936" s="1" t="s">
        <v>27</v>
      </c>
      <c r="S2936" s="1" t="s">
        <v>28</v>
      </c>
      <c r="T2936" s="1">
        <v>2015</v>
      </c>
      <c r="U2936" s="1">
        <v>4</v>
      </c>
      <c r="V2936" s="50">
        <v>42095</v>
      </c>
      <c r="W2936" s="4">
        <v>4403.49</v>
      </c>
      <c r="X2936" s="48">
        <v>4839</v>
      </c>
    </row>
    <row r="2937" spans="2:24" x14ac:dyDescent="0.35">
      <c r="B2937" s="8" t="s">
        <v>7</v>
      </c>
      <c r="C2937" s="8" t="s">
        <v>48</v>
      </c>
      <c r="D2937" s="8" t="s">
        <v>9</v>
      </c>
      <c r="E2937" s="8" t="s">
        <v>27</v>
      </c>
      <c r="F2937" s="8" t="s">
        <v>31</v>
      </c>
      <c r="G2937" s="8">
        <v>2015</v>
      </c>
      <c r="H2937" s="8">
        <v>4</v>
      </c>
      <c r="I2937" s="10">
        <v>42095</v>
      </c>
      <c r="J2937" s="11">
        <v>3547</v>
      </c>
      <c r="K2937" s="51"/>
      <c r="O2937" s="1" t="s">
        <v>7</v>
      </c>
      <c r="P2937" s="1" t="s">
        <v>48</v>
      </c>
      <c r="Q2937" s="1" t="s">
        <v>9</v>
      </c>
      <c r="R2937" s="1" t="s">
        <v>27</v>
      </c>
      <c r="S2937" s="1" t="s">
        <v>31</v>
      </c>
      <c r="T2937" s="1">
        <v>2015</v>
      </c>
      <c r="U2937" s="1">
        <v>4</v>
      </c>
      <c r="V2937" s="50">
        <v>42095</v>
      </c>
      <c r="W2937" s="4">
        <v>3192.2999999999997</v>
      </c>
      <c r="X2937" s="48">
        <v>3547</v>
      </c>
    </row>
    <row r="2938" spans="2:24" x14ac:dyDescent="0.35">
      <c r="B2938" s="8" t="s">
        <v>7</v>
      </c>
      <c r="C2938" s="8" t="s">
        <v>49</v>
      </c>
      <c r="D2938" s="8" t="s">
        <v>11</v>
      </c>
      <c r="E2938" s="8" t="s">
        <v>27</v>
      </c>
      <c r="F2938" s="6" t="s">
        <v>33</v>
      </c>
      <c r="G2938" s="8">
        <v>2015</v>
      </c>
      <c r="H2938" s="8">
        <v>4</v>
      </c>
      <c r="I2938" s="10">
        <v>42095</v>
      </c>
      <c r="J2938" s="11">
        <v>3658</v>
      </c>
      <c r="K2938" s="51"/>
      <c r="O2938" s="1" t="s">
        <v>7</v>
      </c>
      <c r="P2938" s="1" t="s">
        <v>49</v>
      </c>
      <c r="Q2938" s="1" t="s">
        <v>11</v>
      </c>
      <c r="R2938" s="1" t="s">
        <v>27</v>
      </c>
      <c r="S2938" t="s">
        <v>33</v>
      </c>
      <c r="T2938" s="1">
        <v>2015</v>
      </c>
      <c r="U2938" s="1">
        <v>4</v>
      </c>
      <c r="V2938" s="50">
        <v>42095</v>
      </c>
      <c r="W2938" s="4">
        <v>3365.3599999999997</v>
      </c>
      <c r="X2938" s="48">
        <v>3658</v>
      </c>
    </row>
    <row r="2939" spans="2:24" x14ac:dyDescent="0.35">
      <c r="B2939" s="8" t="s">
        <v>7</v>
      </c>
      <c r="C2939" s="8" t="s">
        <v>49</v>
      </c>
      <c r="D2939" s="8" t="s">
        <v>11</v>
      </c>
      <c r="E2939" s="8" t="s">
        <v>23</v>
      </c>
      <c r="F2939" s="6" t="s">
        <v>36</v>
      </c>
      <c r="G2939" s="8">
        <v>2015</v>
      </c>
      <c r="H2939" s="8">
        <v>4</v>
      </c>
      <c r="I2939" s="10">
        <v>42095</v>
      </c>
      <c r="J2939" s="11">
        <v>1770</v>
      </c>
      <c r="K2939" s="51"/>
      <c r="O2939" s="1" t="s">
        <v>7</v>
      </c>
      <c r="P2939" s="1" t="s">
        <v>49</v>
      </c>
      <c r="Q2939" s="1" t="s">
        <v>11</v>
      </c>
      <c r="R2939" s="1" t="s">
        <v>23</v>
      </c>
      <c r="S2939" t="s">
        <v>36</v>
      </c>
      <c r="T2939" s="1">
        <v>2015</v>
      </c>
      <c r="U2939" s="1">
        <v>4</v>
      </c>
      <c r="V2939" s="50">
        <v>42095</v>
      </c>
      <c r="W2939" s="4">
        <v>1646.1</v>
      </c>
      <c r="X2939" s="48">
        <v>1770</v>
      </c>
    </row>
    <row r="2940" spans="2:24" x14ac:dyDescent="0.35">
      <c r="B2940" s="8" t="s">
        <v>7</v>
      </c>
      <c r="C2940" s="8" t="s">
        <v>43</v>
      </c>
      <c r="D2940" s="8" t="s">
        <v>10</v>
      </c>
      <c r="E2940" s="8" t="s">
        <v>23</v>
      </c>
      <c r="F2940" s="6" t="s">
        <v>36</v>
      </c>
      <c r="G2940" s="8">
        <v>2015</v>
      </c>
      <c r="H2940" s="8">
        <v>4</v>
      </c>
      <c r="I2940" s="10">
        <v>42095</v>
      </c>
      <c r="J2940" s="11">
        <v>2355</v>
      </c>
      <c r="K2940" s="51"/>
      <c r="O2940" s="1" t="s">
        <v>7</v>
      </c>
      <c r="P2940" s="1" t="s">
        <v>43</v>
      </c>
      <c r="Q2940" s="1" t="s">
        <v>10</v>
      </c>
      <c r="R2940" s="1" t="s">
        <v>23</v>
      </c>
      <c r="S2940" t="s">
        <v>36</v>
      </c>
      <c r="T2940" s="1">
        <v>2015</v>
      </c>
      <c r="U2940" s="1">
        <v>4</v>
      </c>
      <c r="V2940" s="50">
        <v>42095</v>
      </c>
      <c r="W2940" s="4">
        <v>2001.7500000000002</v>
      </c>
      <c r="X2940" s="48">
        <v>2355</v>
      </c>
    </row>
    <row r="2941" spans="2:24" x14ac:dyDescent="0.35">
      <c r="B2941" s="8" t="s">
        <v>6</v>
      </c>
      <c r="C2941" s="8" t="s">
        <v>40</v>
      </c>
      <c r="D2941" s="8" t="s">
        <v>41</v>
      </c>
      <c r="E2941" s="9" t="s">
        <v>0</v>
      </c>
      <c r="F2941" s="9" t="s">
        <v>45</v>
      </c>
      <c r="G2941" s="8">
        <v>2015</v>
      </c>
      <c r="H2941" s="8">
        <v>4</v>
      </c>
      <c r="I2941" s="10">
        <v>42095</v>
      </c>
      <c r="J2941" s="11">
        <v>2793</v>
      </c>
      <c r="K2941" s="51"/>
      <c r="O2941" s="1" t="s">
        <v>6</v>
      </c>
      <c r="P2941" s="1" t="s">
        <v>40</v>
      </c>
      <c r="Q2941" s="1" t="s">
        <v>41</v>
      </c>
      <c r="R2941" s="2" t="s">
        <v>0</v>
      </c>
      <c r="S2941" s="2" t="s">
        <v>45</v>
      </c>
      <c r="T2941" s="1">
        <v>2015</v>
      </c>
      <c r="U2941" s="1">
        <v>4</v>
      </c>
      <c r="V2941" s="50">
        <v>42095</v>
      </c>
      <c r="W2941" s="4">
        <v>2541.6299999999997</v>
      </c>
      <c r="X2941" s="48">
        <v>2793</v>
      </c>
    </row>
    <row r="2942" spans="2:24" x14ac:dyDescent="0.35">
      <c r="B2942" s="8" t="s">
        <v>7</v>
      </c>
      <c r="C2942" s="8" t="s">
        <v>32</v>
      </c>
      <c r="D2942" s="8" t="s">
        <v>8</v>
      </c>
      <c r="E2942" s="8" t="s">
        <v>27</v>
      </c>
      <c r="F2942" s="9" t="s">
        <v>28</v>
      </c>
      <c r="G2942" s="8">
        <v>2015</v>
      </c>
      <c r="H2942" s="8">
        <v>4</v>
      </c>
      <c r="I2942" s="10">
        <v>42095</v>
      </c>
      <c r="J2942" s="11">
        <v>4738</v>
      </c>
      <c r="K2942" s="51"/>
      <c r="O2942" s="1" t="s">
        <v>7</v>
      </c>
      <c r="P2942" s="1" t="s">
        <v>32</v>
      </c>
      <c r="Q2942" s="1" t="s">
        <v>8</v>
      </c>
      <c r="R2942" s="1" t="s">
        <v>27</v>
      </c>
      <c r="S2942" s="2" t="s">
        <v>28</v>
      </c>
      <c r="T2942" s="1">
        <v>2015</v>
      </c>
      <c r="U2942" s="1">
        <v>4</v>
      </c>
      <c r="V2942" s="50">
        <v>42095</v>
      </c>
      <c r="W2942" s="4">
        <v>4264.2</v>
      </c>
      <c r="X2942" s="48">
        <v>4738</v>
      </c>
    </row>
    <row r="2943" spans="2:24" x14ac:dyDescent="0.35">
      <c r="B2943" s="8" t="s">
        <v>7</v>
      </c>
      <c r="C2943" s="8" t="s">
        <v>32</v>
      </c>
      <c r="D2943" s="8" t="s">
        <v>8</v>
      </c>
      <c r="E2943" s="8" t="s">
        <v>27</v>
      </c>
      <c r="F2943" s="6" t="s">
        <v>31</v>
      </c>
      <c r="G2943" s="8">
        <v>2015</v>
      </c>
      <c r="H2943" s="8">
        <v>4</v>
      </c>
      <c r="I2943" s="10">
        <v>42095</v>
      </c>
      <c r="J2943" s="11">
        <v>4752</v>
      </c>
      <c r="K2943" s="51"/>
      <c r="O2943" s="1" t="s">
        <v>7</v>
      </c>
      <c r="P2943" s="1" t="s">
        <v>32</v>
      </c>
      <c r="Q2943" s="1" t="s">
        <v>8</v>
      </c>
      <c r="R2943" s="1" t="s">
        <v>27</v>
      </c>
      <c r="S2943" t="s">
        <v>31</v>
      </c>
      <c r="T2943" s="1">
        <v>2015</v>
      </c>
      <c r="U2943" s="1">
        <v>4</v>
      </c>
      <c r="V2943" s="50">
        <v>42095</v>
      </c>
      <c r="W2943" s="4">
        <v>4276.7999999999993</v>
      </c>
      <c r="X2943" s="48">
        <v>4752</v>
      </c>
    </row>
    <row r="2944" spans="2:24" x14ac:dyDescent="0.35">
      <c r="B2944" s="8" t="s">
        <v>6</v>
      </c>
      <c r="C2944" s="8" t="s">
        <v>29</v>
      </c>
      <c r="D2944" s="8" t="s">
        <v>30</v>
      </c>
      <c r="E2944" s="8" t="s">
        <v>23</v>
      </c>
      <c r="F2944" s="8" t="s">
        <v>24</v>
      </c>
      <c r="G2944" s="8">
        <v>2015</v>
      </c>
      <c r="H2944" s="8">
        <v>4</v>
      </c>
      <c r="I2944" s="10">
        <v>42095</v>
      </c>
      <c r="J2944" s="11">
        <v>1675</v>
      </c>
      <c r="K2944" s="51"/>
      <c r="O2944" s="1" t="s">
        <v>6</v>
      </c>
      <c r="P2944" s="1" t="s">
        <v>29</v>
      </c>
      <c r="Q2944" s="1" t="s">
        <v>30</v>
      </c>
      <c r="R2944" s="1" t="s">
        <v>23</v>
      </c>
      <c r="S2944" s="1" t="s">
        <v>24</v>
      </c>
      <c r="T2944" s="1">
        <v>2015</v>
      </c>
      <c r="U2944" s="1">
        <v>4</v>
      </c>
      <c r="V2944" s="50">
        <v>42095</v>
      </c>
      <c r="W2944" s="4">
        <v>1490.7499999999998</v>
      </c>
      <c r="X2944" s="48">
        <v>1675</v>
      </c>
    </row>
    <row r="2945" spans="2:24" x14ac:dyDescent="0.35">
      <c r="B2945" s="8" t="s">
        <v>7</v>
      </c>
      <c r="C2945" s="8" t="s">
        <v>48</v>
      </c>
      <c r="D2945" s="8" t="s">
        <v>9</v>
      </c>
      <c r="E2945" s="8" t="s">
        <v>0</v>
      </c>
      <c r="F2945" s="8" t="s">
        <v>42</v>
      </c>
      <c r="G2945" s="8">
        <v>2015</v>
      </c>
      <c r="H2945" s="8">
        <v>4</v>
      </c>
      <c r="I2945" s="10">
        <v>42095</v>
      </c>
      <c r="J2945" s="11">
        <v>6780</v>
      </c>
      <c r="K2945" s="51"/>
      <c r="O2945" s="1" t="s">
        <v>7</v>
      </c>
      <c r="P2945" s="1" t="s">
        <v>48</v>
      </c>
      <c r="Q2945" s="1" t="s">
        <v>9</v>
      </c>
      <c r="R2945" s="1" t="s">
        <v>0</v>
      </c>
      <c r="S2945" s="1" t="s">
        <v>42</v>
      </c>
      <c r="T2945" s="1">
        <v>2015</v>
      </c>
      <c r="U2945" s="1">
        <v>4</v>
      </c>
      <c r="V2945" s="50">
        <v>42095</v>
      </c>
      <c r="W2945" s="4">
        <v>6305.4</v>
      </c>
      <c r="X2945" s="48">
        <v>6780</v>
      </c>
    </row>
    <row r="2946" spans="2:24" x14ac:dyDescent="0.35">
      <c r="B2946" s="8" t="s">
        <v>7</v>
      </c>
      <c r="C2946" s="8" t="s">
        <v>48</v>
      </c>
      <c r="D2946" s="8" t="s">
        <v>9</v>
      </c>
      <c r="E2946" s="8" t="s">
        <v>0</v>
      </c>
      <c r="F2946" s="8" t="s">
        <v>26</v>
      </c>
      <c r="G2946" s="8">
        <v>2015</v>
      </c>
      <c r="H2946" s="8">
        <v>4</v>
      </c>
      <c r="I2946" s="10">
        <v>42095</v>
      </c>
      <c r="J2946" s="11">
        <v>3715</v>
      </c>
      <c r="K2946" s="51"/>
      <c r="O2946" s="1" t="s">
        <v>7</v>
      </c>
      <c r="P2946" s="1" t="s">
        <v>48</v>
      </c>
      <c r="Q2946" s="1" t="s">
        <v>9</v>
      </c>
      <c r="R2946" s="1" t="s">
        <v>0</v>
      </c>
      <c r="S2946" s="1" t="s">
        <v>26</v>
      </c>
      <c r="T2946" s="1">
        <v>2015</v>
      </c>
      <c r="U2946" s="1">
        <v>4</v>
      </c>
      <c r="V2946" s="50">
        <v>42095</v>
      </c>
      <c r="W2946" s="4">
        <v>3269.2</v>
      </c>
      <c r="X2946" s="48">
        <v>3715</v>
      </c>
    </row>
    <row r="2947" spans="2:24" x14ac:dyDescent="0.35">
      <c r="B2947" s="8" t="s">
        <v>7</v>
      </c>
      <c r="C2947" s="8" t="s">
        <v>49</v>
      </c>
      <c r="D2947" s="8" t="s">
        <v>11</v>
      </c>
      <c r="E2947" s="8" t="s">
        <v>0</v>
      </c>
      <c r="F2947" s="6" t="s">
        <v>45</v>
      </c>
      <c r="G2947" s="8">
        <v>2015</v>
      </c>
      <c r="H2947" s="8">
        <v>4</v>
      </c>
      <c r="I2947" s="10">
        <v>42095</v>
      </c>
      <c r="J2947" s="11">
        <v>2300</v>
      </c>
      <c r="K2947" s="51"/>
      <c r="O2947" s="1" t="s">
        <v>7</v>
      </c>
      <c r="P2947" s="1" t="s">
        <v>49</v>
      </c>
      <c r="Q2947" s="1" t="s">
        <v>11</v>
      </c>
      <c r="R2947" s="1" t="s">
        <v>0</v>
      </c>
      <c r="S2947" t="s">
        <v>45</v>
      </c>
      <c r="T2947" s="1">
        <v>2015</v>
      </c>
      <c r="U2947" s="1">
        <v>4</v>
      </c>
      <c r="V2947" s="50">
        <v>42095</v>
      </c>
      <c r="W2947" s="4">
        <v>2162</v>
      </c>
      <c r="X2947" s="48">
        <v>2300</v>
      </c>
    </row>
    <row r="2948" spans="2:24" x14ac:dyDescent="0.35">
      <c r="B2948" s="8" t="s">
        <v>7</v>
      </c>
      <c r="C2948" s="8" t="s">
        <v>49</v>
      </c>
      <c r="D2948" s="8" t="s">
        <v>11</v>
      </c>
      <c r="E2948" s="8" t="s">
        <v>27</v>
      </c>
      <c r="F2948" s="6" t="s">
        <v>28</v>
      </c>
      <c r="G2948" s="8">
        <v>2015</v>
      </c>
      <c r="H2948" s="8">
        <v>4</v>
      </c>
      <c r="I2948" s="10">
        <v>42095</v>
      </c>
      <c r="J2948" s="11">
        <v>4256</v>
      </c>
      <c r="K2948" s="51"/>
      <c r="O2948" s="1" t="s">
        <v>7</v>
      </c>
      <c r="P2948" s="1" t="s">
        <v>49</v>
      </c>
      <c r="Q2948" s="1" t="s">
        <v>11</v>
      </c>
      <c r="R2948" s="1" t="s">
        <v>27</v>
      </c>
      <c r="S2948" t="s">
        <v>28</v>
      </c>
      <c r="T2948" s="1">
        <v>2015</v>
      </c>
      <c r="U2948" s="1">
        <v>4</v>
      </c>
      <c r="V2948" s="50">
        <v>42095</v>
      </c>
      <c r="W2948" s="4">
        <v>3872.9599999999996</v>
      </c>
      <c r="X2948" s="48">
        <v>4256</v>
      </c>
    </row>
    <row r="2949" spans="2:24" x14ac:dyDescent="0.35">
      <c r="B2949" s="8" t="s">
        <v>12</v>
      </c>
      <c r="C2949" s="8" t="s">
        <v>34</v>
      </c>
      <c r="D2949" s="8" t="s">
        <v>35</v>
      </c>
      <c r="E2949" s="8" t="s">
        <v>27</v>
      </c>
      <c r="F2949" s="6" t="s">
        <v>31</v>
      </c>
      <c r="G2949" s="8">
        <v>2015</v>
      </c>
      <c r="H2949" s="8">
        <v>4</v>
      </c>
      <c r="I2949" s="10">
        <v>42095</v>
      </c>
      <c r="J2949" s="11">
        <v>3640</v>
      </c>
      <c r="K2949" s="51"/>
      <c r="O2949" s="1" t="s">
        <v>12</v>
      </c>
      <c r="P2949" s="1" t="s">
        <v>34</v>
      </c>
      <c r="Q2949" s="1" t="s">
        <v>35</v>
      </c>
      <c r="R2949" s="1" t="s">
        <v>27</v>
      </c>
      <c r="S2949" t="s">
        <v>31</v>
      </c>
      <c r="T2949" s="1">
        <v>2015</v>
      </c>
      <c r="U2949" s="1">
        <v>4</v>
      </c>
      <c r="V2949" s="50">
        <v>42095</v>
      </c>
      <c r="W2949" s="4">
        <v>3312.3999999999996</v>
      </c>
      <c r="X2949" s="48">
        <v>3640</v>
      </c>
    </row>
    <row r="2950" spans="2:24" x14ac:dyDescent="0.35">
      <c r="B2950" s="8" t="s">
        <v>12</v>
      </c>
      <c r="C2950" s="8" t="s">
        <v>34</v>
      </c>
      <c r="D2950" s="8" t="s">
        <v>35</v>
      </c>
      <c r="E2950" s="9" t="s">
        <v>27</v>
      </c>
      <c r="F2950" s="9" t="s">
        <v>33</v>
      </c>
      <c r="G2950" s="8">
        <v>2015</v>
      </c>
      <c r="H2950" s="8">
        <v>4</v>
      </c>
      <c r="I2950" s="10">
        <v>42095</v>
      </c>
      <c r="J2950" s="11">
        <v>3169</v>
      </c>
      <c r="K2950" s="51"/>
      <c r="O2950" s="1" t="s">
        <v>12</v>
      </c>
      <c r="P2950" s="1" t="s">
        <v>34</v>
      </c>
      <c r="Q2950" s="1" t="s">
        <v>35</v>
      </c>
      <c r="R2950" s="2" t="s">
        <v>27</v>
      </c>
      <c r="S2950" s="2" t="s">
        <v>33</v>
      </c>
      <c r="T2950" s="1">
        <v>2015</v>
      </c>
      <c r="U2950" s="1">
        <v>4</v>
      </c>
      <c r="V2950" s="50">
        <v>42095</v>
      </c>
      <c r="W2950" s="4">
        <v>2978.8599999999997</v>
      </c>
      <c r="X2950" s="48">
        <v>3169</v>
      </c>
    </row>
    <row r="2951" spans="2:24" x14ac:dyDescent="0.35">
      <c r="B2951" s="8" t="s">
        <v>14</v>
      </c>
      <c r="C2951" s="8" t="s">
        <v>37</v>
      </c>
      <c r="D2951" s="8" t="s">
        <v>38</v>
      </c>
      <c r="E2951" s="8" t="s">
        <v>23</v>
      </c>
      <c r="F2951" s="9" t="s">
        <v>36</v>
      </c>
      <c r="G2951" s="8">
        <v>2015</v>
      </c>
      <c r="H2951" s="8">
        <v>4</v>
      </c>
      <c r="I2951" s="10">
        <v>42095</v>
      </c>
      <c r="J2951" s="11">
        <v>1763</v>
      </c>
      <c r="K2951" s="51"/>
      <c r="O2951" s="1" t="s">
        <v>14</v>
      </c>
      <c r="P2951" s="1" t="s">
        <v>37</v>
      </c>
      <c r="Q2951" s="1" t="s">
        <v>38</v>
      </c>
      <c r="R2951" s="1" t="s">
        <v>23</v>
      </c>
      <c r="S2951" s="2" t="s">
        <v>36</v>
      </c>
      <c r="T2951" s="1">
        <v>2015</v>
      </c>
      <c r="U2951" s="1">
        <v>4</v>
      </c>
      <c r="V2951" s="50">
        <v>42095</v>
      </c>
      <c r="W2951" s="4">
        <v>1604.33</v>
      </c>
      <c r="X2951" s="48">
        <v>1763</v>
      </c>
    </row>
    <row r="2952" spans="2:24" x14ac:dyDescent="0.35">
      <c r="B2952" s="8" t="s">
        <v>12</v>
      </c>
      <c r="C2952" s="8" t="s">
        <v>44</v>
      </c>
      <c r="D2952" s="8" t="s">
        <v>13</v>
      </c>
      <c r="E2952" s="8" t="s">
        <v>23</v>
      </c>
      <c r="F2952" s="6" t="s">
        <v>39</v>
      </c>
      <c r="G2952" s="8">
        <v>2015</v>
      </c>
      <c r="H2952" s="8">
        <v>4</v>
      </c>
      <c r="I2952" s="10">
        <v>42095</v>
      </c>
      <c r="J2952" s="11">
        <v>2024</v>
      </c>
      <c r="K2952" s="51"/>
      <c r="O2952" s="1" t="s">
        <v>12</v>
      </c>
      <c r="P2952" s="1" t="s">
        <v>44</v>
      </c>
      <c r="Q2952" s="1" t="s">
        <v>13</v>
      </c>
      <c r="R2952" s="1" t="s">
        <v>23</v>
      </c>
      <c r="S2952" t="s">
        <v>39</v>
      </c>
      <c r="T2952" s="1">
        <v>2015</v>
      </c>
      <c r="U2952" s="1">
        <v>4</v>
      </c>
      <c r="V2952" s="50">
        <v>42095</v>
      </c>
      <c r="W2952" s="4">
        <v>1781.12</v>
      </c>
      <c r="X2952" s="48">
        <v>2024</v>
      </c>
    </row>
    <row r="2953" spans="2:24" x14ac:dyDescent="0.35">
      <c r="B2953" s="8" t="s">
        <v>12</v>
      </c>
      <c r="C2953" s="8" t="s">
        <v>44</v>
      </c>
      <c r="D2953" s="8" t="s">
        <v>13</v>
      </c>
      <c r="E2953" s="8" t="s">
        <v>0</v>
      </c>
      <c r="F2953" s="8" t="s">
        <v>42</v>
      </c>
      <c r="G2953" s="8">
        <v>2015</v>
      </c>
      <c r="H2953" s="8">
        <v>4</v>
      </c>
      <c r="I2953" s="10">
        <v>42095</v>
      </c>
      <c r="J2953" s="11">
        <v>6318</v>
      </c>
      <c r="K2953" s="51"/>
      <c r="O2953" s="1" t="s">
        <v>12</v>
      </c>
      <c r="P2953" s="1" t="s">
        <v>44</v>
      </c>
      <c r="Q2953" s="1" t="s">
        <v>13</v>
      </c>
      <c r="R2953" s="1" t="s">
        <v>0</v>
      </c>
      <c r="S2953" s="1" t="s">
        <v>42</v>
      </c>
      <c r="T2953" s="1">
        <v>2015</v>
      </c>
      <c r="U2953" s="1">
        <v>4</v>
      </c>
      <c r="V2953" s="50">
        <v>42095</v>
      </c>
      <c r="W2953" s="4">
        <v>5623.0199999999995</v>
      </c>
      <c r="X2953" s="48">
        <v>6318</v>
      </c>
    </row>
    <row r="2954" spans="2:24" x14ac:dyDescent="0.35">
      <c r="B2954" s="8" t="s">
        <v>14</v>
      </c>
      <c r="C2954" s="8" t="s">
        <v>46</v>
      </c>
      <c r="D2954" s="8" t="s">
        <v>47</v>
      </c>
      <c r="E2954" s="8" t="s">
        <v>0</v>
      </c>
      <c r="F2954" s="8" t="s">
        <v>26</v>
      </c>
      <c r="G2954" s="8">
        <v>2015</v>
      </c>
      <c r="H2954" s="8">
        <v>4</v>
      </c>
      <c r="I2954" s="10">
        <v>42095</v>
      </c>
      <c r="J2954" s="11">
        <v>5354</v>
      </c>
      <c r="K2954" s="51"/>
      <c r="O2954" s="1" t="s">
        <v>14</v>
      </c>
      <c r="P2954" s="1" t="s">
        <v>46</v>
      </c>
      <c r="Q2954" s="1" t="s">
        <v>47</v>
      </c>
      <c r="R2954" s="1" t="s">
        <v>0</v>
      </c>
      <c r="S2954" s="1" t="s">
        <v>26</v>
      </c>
      <c r="T2954" s="1">
        <v>2015</v>
      </c>
      <c r="U2954" s="1">
        <v>4</v>
      </c>
      <c r="V2954" s="50">
        <v>42095</v>
      </c>
      <c r="W2954" s="4">
        <v>4925.6799999999994</v>
      </c>
      <c r="X2954" s="48">
        <v>5354</v>
      </c>
    </row>
    <row r="2955" spans="2:24" x14ac:dyDescent="0.35">
      <c r="B2955" s="8" t="s">
        <v>14</v>
      </c>
      <c r="C2955" s="8" t="s">
        <v>46</v>
      </c>
      <c r="D2955" s="8" t="s">
        <v>47</v>
      </c>
      <c r="E2955" s="8" t="s">
        <v>0</v>
      </c>
      <c r="F2955" s="8" t="s">
        <v>45</v>
      </c>
      <c r="G2955" s="8">
        <v>2015</v>
      </c>
      <c r="H2955" s="8">
        <v>4</v>
      </c>
      <c r="I2955" s="10">
        <v>42095</v>
      </c>
      <c r="J2955" s="11">
        <v>3357</v>
      </c>
      <c r="K2955" s="51"/>
      <c r="O2955" s="1" t="s">
        <v>14</v>
      </c>
      <c r="P2955" s="1" t="s">
        <v>46</v>
      </c>
      <c r="Q2955" s="1" t="s">
        <v>47</v>
      </c>
      <c r="R2955" s="1" t="s">
        <v>0</v>
      </c>
      <c r="S2955" s="1" t="s">
        <v>45</v>
      </c>
      <c r="T2955" s="1">
        <v>2015</v>
      </c>
      <c r="U2955" s="1">
        <v>4</v>
      </c>
      <c r="V2955" s="50">
        <v>42095</v>
      </c>
      <c r="W2955" s="4">
        <v>2920.59</v>
      </c>
      <c r="X2955" s="48">
        <v>3357</v>
      </c>
    </row>
    <row r="2956" spans="2:24" x14ac:dyDescent="0.35">
      <c r="B2956" s="8" t="s">
        <v>3</v>
      </c>
      <c r="C2956" s="8" t="s">
        <v>25</v>
      </c>
      <c r="D2956" s="8" t="s">
        <v>4</v>
      </c>
      <c r="E2956" s="8" t="s">
        <v>27</v>
      </c>
      <c r="F2956" s="6" t="s">
        <v>33</v>
      </c>
      <c r="G2956" s="8">
        <v>2015</v>
      </c>
      <c r="H2956" s="8">
        <v>4</v>
      </c>
      <c r="I2956" s="10">
        <v>42095</v>
      </c>
      <c r="J2956" s="11">
        <v>2903</v>
      </c>
      <c r="K2956" s="51"/>
      <c r="O2956" s="1" t="s">
        <v>3</v>
      </c>
      <c r="P2956" s="1" t="s">
        <v>25</v>
      </c>
      <c r="Q2956" s="1" t="s">
        <v>4</v>
      </c>
      <c r="R2956" s="1" t="s">
        <v>27</v>
      </c>
      <c r="S2956" t="s">
        <v>33</v>
      </c>
      <c r="T2956" s="1">
        <v>2015</v>
      </c>
      <c r="U2956" s="1">
        <v>4</v>
      </c>
      <c r="V2956" s="50">
        <v>42095</v>
      </c>
      <c r="W2956" s="4">
        <v>2670.7599999999998</v>
      </c>
      <c r="X2956" s="48">
        <v>2903</v>
      </c>
    </row>
    <row r="2957" spans="2:24" x14ac:dyDescent="0.35">
      <c r="B2957" s="8" t="s">
        <v>3</v>
      </c>
      <c r="C2957" s="8" t="s">
        <v>25</v>
      </c>
      <c r="D2957" s="8" t="s">
        <v>4</v>
      </c>
      <c r="E2957" s="8" t="s">
        <v>23</v>
      </c>
      <c r="F2957" s="6" t="s">
        <v>36</v>
      </c>
      <c r="G2957" s="8">
        <v>2015</v>
      </c>
      <c r="H2957" s="8">
        <v>4</v>
      </c>
      <c r="I2957" s="10">
        <v>42095</v>
      </c>
      <c r="J2957" s="11">
        <v>2210</v>
      </c>
      <c r="K2957" s="51"/>
      <c r="O2957" s="1" t="s">
        <v>3</v>
      </c>
      <c r="P2957" s="1" t="s">
        <v>25</v>
      </c>
      <c r="Q2957" s="1" t="s">
        <v>4</v>
      </c>
      <c r="R2957" s="1" t="s">
        <v>23</v>
      </c>
      <c r="S2957" t="s">
        <v>36</v>
      </c>
      <c r="T2957" s="1">
        <v>2015</v>
      </c>
      <c r="U2957" s="1">
        <v>4</v>
      </c>
      <c r="V2957" s="50">
        <v>42095</v>
      </c>
      <c r="W2957" s="4">
        <v>1900.6000000000001</v>
      </c>
      <c r="X2957" s="48">
        <v>2210</v>
      </c>
    </row>
    <row r="2958" spans="2:24" x14ac:dyDescent="0.35">
      <c r="B2958" s="8" t="s">
        <v>6</v>
      </c>
      <c r="C2958" s="8" t="s">
        <v>40</v>
      </c>
      <c r="D2958" s="8" t="s">
        <v>41</v>
      </c>
      <c r="E2958" s="8" t="s">
        <v>23</v>
      </c>
      <c r="F2958" s="6" t="s">
        <v>39</v>
      </c>
      <c r="G2958" s="8">
        <v>2015</v>
      </c>
      <c r="H2958" s="8">
        <v>4</v>
      </c>
      <c r="I2958" s="10">
        <v>42095</v>
      </c>
      <c r="J2958" s="11">
        <v>2422</v>
      </c>
      <c r="K2958" s="51"/>
      <c r="O2958" s="1" t="s">
        <v>6</v>
      </c>
      <c r="P2958" s="1" t="s">
        <v>40</v>
      </c>
      <c r="Q2958" s="1" t="s">
        <v>41</v>
      </c>
      <c r="R2958" s="1" t="s">
        <v>23</v>
      </c>
      <c r="S2958" t="s">
        <v>39</v>
      </c>
      <c r="T2958" s="1">
        <v>2015</v>
      </c>
      <c r="U2958" s="1">
        <v>4</v>
      </c>
      <c r="V2958" s="50">
        <v>42095</v>
      </c>
      <c r="W2958" s="4">
        <v>2228.2399999999998</v>
      </c>
      <c r="X2958" s="48">
        <v>2422</v>
      </c>
    </row>
    <row r="2959" spans="2:24" x14ac:dyDescent="0.35">
      <c r="B2959" s="8" t="s">
        <v>7</v>
      </c>
      <c r="C2959" s="8" t="s">
        <v>48</v>
      </c>
      <c r="D2959" s="8" t="s">
        <v>9</v>
      </c>
      <c r="E2959" s="9" t="s">
        <v>0</v>
      </c>
      <c r="F2959" s="9" t="s">
        <v>45</v>
      </c>
      <c r="G2959" s="8">
        <v>2015</v>
      </c>
      <c r="H2959" s="8">
        <v>4</v>
      </c>
      <c r="I2959" s="10">
        <v>42095</v>
      </c>
      <c r="J2959" s="11">
        <v>3728</v>
      </c>
      <c r="K2959" s="51"/>
      <c r="O2959" s="1" t="s">
        <v>7</v>
      </c>
      <c r="P2959" s="1" t="s">
        <v>48</v>
      </c>
      <c r="Q2959" s="1" t="s">
        <v>9</v>
      </c>
      <c r="R2959" s="2" t="s">
        <v>0</v>
      </c>
      <c r="S2959" s="2" t="s">
        <v>45</v>
      </c>
      <c r="T2959" s="1">
        <v>2015</v>
      </c>
      <c r="U2959" s="1">
        <v>4</v>
      </c>
      <c r="V2959" s="50">
        <v>42095</v>
      </c>
      <c r="W2959" s="4">
        <v>3467.04</v>
      </c>
      <c r="X2959" s="48">
        <v>3728</v>
      </c>
    </row>
    <row r="2960" spans="2:24" x14ac:dyDescent="0.35">
      <c r="B2960" s="8" t="s">
        <v>7</v>
      </c>
      <c r="C2960" s="8" t="s">
        <v>49</v>
      </c>
      <c r="D2960" s="8" t="s">
        <v>11</v>
      </c>
      <c r="E2960" s="8" t="s">
        <v>27</v>
      </c>
      <c r="F2960" s="9" t="s">
        <v>31</v>
      </c>
      <c r="G2960" s="8">
        <v>2015</v>
      </c>
      <c r="H2960" s="8">
        <v>4</v>
      </c>
      <c r="I2960" s="10">
        <v>42095</v>
      </c>
      <c r="J2960" s="11">
        <v>5225</v>
      </c>
      <c r="K2960" s="51"/>
      <c r="O2960" s="1" t="s">
        <v>7</v>
      </c>
      <c r="P2960" s="1" t="s">
        <v>49</v>
      </c>
      <c r="Q2960" s="1" t="s">
        <v>11</v>
      </c>
      <c r="R2960" s="1" t="s">
        <v>27</v>
      </c>
      <c r="S2960" s="2" t="s">
        <v>31</v>
      </c>
      <c r="T2960" s="1">
        <v>2015</v>
      </c>
      <c r="U2960" s="1">
        <v>4</v>
      </c>
      <c r="V2960" s="50">
        <v>42095</v>
      </c>
      <c r="W2960" s="4">
        <v>4807</v>
      </c>
      <c r="X2960" s="48">
        <v>5225</v>
      </c>
    </row>
    <row r="2961" spans="2:24" x14ac:dyDescent="0.35">
      <c r="B2961" s="8" t="s">
        <v>7</v>
      </c>
      <c r="C2961" s="8" t="s">
        <v>43</v>
      </c>
      <c r="D2961" s="8" t="s">
        <v>10</v>
      </c>
      <c r="E2961" s="8" t="s">
        <v>27</v>
      </c>
      <c r="F2961" s="6" t="s">
        <v>33</v>
      </c>
      <c r="G2961" s="8">
        <v>2015</v>
      </c>
      <c r="H2961" s="8">
        <v>4</v>
      </c>
      <c r="I2961" s="10">
        <v>42095</v>
      </c>
      <c r="J2961" s="11">
        <v>3538</v>
      </c>
      <c r="K2961" s="51"/>
      <c r="O2961" s="1" t="s">
        <v>7</v>
      </c>
      <c r="P2961" s="1" t="s">
        <v>43</v>
      </c>
      <c r="Q2961" s="1" t="s">
        <v>10</v>
      </c>
      <c r="R2961" s="1" t="s">
        <v>27</v>
      </c>
      <c r="S2961" t="s">
        <v>33</v>
      </c>
      <c r="T2961" s="1">
        <v>2015</v>
      </c>
      <c r="U2961" s="1">
        <v>4</v>
      </c>
      <c r="V2961" s="50">
        <v>42095</v>
      </c>
      <c r="W2961" s="4">
        <v>3007.3</v>
      </c>
      <c r="X2961" s="48">
        <v>3538</v>
      </c>
    </row>
    <row r="2962" spans="2:24" x14ac:dyDescent="0.35">
      <c r="B2962" s="8" t="s">
        <v>7</v>
      </c>
      <c r="C2962" s="8" t="s">
        <v>32</v>
      </c>
      <c r="D2962" s="8" t="s">
        <v>8</v>
      </c>
      <c r="E2962" s="8" t="s">
        <v>0</v>
      </c>
      <c r="F2962" s="8" t="s">
        <v>45</v>
      </c>
      <c r="G2962" s="8">
        <v>2015</v>
      </c>
      <c r="H2962" s="8">
        <v>4</v>
      </c>
      <c r="I2962" s="10">
        <v>42095</v>
      </c>
      <c r="J2962" s="11">
        <v>3360</v>
      </c>
      <c r="K2962" s="51"/>
      <c r="O2962" s="1" t="s">
        <v>7</v>
      </c>
      <c r="P2962" s="1" t="s">
        <v>32</v>
      </c>
      <c r="Q2962" s="1" t="s">
        <v>8</v>
      </c>
      <c r="R2962" s="1" t="s">
        <v>0</v>
      </c>
      <c r="S2962" s="1" t="s">
        <v>45</v>
      </c>
      <c r="T2962" s="1">
        <v>2015</v>
      </c>
      <c r="U2962" s="1">
        <v>4</v>
      </c>
      <c r="V2962" s="50">
        <v>42095</v>
      </c>
      <c r="W2962" s="4">
        <v>2856.0000000000005</v>
      </c>
      <c r="X2962" s="48">
        <v>3360</v>
      </c>
    </row>
    <row r="2963" spans="2:24" x14ac:dyDescent="0.35">
      <c r="B2963" s="8" t="s">
        <v>7</v>
      </c>
      <c r="C2963" s="8" t="s">
        <v>48</v>
      </c>
      <c r="D2963" s="8" t="s">
        <v>9</v>
      </c>
      <c r="E2963" s="8" t="s">
        <v>23</v>
      </c>
      <c r="F2963" s="8" t="s">
        <v>39</v>
      </c>
      <c r="G2963" s="8">
        <v>2015</v>
      </c>
      <c r="H2963" s="8">
        <v>4</v>
      </c>
      <c r="I2963" s="10">
        <v>42095</v>
      </c>
      <c r="J2963" s="11">
        <v>2867</v>
      </c>
      <c r="K2963" s="51"/>
      <c r="O2963" s="1" t="s">
        <v>7</v>
      </c>
      <c r="P2963" s="1" t="s">
        <v>48</v>
      </c>
      <c r="Q2963" s="1" t="s">
        <v>9</v>
      </c>
      <c r="R2963" s="1" t="s">
        <v>23</v>
      </c>
      <c r="S2963" s="1" t="s">
        <v>39</v>
      </c>
      <c r="T2963" s="1">
        <v>2015</v>
      </c>
      <c r="U2963" s="1">
        <v>4</v>
      </c>
      <c r="V2963" s="50">
        <v>42095</v>
      </c>
      <c r="W2963" s="4">
        <v>2522.9599999999996</v>
      </c>
      <c r="X2963" s="48">
        <v>2867</v>
      </c>
    </row>
    <row r="2964" spans="2:24" x14ac:dyDescent="0.35">
      <c r="B2964" s="8" t="s">
        <v>7</v>
      </c>
      <c r="C2964" s="8" t="s">
        <v>49</v>
      </c>
      <c r="D2964" s="8" t="s">
        <v>11</v>
      </c>
      <c r="E2964" s="8" t="s">
        <v>0</v>
      </c>
      <c r="F2964" s="8" t="s">
        <v>26</v>
      </c>
      <c r="G2964" s="8">
        <v>2015</v>
      </c>
      <c r="H2964" s="8">
        <v>4</v>
      </c>
      <c r="I2964" s="10">
        <v>42095</v>
      </c>
      <c r="J2964" s="11">
        <v>4169</v>
      </c>
      <c r="K2964" s="51"/>
      <c r="O2964" s="1" t="s">
        <v>7</v>
      </c>
      <c r="P2964" s="1" t="s">
        <v>49</v>
      </c>
      <c r="Q2964" s="1" t="s">
        <v>11</v>
      </c>
      <c r="R2964" s="1" t="s">
        <v>0</v>
      </c>
      <c r="S2964" s="1" t="s">
        <v>26</v>
      </c>
      <c r="T2964" s="1">
        <v>2015</v>
      </c>
      <c r="U2964" s="1">
        <v>4</v>
      </c>
      <c r="V2964" s="50">
        <v>42095</v>
      </c>
      <c r="W2964" s="4">
        <v>3585.34</v>
      </c>
      <c r="X2964" s="48">
        <v>4169</v>
      </c>
    </row>
    <row r="2965" spans="2:24" x14ac:dyDescent="0.35">
      <c r="B2965" s="8" t="s">
        <v>12</v>
      </c>
      <c r="C2965" s="8" t="s">
        <v>34</v>
      </c>
      <c r="D2965" s="8" t="s">
        <v>35</v>
      </c>
      <c r="E2965" s="8" t="s">
        <v>27</v>
      </c>
      <c r="F2965" s="6" t="s">
        <v>28</v>
      </c>
      <c r="G2965" s="8">
        <v>2015</v>
      </c>
      <c r="H2965" s="8">
        <v>4</v>
      </c>
      <c r="I2965" s="10">
        <v>42095</v>
      </c>
      <c r="J2965" s="11">
        <v>3269</v>
      </c>
      <c r="K2965" s="51"/>
      <c r="O2965" s="1" t="s">
        <v>12</v>
      </c>
      <c r="P2965" s="1" t="s">
        <v>34</v>
      </c>
      <c r="Q2965" s="1" t="s">
        <v>35</v>
      </c>
      <c r="R2965" s="1" t="s">
        <v>27</v>
      </c>
      <c r="S2965" t="s">
        <v>28</v>
      </c>
      <c r="T2965" s="1">
        <v>2015</v>
      </c>
      <c r="U2965" s="1">
        <v>4</v>
      </c>
      <c r="V2965" s="50">
        <v>42095</v>
      </c>
      <c r="W2965" s="4">
        <v>3072.8599999999997</v>
      </c>
      <c r="X2965" s="48">
        <v>3269</v>
      </c>
    </row>
    <row r="2966" spans="2:24" x14ac:dyDescent="0.35">
      <c r="B2966" s="8" t="s">
        <v>14</v>
      </c>
      <c r="C2966" s="8" t="s">
        <v>37</v>
      </c>
      <c r="D2966" s="8" t="s">
        <v>38</v>
      </c>
      <c r="E2966" s="8" t="s">
        <v>27</v>
      </c>
      <c r="F2966" s="6" t="s">
        <v>33</v>
      </c>
      <c r="G2966" s="8">
        <v>2015</v>
      </c>
      <c r="H2966" s="8">
        <v>4</v>
      </c>
      <c r="I2966" s="10">
        <v>42095</v>
      </c>
      <c r="J2966" s="11">
        <v>3590</v>
      </c>
      <c r="K2966" s="51"/>
      <c r="O2966" s="1" t="s">
        <v>14</v>
      </c>
      <c r="P2966" s="1" t="s">
        <v>37</v>
      </c>
      <c r="Q2966" s="1" t="s">
        <v>38</v>
      </c>
      <c r="R2966" s="1" t="s">
        <v>27</v>
      </c>
      <c r="S2966" t="s">
        <v>33</v>
      </c>
      <c r="T2966" s="1">
        <v>2015</v>
      </c>
      <c r="U2966" s="1">
        <v>4</v>
      </c>
      <c r="V2966" s="50">
        <v>42095</v>
      </c>
      <c r="W2966" s="4">
        <v>3266.8999999999996</v>
      </c>
      <c r="X2966" s="48">
        <v>3590</v>
      </c>
    </row>
    <row r="2967" spans="2:24" x14ac:dyDescent="0.35">
      <c r="B2967" s="8" t="s">
        <v>12</v>
      </c>
      <c r="C2967" s="8" t="s">
        <v>44</v>
      </c>
      <c r="D2967" s="8" t="s">
        <v>13</v>
      </c>
      <c r="E2967" s="8" t="s">
        <v>23</v>
      </c>
      <c r="F2967" s="6" t="s">
        <v>24</v>
      </c>
      <c r="G2967" s="8">
        <v>2015</v>
      </c>
      <c r="H2967" s="8">
        <v>4</v>
      </c>
      <c r="I2967" s="10">
        <v>42095</v>
      </c>
      <c r="J2967" s="11">
        <v>2126</v>
      </c>
      <c r="K2967" s="51"/>
      <c r="O2967" s="1" t="s">
        <v>12</v>
      </c>
      <c r="P2967" s="1" t="s">
        <v>44</v>
      </c>
      <c r="Q2967" s="1" t="s">
        <v>13</v>
      </c>
      <c r="R2967" s="1" t="s">
        <v>23</v>
      </c>
      <c r="S2967" t="s">
        <v>24</v>
      </c>
      <c r="T2967" s="1">
        <v>2015</v>
      </c>
      <c r="U2967" s="1">
        <v>4</v>
      </c>
      <c r="V2967" s="50">
        <v>42095</v>
      </c>
      <c r="W2967" s="4">
        <v>1913.3999999999999</v>
      </c>
      <c r="X2967" s="48">
        <v>2126</v>
      </c>
    </row>
    <row r="2968" spans="2:24" x14ac:dyDescent="0.35">
      <c r="B2968" s="8" t="s">
        <v>14</v>
      </c>
      <c r="C2968" s="8" t="s">
        <v>46</v>
      </c>
      <c r="D2968" s="8" t="s">
        <v>47</v>
      </c>
      <c r="E2968" s="9" t="s">
        <v>0</v>
      </c>
      <c r="F2968" s="9" t="s">
        <v>42</v>
      </c>
      <c r="G2968" s="8">
        <v>2015</v>
      </c>
      <c r="H2968" s="8">
        <v>4</v>
      </c>
      <c r="I2968" s="10">
        <v>42095</v>
      </c>
      <c r="J2968" s="11">
        <v>4509</v>
      </c>
      <c r="K2968" s="51"/>
      <c r="O2968" s="1" t="s">
        <v>14</v>
      </c>
      <c r="P2968" s="1" t="s">
        <v>46</v>
      </c>
      <c r="Q2968" s="1" t="s">
        <v>47</v>
      </c>
      <c r="R2968" s="2" t="s">
        <v>0</v>
      </c>
      <c r="S2968" s="2" t="s">
        <v>42</v>
      </c>
      <c r="T2968" s="1">
        <v>2015</v>
      </c>
      <c r="U2968" s="1">
        <v>4</v>
      </c>
      <c r="V2968" s="50">
        <v>42095</v>
      </c>
      <c r="W2968" s="4">
        <v>3967.9199999999996</v>
      </c>
      <c r="X2968" s="48">
        <v>4509</v>
      </c>
    </row>
    <row r="2969" spans="2:24" x14ac:dyDescent="0.35">
      <c r="B2969" s="8" t="s">
        <v>7</v>
      </c>
      <c r="C2969" s="8" t="s">
        <v>48</v>
      </c>
      <c r="D2969" s="8" t="s">
        <v>9</v>
      </c>
      <c r="E2969" s="8" t="s">
        <v>27</v>
      </c>
      <c r="F2969" s="9" t="s">
        <v>33</v>
      </c>
      <c r="G2969" s="8">
        <v>2015</v>
      </c>
      <c r="H2969" s="8">
        <v>4</v>
      </c>
      <c r="I2969" s="10">
        <v>42095</v>
      </c>
      <c r="J2969" s="11">
        <v>3327</v>
      </c>
      <c r="K2969" s="51"/>
      <c r="O2969" s="1" t="s">
        <v>7</v>
      </c>
      <c r="P2969" s="1" t="s">
        <v>48</v>
      </c>
      <c r="Q2969" s="1" t="s">
        <v>9</v>
      </c>
      <c r="R2969" s="1" t="s">
        <v>27</v>
      </c>
      <c r="S2969" s="2" t="s">
        <v>33</v>
      </c>
      <c r="T2969" s="1">
        <v>2015</v>
      </c>
      <c r="U2969" s="1">
        <v>4</v>
      </c>
      <c r="V2969" s="50">
        <v>42095</v>
      </c>
      <c r="W2969" s="4">
        <v>3027.5699999999997</v>
      </c>
      <c r="X2969" s="48">
        <v>3327</v>
      </c>
    </row>
    <row r="2970" spans="2:24" x14ac:dyDescent="0.35">
      <c r="B2970" s="8" t="s">
        <v>7</v>
      </c>
      <c r="C2970" s="8" t="s">
        <v>49</v>
      </c>
      <c r="D2970" s="8" t="s">
        <v>11</v>
      </c>
      <c r="E2970" s="8" t="s">
        <v>23</v>
      </c>
      <c r="F2970" s="6" t="s">
        <v>24</v>
      </c>
      <c r="G2970" s="8">
        <v>2015</v>
      </c>
      <c r="H2970" s="8">
        <v>4</v>
      </c>
      <c r="I2970" s="10">
        <v>42095</v>
      </c>
      <c r="J2970" s="11">
        <v>3128</v>
      </c>
      <c r="K2970" s="51"/>
      <c r="O2970" s="1" t="s">
        <v>7</v>
      </c>
      <c r="P2970" s="1" t="s">
        <v>49</v>
      </c>
      <c r="Q2970" s="1" t="s">
        <v>11</v>
      </c>
      <c r="R2970" s="1" t="s">
        <v>23</v>
      </c>
      <c r="S2970" t="s">
        <v>24</v>
      </c>
      <c r="T2970" s="1">
        <v>2015</v>
      </c>
      <c r="U2970" s="1">
        <v>4</v>
      </c>
      <c r="V2970" s="50">
        <v>42095</v>
      </c>
      <c r="W2970" s="4">
        <v>2721.3600000000006</v>
      </c>
      <c r="X2970" s="48">
        <v>3128</v>
      </c>
    </row>
    <row r="2971" spans="2:24" x14ac:dyDescent="0.35">
      <c r="B2971" s="8" t="s">
        <v>3</v>
      </c>
      <c r="C2971" s="8" t="s">
        <v>22</v>
      </c>
      <c r="D2971" s="8" t="s">
        <v>5</v>
      </c>
      <c r="E2971" s="8" t="s">
        <v>23</v>
      </c>
      <c r="F2971" s="8" t="s">
        <v>24</v>
      </c>
      <c r="G2971" s="8">
        <v>2015</v>
      </c>
      <c r="H2971" s="8">
        <v>5</v>
      </c>
      <c r="I2971" s="10">
        <v>42125</v>
      </c>
      <c r="J2971" s="11">
        <v>3047</v>
      </c>
      <c r="K2971" s="51"/>
      <c r="O2971" s="1" t="s">
        <v>3</v>
      </c>
      <c r="P2971" s="1" t="s">
        <v>22</v>
      </c>
      <c r="Q2971" s="1" t="s">
        <v>5</v>
      </c>
      <c r="R2971" s="1" t="s">
        <v>23</v>
      </c>
      <c r="S2971" s="1" t="s">
        <v>24</v>
      </c>
      <c r="T2971" s="1">
        <v>2015</v>
      </c>
      <c r="U2971" s="1">
        <v>5</v>
      </c>
      <c r="V2971" s="50">
        <v>42125</v>
      </c>
      <c r="W2971" s="4">
        <v>2620.42</v>
      </c>
      <c r="X2971" s="48">
        <v>3047</v>
      </c>
    </row>
    <row r="2972" spans="2:24" x14ac:dyDescent="0.35">
      <c r="B2972" s="8" t="s">
        <v>3</v>
      </c>
      <c r="C2972" s="8" t="s">
        <v>25</v>
      </c>
      <c r="D2972" s="8" t="s">
        <v>4</v>
      </c>
      <c r="E2972" s="8" t="s">
        <v>23</v>
      </c>
      <c r="F2972" s="8" t="s">
        <v>24</v>
      </c>
      <c r="G2972" s="8">
        <v>2015</v>
      </c>
      <c r="H2972" s="8">
        <v>5</v>
      </c>
      <c r="I2972" s="10">
        <v>42125</v>
      </c>
      <c r="J2972" s="11">
        <v>1518</v>
      </c>
      <c r="K2972" s="51"/>
      <c r="O2972" s="1" t="s">
        <v>3</v>
      </c>
      <c r="P2972" s="1" t="s">
        <v>25</v>
      </c>
      <c r="Q2972" s="1" t="s">
        <v>4</v>
      </c>
      <c r="R2972" s="1" t="s">
        <v>23</v>
      </c>
      <c r="S2972" s="1" t="s">
        <v>24</v>
      </c>
      <c r="T2972" s="1">
        <v>2015</v>
      </c>
      <c r="U2972" s="1">
        <v>5</v>
      </c>
      <c r="V2972" s="50">
        <v>42125</v>
      </c>
      <c r="W2972" s="4">
        <v>1366.1999999999998</v>
      </c>
      <c r="X2972" s="48">
        <v>1518</v>
      </c>
    </row>
    <row r="2973" spans="2:24" x14ac:dyDescent="0.35">
      <c r="B2973" s="8" t="s">
        <v>3</v>
      </c>
      <c r="C2973" s="8" t="s">
        <v>25</v>
      </c>
      <c r="D2973" s="8" t="s">
        <v>4</v>
      </c>
      <c r="E2973" s="8" t="s">
        <v>0</v>
      </c>
      <c r="F2973" s="8" t="s">
        <v>26</v>
      </c>
      <c r="G2973" s="8">
        <v>2015</v>
      </c>
      <c r="H2973" s="8">
        <v>5</v>
      </c>
      <c r="I2973" s="10">
        <v>42125</v>
      </c>
      <c r="J2973" s="11">
        <v>5061</v>
      </c>
      <c r="K2973" s="51"/>
      <c r="O2973" s="1" t="s">
        <v>3</v>
      </c>
      <c r="P2973" s="1" t="s">
        <v>25</v>
      </c>
      <c r="Q2973" s="1" t="s">
        <v>4</v>
      </c>
      <c r="R2973" s="1" t="s">
        <v>0</v>
      </c>
      <c r="S2973" s="1" t="s">
        <v>26</v>
      </c>
      <c r="T2973" s="1">
        <v>2015</v>
      </c>
      <c r="U2973" s="1">
        <v>5</v>
      </c>
      <c r="V2973" s="50">
        <v>42125</v>
      </c>
      <c r="W2973" s="4">
        <v>4757.34</v>
      </c>
      <c r="X2973" s="48">
        <v>5061</v>
      </c>
    </row>
    <row r="2974" spans="2:24" x14ac:dyDescent="0.35">
      <c r="B2974" s="8" t="s">
        <v>3</v>
      </c>
      <c r="C2974" s="8" t="s">
        <v>22</v>
      </c>
      <c r="D2974" s="8" t="s">
        <v>5</v>
      </c>
      <c r="E2974" s="8" t="s">
        <v>0</v>
      </c>
      <c r="F2974" s="6" t="s">
        <v>26</v>
      </c>
      <c r="G2974" s="8">
        <v>2015</v>
      </c>
      <c r="H2974" s="8">
        <v>5</v>
      </c>
      <c r="I2974" s="10">
        <v>42125</v>
      </c>
      <c r="J2974" s="11">
        <v>5099</v>
      </c>
      <c r="K2974" s="51"/>
      <c r="O2974" s="1" t="s">
        <v>3</v>
      </c>
      <c r="P2974" s="1" t="s">
        <v>22</v>
      </c>
      <c r="Q2974" s="1" t="s">
        <v>5</v>
      </c>
      <c r="R2974" s="1" t="s">
        <v>0</v>
      </c>
      <c r="S2974" t="s">
        <v>26</v>
      </c>
      <c r="T2974" s="1">
        <v>2015</v>
      </c>
      <c r="U2974" s="1">
        <v>5</v>
      </c>
      <c r="V2974" s="50">
        <v>42125</v>
      </c>
      <c r="W2974" s="4">
        <v>4487.119999999999</v>
      </c>
      <c r="X2974" s="48">
        <v>5099</v>
      </c>
    </row>
    <row r="2975" spans="2:24" x14ac:dyDescent="0.35">
      <c r="B2975" s="8" t="s">
        <v>3</v>
      </c>
      <c r="C2975" s="8" t="s">
        <v>22</v>
      </c>
      <c r="D2975" s="8" t="s">
        <v>5</v>
      </c>
      <c r="E2975" s="8" t="s">
        <v>27</v>
      </c>
      <c r="F2975" s="6" t="s">
        <v>28</v>
      </c>
      <c r="G2975" s="8">
        <v>2015</v>
      </c>
      <c r="H2975" s="8">
        <v>5</v>
      </c>
      <c r="I2975" s="10">
        <v>42125</v>
      </c>
      <c r="J2975" s="11">
        <v>4894</v>
      </c>
      <c r="K2975" s="51"/>
      <c r="O2975" s="1" t="s">
        <v>3</v>
      </c>
      <c r="P2975" s="1" t="s">
        <v>22</v>
      </c>
      <c r="Q2975" s="1" t="s">
        <v>5</v>
      </c>
      <c r="R2975" s="1" t="s">
        <v>27</v>
      </c>
      <c r="S2975" t="s">
        <v>28</v>
      </c>
      <c r="T2975" s="1">
        <v>2015</v>
      </c>
      <c r="U2975" s="1">
        <v>5</v>
      </c>
      <c r="V2975" s="50">
        <v>42125</v>
      </c>
      <c r="W2975" s="4">
        <v>4404.5999999999995</v>
      </c>
      <c r="X2975" s="48">
        <v>4894</v>
      </c>
    </row>
    <row r="2976" spans="2:24" x14ac:dyDescent="0.35">
      <c r="B2976" s="8" t="s">
        <v>6</v>
      </c>
      <c r="C2976" s="8" t="s">
        <v>29</v>
      </c>
      <c r="D2976" s="8" t="s">
        <v>30</v>
      </c>
      <c r="E2976" s="8" t="s">
        <v>27</v>
      </c>
      <c r="F2976" s="6" t="s">
        <v>31</v>
      </c>
      <c r="G2976" s="8">
        <v>2015</v>
      </c>
      <c r="H2976" s="8">
        <v>5</v>
      </c>
      <c r="I2976" s="10">
        <v>42125</v>
      </c>
      <c r="J2976" s="11">
        <v>4633</v>
      </c>
      <c r="K2976" s="51"/>
      <c r="O2976" s="1" t="s">
        <v>6</v>
      </c>
      <c r="P2976" s="1" t="s">
        <v>29</v>
      </c>
      <c r="Q2976" s="1" t="s">
        <v>30</v>
      </c>
      <c r="R2976" s="1" t="s">
        <v>27</v>
      </c>
      <c r="S2976" t="s">
        <v>31</v>
      </c>
      <c r="T2976" s="1">
        <v>2015</v>
      </c>
      <c r="U2976" s="1">
        <v>5</v>
      </c>
      <c r="V2976" s="50">
        <v>42125</v>
      </c>
      <c r="W2976" s="4">
        <v>4123.37</v>
      </c>
      <c r="X2976" s="48">
        <v>4633</v>
      </c>
    </row>
    <row r="2977" spans="2:24" x14ac:dyDescent="0.35">
      <c r="B2977" s="8" t="s">
        <v>7</v>
      </c>
      <c r="C2977" s="8" t="s">
        <v>32</v>
      </c>
      <c r="D2977" s="8" t="s">
        <v>8</v>
      </c>
      <c r="E2977" s="9" t="s">
        <v>27</v>
      </c>
      <c r="F2977" s="9" t="s">
        <v>33</v>
      </c>
      <c r="G2977" s="8">
        <v>2015</v>
      </c>
      <c r="H2977" s="8">
        <v>5</v>
      </c>
      <c r="I2977" s="10">
        <v>42125</v>
      </c>
      <c r="J2977" s="11">
        <v>3743</v>
      </c>
      <c r="K2977" s="51"/>
      <c r="O2977" s="1" t="s">
        <v>7</v>
      </c>
      <c r="P2977" s="1" t="s">
        <v>32</v>
      </c>
      <c r="Q2977" s="1" t="s">
        <v>8</v>
      </c>
      <c r="R2977" s="2" t="s">
        <v>27</v>
      </c>
      <c r="S2977" s="2" t="s">
        <v>33</v>
      </c>
      <c r="T2977" s="1">
        <v>2015</v>
      </c>
      <c r="U2977" s="1">
        <v>5</v>
      </c>
      <c r="V2977" s="50">
        <v>42125</v>
      </c>
      <c r="W2977" s="4">
        <v>3406.1299999999997</v>
      </c>
      <c r="X2977" s="48">
        <v>3743</v>
      </c>
    </row>
    <row r="2978" spans="2:24" x14ac:dyDescent="0.35">
      <c r="B2978" s="8" t="s">
        <v>12</v>
      </c>
      <c r="C2978" s="8" t="s">
        <v>34</v>
      </c>
      <c r="D2978" s="8" t="s">
        <v>35</v>
      </c>
      <c r="E2978" s="8" t="s">
        <v>23</v>
      </c>
      <c r="F2978" s="9" t="s">
        <v>36</v>
      </c>
      <c r="G2978" s="8">
        <v>2015</v>
      </c>
      <c r="H2978" s="8">
        <v>5</v>
      </c>
      <c r="I2978" s="10">
        <v>42125</v>
      </c>
      <c r="J2978" s="11">
        <v>2919</v>
      </c>
      <c r="K2978" s="51"/>
      <c r="O2978" s="1" t="s">
        <v>12</v>
      </c>
      <c r="P2978" s="1" t="s">
        <v>34</v>
      </c>
      <c r="Q2978" s="1" t="s">
        <v>35</v>
      </c>
      <c r="R2978" s="1" t="s">
        <v>23</v>
      </c>
      <c r="S2978" s="2" t="s">
        <v>36</v>
      </c>
      <c r="T2978" s="1">
        <v>2015</v>
      </c>
      <c r="U2978" s="1">
        <v>5</v>
      </c>
      <c r="V2978" s="50">
        <v>42125</v>
      </c>
      <c r="W2978" s="4">
        <v>2656.29</v>
      </c>
      <c r="X2978" s="48">
        <v>2919</v>
      </c>
    </row>
    <row r="2979" spans="2:24" x14ac:dyDescent="0.35">
      <c r="B2979" s="8" t="s">
        <v>14</v>
      </c>
      <c r="C2979" s="8" t="s">
        <v>37</v>
      </c>
      <c r="D2979" s="8" t="s">
        <v>38</v>
      </c>
      <c r="E2979" s="8" t="s">
        <v>23</v>
      </c>
      <c r="F2979" s="6" t="s">
        <v>24</v>
      </c>
      <c r="G2979" s="8">
        <v>2015</v>
      </c>
      <c r="H2979" s="8">
        <v>5</v>
      </c>
      <c r="I2979" s="10">
        <v>42125</v>
      </c>
      <c r="J2979" s="11">
        <v>1705</v>
      </c>
      <c r="K2979" s="51"/>
      <c r="O2979" s="1" t="s">
        <v>14</v>
      </c>
      <c r="P2979" s="1" t="s">
        <v>37</v>
      </c>
      <c r="Q2979" s="1" t="s">
        <v>38</v>
      </c>
      <c r="R2979" s="1" t="s">
        <v>23</v>
      </c>
      <c r="S2979" t="s">
        <v>24</v>
      </c>
      <c r="T2979" s="1">
        <v>2015</v>
      </c>
      <c r="U2979" s="1">
        <v>5</v>
      </c>
      <c r="V2979" s="50">
        <v>42125</v>
      </c>
      <c r="W2979" s="4">
        <v>1483.3500000000001</v>
      </c>
      <c r="X2979" s="48">
        <v>1705</v>
      </c>
    </row>
    <row r="2980" spans="2:24" x14ac:dyDescent="0.35">
      <c r="B2980" s="8" t="s">
        <v>3</v>
      </c>
      <c r="C2980" s="8" t="s">
        <v>25</v>
      </c>
      <c r="D2980" s="8" t="s">
        <v>4</v>
      </c>
      <c r="E2980" s="8" t="s">
        <v>23</v>
      </c>
      <c r="F2980" s="8" t="s">
        <v>39</v>
      </c>
      <c r="G2980" s="8">
        <v>2015</v>
      </c>
      <c r="H2980" s="8">
        <v>5</v>
      </c>
      <c r="I2980" s="10">
        <v>42125</v>
      </c>
      <c r="J2980" s="11">
        <v>1314</v>
      </c>
      <c r="K2980" s="51"/>
      <c r="O2980" s="1" t="s">
        <v>3</v>
      </c>
      <c r="P2980" s="1" t="s">
        <v>25</v>
      </c>
      <c r="Q2980" s="1" t="s">
        <v>4</v>
      </c>
      <c r="R2980" s="1" t="s">
        <v>23</v>
      </c>
      <c r="S2980" s="1" t="s">
        <v>39</v>
      </c>
      <c r="T2980" s="1">
        <v>2015</v>
      </c>
      <c r="U2980" s="1">
        <v>5</v>
      </c>
      <c r="V2980" s="50">
        <v>42125</v>
      </c>
      <c r="W2980" s="4">
        <v>1130.0400000000002</v>
      </c>
      <c r="X2980" s="48">
        <v>1314</v>
      </c>
    </row>
    <row r="2981" spans="2:24" x14ac:dyDescent="0.35">
      <c r="B2981" s="8" t="s">
        <v>6</v>
      </c>
      <c r="C2981" s="8" t="s">
        <v>40</v>
      </c>
      <c r="D2981" s="8" t="s">
        <v>41</v>
      </c>
      <c r="E2981" s="8" t="s">
        <v>0</v>
      </c>
      <c r="F2981" s="8" t="s">
        <v>42</v>
      </c>
      <c r="G2981" s="8">
        <v>2015</v>
      </c>
      <c r="H2981" s="8">
        <v>5</v>
      </c>
      <c r="I2981" s="10">
        <v>42125</v>
      </c>
      <c r="J2981" s="11">
        <v>6548</v>
      </c>
      <c r="K2981" s="51"/>
      <c r="O2981" s="1" t="s">
        <v>6</v>
      </c>
      <c r="P2981" s="1" t="s">
        <v>40</v>
      </c>
      <c r="Q2981" s="1" t="s">
        <v>41</v>
      </c>
      <c r="R2981" s="1" t="s">
        <v>0</v>
      </c>
      <c r="S2981" s="1" t="s">
        <v>42</v>
      </c>
      <c r="T2981" s="1">
        <v>2015</v>
      </c>
      <c r="U2981" s="1">
        <v>5</v>
      </c>
      <c r="V2981" s="50">
        <v>42125</v>
      </c>
      <c r="W2981" s="4">
        <v>6089.6399999999994</v>
      </c>
      <c r="X2981" s="48">
        <v>6548</v>
      </c>
    </row>
    <row r="2982" spans="2:24" x14ac:dyDescent="0.35">
      <c r="B2982" s="8" t="s">
        <v>7</v>
      </c>
      <c r="C2982" s="8" t="s">
        <v>43</v>
      </c>
      <c r="D2982" s="8" t="s">
        <v>10</v>
      </c>
      <c r="E2982" s="8" t="s">
        <v>0</v>
      </c>
      <c r="F2982" s="8" t="s">
        <v>26</v>
      </c>
      <c r="G2982" s="8">
        <v>2015</v>
      </c>
      <c r="H2982" s="8">
        <v>5</v>
      </c>
      <c r="I2982" s="10">
        <v>42125</v>
      </c>
      <c r="J2982" s="11">
        <v>3648</v>
      </c>
      <c r="K2982" s="51"/>
      <c r="O2982" s="1" t="s">
        <v>7</v>
      </c>
      <c r="P2982" s="1" t="s">
        <v>43</v>
      </c>
      <c r="Q2982" s="1" t="s">
        <v>10</v>
      </c>
      <c r="R2982" s="1" t="s">
        <v>0</v>
      </c>
      <c r="S2982" s="1" t="s">
        <v>26</v>
      </c>
      <c r="T2982" s="1">
        <v>2015</v>
      </c>
      <c r="U2982" s="1">
        <v>5</v>
      </c>
      <c r="V2982" s="50">
        <v>42125</v>
      </c>
      <c r="W2982" s="4">
        <v>3100.8</v>
      </c>
      <c r="X2982" s="48">
        <v>3648</v>
      </c>
    </row>
    <row r="2983" spans="2:24" x14ac:dyDescent="0.35">
      <c r="B2983" s="8" t="s">
        <v>12</v>
      </c>
      <c r="C2983" s="8" t="s">
        <v>44</v>
      </c>
      <c r="D2983" s="8" t="s">
        <v>13</v>
      </c>
      <c r="E2983" s="8" t="s">
        <v>0</v>
      </c>
      <c r="F2983" s="6" t="s">
        <v>45</v>
      </c>
      <c r="G2983" s="8">
        <v>2015</v>
      </c>
      <c r="H2983" s="8">
        <v>5</v>
      </c>
      <c r="I2983" s="10">
        <v>42125</v>
      </c>
      <c r="J2983" s="11">
        <v>3883</v>
      </c>
      <c r="K2983" s="51"/>
      <c r="O2983" s="1" t="s">
        <v>12</v>
      </c>
      <c r="P2983" s="1" t="s">
        <v>44</v>
      </c>
      <c r="Q2983" s="1" t="s">
        <v>13</v>
      </c>
      <c r="R2983" s="1" t="s">
        <v>0</v>
      </c>
      <c r="S2983" t="s">
        <v>45</v>
      </c>
      <c r="T2983" s="1">
        <v>2015</v>
      </c>
      <c r="U2983" s="1">
        <v>5</v>
      </c>
      <c r="V2983" s="50">
        <v>42125</v>
      </c>
      <c r="W2983" s="4">
        <v>3300.55</v>
      </c>
      <c r="X2983" s="48">
        <v>3883</v>
      </c>
    </row>
    <row r="2984" spans="2:24" x14ac:dyDescent="0.35">
      <c r="B2984" s="8" t="s">
        <v>14</v>
      </c>
      <c r="C2984" s="8" t="s">
        <v>46</v>
      </c>
      <c r="D2984" s="8" t="s">
        <v>47</v>
      </c>
      <c r="E2984" s="8" t="s">
        <v>27</v>
      </c>
      <c r="F2984" s="6" t="s">
        <v>28</v>
      </c>
      <c r="G2984" s="8">
        <v>2015</v>
      </c>
      <c r="H2984" s="8">
        <v>5</v>
      </c>
      <c r="I2984" s="10">
        <v>42125</v>
      </c>
      <c r="J2984" s="11">
        <v>4569</v>
      </c>
      <c r="K2984" s="51"/>
      <c r="O2984" s="1" t="s">
        <v>14</v>
      </c>
      <c r="P2984" s="1" t="s">
        <v>46</v>
      </c>
      <c r="Q2984" s="1" t="s">
        <v>47</v>
      </c>
      <c r="R2984" s="1" t="s">
        <v>27</v>
      </c>
      <c r="S2984" t="s">
        <v>28</v>
      </c>
      <c r="T2984" s="1">
        <v>2015</v>
      </c>
      <c r="U2984" s="1">
        <v>5</v>
      </c>
      <c r="V2984" s="50">
        <v>42125</v>
      </c>
      <c r="W2984" s="4">
        <v>3883.6500000000005</v>
      </c>
      <c r="X2984" s="48">
        <v>4569</v>
      </c>
    </row>
    <row r="2985" spans="2:24" x14ac:dyDescent="0.35">
      <c r="B2985" s="8" t="s">
        <v>3</v>
      </c>
      <c r="C2985" s="8" t="s">
        <v>22</v>
      </c>
      <c r="D2985" s="8" t="s">
        <v>5</v>
      </c>
      <c r="E2985" s="8" t="s">
        <v>27</v>
      </c>
      <c r="F2985" s="6" t="s">
        <v>31</v>
      </c>
      <c r="G2985" s="8">
        <v>2015</v>
      </c>
      <c r="H2985" s="8">
        <v>5</v>
      </c>
      <c r="I2985" s="10">
        <v>42125</v>
      </c>
      <c r="J2985" s="11">
        <v>4188</v>
      </c>
      <c r="K2985" s="51"/>
      <c r="O2985" s="1" t="s">
        <v>3</v>
      </c>
      <c r="P2985" s="1" t="s">
        <v>22</v>
      </c>
      <c r="Q2985" s="1" t="s">
        <v>5</v>
      </c>
      <c r="R2985" s="1" t="s">
        <v>27</v>
      </c>
      <c r="S2985" t="s">
        <v>31</v>
      </c>
      <c r="T2985" s="1">
        <v>2015</v>
      </c>
      <c r="U2985" s="1">
        <v>5</v>
      </c>
      <c r="V2985" s="50">
        <v>42125</v>
      </c>
      <c r="W2985" s="4">
        <v>3894.8399999999997</v>
      </c>
      <c r="X2985" s="48">
        <v>4188</v>
      </c>
    </row>
    <row r="2986" spans="2:24" x14ac:dyDescent="0.35">
      <c r="B2986" s="8" t="s">
        <v>6</v>
      </c>
      <c r="C2986" s="8" t="s">
        <v>29</v>
      </c>
      <c r="D2986" s="8" t="s">
        <v>30</v>
      </c>
      <c r="E2986" s="9" t="s">
        <v>27</v>
      </c>
      <c r="F2986" s="9" t="s">
        <v>33</v>
      </c>
      <c r="G2986" s="8">
        <v>2015</v>
      </c>
      <c r="H2986" s="8">
        <v>5</v>
      </c>
      <c r="I2986" s="10">
        <v>42125</v>
      </c>
      <c r="J2986" s="11">
        <v>4008</v>
      </c>
      <c r="K2986" s="51"/>
      <c r="O2986" s="1" t="s">
        <v>6</v>
      </c>
      <c r="P2986" s="1" t="s">
        <v>29</v>
      </c>
      <c r="Q2986" s="1" t="s">
        <v>30</v>
      </c>
      <c r="R2986" s="2" t="s">
        <v>27</v>
      </c>
      <c r="S2986" s="2" t="s">
        <v>33</v>
      </c>
      <c r="T2986" s="1">
        <v>2015</v>
      </c>
      <c r="U2986" s="1">
        <v>5</v>
      </c>
      <c r="V2986" s="50">
        <v>42125</v>
      </c>
      <c r="W2986" s="4">
        <v>3607.2</v>
      </c>
      <c r="X2986" s="48">
        <v>4008</v>
      </c>
    </row>
    <row r="2987" spans="2:24" x14ac:dyDescent="0.35">
      <c r="B2987" s="8" t="s">
        <v>7</v>
      </c>
      <c r="C2987" s="8" t="s">
        <v>32</v>
      </c>
      <c r="D2987" s="8" t="s">
        <v>8</v>
      </c>
      <c r="E2987" s="8" t="s">
        <v>23</v>
      </c>
      <c r="F2987" s="9" t="s">
        <v>36</v>
      </c>
      <c r="G2987" s="8">
        <v>2015</v>
      </c>
      <c r="H2987" s="8">
        <v>5</v>
      </c>
      <c r="I2987" s="10">
        <v>42125</v>
      </c>
      <c r="J2987" s="11">
        <v>1888</v>
      </c>
      <c r="K2987" s="51"/>
      <c r="O2987" s="1" t="s">
        <v>7</v>
      </c>
      <c r="P2987" s="1" t="s">
        <v>32</v>
      </c>
      <c r="Q2987" s="1" t="s">
        <v>8</v>
      </c>
      <c r="R2987" s="1" t="s">
        <v>23</v>
      </c>
      <c r="S2987" s="2" t="s">
        <v>36</v>
      </c>
      <c r="T2987" s="1">
        <v>2015</v>
      </c>
      <c r="U2987" s="1">
        <v>5</v>
      </c>
      <c r="V2987" s="50">
        <v>42125</v>
      </c>
      <c r="W2987" s="4">
        <v>1736.9599999999998</v>
      </c>
      <c r="X2987" s="48">
        <v>1888</v>
      </c>
    </row>
    <row r="2988" spans="2:24" x14ac:dyDescent="0.35">
      <c r="B2988" s="8" t="s">
        <v>12</v>
      </c>
      <c r="C2988" s="8" t="s">
        <v>34</v>
      </c>
      <c r="D2988" s="8" t="s">
        <v>35</v>
      </c>
      <c r="E2988" s="8" t="s">
        <v>23</v>
      </c>
      <c r="F2988" s="6" t="s">
        <v>24</v>
      </c>
      <c r="G2988" s="8">
        <v>2015</v>
      </c>
      <c r="H2988" s="8">
        <v>5</v>
      </c>
      <c r="I2988" s="10">
        <v>42125</v>
      </c>
      <c r="J2988" s="11">
        <v>3315</v>
      </c>
      <c r="K2988" s="51"/>
      <c r="O2988" s="1" t="s">
        <v>12</v>
      </c>
      <c r="P2988" s="1" t="s">
        <v>34</v>
      </c>
      <c r="Q2988" s="1" t="s">
        <v>35</v>
      </c>
      <c r="R2988" s="1" t="s">
        <v>23</v>
      </c>
      <c r="S2988" t="s">
        <v>24</v>
      </c>
      <c r="T2988" s="1">
        <v>2015</v>
      </c>
      <c r="U2988" s="1">
        <v>5</v>
      </c>
      <c r="V2988" s="50">
        <v>42125</v>
      </c>
      <c r="W2988" s="4">
        <v>2817.7500000000005</v>
      </c>
      <c r="X2988" s="48">
        <v>3315</v>
      </c>
    </row>
    <row r="2989" spans="2:24" x14ac:dyDescent="0.35">
      <c r="B2989" s="8" t="s">
        <v>14</v>
      </c>
      <c r="C2989" s="8" t="s">
        <v>37</v>
      </c>
      <c r="D2989" s="8" t="s">
        <v>38</v>
      </c>
      <c r="E2989" s="8" t="s">
        <v>23</v>
      </c>
      <c r="F2989" s="8" t="s">
        <v>39</v>
      </c>
      <c r="G2989" s="8">
        <v>2015</v>
      </c>
      <c r="H2989" s="8">
        <v>5</v>
      </c>
      <c r="I2989" s="10">
        <v>42125</v>
      </c>
      <c r="J2989" s="11">
        <v>2707</v>
      </c>
      <c r="K2989" s="51"/>
      <c r="O2989" s="1" t="s">
        <v>14</v>
      </c>
      <c r="P2989" s="1" t="s">
        <v>37</v>
      </c>
      <c r="Q2989" s="1" t="s">
        <v>38</v>
      </c>
      <c r="R2989" s="1" t="s">
        <v>23</v>
      </c>
      <c r="S2989" s="1" t="s">
        <v>39</v>
      </c>
      <c r="T2989" s="1">
        <v>2015</v>
      </c>
      <c r="U2989" s="1">
        <v>5</v>
      </c>
      <c r="V2989" s="50">
        <v>42125</v>
      </c>
      <c r="W2989" s="4">
        <v>2490.4399999999996</v>
      </c>
      <c r="X2989" s="48">
        <v>2707</v>
      </c>
    </row>
    <row r="2990" spans="2:24" x14ac:dyDescent="0.35">
      <c r="B2990" s="8" t="s">
        <v>3</v>
      </c>
      <c r="C2990" s="8" t="s">
        <v>25</v>
      </c>
      <c r="D2990" s="8" t="s">
        <v>4</v>
      </c>
      <c r="E2990" s="8" t="s">
        <v>0</v>
      </c>
      <c r="F2990" s="8" t="s">
        <v>42</v>
      </c>
      <c r="G2990" s="8">
        <v>2015</v>
      </c>
      <c r="H2990" s="8">
        <v>5</v>
      </c>
      <c r="I2990" s="10">
        <v>42125</v>
      </c>
      <c r="J2990" s="11">
        <v>6858</v>
      </c>
      <c r="K2990" s="51"/>
      <c r="O2990" s="1" t="s">
        <v>3</v>
      </c>
      <c r="P2990" s="1" t="s">
        <v>25</v>
      </c>
      <c r="Q2990" s="1" t="s">
        <v>4</v>
      </c>
      <c r="R2990" s="1" t="s">
        <v>0</v>
      </c>
      <c r="S2990" s="1" t="s">
        <v>42</v>
      </c>
      <c r="T2990" s="1">
        <v>2015</v>
      </c>
      <c r="U2990" s="1">
        <v>5</v>
      </c>
      <c r="V2990" s="50">
        <v>42125</v>
      </c>
      <c r="W2990" s="4">
        <v>6446.5199999999995</v>
      </c>
      <c r="X2990" s="48">
        <v>6858</v>
      </c>
    </row>
    <row r="2991" spans="2:24" x14ac:dyDescent="0.35">
      <c r="B2991" s="8" t="s">
        <v>6</v>
      </c>
      <c r="C2991" s="8" t="s">
        <v>40</v>
      </c>
      <c r="D2991" s="8" t="s">
        <v>41</v>
      </c>
      <c r="E2991" s="8" t="s">
        <v>0</v>
      </c>
      <c r="F2991" s="8" t="s">
        <v>26</v>
      </c>
      <c r="G2991" s="8">
        <v>2015</v>
      </c>
      <c r="H2991" s="8">
        <v>5</v>
      </c>
      <c r="I2991" s="10">
        <v>42125</v>
      </c>
      <c r="J2991" s="11">
        <v>4481</v>
      </c>
      <c r="K2991" s="51"/>
      <c r="O2991" s="1" t="s">
        <v>6</v>
      </c>
      <c r="P2991" s="1" t="s">
        <v>40</v>
      </c>
      <c r="Q2991" s="1" t="s">
        <v>41</v>
      </c>
      <c r="R2991" s="1" t="s">
        <v>0</v>
      </c>
      <c r="S2991" s="1" t="s">
        <v>26</v>
      </c>
      <c r="T2991" s="1">
        <v>2015</v>
      </c>
      <c r="U2991" s="1">
        <v>5</v>
      </c>
      <c r="V2991" s="50">
        <v>42125</v>
      </c>
      <c r="W2991" s="4">
        <v>3898.4700000000003</v>
      </c>
      <c r="X2991" s="48">
        <v>4481</v>
      </c>
    </row>
    <row r="2992" spans="2:24" x14ac:dyDescent="0.35">
      <c r="B2992" s="8" t="s">
        <v>7</v>
      </c>
      <c r="C2992" s="8" t="s">
        <v>43</v>
      </c>
      <c r="D2992" s="8" t="s">
        <v>10</v>
      </c>
      <c r="E2992" s="8" t="s">
        <v>0</v>
      </c>
      <c r="F2992" s="6" t="s">
        <v>45</v>
      </c>
      <c r="G2992" s="8">
        <v>2015</v>
      </c>
      <c r="H2992" s="8">
        <v>5</v>
      </c>
      <c r="I2992" s="10">
        <v>42125</v>
      </c>
      <c r="J2992" s="11">
        <v>3029</v>
      </c>
      <c r="K2992" s="51"/>
      <c r="O2992" s="1" t="s">
        <v>7</v>
      </c>
      <c r="P2992" s="1" t="s">
        <v>43</v>
      </c>
      <c r="Q2992" s="1" t="s">
        <v>10</v>
      </c>
      <c r="R2992" s="1" t="s">
        <v>0</v>
      </c>
      <c r="S2992" t="s">
        <v>45</v>
      </c>
      <c r="T2992" s="1">
        <v>2015</v>
      </c>
      <c r="U2992" s="1">
        <v>5</v>
      </c>
      <c r="V2992" s="50">
        <v>42125</v>
      </c>
      <c r="W2992" s="4">
        <v>2604.9400000000005</v>
      </c>
      <c r="X2992" s="48">
        <v>3029</v>
      </c>
    </row>
    <row r="2993" spans="2:24" x14ac:dyDescent="0.35">
      <c r="B2993" s="8" t="s">
        <v>12</v>
      </c>
      <c r="C2993" s="8" t="s">
        <v>44</v>
      </c>
      <c r="D2993" s="8" t="s">
        <v>13</v>
      </c>
      <c r="E2993" s="8" t="s">
        <v>27</v>
      </c>
      <c r="F2993" s="6" t="s">
        <v>28</v>
      </c>
      <c r="G2993" s="8">
        <v>2015</v>
      </c>
      <c r="H2993" s="8">
        <v>5</v>
      </c>
      <c r="I2993" s="10">
        <v>42125</v>
      </c>
      <c r="J2993" s="11">
        <v>3896</v>
      </c>
      <c r="K2993" s="51"/>
      <c r="O2993" s="1" t="s">
        <v>12</v>
      </c>
      <c r="P2993" s="1" t="s">
        <v>44</v>
      </c>
      <c r="Q2993" s="1" t="s">
        <v>13</v>
      </c>
      <c r="R2993" s="1" t="s">
        <v>27</v>
      </c>
      <c r="S2993" t="s">
        <v>28</v>
      </c>
      <c r="T2993" s="1">
        <v>2015</v>
      </c>
      <c r="U2993" s="1">
        <v>5</v>
      </c>
      <c r="V2993" s="50">
        <v>42125</v>
      </c>
      <c r="W2993" s="4">
        <v>3545.3599999999997</v>
      </c>
      <c r="X2993" s="48">
        <v>3896</v>
      </c>
    </row>
    <row r="2994" spans="2:24" x14ac:dyDescent="0.35">
      <c r="B2994" s="8" t="s">
        <v>14</v>
      </c>
      <c r="C2994" s="8" t="s">
        <v>46</v>
      </c>
      <c r="D2994" s="8" t="s">
        <v>47</v>
      </c>
      <c r="E2994" s="8" t="s">
        <v>27</v>
      </c>
      <c r="F2994" s="6" t="s">
        <v>31</v>
      </c>
      <c r="G2994" s="8">
        <v>2015</v>
      </c>
      <c r="H2994" s="8">
        <v>5</v>
      </c>
      <c r="I2994" s="10">
        <v>42125</v>
      </c>
      <c r="J2994" s="11">
        <v>4684</v>
      </c>
      <c r="K2994" s="51"/>
      <c r="O2994" s="1" t="s">
        <v>14</v>
      </c>
      <c r="P2994" s="1" t="s">
        <v>46</v>
      </c>
      <c r="Q2994" s="1" t="s">
        <v>47</v>
      </c>
      <c r="R2994" s="1" t="s">
        <v>27</v>
      </c>
      <c r="S2994" t="s">
        <v>31</v>
      </c>
      <c r="T2994" s="1">
        <v>2015</v>
      </c>
      <c r="U2994" s="1">
        <v>5</v>
      </c>
      <c r="V2994" s="50">
        <v>42125</v>
      </c>
      <c r="W2994" s="4">
        <v>4168.7599999999993</v>
      </c>
      <c r="X2994" s="48">
        <v>4684</v>
      </c>
    </row>
    <row r="2995" spans="2:24" x14ac:dyDescent="0.35">
      <c r="B2995" s="8" t="s">
        <v>3</v>
      </c>
      <c r="C2995" s="8" t="s">
        <v>22</v>
      </c>
      <c r="D2995" s="8" t="s">
        <v>5</v>
      </c>
      <c r="E2995" s="9" t="s">
        <v>27</v>
      </c>
      <c r="F2995" s="9" t="s">
        <v>33</v>
      </c>
      <c r="G2995" s="8">
        <v>2015</v>
      </c>
      <c r="H2995" s="8">
        <v>5</v>
      </c>
      <c r="I2995" s="10">
        <v>42125</v>
      </c>
      <c r="J2995" s="11">
        <v>3151</v>
      </c>
      <c r="K2995" s="51"/>
      <c r="O2995" s="1" t="s">
        <v>3</v>
      </c>
      <c r="P2995" s="1" t="s">
        <v>22</v>
      </c>
      <c r="Q2995" s="1" t="s">
        <v>5</v>
      </c>
      <c r="R2995" s="2" t="s">
        <v>27</v>
      </c>
      <c r="S2995" s="2" t="s">
        <v>33</v>
      </c>
      <c r="T2995" s="1">
        <v>2015</v>
      </c>
      <c r="U2995" s="1">
        <v>5</v>
      </c>
      <c r="V2995" s="50">
        <v>42125</v>
      </c>
      <c r="W2995" s="4">
        <v>2930.43</v>
      </c>
      <c r="X2995" s="48">
        <v>3151</v>
      </c>
    </row>
    <row r="2996" spans="2:24" x14ac:dyDescent="0.35">
      <c r="B2996" s="8" t="s">
        <v>6</v>
      </c>
      <c r="C2996" s="8" t="s">
        <v>29</v>
      </c>
      <c r="D2996" s="8" t="s">
        <v>30</v>
      </c>
      <c r="E2996" s="8" t="s">
        <v>23</v>
      </c>
      <c r="F2996" s="9" t="s">
        <v>36</v>
      </c>
      <c r="G2996" s="8">
        <v>2015</v>
      </c>
      <c r="H2996" s="8">
        <v>5</v>
      </c>
      <c r="I2996" s="10">
        <v>42125</v>
      </c>
      <c r="J2996" s="11">
        <v>2306</v>
      </c>
      <c r="K2996" s="51"/>
      <c r="O2996" s="1" t="s">
        <v>6</v>
      </c>
      <c r="P2996" s="1" t="s">
        <v>29</v>
      </c>
      <c r="Q2996" s="1" t="s">
        <v>30</v>
      </c>
      <c r="R2996" s="1" t="s">
        <v>23</v>
      </c>
      <c r="S2996" s="2" t="s">
        <v>36</v>
      </c>
      <c r="T2996" s="1">
        <v>2015</v>
      </c>
      <c r="U2996" s="1">
        <v>5</v>
      </c>
      <c r="V2996" s="50">
        <v>42125</v>
      </c>
      <c r="W2996" s="4">
        <v>2144.58</v>
      </c>
      <c r="X2996" s="48">
        <v>2306</v>
      </c>
    </row>
    <row r="2997" spans="2:24" x14ac:dyDescent="0.35">
      <c r="B2997" s="8" t="s">
        <v>7</v>
      </c>
      <c r="C2997" s="8" t="s">
        <v>32</v>
      </c>
      <c r="D2997" s="8" t="s">
        <v>8</v>
      </c>
      <c r="E2997" s="8" t="s">
        <v>23</v>
      </c>
      <c r="F2997" s="6" t="s">
        <v>24</v>
      </c>
      <c r="G2997" s="8">
        <v>2015</v>
      </c>
      <c r="H2997" s="8">
        <v>5</v>
      </c>
      <c r="I2997" s="10">
        <v>42125</v>
      </c>
      <c r="J2997" s="11">
        <v>3347</v>
      </c>
      <c r="K2997" s="51"/>
      <c r="O2997" s="1" t="s">
        <v>7</v>
      </c>
      <c r="P2997" s="1" t="s">
        <v>32</v>
      </c>
      <c r="Q2997" s="1" t="s">
        <v>8</v>
      </c>
      <c r="R2997" s="1" t="s">
        <v>23</v>
      </c>
      <c r="S2997" t="s">
        <v>24</v>
      </c>
      <c r="T2997" s="1">
        <v>2015</v>
      </c>
      <c r="U2997" s="1">
        <v>5</v>
      </c>
      <c r="V2997" s="50">
        <v>42125</v>
      </c>
      <c r="W2997" s="4">
        <v>3045.7699999999995</v>
      </c>
      <c r="X2997" s="48">
        <v>3347</v>
      </c>
    </row>
    <row r="2998" spans="2:24" x14ac:dyDescent="0.35">
      <c r="B2998" s="8" t="s">
        <v>12</v>
      </c>
      <c r="C2998" s="8" t="s">
        <v>34</v>
      </c>
      <c r="D2998" s="8" t="s">
        <v>35</v>
      </c>
      <c r="E2998" s="8" t="s">
        <v>23</v>
      </c>
      <c r="F2998" s="8" t="s">
        <v>39</v>
      </c>
      <c r="G2998" s="8">
        <v>2015</v>
      </c>
      <c r="H2998" s="8">
        <v>5</v>
      </c>
      <c r="I2998" s="10">
        <v>42125</v>
      </c>
      <c r="J2998" s="11">
        <v>2581</v>
      </c>
      <c r="K2998" s="51"/>
      <c r="O2998" s="1" t="s">
        <v>12</v>
      </c>
      <c r="P2998" s="1" t="s">
        <v>34</v>
      </c>
      <c r="Q2998" s="1" t="s">
        <v>35</v>
      </c>
      <c r="R2998" s="1" t="s">
        <v>23</v>
      </c>
      <c r="S2998" s="1" t="s">
        <v>39</v>
      </c>
      <c r="T2998" s="1">
        <v>2015</v>
      </c>
      <c r="U2998" s="1">
        <v>5</v>
      </c>
      <c r="V2998" s="50">
        <v>42125</v>
      </c>
      <c r="W2998" s="4">
        <v>2374.52</v>
      </c>
      <c r="X2998" s="48">
        <v>2581</v>
      </c>
    </row>
    <row r="2999" spans="2:24" x14ac:dyDescent="0.35">
      <c r="B2999" s="8" t="s">
        <v>14</v>
      </c>
      <c r="C2999" s="8" t="s">
        <v>37</v>
      </c>
      <c r="D2999" s="8" t="s">
        <v>38</v>
      </c>
      <c r="E2999" s="8" t="s">
        <v>0</v>
      </c>
      <c r="F2999" s="8" t="s">
        <v>42</v>
      </c>
      <c r="G2999" s="8">
        <v>2015</v>
      </c>
      <c r="H2999" s="8">
        <v>5</v>
      </c>
      <c r="I2999" s="10">
        <v>42125</v>
      </c>
      <c r="J2999" s="11">
        <v>5949</v>
      </c>
      <c r="K2999" s="51"/>
      <c r="O2999" s="1" t="s">
        <v>14</v>
      </c>
      <c r="P2999" s="1" t="s">
        <v>37</v>
      </c>
      <c r="Q2999" s="1" t="s">
        <v>38</v>
      </c>
      <c r="R2999" s="1" t="s">
        <v>0</v>
      </c>
      <c r="S2999" s="1" t="s">
        <v>42</v>
      </c>
      <c r="T2999" s="1">
        <v>2015</v>
      </c>
      <c r="U2999" s="1">
        <v>5</v>
      </c>
      <c r="V2999" s="50">
        <v>42125</v>
      </c>
      <c r="W2999" s="4">
        <v>5235.119999999999</v>
      </c>
      <c r="X2999" s="48">
        <v>5949</v>
      </c>
    </row>
    <row r="3000" spans="2:24" x14ac:dyDescent="0.35">
      <c r="B3000" s="8" t="s">
        <v>6</v>
      </c>
      <c r="C3000" s="8" t="s">
        <v>29</v>
      </c>
      <c r="D3000" s="8" t="s">
        <v>30</v>
      </c>
      <c r="E3000" s="8" t="s">
        <v>0</v>
      </c>
      <c r="F3000" s="8" t="s">
        <v>45</v>
      </c>
      <c r="G3000" s="8">
        <v>2015</v>
      </c>
      <c r="H3000" s="8">
        <v>5</v>
      </c>
      <c r="I3000" s="10">
        <v>42125</v>
      </c>
      <c r="J3000" s="11">
        <v>4418</v>
      </c>
      <c r="K3000" s="51"/>
      <c r="O3000" s="1" t="s">
        <v>6</v>
      </c>
      <c r="P3000" s="1" t="s">
        <v>29</v>
      </c>
      <c r="Q3000" s="1" t="s">
        <v>30</v>
      </c>
      <c r="R3000" s="1" t="s">
        <v>0</v>
      </c>
      <c r="S3000" s="1" t="s">
        <v>45</v>
      </c>
      <c r="T3000" s="1">
        <v>2015</v>
      </c>
      <c r="U3000" s="1">
        <v>5</v>
      </c>
      <c r="V3000" s="50">
        <v>42125</v>
      </c>
      <c r="W3000" s="4">
        <v>3887.8399999999997</v>
      </c>
      <c r="X3000" s="48">
        <v>4418</v>
      </c>
    </row>
    <row r="3001" spans="2:24" x14ac:dyDescent="0.35">
      <c r="B3001" s="8" t="s">
        <v>7</v>
      </c>
      <c r="C3001" s="8" t="s">
        <v>43</v>
      </c>
      <c r="D3001" s="8" t="s">
        <v>10</v>
      </c>
      <c r="E3001" s="8" t="s">
        <v>27</v>
      </c>
      <c r="F3001" s="6" t="s">
        <v>28</v>
      </c>
      <c r="G3001" s="8">
        <v>2015</v>
      </c>
      <c r="H3001" s="8">
        <v>5</v>
      </c>
      <c r="I3001" s="10">
        <v>42125</v>
      </c>
      <c r="J3001" s="11">
        <v>4366</v>
      </c>
      <c r="K3001" s="51"/>
      <c r="O3001" s="1" t="s">
        <v>7</v>
      </c>
      <c r="P3001" s="1" t="s">
        <v>43</v>
      </c>
      <c r="Q3001" s="1" t="s">
        <v>10</v>
      </c>
      <c r="R3001" s="1" t="s">
        <v>27</v>
      </c>
      <c r="S3001" t="s">
        <v>28</v>
      </c>
      <c r="T3001" s="1">
        <v>2015</v>
      </c>
      <c r="U3001" s="1">
        <v>5</v>
      </c>
      <c r="V3001" s="50">
        <v>42125</v>
      </c>
      <c r="W3001" s="4">
        <v>4016.72</v>
      </c>
      <c r="X3001" s="48">
        <v>4366</v>
      </c>
    </row>
    <row r="3002" spans="2:24" x14ac:dyDescent="0.35">
      <c r="B3002" s="8" t="s">
        <v>12</v>
      </c>
      <c r="C3002" s="8" t="s">
        <v>44</v>
      </c>
      <c r="D3002" s="8" t="s">
        <v>13</v>
      </c>
      <c r="E3002" s="8" t="s">
        <v>27</v>
      </c>
      <c r="F3002" s="6" t="s">
        <v>31</v>
      </c>
      <c r="G3002" s="8">
        <v>2015</v>
      </c>
      <c r="H3002" s="8">
        <v>5</v>
      </c>
      <c r="I3002" s="10">
        <v>42125</v>
      </c>
      <c r="J3002" s="11">
        <v>4094</v>
      </c>
      <c r="K3002" s="51"/>
      <c r="O3002" s="1" t="s">
        <v>12</v>
      </c>
      <c r="P3002" s="1" t="s">
        <v>44</v>
      </c>
      <c r="Q3002" s="1" t="s">
        <v>13</v>
      </c>
      <c r="R3002" s="1" t="s">
        <v>27</v>
      </c>
      <c r="S3002" t="s">
        <v>31</v>
      </c>
      <c r="T3002" s="1">
        <v>2015</v>
      </c>
      <c r="U3002" s="1">
        <v>5</v>
      </c>
      <c r="V3002" s="50">
        <v>42125</v>
      </c>
      <c r="W3002" s="4">
        <v>3766.4799999999996</v>
      </c>
      <c r="X3002" s="48">
        <v>4094</v>
      </c>
    </row>
    <row r="3003" spans="2:24" x14ac:dyDescent="0.35">
      <c r="B3003" s="8" t="s">
        <v>14</v>
      </c>
      <c r="C3003" s="8" t="s">
        <v>46</v>
      </c>
      <c r="D3003" s="8" t="s">
        <v>47</v>
      </c>
      <c r="E3003" s="8" t="s">
        <v>27</v>
      </c>
      <c r="F3003" s="6" t="s">
        <v>33</v>
      </c>
      <c r="G3003" s="8">
        <v>2015</v>
      </c>
      <c r="H3003" s="8">
        <v>5</v>
      </c>
      <c r="I3003" s="10">
        <v>42125</v>
      </c>
      <c r="J3003" s="11">
        <v>3095</v>
      </c>
      <c r="K3003" s="51"/>
      <c r="O3003" s="1" t="s">
        <v>14</v>
      </c>
      <c r="P3003" s="1" t="s">
        <v>46</v>
      </c>
      <c r="Q3003" s="1" t="s">
        <v>47</v>
      </c>
      <c r="R3003" s="1" t="s">
        <v>27</v>
      </c>
      <c r="S3003" t="s">
        <v>33</v>
      </c>
      <c r="T3003" s="1">
        <v>2015</v>
      </c>
      <c r="U3003" s="1">
        <v>5</v>
      </c>
      <c r="V3003" s="50">
        <v>42125</v>
      </c>
      <c r="W3003" s="4">
        <v>2909.2999999999997</v>
      </c>
      <c r="X3003" s="48">
        <v>3095</v>
      </c>
    </row>
    <row r="3004" spans="2:24" x14ac:dyDescent="0.35">
      <c r="B3004" s="8" t="s">
        <v>3</v>
      </c>
      <c r="C3004" s="8" t="s">
        <v>22</v>
      </c>
      <c r="D3004" s="8" t="s">
        <v>5</v>
      </c>
      <c r="E3004" s="9" t="s">
        <v>23</v>
      </c>
      <c r="F3004" s="9" t="s">
        <v>36</v>
      </c>
      <c r="G3004" s="8">
        <v>2015</v>
      </c>
      <c r="H3004" s="8">
        <v>5</v>
      </c>
      <c r="I3004" s="10">
        <v>42125</v>
      </c>
      <c r="J3004" s="11">
        <v>1982</v>
      </c>
      <c r="K3004" s="51"/>
      <c r="O3004" s="1" t="s">
        <v>3</v>
      </c>
      <c r="P3004" s="1" t="s">
        <v>22</v>
      </c>
      <c r="Q3004" s="1" t="s">
        <v>5</v>
      </c>
      <c r="R3004" s="2" t="s">
        <v>23</v>
      </c>
      <c r="S3004" s="2" t="s">
        <v>36</v>
      </c>
      <c r="T3004" s="1">
        <v>2015</v>
      </c>
      <c r="U3004" s="1">
        <v>5</v>
      </c>
      <c r="V3004" s="50">
        <v>42125</v>
      </c>
      <c r="W3004" s="4">
        <v>1744.1599999999999</v>
      </c>
      <c r="X3004" s="48">
        <v>1982</v>
      </c>
    </row>
    <row r="3005" spans="2:24" x14ac:dyDescent="0.35">
      <c r="B3005" s="8" t="s">
        <v>6</v>
      </c>
      <c r="C3005" s="8" t="s">
        <v>40</v>
      </c>
      <c r="D3005" s="8" t="s">
        <v>41</v>
      </c>
      <c r="E3005" s="8" t="s">
        <v>23</v>
      </c>
      <c r="F3005" s="9" t="s">
        <v>24</v>
      </c>
      <c r="G3005" s="8">
        <v>2015</v>
      </c>
      <c r="H3005" s="8">
        <v>5</v>
      </c>
      <c r="I3005" s="10">
        <v>42125</v>
      </c>
      <c r="J3005" s="11">
        <v>3203</v>
      </c>
      <c r="K3005" s="51"/>
      <c r="O3005" s="1" t="s">
        <v>6</v>
      </c>
      <c r="P3005" s="1" t="s">
        <v>40</v>
      </c>
      <c r="Q3005" s="1" t="s">
        <v>41</v>
      </c>
      <c r="R3005" s="1" t="s">
        <v>23</v>
      </c>
      <c r="S3005" s="2" t="s">
        <v>24</v>
      </c>
      <c r="T3005" s="1">
        <v>2015</v>
      </c>
      <c r="U3005" s="1">
        <v>5</v>
      </c>
      <c r="V3005" s="50">
        <v>42125</v>
      </c>
      <c r="W3005" s="4">
        <v>2786.6100000000006</v>
      </c>
      <c r="X3005" s="48">
        <v>3203</v>
      </c>
    </row>
    <row r="3006" spans="2:24" x14ac:dyDescent="0.35">
      <c r="B3006" s="8" t="s">
        <v>7</v>
      </c>
      <c r="C3006" s="8" t="s">
        <v>32</v>
      </c>
      <c r="D3006" s="8" t="s">
        <v>8</v>
      </c>
      <c r="E3006" s="8" t="s">
        <v>23</v>
      </c>
      <c r="F3006" s="6" t="s">
        <v>39</v>
      </c>
      <c r="G3006" s="8">
        <v>2015</v>
      </c>
      <c r="H3006" s="8">
        <v>5</v>
      </c>
      <c r="I3006" s="10">
        <v>42125</v>
      </c>
      <c r="J3006" s="11">
        <v>2324</v>
      </c>
      <c r="K3006" s="51"/>
      <c r="O3006" s="1" t="s">
        <v>7</v>
      </c>
      <c r="P3006" s="1" t="s">
        <v>32</v>
      </c>
      <c r="Q3006" s="1" t="s">
        <v>8</v>
      </c>
      <c r="R3006" s="1" t="s">
        <v>23</v>
      </c>
      <c r="S3006" t="s">
        <v>39</v>
      </c>
      <c r="T3006" s="1">
        <v>2015</v>
      </c>
      <c r="U3006" s="1">
        <v>5</v>
      </c>
      <c r="V3006" s="50">
        <v>42125</v>
      </c>
      <c r="W3006" s="4">
        <v>2138.08</v>
      </c>
      <c r="X3006" s="48">
        <v>2324</v>
      </c>
    </row>
    <row r="3007" spans="2:24" x14ac:dyDescent="0.35">
      <c r="B3007" s="8" t="s">
        <v>12</v>
      </c>
      <c r="C3007" s="8" t="s">
        <v>34</v>
      </c>
      <c r="D3007" s="8" t="s">
        <v>35</v>
      </c>
      <c r="E3007" s="8" t="s">
        <v>0</v>
      </c>
      <c r="F3007" s="8" t="s">
        <v>42</v>
      </c>
      <c r="G3007" s="8">
        <v>2015</v>
      </c>
      <c r="H3007" s="8">
        <v>5</v>
      </c>
      <c r="I3007" s="10">
        <v>42125</v>
      </c>
      <c r="J3007" s="11">
        <v>5055</v>
      </c>
      <c r="K3007" s="51"/>
      <c r="O3007" s="1" t="s">
        <v>12</v>
      </c>
      <c r="P3007" s="1" t="s">
        <v>34</v>
      </c>
      <c r="Q3007" s="1" t="s">
        <v>35</v>
      </c>
      <c r="R3007" s="1" t="s">
        <v>0</v>
      </c>
      <c r="S3007" s="1" t="s">
        <v>42</v>
      </c>
      <c r="T3007" s="1">
        <v>2015</v>
      </c>
      <c r="U3007" s="1">
        <v>5</v>
      </c>
      <c r="V3007" s="50">
        <v>42125</v>
      </c>
      <c r="W3007" s="4">
        <v>4650.5999999999995</v>
      </c>
      <c r="X3007" s="48">
        <v>5055</v>
      </c>
    </row>
    <row r="3008" spans="2:24" x14ac:dyDescent="0.35">
      <c r="B3008" s="8" t="s">
        <v>14</v>
      </c>
      <c r="C3008" s="8" t="s">
        <v>37</v>
      </c>
      <c r="D3008" s="8" t="s">
        <v>38</v>
      </c>
      <c r="E3008" s="8" t="s">
        <v>0</v>
      </c>
      <c r="F3008" s="8" t="s">
        <v>26</v>
      </c>
      <c r="G3008" s="8">
        <v>2015</v>
      </c>
      <c r="H3008" s="8">
        <v>5</v>
      </c>
      <c r="I3008" s="10">
        <v>42125</v>
      </c>
      <c r="J3008" s="11">
        <v>3277</v>
      </c>
      <c r="K3008" s="51"/>
      <c r="O3008" s="1" t="s">
        <v>14</v>
      </c>
      <c r="P3008" s="1" t="s">
        <v>37</v>
      </c>
      <c r="Q3008" s="1" t="s">
        <v>38</v>
      </c>
      <c r="R3008" s="1" t="s">
        <v>0</v>
      </c>
      <c r="S3008" s="1" t="s">
        <v>26</v>
      </c>
      <c r="T3008" s="1">
        <v>2015</v>
      </c>
      <c r="U3008" s="1">
        <v>5</v>
      </c>
      <c r="V3008" s="50">
        <v>42125</v>
      </c>
      <c r="W3008" s="4">
        <v>2883.7599999999998</v>
      </c>
      <c r="X3008" s="48">
        <v>3277</v>
      </c>
    </row>
    <row r="3009" spans="2:24" x14ac:dyDescent="0.35">
      <c r="B3009" s="6" t="s">
        <v>3</v>
      </c>
      <c r="C3009" s="6" t="s">
        <v>25</v>
      </c>
      <c r="D3009" s="6" t="s">
        <v>4</v>
      </c>
      <c r="E3009" s="6" t="s">
        <v>0</v>
      </c>
      <c r="F3009" s="6" t="s">
        <v>45</v>
      </c>
      <c r="G3009" s="6">
        <v>2015</v>
      </c>
      <c r="H3009" s="6">
        <v>5</v>
      </c>
      <c r="I3009" s="10">
        <v>42125</v>
      </c>
      <c r="J3009" s="6">
        <v>3200</v>
      </c>
      <c r="K3009" s="51"/>
      <c r="O3009" t="s">
        <v>3</v>
      </c>
      <c r="P3009" t="s">
        <v>25</v>
      </c>
      <c r="Q3009" t="s">
        <v>4</v>
      </c>
      <c r="R3009" t="s">
        <v>0</v>
      </c>
      <c r="S3009" t="s">
        <v>45</v>
      </c>
      <c r="T3009">
        <v>2015</v>
      </c>
      <c r="U3009">
        <v>5</v>
      </c>
      <c r="V3009" s="51">
        <v>42125</v>
      </c>
      <c r="W3009" s="4">
        <v>2976</v>
      </c>
      <c r="X3009" s="52">
        <v>3200</v>
      </c>
    </row>
    <row r="3010" spans="2:24" x14ac:dyDescent="0.35">
      <c r="B3010" s="6" t="s">
        <v>6</v>
      </c>
      <c r="C3010" s="6" t="s">
        <v>29</v>
      </c>
      <c r="D3010" s="6" t="s">
        <v>30</v>
      </c>
      <c r="E3010" s="6" t="s">
        <v>27</v>
      </c>
      <c r="F3010" s="6" t="s">
        <v>28</v>
      </c>
      <c r="G3010" s="6">
        <v>2015</v>
      </c>
      <c r="H3010" s="6">
        <v>5</v>
      </c>
      <c r="I3010" s="10">
        <v>42125</v>
      </c>
      <c r="J3010" s="6">
        <v>4497</v>
      </c>
      <c r="K3010" s="51"/>
      <c r="O3010" t="s">
        <v>6</v>
      </c>
      <c r="P3010" t="s">
        <v>29</v>
      </c>
      <c r="Q3010" t="s">
        <v>30</v>
      </c>
      <c r="R3010" t="s">
        <v>27</v>
      </c>
      <c r="S3010" t="s">
        <v>28</v>
      </c>
      <c r="T3010">
        <v>2015</v>
      </c>
      <c r="U3010">
        <v>5</v>
      </c>
      <c r="V3010" s="51">
        <v>42125</v>
      </c>
      <c r="W3010" s="4">
        <v>3957.3599999999997</v>
      </c>
      <c r="X3010" s="52">
        <v>4497</v>
      </c>
    </row>
    <row r="3011" spans="2:24" x14ac:dyDescent="0.35">
      <c r="B3011" s="6" t="s">
        <v>7</v>
      </c>
      <c r="C3011" s="6" t="s">
        <v>43</v>
      </c>
      <c r="D3011" s="6" t="s">
        <v>10</v>
      </c>
      <c r="E3011" s="6" t="s">
        <v>27</v>
      </c>
      <c r="F3011" s="6" t="s">
        <v>31</v>
      </c>
      <c r="G3011" s="6">
        <v>2015</v>
      </c>
      <c r="H3011" s="6">
        <v>5</v>
      </c>
      <c r="I3011" s="10">
        <v>42125</v>
      </c>
      <c r="J3011" s="6">
        <v>3988</v>
      </c>
      <c r="K3011" s="51"/>
      <c r="O3011" t="s">
        <v>7</v>
      </c>
      <c r="P3011" t="s">
        <v>43</v>
      </c>
      <c r="Q3011" t="s">
        <v>10</v>
      </c>
      <c r="R3011" t="s">
        <v>27</v>
      </c>
      <c r="S3011" t="s">
        <v>31</v>
      </c>
      <c r="T3011">
        <v>2015</v>
      </c>
      <c r="U3011">
        <v>5</v>
      </c>
      <c r="V3011" s="51">
        <v>42125</v>
      </c>
      <c r="W3011" s="4">
        <v>3629.08</v>
      </c>
      <c r="X3011" s="52">
        <v>3988</v>
      </c>
    </row>
    <row r="3012" spans="2:24" x14ac:dyDescent="0.35">
      <c r="B3012" s="6" t="s">
        <v>12</v>
      </c>
      <c r="C3012" s="6" t="s">
        <v>44</v>
      </c>
      <c r="D3012" s="6" t="s">
        <v>13</v>
      </c>
      <c r="E3012" s="6" t="s">
        <v>27</v>
      </c>
      <c r="F3012" s="6" t="s">
        <v>33</v>
      </c>
      <c r="G3012" s="6">
        <v>2015</v>
      </c>
      <c r="H3012" s="6">
        <v>5</v>
      </c>
      <c r="I3012" s="10">
        <v>42125</v>
      </c>
      <c r="J3012" s="6">
        <v>3977</v>
      </c>
      <c r="K3012" s="51"/>
      <c r="O3012" t="s">
        <v>12</v>
      </c>
      <c r="P3012" t="s">
        <v>44</v>
      </c>
      <c r="Q3012" t="s">
        <v>13</v>
      </c>
      <c r="R3012" t="s">
        <v>27</v>
      </c>
      <c r="S3012" t="s">
        <v>33</v>
      </c>
      <c r="T3012">
        <v>2015</v>
      </c>
      <c r="U3012">
        <v>5</v>
      </c>
      <c r="V3012" s="51">
        <v>42125</v>
      </c>
      <c r="W3012" s="4">
        <v>3499.7599999999998</v>
      </c>
      <c r="X3012" s="52">
        <v>3977</v>
      </c>
    </row>
    <row r="3013" spans="2:24" x14ac:dyDescent="0.35">
      <c r="B3013" s="6" t="s">
        <v>14</v>
      </c>
      <c r="C3013" s="6" t="s">
        <v>46</v>
      </c>
      <c r="D3013" s="6" t="s">
        <v>47</v>
      </c>
      <c r="E3013" s="6" t="s">
        <v>23</v>
      </c>
      <c r="F3013" s="6" t="s">
        <v>36</v>
      </c>
      <c r="G3013" s="6">
        <v>2015</v>
      </c>
      <c r="H3013" s="6">
        <v>5</v>
      </c>
      <c r="I3013" s="10">
        <v>42125</v>
      </c>
      <c r="J3013" s="6">
        <v>2555</v>
      </c>
      <c r="K3013" s="51"/>
      <c r="O3013" t="s">
        <v>14</v>
      </c>
      <c r="P3013" t="s">
        <v>46</v>
      </c>
      <c r="Q3013" t="s">
        <v>47</v>
      </c>
      <c r="R3013" t="s">
        <v>23</v>
      </c>
      <c r="S3013" t="s">
        <v>36</v>
      </c>
      <c r="T3013">
        <v>2015</v>
      </c>
      <c r="U3013">
        <v>5</v>
      </c>
      <c r="V3013" s="51">
        <v>42125</v>
      </c>
      <c r="W3013" s="4">
        <v>2325.0499999999997</v>
      </c>
      <c r="X3013" s="52">
        <v>2555</v>
      </c>
    </row>
    <row r="3014" spans="2:24" x14ac:dyDescent="0.35">
      <c r="B3014" s="6" t="s">
        <v>6</v>
      </c>
      <c r="C3014" s="6" t="s">
        <v>29</v>
      </c>
      <c r="D3014" s="6" t="s">
        <v>30</v>
      </c>
      <c r="E3014" s="6" t="s">
        <v>23</v>
      </c>
      <c r="F3014" s="6" t="s">
        <v>39</v>
      </c>
      <c r="G3014" s="6">
        <v>2015</v>
      </c>
      <c r="H3014" s="6">
        <v>5</v>
      </c>
      <c r="I3014" s="10">
        <v>42125</v>
      </c>
      <c r="J3014" s="6">
        <v>2686</v>
      </c>
      <c r="K3014" s="51"/>
      <c r="O3014" t="s">
        <v>6</v>
      </c>
      <c r="P3014" t="s">
        <v>29</v>
      </c>
      <c r="Q3014" t="s">
        <v>30</v>
      </c>
      <c r="R3014" t="s">
        <v>23</v>
      </c>
      <c r="S3014" t="s">
        <v>39</v>
      </c>
      <c r="T3014">
        <v>2015</v>
      </c>
      <c r="U3014">
        <v>5</v>
      </c>
      <c r="V3014" s="51">
        <v>42125</v>
      </c>
      <c r="W3014" s="4">
        <v>2283.1000000000004</v>
      </c>
      <c r="X3014" s="52">
        <v>2686</v>
      </c>
    </row>
    <row r="3015" spans="2:24" x14ac:dyDescent="0.35">
      <c r="B3015" s="6" t="s">
        <v>7</v>
      </c>
      <c r="C3015" s="6" t="s">
        <v>32</v>
      </c>
      <c r="D3015" s="6" t="s">
        <v>8</v>
      </c>
      <c r="E3015" s="6" t="s">
        <v>0</v>
      </c>
      <c r="F3015" s="6" t="s">
        <v>42</v>
      </c>
      <c r="G3015" s="6">
        <v>2015</v>
      </c>
      <c r="H3015" s="6">
        <v>5</v>
      </c>
      <c r="I3015" s="10">
        <v>42125</v>
      </c>
      <c r="J3015" s="6">
        <v>5730</v>
      </c>
      <c r="K3015" s="51"/>
      <c r="O3015" t="s">
        <v>7</v>
      </c>
      <c r="P3015" t="s">
        <v>32</v>
      </c>
      <c r="Q3015" t="s">
        <v>8</v>
      </c>
      <c r="R3015" t="s">
        <v>0</v>
      </c>
      <c r="S3015" t="s">
        <v>42</v>
      </c>
      <c r="T3015">
        <v>2015</v>
      </c>
      <c r="U3015">
        <v>5</v>
      </c>
      <c r="V3015" s="51">
        <v>42125</v>
      </c>
      <c r="W3015" s="4">
        <v>5328.9</v>
      </c>
      <c r="X3015" s="52">
        <v>5730</v>
      </c>
    </row>
    <row r="3016" spans="2:24" x14ac:dyDescent="0.35">
      <c r="B3016" s="6" t="s">
        <v>12</v>
      </c>
      <c r="C3016" s="6" t="s">
        <v>44</v>
      </c>
      <c r="D3016" s="6" t="s">
        <v>13</v>
      </c>
      <c r="E3016" s="6" t="s">
        <v>0</v>
      </c>
      <c r="F3016" s="6" t="s">
        <v>26</v>
      </c>
      <c r="G3016" s="6">
        <v>2015</v>
      </c>
      <c r="H3016" s="6">
        <v>5</v>
      </c>
      <c r="I3016" s="10">
        <v>42125</v>
      </c>
      <c r="J3016" s="6">
        <v>5237</v>
      </c>
      <c r="K3016" s="51"/>
      <c r="O3016" t="s">
        <v>12</v>
      </c>
      <c r="P3016" t="s">
        <v>44</v>
      </c>
      <c r="Q3016" t="s">
        <v>13</v>
      </c>
      <c r="R3016" t="s">
        <v>0</v>
      </c>
      <c r="S3016" t="s">
        <v>26</v>
      </c>
      <c r="T3016">
        <v>2015</v>
      </c>
      <c r="U3016">
        <v>5</v>
      </c>
      <c r="V3016" s="51">
        <v>42125</v>
      </c>
      <c r="W3016" s="4">
        <v>4660.9299999999994</v>
      </c>
      <c r="X3016" s="52">
        <v>5237</v>
      </c>
    </row>
    <row r="3017" spans="2:24" x14ac:dyDescent="0.35">
      <c r="B3017" s="6" t="s">
        <v>14</v>
      </c>
      <c r="C3017" s="6" t="s">
        <v>37</v>
      </c>
      <c r="D3017" s="6" t="s">
        <v>38</v>
      </c>
      <c r="E3017" s="6" t="s">
        <v>0</v>
      </c>
      <c r="F3017" s="6" t="s">
        <v>45</v>
      </c>
      <c r="G3017" s="6">
        <v>2015</v>
      </c>
      <c r="H3017" s="6">
        <v>5</v>
      </c>
      <c r="I3017" s="10">
        <v>42125</v>
      </c>
      <c r="J3017" s="6">
        <v>4487</v>
      </c>
      <c r="K3017" s="51"/>
      <c r="O3017" t="s">
        <v>14</v>
      </c>
      <c r="P3017" t="s">
        <v>37</v>
      </c>
      <c r="Q3017" t="s">
        <v>38</v>
      </c>
      <c r="R3017" t="s">
        <v>0</v>
      </c>
      <c r="S3017" t="s">
        <v>45</v>
      </c>
      <c r="T3017">
        <v>2015</v>
      </c>
      <c r="U3017">
        <v>5</v>
      </c>
      <c r="V3017" s="51">
        <v>42125</v>
      </c>
      <c r="W3017" s="4">
        <v>3903.6900000000005</v>
      </c>
      <c r="X3017" s="52">
        <v>4487</v>
      </c>
    </row>
    <row r="3018" spans="2:24" x14ac:dyDescent="0.35">
      <c r="B3018" s="6" t="s">
        <v>3</v>
      </c>
      <c r="C3018" s="6" t="s">
        <v>25</v>
      </c>
      <c r="D3018" s="6" t="s">
        <v>4</v>
      </c>
      <c r="E3018" s="6" t="s">
        <v>27</v>
      </c>
      <c r="F3018" s="6" t="s">
        <v>28</v>
      </c>
      <c r="G3018" s="6">
        <v>2015</v>
      </c>
      <c r="H3018" s="6">
        <v>5</v>
      </c>
      <c r="I3018" s="10">
        <v>42125</v>
      </c>
      <c r="J3018" s="6">
        <v>4433</v>
      </c>
      <c r="K3018" s="51"/>
      <c r="O3018" t="s">
        <v>3</v>
      </c>
      <c r="P3018" t="s">
        <v>25</v>
      </c>
      <c r="Q3018" t="s">
        <v>4</v>
      </c>
      <c r="R3018" t="s">
        <v>27</v>
      </c>
      <c r="S3018" t="s">
        <v>28</v>
      </c>
      <c r="T3018">
        <v>2015</v>
      </c>
      <c r="U3018">
        <v>5</v>
      </c>
      <c r="V3018" s="51">
        <v>42125</v>
      </c>
      <c r="W3018" s="4">
        <v>3989.7</v>
      </c>
      <c r="X3018" s="52">
        <v>4433</v>
      </c>
    </row>
    <row r="3019" spans="2:24" x14ac:dyDescent="0.35">
      <c r="B3019" s="6" t="s">
        <v>3</v>
      </c>
      <c r="C3019" s="6" t="s">
        <v>25</v>
      </c>
      <c r="D3019" s="6" t="s">
        <v>4</v>
      </c>
      <c r="E3019" s="6" t="s">
        <v>27</v>
      </c>
      <c r="F3019" s="6" t="s">
        <v>31</v>
      </c>
      <c r="G3019" s="6">
        <v>2015</v>
      </c>
      <c r="H3019" s="6">
        <v>5</v>
      </c>
      <c r="I3019" s="10">
        <v>42125</v>
      </c>
      <c r="J3019" s="6">
        <v>4608</v>
      </c>
      <c r="K3019" s="51"/>
      <c r="O3019" t="s">
        <v>3</v>
      </c>
      <c r="P3019" t="s">
        <v>25</v>
      </c>
      <c r="Q3019" t="s">
        <v>4</v>
      </c>
      <c r="R3019" t="s">
        <v>27</v>
      </c>
      <c r="S3019" t="s">
        <v>31</v>
      </c>
      <c r="T3019">
        <v>2015</v>
      </c>
      <c r="U3019">
        <v>5</v>
      </c>
      <c r="V3019" s="51">
        <v>42125</v>
      </c>
      <c r="W3019" s="4">
        <v>4331.5199999999995</v>
      </c>
      <c r="X3019" s="52">
        <v>4608</v>
      </c>
    </row>
    <row r="3020" spans="2:24" x14ac:dyDescent="0.35">
      <c r="B3020" s="6" t="s">
        <v>6</v>
      </c>
      <c r="C3020" s="6" t="s">
        <v>40</v>
      </c>
      <c r="D3020" s="6" t="s">
        <v>41</v>
      </c>
      <c r="E3020" s="6" t="s">
        <v>27</v>
      </c>
      <c r="F3020" s="6" t="s">
        <v>33</v>
      </c>
      <c r="G3020" s="6">
        <v>2015</v>
      </c>
      <c r="H3020" s="6">
        <v>5</v>
      </c>
      <c r="I3020" s="10">
        <v>42125</v>
      </c>
      <c r="J3020" s="6">
        <v>3458</v>
      </c>
      <c r="K3020" s="51"/>
      <c r="O3020" t="s">
        <v>6</v>
      </c>
      <c r="P3020" t="s">
        <v>40</v>
      </c>
      <c r="Q3020" t="s">
        <v>41</v>
      </c>
      <c r="R3020" t="s">
        <v>27</v>
      </c>
      <c r="S3020" t="s">
        <v>33</v>
      </c>
      <c r="T3020">
        <v>2015</v>
      </c>
      <c r="U3020">
        <v>5</v>
      </c>
      <c r="V3020" s="51">
        <v>42125</v>
      </c>
      <c r="W3020" s="4">
        <v>3008.4600000000005</v>
      </c>
      <c r="X3020" s="52">
        <v>3458</v>
      </c>
    </row>
    <row r="3021" spans="2:24" x14ac:dyDescent="0.35">
      <c r="B3021" s="6" t="s">
        <v>6</v>
      </c>
      <c r="C3021" s="6" t="s">
        <v>40</v>
      </c>
      <c r="D3021" s="6" t="s">
        <v>41</v>
      </c>
      <c r="E3021" s="6" t="s">
        <v>23</v>
      </c>
      <c r="F3021" s="6" t="s">
        <v>36</v>
      </c>
      <c r="G3021" s="6">
        <v>2015</v>
      </c>
      <c r="H3021" s="6">
        <v>5</v>
      </c>
      <c r="I3021" s="10">
        <v>42125</v>
      </c>
      <c r="J3021" s="6">
        <v>2537</v>
      </c>
      <c r="K3021" s="51"/>
      <c r="O3021" t="s">
        <v>6</v>
      </c>
      <c r="P3021" t="s">
        <v>40</v>
      </c>
      <c r="Q3021" t="s">
        <v>41</v>
      </c>
      <c r="R3021" t="s">
        <v>23</v>
      </c>
      <c r="S3021" t="s">
        <v>36</v>
      </c>
      <c r="T3021">
        <v>2015</v>
      </c>
      <c r="U3021">
        <v>5</v>
      </c>
      <c r="V3021" s="51">
        <v>42125</v>
      </c>
      <c r="W3021" s="4">
        <v>2232.5599999999995</v>
      </c>
      <c r="X3021" s="52">
        <v>2537</v>
      </c>
    </row>
    <row r="3022" spans="2:24" x14ac:dyDescent="0.35">
      <c r="B3022" s="6" t="s">
        <v>7</v>
      </c>
      <c r="C3022" s="6" t="s">
        <v>43</v>
      </c>
      <c r="D3022" s="6" t="s">
        <v>10</v>
      </c>
      <c r="E3022" s="6" t="s">
        <v>23</v>
      </c>
      <c r="F3022" s="6" t="s">
        <v>24</v>
      </c>
      <c r="G3022" s="6">
        <v>2015</v>
      </c>
      <c r="H3022" s="6">
        <v>5</v>
      </c>
      <c r="I3022" s="10">
        <v>42125</v>
      </c>
      <c r="J3022" s="6">
        <v>1948</v>
      </c>
      <c r="K3022" s="51"/>
      <c r="O3022" t="s">
        <v>7</v>
      </c>
      <c r="P3022" t="s">
        <v>43</v>
      </c>
      <c r="Q3022" t="s">
        <v>10</v>
      </c>
      <c r="R3022" t="s">
        <v>23</v>
      </c>
      <c r="S3022" t="s">
        <v>24</v>
      </c>
      <c r="T3022">
        <v>2015</v>
      </c>
      <c r="U3022">
        <v>5</v>
      </c>
      <c r="V3022" s="51">
        <v>42125</v>
      </c>
      <c r="W3022" s="4">
        <v>1753.1999999999998</v>
      </c>
      <c r="X3022" s="52">
        <v>1948</v>
      </c>
    </row>
    <row r="3023" spans="2:24" x14ac:dyDescent="0.35">
      <c r="B3023" s="6" t="s">
        <v>7</v>
      </c>
      <c r="C3023" s="6" t="s">
        <v>43</v>
      </c>
      <c r="D3023" s="6" t="s">
        <v>10</v>
      </c>
      <c r="E3023" s="6" t="s">
        <v>23</v>
      </c>
      <c r="F3023" s="6" t="s">
        <v>39</v>
      </c>
      <c r="G3023" s="6">
        <v>2015</v>
      </c>
      <c r="H3023" s="6">
        <v>5</v>
      </c>
      <c r="I3023" s="10">
        <v>42125</v>
      </c>
      <c r="J3023" s="6">
        <v>1757</v>
      </c>
      <c r="K3023" s="51"/>
      <c r="O3023" t="s">
        <v>7</v>
      </c>
      <c r="P3023" t="s">
        <v>43</v>
      </c>
      <c r="Q3023" t="s">
        <v>10</v>
      </c>
      <c r="R3023" t="s">
        <v>23</v>
      </c>
      <c r="S3023" t="s">
        <v>39</v>
      </c>
      <c r="T3023">
        <v>2015</v>
      </c>
      <c r="U3023">
        <v>5</v>
      </c>
      <c r="V3023" s="51">
        <v>42125</v>
      </c>
      <c r="W3023" s="4">
        <v>1546.1599999999999</v>
      </c>
      <c r="X3023" s="52">
        <v>1757</v>
      </c>
    </row>
    <row r="3024" spans="2:24" x14ac:dyDescent="0.35">
      <c r="B3024" s="6" t="s">
        <v>7</v>
      </c>
      <c r="C3024" s="6" t="s">
        <v>32</v>
      </c>
      <c r="D3024" s="6" t="s">
        <v>8</v>
      </c>
      <c r="E3024" s="6" t="s">
        <v>0</v>
      </c>
      <c r="F3024" s="6" t="s">
        <v>26</v>
      </c>
      <c r="G3024" s="6">
        <v>2015</v>
      </c>
      <c r="H3024" s="6">
        <v>5</v>
      </c>
      <c r="I3024" s="10">
        <v>42125</v>
      </c>
      <c r="J3024" s="6">
        <v>4236</v>
      </c>
      <c r="K3024" s="51"/>
      <c r="O3024" t="s">
        <v>7</v>
      </c>
      <c r="P3024" t="s">
        <v>32</v>
      </c>
      <c r="Q3024" t="s">
        <v>8</v>
      </c>
      <c r="R3024" t="s">
        <v>0</v>
      </c>
      <c r="S3024" t="s">
        <v>26</v>
      </c>
      <c r="T3024">
        <v>2015</v>
      </c>
      <c r="U3024">
        <v>5</v>
      </c>
      <c r="V3024" s="51">
        <v>42125</v>
      </c>
      <c r="W3024" s="4">
        <v>3939.4799999999996</v>
      </c>
      <c r="X3024" s="52">
        <v>4236</v>
      </c>
    </row>
    <row r="3025" spans="2:24" x14ac:dyDescent="0.35">
      <c r="B3025" s="6" t="s">
        <v>3</v>
      </c>
      <c r="C3025" s="6" t="s">
        <v>22</v>
      </c>
      <c r="D3025" s="6" t="s">
        <v>5</v>
      </c>
      <c r="E3025" s="6" t="s">
        <v>0</v>
      </c>
      <c r="F3025" s="6" t="s">
        <v>45</v>
      </c>
      <c r="G3025" s="6">
        <v>2015</v>
      </c>
      <c r="H3025" s="6">
        <v>5</v>
      </c>
      <c r="I3025" s="10">
        <v>42125</v>
      </c>
      <c r="J3025" s="6">
        <v>3139</v>
      </c>
      <c r="K3025" s="51"/>
      <c r="O3025" t="s">
        <v>3</v>
      </c>
      <c r="P3025" t="s">
        <v>22</v>
      </c>
      <c r="Q3025" t="s">
        <v>5</v>
      </c>
      <c r="R3025" t="s">
        <v>0</v>
      </c>
      <c r="S3025" t="s">
        <v>45</v>
      </c>
      <c r="T3025">
        <v>2015</v>
      </c>
      <c r="U3025">
        <v>5</v>
      </c>
      <c r="V3025" s="51">
        <v>42125</v>
      </c>
      <c r="W3025" s="4">
        <v>2856.49</v>
      </c>
      <c r="X3025" s="52">
        <v>3139</v>
      </c>
    </row>
    <row r="3026" spans="2:24" x14ac:dyDescent="0.35">
      <c r="B3026" s="6" t="s">
        <v>7</v>
      </c>
      <c r="C3026" s="6" t="s">
        <v>48</v>
      </c>
      <c r="D3026" s="6" t="s">
        <v>9</v>
      </c>
      <c r="E3026" s="6" t="s">
        <v>23</v>
      </c>
      <c r="F3026" s="6" t="s">
        <v>36</v>
      </c>
      <c r="G3026" s="6">
        <v>2015</v>
      </c>
      <c r="H3026" s="6">
        <v>5</v>
      </c>
      <c r="I3026" s="10">
        <v>42125</v>
      </c>
      <c r="J3026" s="6">
        <v>2723</v>
      </c>
      <c r="K3026" s="51"/>
      <c r="O3026" t="s">
        <v>7</v>
      </c>
      <c r="P3026" t="s">
        <v>48</v>
      </c>
      <c r="Q3026" t="s">
        <v>9</v>
      </c>
      <c r="R3026" t="s">
        <v>23</v>
      </c>
      <c r="S3026" t="s">
        <v>36</v>
      </c>
      <c r="T3026">
        <v>2015</v>
      </c>
      <c r="U3026">
        <v>5</v>
      </c>
      <c r="V3026" s="51">
        <v>42125</v>
      </c>
      <c r="W3026" s="4">
        <v>2423.4699999999998</v>
      </c>
      <c r="X3026" s="52">
        <v>2723</v>
      </c>
    </row>
    <row r="3027" spans="2:24" x14ac:dyDescent="0.35">
      <c r="B3027" s="6" t="s">
        <v>7</v>
      </c>
      <c r="C3027" s="6" t="s">
        <v>48</v>
      </c>
      <c r="D3027" s="6" t="s">
        <v>9</v>
      </c>
      <c r="E3027" s="6" t="s">
        <v>23</v>
      </c>
      <c r="F3027" s="6" t="s">
        <v>24</v>
      </c>
      <c r="G3027" s="6">
        <v>2015</v>
      </c>
      <c r="H3027" s="6">
        <v>5</v>
      </c>
      <c r="I3027" s="10">
        <v>42125</v>
      </c>
      <c r="J3027" s="6">
        <v>2075</v>
      </c>
      <c r="K3027" s="51"/>
      <c r="O3027" t="s">
        <v>7</v>
      </c>
      <c r="P3027" t="s">
        <v>48</v>
      </c>
      <c r="Q3027" t="s">
        <v>9</v>
      </c>
      <c r="R3027" t="s">
        <v>23</v>
      </c>
      <c r="S3027" t="s">
        <v>24</v>
      </c>
      <c r="T3027">
        <v>2015</v>
      </c>
      <c r="U3027">
        <v>5</v>
      </c>
      <c r="V3027" s="51">
        <v>42125</v>
      </c>
      <c r="W3027" s="4">
        <v>1950.5</v>
      </c>
      <c r="X3027" s="52">
        <v>2075</v>
      </c>
    </row>
    <row r="3028" spans="2:24" x14ac:dyDescent="0.35">
      <c r="B3028" s="6" t="s">
        <v>7</v>
      </c>
      <c r="C3028" s="6" t="s">
        <v>49</v>
      </c>
      <c r="D3028" s="6" t="s">
        <v>11</v>
      </c>
      <c r="E3028" s="6" t="s">
        <v>23</v>
      </c>
      <c r="F3028" s="6" t="s">
        <v>39</v>
      </c>
      <c r="G3028" s="6">
        <v>2015</v>
      </c>
      <c r="H3028" s="6">
        <v>5</v>
      </c>
      <c r="I3028" s="10">
        <v>42125</v>
      </c>
      <c r="J3028" s="6">
        <v>2206</v>
      </c>
      <c r="K3028" s="51"/>
      <c r="O3028" t="s">
        <v>7</v>
      </c>
      <c r="P3028" t="s">
        <v>49</v>
      </c>
      <c r="Q3028" t="s">
        <v>11</v>
      </c>
      <c r="R3028" t="s">
        <v>23</v>
      </c>
      <c r="S3028" t="s">
        <v>39</v>
      </c>
      <c r="T3028">
        <v>2015</v>
      </c>
      <c r="U3028">
        <v>5</v>
      </c>
      <c r="V3028" s="51">
        <v>42125</v>
      </c>
      <c r="W3028" s="4">
        <v>2007.4599999999998</v>
      </c>
      <c r="X3028" s="52">
        <v>2206</v>
      </c>
    </row>
    <row r="3029" spans="2:24" x14ac:dyDescent="0.35">
      <c r="B3029" s="6" t="s">
        <v>7</v>
      </c>
      <c r="C3029" s="6" t="s">
        <v>49</v>
      </c>
      <c r="D3029" s="6" t="s">
        <v>11</v>
      </c>
      <c r="E3029" s="6" t="s">
        <v>0</v>
      </c>
      <c r="F3029" s="6" t="s">
        <v>42</v>
      </c>
      <c r="G3029" s="6">
        <v>2015</v>
      </c>
      <c r="H3029" s="6">
        <v>5</v>
      </c>
      <c r="I3029" s="10">
        <v>42125</v>
      </c>
      <c r="J3029" s="6">
        <v>4486</v>
      </c>
      <c r="K3029" s="51"/>
      <c r="O3029" t="s">
        <v>7</v>
      </c>
      <c r="P3029" t="s">
        <v>49</v>
      </c>
      <c r="Q3029" t="s">
        <v>11</v>
      </c>
      <c r="R3029" t="s">
        <v>0</v>
      </c>
      <c r="S3029" t="s">
        <v>42</v>
      </c>
      <c r="T3029">
        <v>2015</v>
      </c>
      <c r="U3029">
        <v>5</v>
      </c>
      <c r="V3029" s="51">
        <v>42125</v>
      </c>
      <c r="W3029" s="4">
        <v>4082.2599999999998</v>
      </c>
      <c r="X3029" s="52">
        <v>4486</v>
      </c>
    </row>
    <row r="3030" spans="2:24" x14ac:dyDescent="0.35">
      <c r="B3030" s="6" t="s">
        <v>12</v>
      </c>
      <c r="C3030" s="6" t="s">
        <v>34</v>
      </c>
      <c r="D3030" s="6" t="s">
        <v>35</v>
      </c>
      <c r="E3030" s="6" t="s">
        <v>0</v>
      </c>
      <c r="F3030" s="6" t="s">
        <v>26</v>
      </c>
      <c r="G3030" s="6">
        <v>2015</v>
      </c>
      <c r="H3030" s="6">
        <v>5</v>
      </c>
      <c r="I3030" s="10">
        <v>42125</v>
      </c>
      <c r="J3030" s="6">
        <v>3117</v>
      </c>
      <c r="K3030" s="51"/>
      <c r="O3030" t="s">
        <v>12</v>
      </c>
      <c r="P3030" t="s">
        <v>34</v>
      </c>
      <c r="Q3030" t="s">
        <v>35</v>
      </c>
      <c r="R3030" t="s">
        <v>0</v>
      </c>
      <c r="S3030" t="s">
        <v>26</v>
      </c>
      <c r="T3030">
        <v>2015</v>
      </c>
      <c r="U3030">
        <v>5</v>
      </c>
      <c r="V3030" s="51">
        <v>42125</v>
      </c>
      <c r="W3030" s="4">
        <v>2649.4500000000003</v>
      </c>
      <c r="X3030" s="52">
        <v>3117</v>
      </c>
    </row>
    <row r="3031" spans="2:24" x14ac:dyDescent="0.35">
      <c r="B3031" s="6" t="s">
        <v>12</v>
      </c>
      <c r="C3031" s="6" t="s">
        <v>34</v>
      </c>
      <c r="D3031" s="6" t="s">
        <v>35</v>
      </c>
      <c r="E3031" s="6" t="s">
        <v>0</v>
      </c>
      <c r="F3031" s="6" t="s">
        <v>45</v>
      </c>
      <c r="G3031" s="6">
        <v>2015</v>
      </c>
      <c r="H3031" s="6">
        <v>5</v>
      </c>
      <c r="I3031" s="10">
        <v>42125</v>
      </c>
      <c r="J3031" s="6">
        <v>4961</v>
      </c>
      <c r="K3031" s="51"/>
      <c r="O3031" t="s">
        <v>12</v>
      </c>
      <c r="P3031" t="s">
        <v>34</v>
      </c>
      <c r="Q3031" t="s">
        <v>35</v>
      </c>
      <c r="R3031" t="s">
        <v>0</v>
      </c>
      <c r="S3031" t="s">
        <v>45</v>
      </c>
      <c r="T3031">
        <v>2015</v>
      </c>
      <c r="U3031">
        <v>5</v>
      </c>
      <c r="V3031" s="51">
        <v>42125</v>
      </c>
      <c r="W3031" s="4">
        <v>4365.6799999999994</v>
      </c>
      <c r="X3031" s="52">
        <v>4961</v>
      </c>
    </row>
    <row r="3032" spans="2:24" x14ac:dyDescent="0.35">
      <c r="B3032" s="6" t="s">
        <v>14</v>
      </c>
      <c r="C3032" s="6" t="s">
        <v>37</v>
      </c>
      <c r="D3032" s="6" t="s">
        <v>38</v>
      </c>
      <c r="E3032" s="6" t="s">
        <v>27</v>
      </c>
      <c r="F3032" s="6" t="s">
        <v>28</v>
      </c>
      <c r="G3032" s="6">
        <v>2015</v>
      </c>
      <c r="H3032" s="6">
        <v>5</v>
      </c>
      <c r="I3032" s="10">
        <v>42125</v>
      </c>
      <c r="J3032" s="6">
        <v>3918</v>
      </c>
      <c r="K3032" s="51"/>
      <c r="O3032" t="s">
        <v>14</v>
      </c>
      <c r="P3032" t="s">
        <v>37</v>
      </c>
      <c r="Q3032" t="s">
        <v>38</v>
      </c>
      <c r="R3032" t="s">
        <v>27</v>
      </c>
      <c r="S3032" t="s">
        <v>28</v>
      </c>
      <c r="T3032">
        <v>2015</v>
      </c>
      <c r="U3032">
        <v>5</v>
      </c>
      <c r="V3032" s="51">
        <v>42125</v>
      </c>
      <c r="W3032" s="4">
        <v>3643.74</v>
      </c>
      <c r="X3032" s="52">
        <v>3918</v>
      </c>
    </row>
    <row r="3033" spans="2:24" x14ac:dyDescent="0.35">
      <c r="B3033" s="6" t="s">
        <v>14</v>
      </c>
      <c r="C3033" s="6" t="s">
        <v>37</v>
      </c>
      <c r="D3033" s="6" t="s">
        <v>38</v>
      </c>
      <c r="E3033" s="6" t="s">
        <v>27</v>
      </c>
      <c r="F3033" s="6" t="s">
        <v>31</v>
      </c>
      <c r="G3033" s="6">
        <v>2015</v>
      </c>
      <c r="H3033" s="6">
        <v>5</v>
      </c>
      <c r="I3033" s="10">
        <v>42125</v>
      </c>
      <c r="J3033" s="6">
        <v>4678</v>
      </c>
      <c r="K3033" s="51"/>
      <c r="O3033" t="s">
        <v>14</v>
      </c>
      <c r="P3033" t="s">
        <v>37</v>
      </c>
      <c r="Q3033" t="s">
        <v>38</v>
      </c>
      <c r="R3033" t="s">
        <v>27</v>
      </c>
      <c r="S3033" t="s">
        <v>31</v>
      </c>
      <c r="T3033">
        <v>2015</v>
      </c>
      <c r="U3033">
        <v>5</v>
      </c>
      <c r="V3033" s="51">
        <v>42125</v>
      </c>
      <c r="W3033" s="4">
        <v>4256.9799999999996</v>
      </c>
      <c r="X3033" s="52">
        <v>4678</v>
      </c>
    </row>
    <row r="3034" spans="2:24" x14ac:dyDescent="0.35">
      <c r="B3034" s="6" t="s">
        <v>12</v>
      </c>
      <c r="C3034" s="6" t="s">
        <v>44</v>
      </c>
      <c r="D3034" s="6" t="s">
        <v>13</v>
      </c>
      <c r="E3034" s="6" t="s">
        <v>23</v>
      </c>
      <c r="F3034" s="6" t="s">
        <v>36</v>
      </c>
      <c r="G3034" s="6">
        <v>2015</v>
      </c>
      <c r="H3034" s="6">
        <v>5</v>
      </c>
      <c r="I3034" s="10">
        <v>42125</v>
      </c>
      <c r="J3034" s="6">
        <v>2010</v>
      </c>
      <c r="K3034" s="51"/>
      <c r="O3034" t="s">
        <v>12</v>
      </c>
      <c r="P3034" t="s">
        <v>44</v>
      </c>
      <c r="Q3034" t="s">
        <v>13</v>
      </c>
      <c r="R3034" t="s">
        <v>23</v>
      </c>
      <c r="S3034" t="s">
        <v>36</v>
      </c>
      <c r="T3034">
        <v>2015</v>
      </c>
      <c r="U3034">
        <v>5</v>
      </c>
      <c r="V3034" s="51">
        <v>42125</v>
      </c>
      <c r="W3034" s="4">
        <v>1889.3999999999999</v>
      </c>
      <c r="X3034" s="52">
        <v>2010</v>
      </c>
    </row>
    <row r="3035" spans="2:24" x14ac:dyDescent="0.35">
      <c r="B3035" s="6" t="s">
        <v>14</v>
      </c>
      <c r="C3035" s="6" t="s">
        <v>46</v>
      </c>
      <c r="D3035" s="6" t="s">
        <v>47</v>
      </c>
      <c r="E3035" s="6" t="s">
        <v>23</v>
      </c>
      <c r="F3035" s="6" t="s">
        <v>24</v>
      </c>
      <c r="G3035" s="6">
        <v>2015</v>
      </c>
      <c r="H3035" s="6">
        <v>5</v>
      </c>
      <c r="I3035" s="10">
        <v>42125</v>
      </c>
      <c r="J3035" s="6">
        <v>3316</v>
      </c>
      <c r="K3035" s="51"/>
      <c r="O3035" t="s">
        <v>14</v>
      </c>
      <c r="P3035" t="s">
        <v>46</v>
      </c>
      <c r="Q3035" t="s">
        <v>47</v>
      </c>
      <c r="R3035" t="s">
        <v>23</v>
      </c>
      <c r="S3035" t="s">
        <v>24</v>
      </c>
      <c r="T3035">
        <v>2015</v>
      </c>
      <c r="U3035">
        <v>5</v>
      </c>
      <c r="V3035" s="51">
        <v>42125</v>
      </c>
      <c r="W3035" s="4">
        <v>3050.72</v>
      </c>
      <c r="X3035" s="52">
        <v>3316</v>
      </c>
    </row>
    <row r="3036" spans="2:24" x14ac:dyDescent="0.35">
      <c r="B3036" s="6" t="s">
        <v>14</v>
      </c>
      <c r="C3036" s="6" t="s">
        <v>46</v>
      </c>
      <c r="D3036" s="6" t="s">
        <v>47</v>
      </c>
      <c r="E3036" s="6" t="s">
        <v>23</v>
      </c>
      <c r="F3036" s="6" t="s">
        <v>39</v>
      </c>
      <c r="G3036" s="6">
        <v>2015</v>
      </c>
      <c r="H3036" s="6">
        <v>5</v>
      </c>
      <c r="I3036" s="10">
        <v>42125</v>
      </c>
      <c r="J3036" s="6">
        <v>2824</v>
      </c>
      <c r="K3036" s="51"/>
      <c r="O3036" t="s">
        <v>14</v>
      </c>
      <c r="P3036" t="s">
        <v>46</v>
      </c>
      <c r="Q3036" t="s">
        <v>47</v>
      </c>
      <c r="R3036" t="s">
        <v>23</v>
      </c>
      <c r="S3036" t="s">
        <v>39</v>
      </c>
      <c r="T3036">
        <v>2015</v>
      </c>
      <c r="U3036">
        <v>5</v>
      </c>
      <c r="V3036" s="51">
        <v>42125</v>
      </c>
      <c r="W3036" s="4">
        <v>2513.3599999999997</v>
      </c>
      <c r="X3036" s="52">
        <v>2824</v>
      </c>
    </row>
    <row r="3037" spans="2:24" x14ac:dyDescent="0.35">
      <c r="B3037" s="6" t="s">
        <v>7</v>
      </c>
      <c r="C3037" s="6" t="s">
        <v>43</v>
      </c>
      <c r="D3037" s="6" t="s">
        <v>10</v>
      </c>
      <c r="E3037" s="6" t="s">
        <v>0</v>
      </c>
      <c r="F3037" s="6" t="s">
        <v>42</v>
      </c>
      <c r="G3037" s="6">
        <v>2015</v>
      </c>
      <c r="H3037" s="6">
        <v>5</v>
      </c>
      <c r="I3037" s="10">
        <v>42125</v>
      </c>
      <c r="J3037" s="6">
        <v>4818</v>
      </c>
      <c r="K3037" s="51"/>
      <c r="O3037" t="s">
        <v>7</v>
      </c>
      <c r="P3037" t="s">
        <v>43</v>
      </c>
      <c r="Q3037" t="s">
        <v>10</v>
      </c>
      <c r="R3037" t="s">
        <v>0</v>
      </c>
      <c r="S3037" t="s">
        <v>42</v>
      </c>
      <c r="T3037">
        <v>2015</v>
      </c>
      <c r="U3037">
        <v>5</v>
      </c>
      <c r="V3037" s="51">
        <v>42125</v>
      </c>
      <c r="W3037" s="4">
        <v>4480.74</v>
      </c>
      <c r="X3037" s="52">
        <v>4818</v>
      </c>
    </row>
    <row r="3038" spans="2:24" x14ac:dyDescent="0.35">
      <c r="B3038" s="6" t="s">
        <v>6</v>
      </c>
      <c r="C3038" s="6" t="s">
        <v>40</v>
      </c>
      <c r="D3038" s="6" t="s">
        <v>41</v>
      </c>
      <c r="E3038" s="6" t="s">
        <v>27</v>
      </c>
      <c r="F3038" s="6" t="s">
        <v>31</v>
      </c>
      <c r="G3038" s="6">
        <v>2015</v>
      </c>
      <c r="H3038" s="6">
        <v>5</v>
      </c>
      <c r="I3038" s="10">
        <v>42125</v>
      </c>
      <c r="J3038" s="6">
        <v>4272</v>
      </c>
      <c r="K3038" s="51"/>
      <c r="O3038" t="s">
        <v>6</v>
      </c>
      <c r="P3038" t="s">
        <v>40</v>
      </c>
      <c r="Q3038" t="s">
        <v>41</v>
      </c>
      <c r="R3038" t="s">
        <v>27</v>
      </c>
      <c r="S3038" t="s">
        <v>31</v>
      </c>
      <c r="T3038">
        <v>2015</v>
      </c>
      <c r="U3038">
        <v>5</v>
      </c>
      <c r="V3038" s="51">
        <v>42125</v>
      </c>
      <c r="W3038" s="4">
        <v>3673.9200000000005</v>
      </c>
      <c r="X3038" s="52">
        <v>4272</v>
      </c>
    </row>
    <row r="3039" spans="2:24" x14ac:dyDescent="0.35">
      <c r="B3039" s="6" t="s">
        <v>3</v>
      </c>
      <c r="C3039" s="6" t="s">
        <v>22</v>
      </c>
      <c r="D3039" s="6" t="s">
        <v>5</v>
      </c>
      <c r="E3039" s="6" t="s">
        <v>23</v>
      </c>
      <c r="F3039" s="6" t="s">
        <v>39</v>
      </c>
      <c r="G3039" s="6">
        <v>2015</v>
      </c>
      <c r="H3039" s="6">
        <v>5</v>
      </c>
      <c r="I3039" s="10">
        <v>42125</v>
      </c>
      <c r="J3039" s="6">
        <v>2314</v>
      </c>
      <c r="K3039" s="51"/>
      <c r="O3039" t="s">
        <v>3</v>
      </c>
      <c r="P3039" t="s">
        <v>22</v>
      </c>
      <c r="Q3039" t="s">
        <v>5</v>
      </c>
      <c r="R3039" t="s">
        <v>23</v>
      </c>
      <c r="S3039" t="s">
        <v>39</v>
      </c>
      <c r="T3039">
        <v>2015</v>
      </c>
      <c r="U3039">
        <v>5</v>
      </c>
      <c r="V3039" s="51">
        <v>42125</v>
      </c>
      <c r="W3039" s="4">
        <v>1966.9</v>
      </c>
      <c r="X3039" s="52">
        <v>2314</v>
      </c>
    </row>
    <row r="3040" spans="2:24" x14ac:dyDescent="0.35">
      <c r="B3040" s="6" t="s">
        <v>3</v>
      </c>
      <c r="C3040" s="6" t="s">
        <v>22</v>
      </c>
      <c r="D3040" s="6" t="s">
        <v>5</v>
      </c>
      <c r="E3040" s="6" t="s">
        <v>0</v>
      </c>
      <c r="F3040" s="6" t="s">
        <v>42</v>
      </c>
      <c r="G3040" s="6">
        <v>2015</v>
      </c>
      <c r="H3040" s="6">
        <v>5</v>
      </c>
      <c r="I3040" s="10">
        <v>42125</v>
      </c>
      <c r="J3040" s="6">
        <v>5555</v>
      </c>
      <c r="K3040" s="51"/>
      <c r="O3040" t="s">
        <v>3</v>
      </c>
      <c r="P3040" t="s">
        <v>22</v>
      </c>
      <c r="Q3040" t="s">
        <v>5</v>
      </c>
      <c r="R3040" t="s">
        <v>0</v>
      </c>
      <c r="S3040" t="s">
        <v>42</v>
      </c>
      <c r="T3040">
        <v>2015</v>
      </c>
      <c r="U3040">
        <v>5</v>
      </c>
      <c r="V3040" s="51">
        <v>42125</v>
      </c>
      <c r="W3040" s="4">
        <v>4777.3</v>
      </c>
      <c r="X3040" s="52">
        <v>5555</v>
      </c>
    </row>
    <row r="3041" spans="2:24" x14ac:dyDescent="0.35">
      <c r="B3041" s="6" t="s">
        <v>6</v>
      </c>
      <c r="C3041" s="6" t="s">
        <v>29</v>
      </c>
      <c r="D3041" s="6" t="s">
        <v>30</v>
      </c>
      <c r="E3041" s="6" t="s">
        <v>0</v>
      </c>
      <c r="F3041" s="6" t="s">
        <v>26</v>
      </c>
      <c r="G3041" s="6">
        <v>2015</v>
      </c>
      <c r="H3041" s="6">
        <v>5</v>
      </c>
      <c r="I3041" s="10">
        <v>42125</v>
      </c>
      <c r="J3041" s="6">
        <v>3097</v>
      </c>
      <c r="K3041" s="51"/>
      <c r="O3041" t="s">
        <v>6</v>
      </c>
      <c r="P3041" t="s">
        <v>29</v>
      </c>
      <c r="Q3041" t="s">
        <v>30</v>
      </c>
      <c r="R3041" t="s">
        <v>0</v>
      </c>
      <c r="S3041" t="s">
        <v>26</v>
      </c>
      <c r="T3041">
        <v>2015</v>
      </c>
      <c r="U3041">
        <v>5</v>
      </c>
      <c r="V3041" s="51">
        <v>42125</v>
      </c>
      <c r="W3041" s="4">
        <v>2849.24</v>
      </c>
      <c r="X3041" s="52">
        <v>3097</v>
      </c>
    </row>
    <row r="3042" spans="2:24" x14ac:dyDescent="0.35">
      <c r="B3042" s="6" t="s">
        <v>7</v>
      </c>
      <c r="C3042" s="6" t="s">
        <v>48</v>
      </c>
      <c r="D3042" s="6" t="s">
        <v>9</v>
      </c>
      <c r="E3042" s="6" t="s">
        <v>27</v>
      </c>
      <c r="F3042" s="6" t="s">
        <v>28</v>
      </c>
      <c r="G3042" s="6">
        <v>2015</v>
      </c>
      <c r="H3042" s="6">
        <v>5</v>
      </c>
      <c r="I3042" s="10">
        <v>42125</v>
      </c>
      <c r="J3042" s="6">
        <v>3427</v>
      </c>
      <c r="K3042" s="51"/>
      <c r="O3042" t="s">
        <v>7</v>
      </c>
      <c r="P3042" t="s">
        <v>48</v>
      </c>
      <c r="Q3042" t="s">
        <v>9</v>
      </c>
      <c r="R3042" t="s">
        <v>27</v>
      </c>
      <c r="S3042" t="s">
        <v>28</v>
      </c>
      <c r="T3042">
        <v>2015</v>
      </c>
      <c r="U3042">
        <v>5</v>
      </c>
      <c r="V3042" s="51">
        <v>42125</v>
      </c>
      <c r="W3042" s="4">
        <v>3152.8399999999997</v>
      </c>
      <c r="X3042" s="52">
        <v>3427</v>
      </c>
    </row>
    <row r="3043" spans="2:24" x14ac:dyDescent="0.35">
      <c r="B3043" s="6" t="s">
        <v>7</v>
      </c>
      <c r="C3043" s="6" t="s">
        <v>48</v>
      </c>
      <c r="D3043" s="6" t="s">
        <v>9</v>
      </c>
      <c r="E3043" s="6" t="s">
        <v>27</v>
      </c>
      <c r="F3043" s="6" t="s">
        <v>31</v>
      </c>
      <c r="G3043" s="6">
        <v>2015</v>
      </c>
      <c r="H3043" s="6">
        <v>5</v>
      </c>
      <c r="I3043" s="10">
        <v>42125</v>
      </c>
      <c r="J3043" s="6">
        <v>3841</v>
      </c>
      <c r="K3043" s="51"/>
      <c r="O3043" t="s">
        <v>7</v>
      </c>
      <c r="P3043" t="s">
        <v>48</v>
      </c>
      <c r="Q3043" t="s">
        <v>9</v>
      </c>
      <c r="R3043" t="s">
        <v>27</v>
      </c>
      <c r="S3043" t="s">
        <v>31</v>
      </c>
      <c r="T3043">
        <v>2015</v>
      </c>
      <c r="U3043">
        <v>5</v>
      </c>
      <c r="V3043" s="51">
        <v>42125</v>
      </c>
      <c r="W3043" s="4">
        <v>3380.0799999999995</v>
      </c>
      <c r="X3043" s="52">
        <v>3841</v>
      </c>
    </row>
    <row r="3044" spans="2:24" x14ac:dyDescent="0.35">
      <c r="B3044" s="6" t="s">
        <v>7</v>
      </c>
      <c r="C3044" s="6" t="s">
        <v>49</v>
      </c>
      <c r="D3044" s="6" t="s">
        <v>11</v>
      </c>
      <c r="E3044" s="6" t="s">
        <v>27</v>
      </c>
      <c r="F3044" s="6" t="s">
        <v>33</v>
      </c>
      <c r="G3044" s="6">
        <v>2015</v>
      </c>
      <c r="H3044" s="6">
        <v>5</v>
      </c>
      <c r="I3044" s="10">
        <v>42125</v>
      </c>
      <c r="J3044" s="6">
        <v>3608</v>
      </c>
      <c r="K3044" s="51"/>
      <c r="O3044" t="s">
        <v>7</v>
      </c>
      <c r="P3044" t="s">
        <v>49</v>
      </c>
      <c r="Q3044" t="s">
        <v>11</v>
      </c>
      <c r="R3044" t="s">
        <v>27</v>
      </c>
      <c r="S3044" t="s">
        <v>33</v>
      </c>
      <c r="T3044">
        <v>2015</v>
      </c>
      <c r="U3044">
        <v>5</v>
      </c>
      <c r="V3044" s="51">
        <v>42125</v>
      </c>
      <c r="W3044" s="4">
        <v>3283.2799999999997</v>
      </c>
      <c r="X3044" s="52">
        <v>3608</v>
      </c>
    </row>
    <row r="3045" spans="2:24" x14ac:dyDescent="0.35">
      <c r="B3045" s="6" t="s">
        <v>7</v>
      </c>
      <c r="C3045" s="6" t="s">
        <v>49</v>
      </c>
      <c r="D3045" s="6" t="s">
        <v>11</v>
      </c>
      <c r="E3045" s="6" t="s">
        <v>23</v>
      </c>
      <c r="F3045" s="6" t="s">
        <v>36</v>
      </c>
      <c r="G3045" s="6">
        <v>2015</v>
      </c>
      <c r="H3045" s="6">
        <v>5</v>
      </c>
      <c r="I3045" s="10">
        <v>42125</v>
      </c>
      <c r="J3045" s="6">
        <v>1801</v>
      </c>
      <c r="K3045" s="51"/>
      <c r="O3045" t="s">
        <v>7</v>
      </c>
      <c r="P3045" t="s">
        <v>49</v>
      </c>
      <c r="Q3045" t="s">
        <v>11</v>
      </c>
      <c r="R3045" t="s">
        <v>23</v>
      </c>
      <c r="S3045" t="s">
        <v>36</v>
      </c>
      <c r="T3045">
        <v>2015</v>
      </c>
      <c r="U3045">
        <v>5</v>
      </c>
      <c r="V3045" s="51">
        <v>42125</v>
      </c>
      <c r="W3045" s="4">
        <v>1692.9399999999998</v>
      </c>
      <c r="X3045" s="52">
        <v>1801</v>
      </c>
    </row>
    <row r="3046" spans="2:24" x14ac:dyDescent="0.35">
      <c r="B3046" s="6" t="s">
        <v>7</v>
      </c>
      <c r="C3046" s="6" t="s">
        <v>43</v>
      </c>
      <c r="D3046" s="6" t="s">
        <v>10</v>
      </c>
      <c r="E3046" s="6" t="s">
        <v>23</v>
      </c>
      <c r="F3046" s="6" t="s">
        <v>36</v>
      </c>
      <c r="G3046" s="6">
        <v>2015</v>
      </c>
      <c r="H3046" s="6">
        <v>5</v>
      </c>
      <c r="I3046" s="10">
        <v>42125</v>
      </c>
      <c r="J3046" s="6">
        <v>1715</v>
      </c>
      <c r="K3046" s="51"/>
      <c r="O3046" t="s">
        <v>7</v>
      </c>
      <c r="P3046" t="s">
        <v>43</v>
      </c>
      <c r="Q3046" t="s">
        <v>10</v>
      </c>
      <c r="R3046" t="s">
        <v>23</v>
      </c>
      <c r="S3046" t="s">
        <v>36</v>
      </c>
      <c r="T3046">
        <v>2015</v>
      </c>
      <c r="U3046">
        <v>5</v>
      </c>
      <c r="V3046" s="51">
        <v>42125</v>
      </c>
      <c r="W3046" s="4">
        <v>1474.9</v>
      </c>
      <c r="X3046" s="52">
        <v>1715</v>
      </c>
    </row>
    <row r="3047" spans="2:24" x14ac:dyDescent="0.35">
      <c r="B3047" s="6" t="s">
        <v>6</v>
      </c>
      <c r="C3047" s="6" t="s">
        <v>40</v>
      </c>
      <c r="D3047" s="6" t="s">
        <v>41</v>
      </c>
      <c r="E3047" s="6" t="s">
        <v>0</v>
      </c>
      <c r="F3047" s="6" t="s">
        <v>45</v>
      </c>
      <c r="G3047" s="6">
        <v>2015</v>
      </c>
      <c r="H3047" s="6">
        <v>5</v>
      </c>
      <c r="I3047" s="10">
        <v>42125</v>
      </c>
      <c r="J3047" s="6">
        <v>3052</v>
      </c>
      <c r="K3047" s="51"/>
      <c r="O3047" t="s">
        <v>6</v>
      </c>
      <c r="P3047" t="s">
        <v>40</v>
      </c>
      <c r="Q3047" t="s">
        <v>41</v>
      </c>
      <c r="R3047" t="s">
        <v>0</v>
      </c>
      <c r="S3047" t="s">
        <v>45</v>
      </c>
      <c r="T3047">
        <v>2015</v>
      </c>
      <c r="U3047">
        <v>5</v>
      </c>
      <c r="V3047" s="51">
        <v>42125</v>
      </c>
      <c r="W3047" s="4">
        <v>2685.7599999999998</v>
      </c>
      <c r="X3047" s="52">
        <v>3052</v>
      </c>
    </row>
    <row r="3048" spans="2:24" x14ac:dyDescent="0.35">
      <c r="B3048" s="6" t="s">
        <v>7</v>
      </c>
      <c r="C3048" s="6" t="s">
        <v>32</v>
      </c>
      <c r="D3048" s="6" t="s">
        <v>8</v>
      </c>
      <c r="E3048" s="6" t="s">
        <v>27</v>
      </c>
      <c r="F3048" s="6" t="s">
        <v>28</v>
      </c>
      <c r="G3048" s="6">
        <v>2015</v>
      </c>
      <c r="H3048" s="6">
        <v>5</v>
      </c>
      <c r="I3048" s="10">
        <v>42125</v>
      </c>
      <c r="J3048" s="6">
        <v>3374</v>
      </c>
      <c r="K3048" s="51"/>
      <c r="O3048" t="s">
        <v>7</v>
      </c>
      <c r="P3048" t="s">
        <v>32</v>
      </c>
      <c r="Q3048" t="s">
        <v>8</v>
      </c>
      <c r="R3048" t="s">
        <v>27</v>
      </c>
      <c r="S3048" t="s">
        <v>28</v>
      </c>
      <c r="T3048">
        <v>2015</v>
      </c>
      <c r="U3048">
        <v>5</v>
      </c>
      <c r="V3048" s="51">
        <v>42125</v>
      </c>
      <c r="W3048" s="4">
        <v>2901.6400000000003</v>
      </c>
      <c r="X3048" s="52">
        <v>3374</v>
      </c>
    </row>
    <row r="3049" spans="2:24" x14ac:dyDescent="0.35">
      <c r="B3049" s="6" t="s">
        <v>7</v>
      </c>
      <c r="C3049" s="6" t="s">
        <v>32</v>
      </c>
      <c r="D3049" s="6" t="s">
        <v>8</v>
      </c>
      <c r="E3049" s="6" t="s">
        <v>27</v>
      </c>
      <c r="F3049" s="6" t="s">
        <v>31</v>
      </c>
      <c r="G3049" s="6">
        <v>2015</v>
      </c>
      <c r="H3049" s="6">
        <v>5</v>
      </c>
      <c r="I3049" s="10">
        <v>42125</v>
      </c>
      <c r="J3049" s="6">
        <v>3169</v>
      </c>
      <c r="K3049" s="51"/>
      <c r="O3049" t="s">
        <v>7</v>
      </c>
      <c r="P3049" t="s">
        <v>32</v>
      </c>
      <c r="Q3049" t="s">
        <v>8</v>
      </c>
      <c r="R3049" t="s">
        <v>27</v>
      </c>
      <c r="S3049" t="s">
        <v>31</v>
      </c>
      <c r="T3049">
        <v>2015</v>
      </c>
      <c r="U3049">
        <v>5</v>
      </c>
      <c r="V3049" s="51">
        <v>42125</v>
      </c>
      <c r="W3049" s="4">
        <v>2725.34</v>
      </c>
      <c r="X3049" s="52">
        <v>3169</v>
      </c>
    </row>
    <row r="3050" spans="2:24" x14ac:dyDescent="0.35">
      <c r="B3050" s="6" t="s">
        <v>6</v>
      </c>
      <c r="C3050" s="6" t="s">
        <v>29</v>
      </c>
      <c r="D3050" s="6" t="s">
        <v>30</v>
      </c>
      <c r="E3050" s="6" t="s">
        <v>23</v>
      </c>
      <c r="F3050" s="6" t="s">
        <v>24</v>
      </c>
      <c r="G3050" s="6">
        <v>2015</v>
      </c>
      <c r="H3050" s="6">
        <v>5</v>
      </c>
      <c r="I3050" s="10">
        <v>42125</v>
      </c>
      <c r="J3050" s="6">
        <v>2767</v>
      </c>
      <c r="K3050" s="51"/>
      <c r="O3050" t="s">
        <v>6</v>
      </c>
      <c r="P3050" t="s">
        <v>29</v>
      </c>
      <c r="Q3050" t="s">
        <v>30</v>
      </c>
      <c r="R3050" t="s">
        <v>23</v>
      </c>
      <c r="S3050" t="s">
        <v>24</v>
      </c>
      <c r="T3050">
        <v>2015</v>
      </c>
      <c r="U3050">
        <v>5</v>
      </c>
      <c r="V3050" s="51">
        <v>42125</v>
      </c>
      <c r="W3050" s="4">
        <v>2545.64</v>
      </c>
      <c r="X3050" s="52">
        <v>2767</v>
      </c>
    </row>
    <row r="3051" spans="2:24" x14ac:dyDescent="0.35">
      <c r="B3051" s="6" t="s">
        <v>7</v>
      </c>
      <c r="C3051" s="6" t="s">
        <v>48</v>
      </c>
      <c r="D3051" s="6" t="s">
        <v>9</v>
      </c>
      <c r="E3051" s="6" t="s">
        <v>0</v>
      </c>
      <c r="F3051" s="6" t="s">
        <v>42</v>
      </c>
      <c r="G3051" s="6">
        <v>2015</v>
      </c>
      <c r="H3051" s="6">
        <v>5</v>
      </c>
      <c r="I3051" s="10">
        <v>42125</v>
      </c>
      <c r="J3051" s="6">
        <v>6850</v>
      </c>
      <c r="K3051" s="51"/>
      <c r="O3051" t="s">
        <v>7</v>
      </c>
      <c r="P3051" t="s">
        <v>48</v>
      </c>
      <c r="Q3051" t="s">
        <v>9</v>
      </c>
      <c r="R3051" t="s">
        <v>0</v>
      </c>
      <c r="S3051" t="s">
        <v>42</v>
      </c>
      <c r="T3051">
        <v>2015</v>
      </c>
      <c r="U3051">
        <v>5</v>
      </c>
      <c r="V3051" s="51">
        <v>42125</v>
      </c>
      <c r="W3051" s="4">
        <v>6233.4999999999991</v>
      </c>
      <c r="X3051" s="52">
        <v>6850</v>
      </c>
    </row>
    <row r="3052" spans="2:24" x14ac:dyDescent="0.35">
      <c r="B3052" s="6" t="s">
        <v>7</v>
      </c>
      <c r="C3052" s="6" t="s">
        <v>48</v>
      </c>
      <c r="D3052" s="6" t="s">
        <v>9</v>
      </c>
      <c r="E3052" s="6" t="s">
        <v>0</v>
      </c>
      <c r="F3052" s="6" t="s">
        <v>26</v>
      </c>
      <c r="G3052" s="6">
        <v>2015</v>
      </c>
      <c r="H3052" s="6">
        <v>5</v>
      </c>
      <c r="I3052" s="10">
        <v>42125</v>
      </c>
      <c r="J3052" s="6">
        <v>4328</v>
      </c>
      <c r="K3052" s="51"/>
      <c r="O3052" t="s">
        <v>7</v>
      </c>
      <c r="P3052" t="s">
        <v>48</v>
      </c>
      <c r="Q3052" t="s">
        <v>9</v>
      </c>
      <c r="R3052" t="s">
        <v>0</v>
      </c>
      <c r="S3052" t="s">
        <v>26</v>
      </c>
      <c r="T3052">
        <v>2015</v>
      </c>
      <c r="U3052">
        <v>5</v>
      </c>
      <c r="V3052" s="51">
        <v>42125</v>
      </c>
      <c r="W3052" s="4">
        <v>3808.6399999999994</v>
      </c>
      <c r="X3052" s="52">
        <v>4328</v>
      </c>
    </row>
    <row r="3053" spans="2:24" x14ac:dyDescent="0.35">
      <c r="B3053" s="6" t="s">
        <v>7</v>
      </c>
      <c r="C3053" s="6" t="s">
        <v>49</v>
      </c>
      <c r="D3053" s="6" t="s">
        <v>11</v>
      </c>
      <c r="E3053" s="6" t="s">
        <v>0</v>
      </c>
      <c r="F3053" s="6" t="s">
        <v>45</v>
      </c>
      <c r="G3053" s="6">
        <v>2015</v>
      </c>
      <c r="H3053" s="6">
        <v>5</v>
      </c>
      <c r="I3053" s="10">
        <v>42125</v>
      </c>
      <c r="J3053" s="6">
        <v>4198</v>
      </c>
      <c r="K3053" s="51"/>
      <c r="O3053" t="s">
        <v>7</v>
      </c>
      <c r="P3053" t="s">
        <v>49</v>
      </c>
      <c r="Q3053" t="s">
        <v>11</v>
      </c>
      <c r="R3053" t="s">
        <v>0</v>
      </c>
      <c r="S3053" t="s">
        <v>45</v>
      </c>
      <c r="T3053">
        <v>2015</v>
      </c>
      <c r="U3053">
        <v>5</v>
      </c>
      <c r="V3053" s="51">
        <v>42125</v>
      </c>
      <c r="W3053" s="4">
        <v>3694.24</v>
      </c>
      <c r="X3053" s="52">
        <v>4198</v>
      </c>
    </row>
    <row r="3054" spans="2:24" x14ac:dyDescent="0.35">
      <c r="B3054" s="6" t="s">
        <v>7</v>
      </c>
      <c r="C3054" s="6" t="s">
        <v>49</v>
      </c>
      <c r="D3054" s="6" t="s">
        <v>11</v>
      </c>
      <c r="E3054" s="6" t="s">
        <v>27</v>
      </c>
      <c r="F3054" s="6" t="s">
        <v>28</v>
      </c>
      <c r="G3054" s="6">
        <v>2015</v>
      </c>
      <c r="H3054" s="6">
        <v>5</v>
      </c>
      <c r="I3054" s="10">
        <v>42125</v>
      </c>
      <c r="J3054" s="6">
        <v>3249</v>
      </c>
      <c r="K3054" s="51"/>
      <c r="O3054" t="s">
        <v>7</v>
      </c>
      <c r="P3054" t="s">
        <v>49</v>
      </c>
      <c r="Q3054" t="s">
        <v>11</v>
      </c>
      <c r="R3054" t="s">
        <v>27</v>
      </c>
      <c r="S3054" t="s">
        <v>28</v>
      </c>
      <c r="T3054">
        <v>2015</v>
      </c>
      <c r="U3054">
        <v>5</v>
      </c>
      <c r="V3054" s="51">
        <v>42125</v>
      </c>
      <c r="W3054" s="4">
        <v>2859.12</v>
      </c>
      <c r="X3054" s="52">
        <v>3249</v>
      </c>
    </row>
    <row r="3055" spans="2:24" x14ac:dyDescent="0.35">
      <c r="B3055" s="6" t="s">
        <v>12</v>
      </c>
      <c r="C3055" s="6" t="s">
        <v>34</v>
      </c>
      <c r="D3055" s="6" t="s">
        <v>35</v>
      </c>
      <c r="E3055" s="6" t="s">
        <v>27</v>
      </c>
      <c r="F3055" s="6" t="s">
        <v>31</v>
      </c>
      <c r="G3055" s="6">
        <v>2015</v>
      </c>
      <c r="H3055" s="6">
        <v>5</v>
      </c>
      <c r="I3055" s="10">
        <v>42125</v>
      </c>
      <c r="J3055" s="6">
        <v>5390</v>
      </c>
      <c r="K3055" s="51"/>
      <c r="O3055" t="s">
        <v>12</v>
      </c>
      <c r="P3055" t="s">
        <v>34</v>
      </c>
      <c r="Q3055" t="s">
        <v>35</v>
      </c>
      <c r="R3055" t="s">
        <v>27</v>
      </c>
      <c r="S3055" t="s">
        <v>31</v>
      </c>
      <c r="T3055">
        <v>2015</v>
      </c>
      <c r="U3055">
        <v>5</v>
      </c>
      <c r="V3055" s="51">
        <v>42125</v>
      </c>
      <c r="W3055" s="4">
        <v>4689.3</v>
      </c>
      <c r="X3055" s="52">
        <v>5390</v>
      </c>
    </row>
    <row r="3056" spans="2:24" x14ac:dyDescent="0.35">
      <c r="B3056" s="6" t="s">
        <v>12</v>
      </c>
      <c r="C3056" s="6" t="s">
        <v>34</v>
      </c>
      <c r="D3056" s="6" t="s">
        <v>35</v>
      </c>
      <c r="E3056" s="6" t="s">
        <v>27</v>
      </c>
      <c r="F3056" s="6" t="s">
        <v>33</v>
      </c>
      <c r="G3056" s="6">
        <v>2015</v>
      </c>
      <c r="H3056" s="6">
        <v>5</v>
      </c>
      <c r="I3056" s="10">
        <v>42125</v>
      </c>
      <c r="J3056" s="6">
        <v>3502</v>
      </c>
      <c r="K3056" s="51"/>
      <c r="O3056" t="s">
        <v>12</v>
      </c>
      <c r="P3056" t="s">
        <v>34</v>
      </c>
      <c r="Q3056" t="s">
        <v>35</v>
      </c>
      <c r="R3056" t="s">
        <v>27</v>
      </c>
      <c r="S3056" t="s">
        <v>33</v>
      </c>
      <c r="T3056">
        <v>2015</v>
      </c>
      <c r="U3056">
        <v>5</v>
      </c>
      <c r="V3056" s="51">
        <v>42125</v>
      </c>
      <c r="W3056" s="4">
        <v>2976.7000000000003</v>
      </c>
      <c r="X3056" s="52">
        <v>3502</v>
      </c>
    </row>
    <row r="3057" spans="2:24" x14ac:dyDescent="0.35">
      <c r="B3057" s="6" t="s">
        <v>14</v>
      </c>
      <c r="C3057" s="6" t="s">
        <v>37</v>
      </c>
      <c r="D3057" s="6" t="s">
        <v>38</v>
      </c>
      <c r="E3057" s="6" t="s">
        <v>23</v>
      </c>
      <c r="F3057" s="6" t="s">
        <v>36</v>
      </c>
      <c r="G3057" s="6">
        <v>2015</v>
      </c>
      <c r="H3057" s="6">
        <v>5</v>
      </c>
      <c r="I3057" s="10">
        <v>42125</v>
      </c>
      <c r="J3057" s="6">
        <v>2414</v>
      </c>
      <c r="K3057" s="51"/>
      <c r="O3057" t="s">
        <v>14</v>
      </c>
      <c r="P3057" t="s">
        <v>37</v>
      </c>
      <c r="Q3057" t="s">
        <v>38</v>
      </c>
      <c r="R3057" t="s">
        <v>23</v>
      </c>
      <c r="S3057" t="s">
        <v>36</v>
      </c>
      <c r="T3057">
        <v>2015</v>
      </c>
      <c r="U3057">
        <v>5</v>
      </c>
      <c r="V3057" s="51">
        <v>42125</v>
      </c>
      <c r="W3057" s="4">
        <v>2076.0400000000004</v>
      </c>
      <c r="X3057" s="52">
        <v>2414</v>
      </c>
    </row>
    <row r="3058" spans="2:24" x14ac:dyDescent="0.35">
      <c r="B3058" s="6" t="s">
        <v>12</v>
      </c>
      <c r="C3058" s="6" t="s">
        <v>44</v>
      </c>
      <c r="D3058" s="6" t="s">
        <v>13</v>
      </c>
      <c r="E3058" s="6" t="s">
        <v>23</v>
      </c>
      <c r="F3058" s="6" t="s">
        <v>39</v>
      </c>
      <c r="G3058" s="6">
        <v>2015</v>
      </c>
      <c r="H3058" s="6">
        <v>5</v>
      </c>
      <c r="I3058" s="10">
        <v>42125</v>
      </c>
      <c r="J3058" s="6">
        <v>2139</v>
      </c>
      <c r="K3058" s="51"/>
      <c r="O3058" t="s">
        <v>12</v>
      </c>
      <c r="P3058" t="s">
        <v>44</v>
      </c>
      <c r="Q3058" t="s">
        <v>13</v>
      </c>
      <c r="R3058" t="s">
        <v>23</v>
      </c>
      <c r="S3058" t="s">
        <v>39</v>
      </c>
      <c r="T3058">
        <v>2015</v>
      </c>
      <c r="U3058">
        <v>5</v>
      </c>
      <c r="V3058" s="51">
        <v>42125</v>
      </c>
      <c r="W3058" s="4">
        <v>1925.1</v>
      </c>
      <c r="X3058" s="52">
        <v>2139</v>
      </c>
    </row>
    <row r="3059" spans="2:24" x14ac:dyDescent="0.35">
      <c r="B3059" s="6" t="s">
        <v>12</v>
      </c>
      <c r="C3059" s="6" t="s">
        <v>44</v>
      </c>
      <c r="D3059" s="6" t="s">
        <v>13</v>
      </c>
      <c r="E3059" s="6" t="s">
        <v>0</v>
      </c>
      <c r="F3059" s="6" t="s">
        <v>42</v>
      </c>
      <c r="G3059" s="6">
        <v>2015</v>
      </c>
      <c r="H3059" s="6">
        <v>5</v>
      </c>
      <c r="I3059" s="10">
        <v>42125</v>
      </c>
      <c r="J3059" s="6">
        <v>6468</v>
      </c>
      <c r="K3059" s="51"/>
      <c r="O3059" t="s">
        <v>12</v>
      </c>
      <c r="P3059" t="s">
        <v>44</v>
      </c>
      <c r="Q3059" t="s">
        <v>13</v>
      </c>
      <c r="R3059" t="s">
        <v>0</v>
      </c>
      <c r="S3059" t="s">
        <v>42</v>
      </c>
      <c r="T3059">
        <v>2015</v>
      </c>
      <c r="U3059">
        <v>5</v>
      </c>
      <c r="V3059" s="51">
        <v>42125</v>
      </c>
      <c r="W3059" s="4">
        <v>5497.8</v>
      </c>
      <c r="X3059" s="52">
        <v>6468</v>
      </c>
    </row>
    <row r="3060" spans="2:24" x14ac:dyDescent="0.35">
      <c r="B3060" s="6" t="s">
        <v>14</v>
      </c>
      <c r="C3060" s="6" t="s">
        <v>46</v>
      </c>
      <c r="D3060" s="6" t="s">
        <v>47</v>
      </c>
      <c r="E3060" s="6" t="s">
        <v>0</v>
      </c>
      <c r="F3060" s="6" t="s">
        <v>26</v>
      </c>
      <c r="G3060" s="6">
        <v>2015</v>
      </c>
      <c r="H3060" s="6">
        <v>5</v>
      </c>
      <c r="I3060" s="10">
        <v>42125</v>
      </c>
      <c r="J3060" s="6">
        <v>5412</v>
      </c>
      <c r="K3060" s="51"/>
      <c r="O3060" t="s">
        <v>14</v>
      </c>
      <c r="P3060" t="s">
        <v>46</v>
      </c>
      <c r="Q3060" t="s">
        <v>47</v>
      </c>
      <c r="R3060" t="s">
        <v>0</v>
      </c>
      <c r="S3060" t="s">
        <v>26</v>
      </c>
      <c r="T3060">
        <v>2015</v>
      </c>
      <c r="U3060">
        <v>5</v>
      </c>
      <c r="V3060" s="51">
        <v>42125</v>
      </c>
      <c r="W3060" s="4">
        <v>4979.04</v>
      </c>
      <c r="X3060" s="52">
        <v>5412</v>
      </c>
    </row>
    <row r="3061" spans="2:24" x14ac:dyDescent="0.35">
      <c r="B3061" s="6" t="s">
        <v>14</v>
      </c>
      <c r="C3061" s="6" t="s">
        <v>46</v>
      </c>
      <c r="D3061" s="6" t="s">
        <v>47</v>
      </c>
      <c r="E3061" s="6" t="s">
        <v>0</v>
      </c>
      <c r="F3061" s="6" t="s">
        <v>45</v>
      </c>
      <c r="G3061" s="6">
        <v>2015</v>
      </c>
      <c r="H3061" s="6">
        <v>5</v>
      </c>
      <c r="I3061" s="10">
        <v>42125</v>
      </c>
      <c r="J3061" s="6">
        <v>2243</v>
      </c>
      <c r="K3061" s="51"/>
      <c r="O3061" t="s">
        <v>14</v>
      </c>
      <c r="P3061" t="s">
        <v>46</v>
      </c>
      <c r="Q3061" t="s">
        <v>47</v>
      </c>
      <c r="R3061" t="s">
        <v>0</v>
      </c>
      <c r="S3061" t="s">
        <v>45</v>
      </c>
      <c r="T3061">
        <v>2015</v>
      </c>
      <c r="U3061">
        <v>5</v>
      </c>
      <c r="V3061" s="51">
        <v>42125</v>
      </c>
      <c r="W3061" s="4">
        <v>1928.9800000000002</v>
      </c>
      <c r="X3061" s="52">
        <v>2243</v>
      </c>
    </row>
    <row r="3062" spans="2:24" x14ac:dyDescent="0.35">
      <c r="B3062" s="6" t="s">
        <v>3</v>
      </c>
      <c r="C3062" s="6" t="s">
        <v>25</v>
      </c>
      <c r="D3062" s="6" t="s">
        <v>4</v>
      </c>
      <c r="E3062" s="6" t="s">
        <v>27</v>
      </c>
      <c r="F3062" s="6" t="s">
        <v>33</v>
      </c>
      <c r="G3062" s="6">
        <v>2015</v>
      </c>
      <c r="H3062" s="6">
        <v>5</v>
      </c>
      <c r="I3062" s="10">
        <v>42125</v>
      </c>
      <c r="J3062" s="6">
        <v>3797</v>
      </c>
      <c r="K3062" s="51"/>
      <c r="O3062" t="s">
        <v>3</v>
      </c>
      <c r="P3062" t="s">
        <v>25</v>
      </c>
      <c r="Q3062" t="s">
        <v>4</v>
      </c>
      <c r="R3062" t="s">
        <v>27</v>
      </c>
      <c r="S3062" t="s">
        <v>33</v>
      </c>
      <c r="T3062">
        <v>2015</v>
      </c>
      <c r="U3062">
        <v>5</v>
      </c>
      <c r="V3062" s="51">
        <v>42125</v>
      </c>
      <c r="W3062" s="4">
        <v>3341.3599999999997</v>
      </c>
      <c r="X3062" s="52">
        <v>3797</v>
      </c>
    </row>
    <row r="3063" spans="2:24" x14ac:dyDescent="0.35">
      <c r="B3063" s="6" t="s">
        <v>3</v>
      </c>
      <c r="C3063" s="6" t="s">
        <v>25</v>
      </c>
      <c r="D3063" s="6" t="s">
        <v>4</v>
      </c>
      <c r="E3063" s="6" t="s">
        <v>23</v>
      </c>
      <c r="F3063" s="6" t="s">
        <v>36</v>
      </c>
      <c r="G3063" s="6">
        <v>2015</v>
      </c>
      <c r="H3063" s="6">
        <v>5</v>
      </c>
      <c r="I3063" s="10">
        <v>42125</v>
      </c>
      <c r="J3063" s="6">
        <v>2467</v>
      </c>
      <c r="K3063" s="51"/>
      <c r="O3063" t="s">
        <v>3</v>
      </c>
      <c r="P3063" t="s">
        <v>25</v>
      </c>
      <c r="Q3063" t="s">
        <v>4</v>
      </c>
      <c r="R3063" t="s">
        <v>23</v>
      </c>
      <c r="S3063" t="s">
        <v>36</v>
      </c>
      <c r="T3063">
        <v>2015</v>
      </c>
      <c r="U3063">
        <v>5</v>
      </c>
      <c r="V3063" s="51">
        <v>42125</v>
      </c>
      <c r="W3063" s="4">
        <v>2096.9500000000003</v>
      </c>
      <c r="X3063" s="52">
        <v>2467</v>
      </c>
    </row>
    <row r="3064" spans="2:24" x14ac:dyDescent="0.35">
      <c r="B3064" s="6" t="s">
        <v>6</v>
      </c>
      <c r="C3064" s="6" t="s">
        <v>40</v>
      </c>
      <c r="D3064" s="6" t="s">
        <v>41</v>
      </c>
      <c r="E3064" s="6" t="s">
        <v>23</v>
      </c>
      <c r="F3064" s="6" t="s">
        <v>39</v>
      </c>
      <c r="G3064" s="6">
        <v>2015</v>
      </c>
      <c r="H3064" s="6">
        <v>5</v>
      </c>
      <c r="I3064" s="10">
        <v>42125</v>
      </c>
      <c r="J3064" s="6">
        <v>2185</v>
      </c>
      <c r="K3064" s="51"/>
      <c r="O3064" t="s">
        <v>6</v>
      </c>
      <c r="P3064" t="s">
        <v>40</v>
      </c>
      <c r="Q3064" t="s">
        <v>41</v>
      </c>
      <c r="R3064" t="s">
        <v>23</v>
      </c>
      <c r="S3064" t="s">
        <v>39</v>
      </c>
      <c r="T3064">
        <v>2015</v>
      </c>
      <c r="U3064">
        <v>5</v>
      </c>
      <c r="V3064" s="51">
        <v>42125</v>
      </c>
      <c r="W3064" s="4">
        <v>2032.05</v>
      </c>
      <c r="X3064" s="52">
        <v>2185</v>
      </c>
    </row>
    <row r="3065" spans="2:24" x14ac:dyDescent="0.35">
      <c r="B3065" s="6" t="s">
        <v>7</v>
      </c>
      <c r="C3065" s="6" t="s">
        <v>48</v>
      </c>
      <c r="D3065" s="6" t="s">
        <v>9</v>
      </c>
      <c r="E3065" s="6" t="s">
        <v>0</v>
      </c>
      <c r="F3065" s="6" t="s">
        <v>45</v>
      </c>
      <c r="G3065" s="6">
        <v>2015</v>
      </c>
      <c r="H3065" s="6">
        <v>5</v>
      </c>
      <c r="I3065" s="10">
        <v>42125</v>
      </c>
      <c r="J3065" s="6">
        <v>2318</v>
      </c>
      <c r="K3065" s="51"/>
      <c r="O3065" t="s">
        <v>7</v>
      </c>
      <c r="P3065" t="s">
        <v>48</v>
      </c>
      <c r="Q3065" t="s">
        <v>9</v>
      </c>
      <c r="R3065" t="s">
        <v>0</v>
      </c>
      <c r="S3065" t="s">
        <v>45</v>
      </c>
      <c r="T3065">
        <v>2015</v>
      </c>
      <c r="U3065">
        <v>5</v>
      </c>
      <c r="V3065" s="51">
        <v>42125</v>
      </c>
      <c r="W3065" s="4">
        <v>2155.7399999999998</v>
      </c>
      <c r="X3065" s="52">
        <v>2318</v>
      </c>
    </row>
    <row r="3066" spans="2:24" x14ac:dyDescent="0.35">
      <c r="B3066" s="6" t="s">
        <v>7</v>
      </c>
      <c r="C3066" s="6" t="s">
        <v>49</v>
      </c>
      <c r="D3066" s="6" t="s">
        <v>11</v>
      </c>
      <c r="E3066" s="6" t="s">
        <v>27</v>
      </c>
      <c r="F3066" s="6" t="s">
        <v>31</v>
      </c>
      <c r="G3066" s="6">
        <v>2015</v>
      </c>
      <c r="H3066" s="6">
        <v>5</v>
      </c>
      <c r="I3066" s="10">
        <v>42125</v>
      </c>
      <c r="J3066" s="6">
        <v>4293</v>
      </c>
      <c r="K3066" s="51"/>
      <c r="O3066" t="s">
        <v>7</v>
      </c>
      <c r="P3066" t="s">
        <v>49</v>
      </c>
      <c r="Q3066" t="s">
        <v>11</v>
      </c>
      <c r="R3066" t="s">
        <v>27</v>
      </c>
      <c r="S3066" t="s">
        <v>31</v>
      </c>
      <c r="T3066">
        <v>2015</v>
      </c>
      <c r="U3066">
        <v>5</v>
      </c>
      <c r="V3066" s="51">
        <v>42125</v>
      </c>
      <c r="W3066" s="4">
        <v>3734.9100000000003</v>
      </c>
      <c r="X3066" s="52">
        <v>4293</v>
      </c>
    </row>
    <row r="3067" spans="2:24" x14ac:dyDescent="0.35">
      <c r="B3067" s="6" t="s">
        <v>7</v>
      </c>
      <c r="C3067" s="6" t="s">
        <v>43</v>
      </c>
      <c r="D3067" s="6" t="s">
        <v>10</v>
      </c>
      <c r="E3067" s="6" t="s">
        <v>27</v>
      </c>
      <c r="F3067" s="6" t="s">
        <v>33</v>
      </c>
      <c r="G3067" s="6">
        <v>2015</v>
      </c>
      <c r="H3067" s="6">
        <v>5</v>
      </c>
      <c r="I3067" s="10">
        <v>42125</v>
      </c>
      <c r="J3067" s="6">
        <v>4091</v>
      </c>
      <c r="K3067" s="51"/>
      <c r="O3067" t="s">
        <v>7</v>
      </c>
      <c r="P3067" t="s">
        <v>43</v>
      </c>
      <c r="Q3067" t="s">
        <v>10</v>
      </c>
      <c r="R3067" t="s">
        <v>27</v>
      </c>
      <c r="S3067" t="s">
        <v>33</v>
      </c>
      <c r="T3067">
        <v>2015</v>
      </c>
      <c r="U3067">
        <v>5</v>
      </c>
      <c r="V3067" s="51">
        <v>42125</v>
      </c>
      <c r="W3067" s="4">
        <v>3559.1700000000005</v>
      </c>
      <c r="X3067" s="52">
        <v>4091</v>
      </c>
    </row>
    <row r="3068" spans="2:24" x14ac:dyDescent="0.35">
      <c r="B3068" s="6" t="s">
        <v>7</v>
      </c>
      <c r="C3068" s="6" t="s">
        <v>32</v>
      </c>
      <c r="D3068" s="6" t="s">
        <v>8</v>
      </c>
      <c r="E3068" s="6" t="s">
        <v>0</v>
      </c>
      <c r="F3068" s="6" t="s">
        <v>45</v>
      </c>
      <c r="G3068" s="6">
        <v>2015</v>
      </c>
      <c r="H3068" s="6">
        <v>5</v>
      </c>
      <c r="I3068" s="10">
        <v>42125</v>
      </c>
      <c r="J3068" s="6">
        <v>3916</v>
      </c>
      <c r="K3068" s="51"/>
      <c r="O3068" t="s">
        <v>7</v>
      </c>
      <c r="P3068" t="s">
        <v>32</v>
      </c>
      <c r="Q3068" t="s">
        <v>8</v>
      </c>
      <c r="R3068" t="s">
        <v>0</v>
      </c>
      <c r="S3068" t="s">
        <v>45</v>
      </c>
      <c r="T3068">
        <v>2015</v>
      </c>
      <c r="U3068">
        <v>5</v>
      </c>
      <c r="V3068" s="51">
        <v>42125</v>
      </c>
      <c r="W3068" s="4">
        <v>3563.5599999999995</v>
      </c>
      <c r="X3068" s="52">
        <v>3916</v>
      </c>
    </row>
    <row r="3069" spans="2:24" x14ac:dyDescent="0.35">
      <c r="B3069" s="6" t="s">
        <v>7</v>
      </c>
      <c r="C3069" s="6" t="s">
        <v>48</v>
      </c>
      <c r="D3069" s="6" t="s">
        <v>9</v>
      </c>
      <c r="E3069" s="6" t="s">
        <v>23</v>
      </c>
      <c r="F3069" s="6" t="s">
        <v>39</v>
      </c>
      <c r="G3069" s="6">
        <v>2015</v>
      </c>
      <c r="H3069" s="6">
        <v>5</v>
      </c>
      <c r="I3069" s="10">
        <v>42125</v>
      </c>
      <c r="J3069" s="6">
        <v>1722</v>
      </c>
      <c r="K3069" s="51"/>
      <c r="O3069" t="s">
        <v>7</v>
      </c>
      <c r="P3069" t="s">
        <v>48</v>
      </c>
      <c r="Q3069" t="s">
        <v>9</v>
      </c>
      <c r="R3069" t="s">
        <v>23</v>
      </c>
      <c r="S3069" t="s">
        <v>39</v>
      </c>
      <c r="T3069">
        <v>2015</v>
      </c>
      <c r="U3069">
        <v>5</v>
      </c>
      <c r="V3069" s="51">
        <v>42125</v>
      </c>
      <c r="W3069" s="4">
        <v>1567.02</v>
      </c>
      <c r="X3069" s="52">
        <v>1722</v>
      </c>
    </row>
    <row r="3070" spans="2:24" x14ac:dyDescent="0.35">
      <c r="B3070" s="6" t="s">
        <v>7</v>
      </c>
      <c r="C3070" s="6" t="s">
        <v>49</v>
      </c>
      <c r="D3070" s="6" t="s">
        <v>11</v>
      </c>
      <c r="E3070" s="6" t="s">
        <v>0</v>
      </c>
      <c r="F3070" s="6" t="s">
        <v>26</v>
      </c>
      <c r="G3070" s="6">
        <v>2015</v>
      </c>
      <c r="H3070" s="6">
        <v>5</v>
      </c>
      <c r="I3070" s="10">
        <v>42125</v>
      </c>
      <c r="J3070" s="6">
        <v>2855</v>
      </c>
      <c r="K3070" s="51"/>
      <c r="O3070" t="s">
        <v>7</v>
      </c>
      <c r="P3070" t="s">
        <v>49</v>
      </c>
      <c r="Q3070" t="s">
        <v>11</v>
      </c>
      <c r="R3070" t="s">
        <v>0</v>
      </c>
      <c r="S3070" t="s">
        <v>26</v>
      </c>
      <c r="T3070">
        <v>2015</v>
      </c>
      <c r="U3070">
        <v>5</v>
      </c>
      <c r="V3070" s="51">
        <v>42125</v>
      </c>
      <c r="W3070" s="4">
        <v>2626.6</v>
      </c>
      <c r="X3070" s="52">
        <v>2855</v>
      </c>
    </row>
    <row r="3071" spans="2:24" x14ac:dyDescent="0.35">
      <c r="B3071" s="6" t="s">
        <v>12</v>
      </c>
      <c r="C3071" s="6" t="s">
        <v>34</v>
      </c>
      <c r="D3071" s="6" t="s">
        <v>35</v>
      </c>
      <c r="E3071" s="6" t="s">
        <v>27</v>
      </c>
      <c r="F3071" s="6" t="s">
        <v>28</v>
      </c>
      <c r="G3071" s="6">
        <v>2015</v>
      </c>
      <c r="H3071" s="6">
        <v>5</v>
      </c>
      <c r="I3071" s="10">
        <v>42125</v>
      </c>
      <c r="J3071" s="6">
        <v>4002</v>
      </c>
      <c r="K3071" s="51"/>
      <c r="O3071" t="s">
        <v>12</v>
      </c>
      <c r="P3071" t="s">
        <v>34</v>
      </c>
      <c r="Q3071" t="s">
        <v>35</v>
      </c>
      <c r="R3071" t="s">
        <v>27</v>
      </c>
      <c r="S3071" t="s">
        <v>28</v>
      </c>
      <c r="T3071">
        <v>2015</v>
      </c>
      <c r="U3071">
        <v>5</v>
      </c>
      <c r="V3071" s="51">
        <v>42125</v>
      </c>
      <c r="W3071" s="4">
        <v>3601.7999999999997</v>
      </c>
      <c r="X3071" s="52">
        <v>4002</v>
      </c>
    </row>
    <row r="3072" spans="2:24" x14ac:dyDescent="0.35">
      <c r="B3072" s="6" t="s">
        <v>14</v>
      </c>
      <c r="C3072" s="6" t="s">
        <v>37</v>
      </c>
      <c r="D3072" s="6" t="s">
        <v>38</v>
      </c>
      <c r="E3072" s="6" t="s">
        <v>27</v>
      </c>
      <c r="F3072" s="6" t="s">
        <v>33</v>
      </c>
      <c r="G3072" s="6">
        <v>2015</v>
      </c>
      <c r="H3072" s="6">
        <v>5</v>
      </c>
      <c r="I3072" s="10">
        <v>42125</v>
      </c>
      <c r="J3072" s="6">
        <v>3228</v>
      </c>
      <c r="K3072" s="51"/>
      <c r="O3072" t="s">
        <v>14</v>
      </c>
      <c r="P3072" t="s">
        <v>37</v>
      </c>
      <c r="Q3072" t="s">
        <v>38</v>
      </c>
      <c r="R3072" t="s">
        <v>27</v>
      </c>
      <c r="S3072" t="s">
        <v>33</v>
      </c>
      <c r="T3072">
        <v>2015</v>
      </c>
      <c r="U3072">
        <v>5</v>
      </c>
      <c r="V3072" s="51">
        <v>42125</v>
      </c>
      <c r="W3072" s="4">
        <v>2840.6399999999994</v>
      </c>
      <c r="X3072" s="52">
        <v>3228</v>
      </c>
    </row>
    <row r="3073" spans="2:24" x14ac:dyDescent="0.35">
      <c r="B3073" s="6" t="s">
        <v>12</v>
      </c>
      <c r="C3073" s="6" t="s">
        <v>44</v>
      </c>
      <c r="D3073" s="6" t="s">
        <v>13</v>
      </c>
      <c r="E3073" s="6" t="s">
        <v>23</v>
      </c>
      <c r="F3073" s="6" t="s">
        <v>24</v>
      </c>
      <c r="G3073" s="6">
        <v>2015</v>
      </c>
      <c r="H3073" s="6">
        <v>5</v>
      </c>
      <c r="I3073" s="10">
        <v>42125</v>
      </c>
      <c r="J3073" s="6">
        <v>3307</v>
      </c>
      <c r="K3073" s="51"/>
      <c r="O3073" t="s">
        <v>12</v>
      </c>
      <c r="P3073" t="s">
        <v>44</v>
      </c>
      <c r="Q3073" t="s">
        <v>13</v>
      </c>
      <c r="R3073" t="s">
        <v>23</v>
      </c>
      <c r="S3073" t="s">
        <v>24</v>
      </c>
      <c r="T3073">
        <v>2015</v>
      </c>
      <c r="U3073">
        <v>5</v>
      </c>
      <c r="V3073" s="51">
        <v>42125</v>
      </c>
      <c r="W3073" s="4">
        <v>2877.09</v>
      </c>
      <c r="X3073" s="52">
        <v>3307</v>
      </c>
    </row>
    <row r="3074" spans="2:24" x14ac:dyDescent="0.35">
      <c r="B3074" s="6" t="s">
        <v>14</v>
      </c>
      <c r="C3074" s="6" t="s">
        <v>46</v>
      </c>
      <c r="D3074" s="6" t="s">
        <v>47</v>
      </c>
      <c r="E3074" s="6" t="s">
        <v>0</v>
      </c>
      <c r="F3074" s="6" t="s">
        <v>42</v>
      </c>
      <c r="G3074" s="6">
        <v>2015</v>
      </c>
      <c r="H3074" s="6">
        <v>5</v>
      </c>
      <c r="I3074" s="10">
        <v>42125</v>
      </c>
      <c r="J3074" s="6">
        <v>4756</v>
      </c>
      <c r="K3074" s="51"/>
      <c r="O3074" t="s">
        <v>14</v>
      </c>
      <c r="P3074" t="s">
        <v>46</v>
      </c>
      <c r="Q3074" t="s">
        <v>47</v>
      </c>
      <c r="R3074" t="s">
        <v>0</v>
      </c>
      <c r="S3074" t="s">
        <v>42</v>
      </c>
      <c r="T3074">
        <v>2015</v>
      </c>
      <c r="U3074">
        <v>5</v>
      </c>
      <c r="V3074" s="51">
        <v>42125</v>
      </c>
      <c r="W3074" s="4">
        <v>4090.1600000000003</v>
      </c>
      <c r="X3074" s="52">
        <v>4756</v>
      </c>
    </row>
    <row r="3075" spans="2:24" x14ac:dyDescent="0.35">
      <c r="B3075" s="6" t="s">
        <v>7</v>
      </c>
      <c r="C3075" s="6" t="s">
        <v>48</v>
      </c>
      <c r="D3075" s="6" t="s">
        <v>9</v>
      </c>
      <c r="E3075" s="6" t="s">
        <v>27</v>
      </c>
      <c r="F3075" s="6" t="s">
        <v>33</v>
      </c>
      <c r="G3075" s="6">
        <v>2015</v>
      </c>
      <c r="H3075" s="6">
        <v>5</v>
      </c>
      <c r="I3075" s="10">
        <v>42125</v>
      </c>
      <c r="J3075" s="6">
        <v>3664</v>
      </c>
      <c r="K3075" s="51"/>
      <c r="O3075" t="s">
        <v>7</v>
      </c>
      <c r="P3075" t="s">
        <v>48</v>
      </c>
      <c r="Q3075" t="s">
        <v>9</v>
      </c>
      <c r="R3075" t="s">
        <v>27</v>
      </c>
      <c r="S3075" t="s">
        <v>33</v>
      </c>
      <c r="T3075">
        <v>2015</v>
      </c>
      <c r="U3075">
        <v>5</v>
      </c>
      <c r="V3075" s="51">
        <v>42125</v>
      </c>
      <c r="W3075" s="4">
        <v>3114.4000000000005</v>
      </c>
      <c r="X3075" s="52">
        <v>3664</v>
      </c>
    </row>
    <row r="3076" spans="2:24" x14ac:dyDescent="0.35">
      <c r="B3076" s="6" t="s">
        <v>7</v>
      </c>
      <c r="C3076" s="6" t="s">
        <v>49</v>
      </c>
      <c r="D3076" s="6" t="s">
        <v>11</v>
      </c>
      <c r="E3076" s="6" t="s">
        <v>23</v>
      </c>
      <c r="F3076" s="6" t="s">
        <v>24</v>
      </c>
      <c r="G3076" s="6">
        <v>2015</v>
      </c>
      <c r="H3076" s="6">
        <v>5</v>
      </c>
      <c r="I3076" s="10">
        <v>42125</v>
      </c>
      <c r="J3076" s="6">
        <v>3116</v>
      </c>
      <c r="K3076" s="51"/>
      <c r="O3076" t="s">
        <v>7</v>
      </c>
      <c r="P3076" t="s">
        <v>49</v>
      </c>
      <c r="Q3076" t="s">
        <v>11</v>
      </c>
      <c r="R3076" t="s">
        <v>23</v>
      </c>
      <c r="S3076" t="s">
        <v>24</v>
      </c>
      <c r="T3076">
        <v>2015</v>
      </c>
      <c r="U3076">
        <v>5</v>
      </c>
      <c r="V3076" s="51">
        <v>42125</v>
      </c>
      <c r="W3076" s="4">
        <v>2866.72</v>
      </c>
      <c r="X3076" s="52">
        <v>3116</v>
      </c>
    </row>
    <row r="3077" spans="2:24" x14ac:dyDescent="0.35">
      <c r="B3077" s="6" t="s">
        <v>3</v>
      </c>
      <c r="C3077" s="6" t="s">
        <v>22</v>
      </c>
      <c r="D3077" s="6" t="s">
        <v>5</v>
      </c>
      <c r="E3077" s="6" t="s">
        <v>23</v>
      </c>
      <c r="F3077" s="6" t="s">
        <v>24</v>
      </c>
      <c r="G3077" s="6">
        <v>2015</v>
      </c>
      <c r="H3077" s="6">
        <v>6</v>
      </c>
      <c r="I3077" s="10">
        <v>42156</v>
      </c>
      <c r="J3077" s="6">
        <v>2810</v>
      </c>
      <c r="K3077" s="51"/>
      <c r="O3077" t="s">
        <v>3</v>
      </c>
      <c r="P3077" t="s">
        <v>22</v>
      </c>
      <c r="Q3077" t="s">
        <v>5</v>
      </c>
      <c r="R3077" t="s">
        <v>23</v>
      </c>
      <c r="S3077" t="s">
        <v>24</v>
      </c>
      <c r="T3077">
        <v>2015</v>
      </c>
      <c r="U3077">
        <v>6</v>
      </c>
      <c r="V3077" s="51">
        <v>42156</v>
      </c>
      <c r="W3077" s="4">
        <v>2444.7000000000003</v>
      </c>
      <c r="X3077" s="52">
        <v>2810</v>
      </c>
    </row>
    <row r="3078" spans="2:24" x14ac:dyDescent="0.35">
      <c r="B3078" s="6" t="s">
        <v>3</v>
      </c>
      <c r="C3078" s="6" t="s">
        <v>25</v>
      </c>
      <c r="D3078" s="6" t="s">
        <v>4</v>
      </c>
      <c r="E3078" s="6" t="s">
        <v>23</v>
      </c>
      <c r="F3078" s="6" t="s">
        <v>24</v>
      </c>
      <c r="G3078" s="6">
        <v>2015</v>
      </c>
      <c r="H3078" s="6">
        <v>6</v>
      </c>
      <c r="I3078" s="10">
        <v>42156</v>
      </c>
      <c r="J3078" s="6">
        <v>3147</v>
      </c>
      <c r="K3078" s="51"/>
      <c r="O3078" t="s">
        <v>3</v>
      </c>
      <c r="P3078" t="s">
        <v>25</v>
      </c>
      <c r="Q3078" t="s">
        <v>4</v>
      </c>
      <c r="R3078" t="s">
        <v>23</v>
      </c>
      <c r="S3078" t="s">
        <v>24</v>
      </c>
      <c r="T3078">
        <v>2015</v>
      </c>
      <c r="U3078">
        <v>6</v>
      </c>
      <c r="V3078" s="51">
        <v>42156</v>
      </c>
      <c r="W3078" s="4">
        <v>2674.9500000000003</v>
      </c>
      <c r="X3078" s="52">
        <v>3147</v>
      </c>
    </row>
    <row r="3079" spans="2:24" x14ac:dyDescent="0.35">
      <c r="B3079" s="6" t="s">
        <v>3</v>
      </c>
      <c r="C3079" s="6" t="s">
        <v>25</v>
      </c>
      <c r="D3079" s="6" t="s">
        <v>4</v>
      </c>
      <c r="E3079" s="6" t="s">
        <v>0</v>
      </c>
      <c r="F3079" s="6" t="s">
        <v>26</v>
      </c>
      <c r="G3079" s="6">
        <v>2015</v>
      </c>
      <c r="H3079" s="6">
        <v>6</v>
      </c>
      <c r="I3079" s="10">
        <v>42156</v>
      </c>
      <c r="J3079" s="6">
        <v>3898</v>
      </c>
      <c r="K3079" s="51"/>
      <c r="O3079" t="s">
        <v>3</v>
      </c>
      <c r="P3079" t="s">
        <v>25</v>
      </c>
      <c r="Q3079" t="s">
        <v>4</v>
      </c>
      <c r="R3079" t="s">
        <v>0</v>
      </c>
      <c r="S3079" t="s">
        <v>26</v>
      </c>
      <c r="T3079">
        <v>2015</v>
      </c>
      <c r="U3079">
        <v>6</v>
      </c>
      <c r="V3079" s="51">
        <v>42156</v>
      </c>
      <c r="W3079" s="4">
        <v>3625.14</v>
      </c>
      <c r="X3079" s="52">
        <v>3898</v>
      </c>
    </row>
    <row r="3080" spans="2:24" x14ac:dyDescent="0.35">
      <c r="B3080" s="6" t="s">
        <v>3</v>
      </c>
      <c r="C3080" s="6" t="s">
        <v>22</v>
      </c>
      <c r="D3080" s="6" t="s">
        <v>5</v>
      </c>
      <c r="E3080" s="6" t="s">
        <v>0</v>
      </c>
      <c r="F3080" s="6" t="s">
        <v>26</v>
      </c>
      <c r="G3080" s="6">
        <v>2015</v>
      </c>
      <c r="H3080" s="6">
        <v>6</v>
      </c>
      <c r="I3080" s="10">
        <v>42156</v>
      </c>
      <c r="J3080" s="6">
        <v>3373</v>
      </c>
      <c r="K3080" s="51"/>
      <c r="O3080" t="s">
        <v>3</v>
      </c>
      <c r="P3080" t="s">
        <v>22</v>
      </c>
      <c r="Q3080" t="s">
        <v>5</v>
      </c>
      <c r="R3080" t="s">
        <v>0</v>
      </c>
      <c r="S3080" t="s">
        <v>26</v>
      </c>
      <c r="T3080">
        <v>2015</v>
      </c>
      <c r="U3080">
        <v>6</v>
      </c>
      <c r="V3080" s="51">
        <v>42156</v>
      </c>
      <c r="W3080" s="4">
        <v>3035.7</v>
      </c>
      <c r="X3080" s="52">
        <v>3373</v>
      </c>
    </row>
    <row r="3081" spans="2:24" x14ac:dyDescent="0.35">
      <c r="B3081" s="6" t="s">
        <v>3</v>
      </c>
      <c r="C3081" s="6" t="s">
        <v>22</v>
      </c>
      <c r="D3081" s="6" t="s">
        <v>5</v>
      </c>
      <c r="E3081" s="6" t="s">
        <v>27</v>
      </c>
      <c r="F3081" s="6" t="s">
        <v>28</v>
      </c>
      <c r="G3081" s="6">
        <v>2015</v>
      </c>
      <c r="H3081" s="6">
        <v>6</v>
      </c>
      <c r="I3081" s="10">
        <v>42156</v>
      </c>
      <c r="J3081" s="6">
        <v>4937</v>
      </c>
      <c r="K3081" s="51"/>
      <c r="O3081" t="s">
        <v>3</v>
      </c>
      <c r="P3081" t="s">
        <v>22</v>
      </c>
      <c r="Q3081" t="s">
        <v>5</v>
      </c>
      <c r="R3081" t="s">
        <v>27</v>
      </c>
      <c r="S3081" t="s">
        <v>28</v>
      </c>
      <c r="T3081">
        <v>2015</v>
      </c>
      <c r="U3081">
        <v>6</v>
      </c>
      <c r="V3081" s="51">
        <v>42156</v>
      </c>
      <c r="W3081" s="4">
        <v>4542.04</v>
      </c>
      <c r="X3081" s="52">
        <v>4937</v>
      </c>
    </row>
    <row r="3082" spans="2:24" x14ac:dyDescent="0.35">
      <c r="B3082" s="6" t="s">
        <v>6</v>
      </c>
      <c r="C3082" s="6" t="s">
        <v>29</v>
      </c>
      <c r="D3082" s="6" t="s">
        <v>30</v>
      </c>
      <c r="E3082" s="6" t="s">
        <v>27</v>
      </c>
      <c r="F3082" s="6" t="s">
        <v>31</v>
      </c>
      <c r="G3082" s="6">
        <v>2015</v>
      </c>
      <c r="H3082" s="6">
        <v>6</v>
      </c>
      <c r="I3082" s="10">
        <v>42156</v>
      </c>
      <c r="J3082" s="6">
        <v>4680</v>
      </c>
      <c r="K3082" s="51"/>
      <c r="O3082" t="s">
        <v>6</v>
      </c>
      <c r="P3082" t="s">
        <v>29</v>
      </c>
      <c r="Q3082" t="s">
        <v>30</v>
      </c>
      <c r="R3082" t="s">
        <v>27</v>
      </c>
      <c r="S3082" t="s">
        <v>31</v>
      </c>
      <c r="T3082">
        <v>2015</v>
      </c>
      <c r="U3082">
        <v>6</v>
      </c>
      <c r="V3082" s="51">
        <v>42156</v>
      </c>
      <c r="W3082" s="4">
        <v>4024.8</v>
      </c>
      <c r="X3082" s="52">
        <v>4680</v>
      </c>
    </row>
    <row r="3083" spans="2:24" x14ac:dyDescent="0.35">
      <c r="B3083" s="6" t="s">
        <v>7</v>
      </c>
      <c r="C3083" s="6" t="s">
        <v>32</v>
      </c>
      <c r="D3083" s="6" t="s">
        <v>8</v>
      </c>
      <c r="E3083" s="6" t="s">
        <v>27</v>
      </c>
      <c r="F3083" s="6" t="s">
        <v>33</v>
      </c>
      <c r="G3083" s="6">
        <v>2015</v>
      </c>
      <c r="H3083" s="6">
        <v>6</v>
      </c>
      <c r="I3083" s="10">
        <v>42156</v>
      </c>
      <c r="J3083" s="6">
        <v>3416</v>
      </c>
      <c r="K3083" s="51"/>
      <c r="O3083" t="s">
        <v>7</v>
      </c>
      <c r="P3083" t="s">
        <v>32</v>
      </c>
      <c r="Q3083" t="s">
        <v>8</v>
      </c>
      <c r="R3083" t="s">
        <v>27</v>
      </c>
      <c r="S3083" t="s">
        <v>33</v>
      </c>
      <c r="T3083">
        <v>2015</v>
      </c>
      <c r="U3083">
        <v>6</v>
      </c>
      <c r="V3083" s="51">
        <v>42156</v>
      </c>
      <c r="W3083" s="4">
        <v>2903.6000000000004</v>
      </c>
      <c r="X3083" s="52">
        <v>3416</v>
      </c>
    </row>
    <row r="3084" spans="2:24" x14ac:dyDescent="0.35">
      <c r="B3084" s="6" t="s">
        <v>12</v>
      </c>
      <c r="C3084" s="6" t="s">
        <v>34</v>
      </c>
      <c r="D3084" s="6" t="s">
        <v>35</v>
      </c>
      <c r="E3084" s="6" t="s">
        <v>23</v>
      </c>
      <c r="F3084" s="6" t="s">
        <v>36</v>
      </c>
      <c r="G3084" s="6">
        <v>2015</v>
      </c>
      <c r="H3084" s="6">
        <v>6</v>
      </c>
      <c r="I3084" s="10">
        <v>42156</v>
      </c>
      <c r="J3084" s="6">
        <v>1703</v>
      </c>
      <c r="K3084" s="51"/>
      <c r="O3084" t="s">
        <v>12</v>
      </c>
      <c r="P3084" t="s">
        <v>34</v>
      </c>
      <c r="Q3084" t="s">
        <v>35</v>
      </c>
      <c r="R3084" t="s">
        <v>23</v>
      </c>
      <c r="S3084" t="s">
        <v>36</v>
      </c>
      <c r="T3084">
        <v>2015</v>
      </c>
      <c r="U3084">
        <v>6</v>
      </c>
      <c r="V3084" s="51">
        <v>42156</v>
      </c>
      <c r="W3084" s="4">
        <v>1532.6999999999998</v>
      </c>
      <c r="X3084" s="52">
        <v>1703</v>
      </c>
    </row>
    <row r="3085" spans="2:24" x14ac:dyDescent="0.35">
      <c r="B3085" s="6" t="s">
        <v>14</v>
      </c>
      <c r="C3085" s="6" t="s">
        <v>37</v>
      </c>
      <c r="D3085" s="6" t="s">
        <v>38</v>
      </c>
      <c r="E3085" s="6" t="s">
        <v>23</v>
      </c>
      <c r="F3085" s="6" t="s">
        <v>24</v>
      </c>
      <c r="G3085" s="6">
        <v>2015</v>
      </c>
      <c r="H3085" s="6">
        <v>6</v>
      </c>
      <c r="I3085" s="10">
        <v>42156</v>
      </c>
      <c r="J3085" s="6">
        <v>2956</v>
      </c>
      <c r="K3085" s="51"/>
      <c r="O3085" t="s">
        <v>14</v>
      </c>
      <c r="P3085" t="s">
        <v>37</v>
      </c>
      <c r="Q3085" t="s">
        <v>38</v>
      </c>
      <c r="R3085" t="s">
        <v>23</v>
      </c>
      <c r="S3085" t="s">
        <v>24</v>
      </c>
      <c r="T3085">
        <v>2015</v>
      </c>
      <c r="U3085">
        <v>6</v>
      </c>
      <c r="V3085" s="51">
        <v>42156</v>
      </c>
      <c r="W3085" s="4">
        <v>2719.52</v>
      </c>
      <c r="X3085" s="52">
        <v>2956</v>
      </c>
    </row>
    <row r="3086" spans="2:24" x14ac:dyDescent="0.35">
      <c r="B3086" s="6" t="s">
        <v>3</v>
      </c>
      <c r="C3086" s="6" t="s">
        <v>25</v>
      </c>
      <c r="D3086" s="6" t="s">
        <v>4</v>
      </c>
      <c r="E3086" s="6" t="s">
        <v>23</v>
      </c>
      <c r="F3086" s="6" t="s">
        <v>39</v>
      </c>
      <c r="G3086" s="6">
        <v>2015</v>
      </c>
      <c r="H3086" s="6">
        <v>6</v>
      </c>
      <c r="I3086" s="10">
        <v>42156</v>
      </c>
      <c r="J3086" s="6">
        <v>2675</v>
      </c>
      <c r="K3086" s="51"/>
      <c r="O3086" t="s">
        <v>3</v>
      </c>
      <c r="P3086" t="s">
        <v>25</v>
      </c>
      <c r="Q3086" t="s">
        <v>4</v>
      </c>
      <c r="R3086" t="s">
        <v>23</v>
      </c>
      <c r="S3086" t="s">
        <v>39</v>
      </c>
      <c r="T3086">
        <v>2015</v>
      </c>
      <c r="U3086">
        <v>6</v>
      </c>
      <c r="V3086" s="51">
        <v>42156</v>
      </c>
      <c r="W3086" s="4">
        <v>2380.7499999999995</v>
      </c>
      <c r="X3086" s="52">
        <v>2675</v>
      </c>
    </row>
    <row r="3087" spans="2:24" x14ac:dyDescent="0.35">
      <c r="B3087" s="6" t="s">
        <v>6</v>
      </c>
      <c r="C3087" s="6" t="s">
        <v>40</v>
      </c>
      <c r="D3087" s="6" t="s">
        <v>41</v>
      </c>
      <c r="E3087" s="6" t="s">
        <v>0</v>
      </c>
      <c r="F3087" s="6" t="s">
        <v>42</v>
      </c>
      <c r="G3087" s="6">
        <v>2015</v>
      </c>
      <c r="H3087" s="6">
        <v>6</v>
      </c>
      <c r="I3087" s="10">
        <v>42156</v>
      </c>
      <c r="J3087" s="6">
        <v>6801</v>
      </c>
      <c r="K3087" s="51"/>
      <c r="O3087" t="s">
        <v>6</v>
      </c>
      <c r="P3087" t="s">
        <v>40</v>
      </c>
      <c r="Q3087" t="s">
        <v>41</v>
      </c>
      <c r="R3087" t="s">
        <v>0</v>
      </c>
      <c r="S3087" t="s">
        <v>42</v>
      </c>
      <c r="T3087">
        <v>2015</v>
      </c>
      <c r="U3087">
        <v>6</v>
      </c>
      <c r="V3087" s="51">
        <v>42156</v>
      </c>
      <c r="W3087" s="4">
        <v>5780.85</v>
      </c>
      <c r="X3087" s="52">
        <v>6801</v>
      </c>
    </row>
    <row r="3088" spans="2:24" x14ac:dyDescent="0.35">
      <c r="B3088" s="6" t="s">
        <v>7</v>
      </c>
      <c r="C3088" s="6" t="s">
        <v>43</v>
      </c>
      <c r="D3088" s="6" t="s">
        <v>10</v>
      </c>
      <c r="E3088" s="6" t="s">
        <v>0</v>
      </c>
      <c r="F3088" s="6" t="s">
        <v>26</v>
      </c>
      <c r="G3088" s="6">
        <v>2015</v>
      </c>
      <c r="H3088" s="6">
        <v>6</v>
      </c>
      <c r="I3088" s="10">
        <v>42156</v>
      </c>
      <c r="J3088" s="6">
        <v>3596</v>
      </c>
      <c r="K3088" s="51"/>
      <c r="O3088" t="s">
        <v>7</v>
      </c>
      <c r="P3088" t="s">
        <v>43</v>
      </c>
      <c r="Q3088" t="s">
        <v>10</v>
      </c>
      <c r="R3088" t="s">
        <v>0</v>
      </c>
      <c r="S3088" t="s">
        <v>26</v>
      </c>
      <c r="T3088">
        <v>2015</v>
      </c>
      <c r="U3088">
        <v>6</v>
      </c>
      <c r="V3088" s="51">
        <v>42156</v>
      </c>
      <c r="W3088" s="4">
        <v>3128.5200000000004</v>
      </c>
      <c r="X3088" s="52">
        <v>3596</v>
      </c>
    </row>
    <row r="3089" spans="2:24" x14ac:dyDescent="0.35">
      <c r="B3089" s="6" t="s">
        <v>12</v>
      </c>
      <c r="C3089" s="6" t="s">
        <v>44</v>
      </c>
      <c r="D3089" s="6" t="s">
        <v>13</v>
      </c>
      <c r="E3089" s="6" t="s">
        <v>0</v>
      </c>
      <c r="F3089" s="6" t="s">
        <v>45</v>
      </c>
      <c r="G3089" s="6">
        <v>2015</v>
      </c>
      <c r="H3089" s="6">
        <v>6</v>
      </c>
      <c r="I3089" s="10">
        <v>42156</v>
      </c>
      <c r="J3089" s="6">
        <v>2402</v>
      </c>
      <c r="K3089" s="51"/>
      <c r="O3089" t="s">
        <v>12</v>
      </c>
      <c r="P3089" t="s">
        <v>44</v>
      </c>
      <c r="Q3089" t="s">
        <v>13</v>
      </c>
      <c r="R3089" t="s">
        <v>0</v>
      </c>
      <c r="S3089" t="s">
        <v>45</v>
      </c>
      <c r="T3089">
        <v>2015</v>
      </c>
      <c r="U3089">
        <v>6</v>
      </c>
      <c r="V3089" s="51">
        <v>42156</v>
      </c>
      <c r="W3089" s="4">
        <v>2185.8199999999997</v>
      </c>
      <c r="X3089" s="52">
        <v>2402</v>
      </c>
    </row>
    <row r="3090" spans="2:24" x14ac:dyDescent="0.35">
      <c r="B3090" s="6" t="s">
        <v>14</v>
      </c>
      <c r="C3090" s="6" t="s">
        <v>46</v>
      </c>
      <c r="D3090" s="6" t="s">
        <v>47</v>
      </c>
      <c r="E3090" s="6" t="s">
        <v>27</v>
      </c>
      <c r="F3090" s="6" t="s">
        <v>28</v>
      </c>
      <c r="G3090" s="6">
        <v>2015</v>
      </c>
      <c r="H3090" s="6">
        <v>6</v>
      </c>
      <c r="I3090" s="10">
        <v>42156</v>
      </c>
      <c r="J3090" s="6">
        <v>3454</v>
      </c>
      <c r="K3090" s="51"/>
      <c r="O3090" t="s">
        <v>14</v>
      </c>
      <c r="P3090" t="s">
        <v>46</v>
      </c>
      <c r="Q3090" t="s">
        <v>47</v>
      </c>
      <c r="R3090" t="s">
        <v>27</v>
      </c>
      <c r="S3090" t="s">
        <v>28</v>
      </c>
      <c r="T3090">
        <v>2015</v>
      </c>
      <c r="U3090">
        <v>6</v>
      </c>
      <c r="V3090" s="51">
        <v>42156</v>
      </c>
      <c r="W3090" s="4">
        <v>3177.68</v>
      </c>
      <c r="X3090" s="52">
        <v>3454</v>
      </c>
    </row>
    <row r="3091" spans="2:24" x14ac:dyDescent="0.35">
      <c r="B3091" s="6" t="s">
        <v>3</v>
      </c>
      <c r="C3091" s="6" t="s">
        <v>22</v>
      </c>
      <c r="D3091" s="6" t="s">
        <v>5</v>
      </c>
      <c r="E3091" s="6" t="s">
        <v>27</v>
      </c>
      <c r="F3091" s="6" t="s">
        <v>31</v>
      </c>
      <c r="G3091" s="6">
        <v>2015</v>
      </c>
      <c r="H3091" s="6">
        <v>6</v>
      </c>
      <c r="I3091" s="10">
        <v>42156</v>
      </c>
      <c r="J3091" s="6">
        <v>3863</v>
      </c>
      <c r="K3091" s="51"/>
      <c r="O3091" t="s">
        <v>3</v>
      </c>
      <c r="P3091" t="s">
        <v>22</v>
      </c>
      <c r="Q3091" t="s">
        <v>5</v>
      </c>
      <c r="R3091" t="s">
        <v>27</v>
      </c>
      <c r="S3091" t="s">
        <v>31</v>
      </c>
      <c r="T3091">
        <v>2015</v>
      </c>
      <c r="U3091">
        <v>6</v>
      </c>
      <c r="V3091" s="51">
        <v>42156</v>
      </c>
      <c r="W3091" s="4">
        <v>3553.9599999999996</v>
      </c>
      <c r="X3091" s="52">
        <v>3863</v>
      </c>
    </row>
    <row r="3092" spans="2:24" x14ac:dyDescent="0.35">
      <c r="B3092" s="6" t="s">
        <v>6</v>
      </c>
      <c r="C3092" s="6" t="s">
        <v>29</v>
      </c>
      <c r="D3092" s="6" t="s">
        <v>30</v>
      </c>
      <c r="E3092" s="6" t="s">
        <v>27</v>
      </c>
      <c r="F3092" s="6" t="s">
        <v>33</v>
      </c>
      <c r="G3092" s="6">
        <v>2015</v>
      </c>
      <c r="H3092" s="6">
        <v>6</v>
      </c>
      <c r="I3092" s="10">
        <v>42156</v>
      </c>
      <c r="J3092" s="6">
        <v>3571</v>
      </c>
      <c r="K3092" s="51"/>
      <c r="O3092" t="s">
        <v>6</v>
      </c>
      <c r="P3092" t="s">
        <v>29</v>
      </c>
      <c r="Q3092" t="s">
        <v>30</v>
      </c>
      <c r="R3092" t="s">
        <v>27</v>
      </c>
      <c r="S3092" t="s">
        <v>33</v>
      </c>
      <c r="T3092">
        <v>2015</v>
      </c>
      <c r="U3092">
        <v>6</v>
      </c>
      <c r="V3092" s="51">
        <v>42156</v>
      </c>
      <c r="W3092" s="4">
        <v>3178.1899999999996</v>
      </c>
      <c r="X3092" s="52">
        <v>3571</v>
      </c>
    </row>
    <row r="3093" spans="2:24" x14ac:dyDescent="0.35">
      <c r="B3093" s="6" t="s">
        <v>7</v>
      </c>
      <c r="C3093" s="6" t="s">
        <v>32</v>
      </c>
      <c r="D3093" s="6" t="s">
        <v>8</v>
      </c>
      <c r="E3093" s="6" t="s">
        <v>23</v>
      </c>
      <c r="F3093" s="6" t="s">
        <v>36</v>
      </c>
      <c r="G3093" s="6">
        <v>2015</v>
      </c>
      <c r="H3093" s="6">
        <v>6</v>
      </c>
      <c r="I3093" s="10">
        <v>42156</v>
      </c>
      <c r="J3093" s="6">
        <v>2814</v>
      </c>
      <c r="K3093" s="51"/>
      <c r="O3093" t="s">
        <v>7</v>
      </c>
      <c r="P3093" t="s">
        <v>32</v>
      </c>
      <c r="Q3093" t="s">
        <v>8</v>
      </c>
      <c r="R3093" t="s">
        <v>23</v>
      </c>
      <c r="S3093" t="s">
        <v>36</v>
      </c>
      <c r="T3093">
        <v>2015</v>
      </c>
      <c r="U3093">
        <v>6</v>
      </c>
      <c r="V3093" s="51">
        <v>42156</v>
      </c>
      <c r="W3093" s="4">
        <v>2504.4599999999996</v>
      </c>
      <c r="X3093" s="52">
        <v>2814</v>
      </c>
    </row>
    <row r="3094" spans="2:24" x14ac:dyDescent="0.35">
      <c r="B3094" s="6" t="s">
        <v>12</v>
      </c>
      <c r="C3094" s="6" t="s">
        <v>34</v>
      </c>
      <c r="D3094" s="6" t="s">
        <v>35</v>
      </c>
      <c r="E3094" s="6" t="s">
        <v>23</v>
      </c>
      <c r="F3094" s="6" t="s">
        <v>24</v>
      </c>
      <c r="G3094" s="6">
        <v>2015</v>
      </c>
      <c r="H3094" s="6">
        <v>6</v>
      </c>
      <c r="I3094" s="10">
        <v>42156</v>
      </c>
      <c r="J3094" s="6">
        <v>2075</v>
      </c>
      <c r="K3094" s="51"/>
      <c r="O3094" t="s">
        <v>12</v>
      </c>
      <c r="P3094" t="s">
        <v>34</v>
      </c>
      <c r="Q3094" t="s">
        <v>35</v>
      </c>
      <c r="R3094" t="s">
        <v>23</v>
      </c>
      <c r="S3094" t="s">
        <v>24</v>
      </c>
      <c r="T3094">
        <v>2015</v>
      </c>
      <c r="U3094">
        <v>6</v>
      </c>
      <c r="V3094" s="51">
        <v>42156</v>
      </c>
      <c r="W3094" s="4">
        <v>1888.2499999999998</v>
      </c>
      <c r="X3094" s="52">
        <v>2075</v>
      </c>
    </row>
    <row r="3095" spans="2:24" x14ac:dyDescent="0.35">
      <c r="B3095" s="6" t="s">
        <v>14</v>
      </c>
      <c r="C3095" s="6" t="s">
        <v>37</v>
      </c>
      <c r="D3095" s="6" t="s">
        <v>38</v>
      </c>
      <c r="E3095" s="6" t="s">
        <v>23</v>
      </c>
      <c r="F3095" s="6" t="s">
        <v>39</v>
      </c>
      <c r="G3095" s="6">
        <v>2015</v>
      </c>
      <c r="H3095" s="6">
        <v>6</v>
      </c>
      <c r="I3095" s="10">
        <v>42156</v>
      </c>
      <c r="J3095" s="6">
        <v>1555</v>
      </c>
      <c r="K3095" s="51"/>
      <c r="O3095" t="s">
        <v>14</v>
      </c>
      <c r="P3095" t="s">
        <v>37</v>
      </c>
      <c r="Q3095" t="s">
        <v>38</v>
      </c>
      <c r="R3095" t="s">
        <v>23</v>
      </c>
      <c r="S3095" t="s">
        <v>39</v>
      </c>
      <c r="T3095">
        <v>2015</v>
      </c>
      <c r="U3095">
        <v>6</v>
      </c>
      <c r="V3095" s="51">
        <v>42156</v>
      </c>
      <c r="W3095" s="4">
        <v>1430.6</v>
      </c>
      <c r="X3095" s="52">
        <v>1555</v>
      </c>
    </row>
    <row r="3096" spans="2:24" x14ac:dyDescent="0.35">
      <c r="B3096" s="6" t="s">
        <v>3</v>
      </c>
      <c r="C3096" s="6" t="s">
        <v>25</v>
      </c>
      <c r="D3096" s="6" t="s">
        <v>4</v>
      </c>
      <c r="E3096" s="6" t="s">
        <v>0</v>
      </c>
      <c r="F3096" s="6" t="s">
        <v>42</v>
      </c>
      <c r="G3096" s="6">
        <v>2015</v>
      </c>
      <c r="H3096" s="6">
        <v>6</v>
      </c>
      <c r="I3096" s="10">
        <v>42156</v>
      </c>
      <c r="J3096" s="6">
        <v>4259</v>
      </c>
      <c r="K3096" s="51"/>
      <c r="O3096" t="s">
        <v>3</v>
      </c>
      <c r="P3096" t="s">
        <v>25</v>
      </c>
      <c r="Q3096" t="s">
        <v>4</v>
      </c>
      <c r="R3096" t="s">
        <v>0</v>
      </c>
      <c r="S3096" t="s">
        <v>42</v>
      </c>
      <c r="T3096">
        <v>2015</v>
      </c>
      <c r="U3096">
        <v>6</v>
      </c>
      <c r="V3096" s="51">
        <v>42156</v>
      </c>
      <c r="W3096" s="4">
        <v>3918.2799999999997</v>
      </c>
      <c r="X3096" s="52">
        <v>4259</v>
      </c>
    </row>
    <row r="3097" spans="2:24" x14ac:dyDescent="0.35">
      <c r="B3097" s="6" t="s">
        <v>6</v>
      </c>
      <c r="C3097" s="6" t="s">
        <v>40</v>
      </c>
      <c r="D3097" s="6" t="s">
        <v>41</v>
      </c>
      <c r="E3097" s="6" t="s">
        <v>0</v>
      </c>
      <c r="F3097" s="6" t="s">
        <v>26</v>
      </c>
      <c r="G3097" s="6">
        <v>2015</v>
      </c>
      <c r="H3097" s="6">
        <v>6</v>
      </c>
      <c r="I3097" s="10">
        <v>42156</v>
      </c>
      <c r="J3097" s="6">
        <v>2772</v>
      </c>
      <c r="K3097" s="51"/>
      <c r="O3097" t="s">
        <v>6</v>
      </c>
      <c r="P3097" t="s">
        <v>40</v>
      </c>
      <c r="Q3097" t="s">
        <v>41</v>
      </c>
      <c r="R3097" t="s">
        <v>0</v>
      </c>
      <c r="S3097" t="s">
        <v>26</v>
      </c>
      <c r="T3097">
        <v>2015</v>
      </c>
      <c r="U3097">
        <v>6</v>
      </c>
      <c r="V3097" s="51">
        <v>42156</v>
      </c>
      <c r="W3097" s="4">
        <v>2439.3599999999997</v>
      </c>
      <c r="X3097" s="52">
        <v>2772</v>
      </c>
    </row>
    <row r="3098" spans="2:24" x14ac:dyDescent="0.35">
      <c r="B3098" s="6" t="s">
        <v>7</v>
      </c>
      <c r="C3098" s="6" t="s">
        <v>43</v>
      </c>
      <c r="D3098" s="6" t="s">
        <v>10</v>
      </c>
      <c r="E3098" s="6" t="s">
        <v>0</v>
      </c>
      <c r="F3098" s="6" t="s">
        <v>45</v>
      </c>
      <c r="G3098" s="6">
        <v>2015</v>
      </c>
      <c r="H3098" s="6">
        <v>6</v>
      </c>
      <c r="I3098" s="10">
        <v>42156</v>
      </c>
      <c r="J3098" s="6">
        <v>4949</v>
      </c>
      <c r="K3098" s="51"/>
      <c r="O3098" t="s">
        <v>7</v>
      </c>
      <c r="P3098" t="s">
        <v>43</v>
      </c>
      <c r="Q3098" t="s">
        <v>10</v>
      </c>
      <c r="R3098" t="s">
        <v>0</v>
      </c>
      <c r="S3098" t="s">
        <v>45</v>
      </c>
      <c r="T3098">
        <v>2015</v>
      </c>
      <c r="U3098">
        <v>6</v>
      </c>
      <c r="V3098" s="51">
        <v>42156</v>
      </c>
      <c r="W3098" s="4">
        <v>4206.6500000000005</v>
      </c>
      <c r="X3098" s="52">
        <v>4949</v>
      </c>
    </row>
    <row r="3099" spans="2:24" x14ac:dyDescent="0.35">
      <c r="B3099" s="6" t="s">
        <v>12</v>
      </c>
      <c r="C3099" s="6" t="s">
        <v>44</v>
      </c>
      <c r="D3099" s="6" t="s">
        <v>13</v>
      </c>
      <c r="E3099" s="6" t="s">
        <v>27</v>
      </c>
      <c r="F3099" s="6" t="s">
        <v>28</v>
      </c>
      <c r="G3099" s="6">
        <v>2015</v>
      </c>
      <c r="H3099" s="6">
        <v>6</v>
      </c>
      <c r="I3099" s="10">
        <v>42156</v>
      </c>
      <c r="J3099" s="6">
        <v>4997</v>
      </c>
      <c r="K3099" s="51"/>
      <c r="O3099" t="s">
        <v>12</v>
      </c>
      <c r="P3099" t="s">
        <v>44</v>
      </c>
      <c r="Q3099" t="s">
        <v>13</v>
      </c>
      <c r="R3099" t="s">
        <v>27</v>
      </c>
      <c r="S3099" t="s">
        <v>28</v>
      </c>
      <c r="T3099">
        <v>2015</v>
      </c>
      <c r="U3099">
        <v>6</v>
      </c>
      <c r="V3099" s="51">
        <v>42156</v>
      </c>
      <c r="W3099" s="4">
        <v>4447.33</v>
      </c>
      <c r="X3099" s="52">
        <v>4997</v>
      </c>
    </row>
    <row r="3100" spans="2:24" x14ac:dyDescent="0.35">
      <c r="B3100" s="6" t="s">
        <v>14</v>
      </c>
      <c r="C3100" s="6" t="s">
        <v>46</v>
      </c>
      <c r="D3100" s="6" t="s">
        <v>47</v>
      </c>
      <c r="E3100" s="6" t="s">
        <v>27</v>
      </c>
      <c r="F3100" s="6" t="s">
        <v>31</v>
      </c>
      <c r="G3100" s="6">
        <v>2015</v>
      </c>
      <c r="H3100" s="6">
        <v>6</v>
      </c>
      <c r="I3100" s="10">
        <v>42156</v>
      </c>
      <c r="J3100" s="6">
        <v>3842</v>
      </c>
      <c r="K3100" s="51"/>
      <c r="O3100" t="s">
        <v>14</v>
      </c>
      <c r="P3100" t="s">
        <v>46</v>
      </c>
      <c r="Q3100" t="s">
        <v>47</v>
      </c>
      <c r="R3100" t="s">
        <v>27</v>
      </c>
      <c r="S3100" t="s">
        <v>31</v>
      </c>
      <c r="T3100">
        <v>2015</v>
      </c>
      <c r="U3100">
        <v>6</v>
      </c>
      <c r="V3100" s="51">
        <v>42156</v>
      </c>
      <c r="W3100" s="4">
        <v>3496.22</v>
      </c>
      <c r="X3100" s="52">
        <v>3842</v>
      </c>
    </row>
    <row r="3101" spans="2:24" x14ac:dyDescent="0.35">
      <c r="B3101" s="6" t="s">
        <v>3</v>
      </c>
      <c r="C3101" s="6" t="s">
        <v>22</v>
      </c>
      <c r="D3101" s="6" t="s">
        <v>5</v>
      </c>
      <c r="E3101" s="6" t="s">
        <v>27</v>
      </c>
      <c r="F3101" s="6" t="s">
        <v>33</v>
      </c>
      <c r="G3101" s="6">
        <v>2015</v>
      </c>
      <c r="H3101" s="6">
        <v>6</v>
      </c>
      <c r="I3101" s="10">
        <v>42156</v>
      </c>
      <c r="J3101" s="6">
        <v>3046</v>
      </c>
      <c r="K3101" s="51"/>
      <c r="O3101" t="s">
        <v>3</v>
      </c>
      <c r="P3101" t="s">
        <v>22</v>
      </c>
      <c r="Q3101" t="s">
        <v>5</v>
      </c>
      <c r="R3101" t="s">
        <v>27</v>
      </c>
      <c r="S3101" t="s">
        <v>33</v>
      </c>
      <c r="T3101">
        <v>2015</v>
      </c>
      <c r="U3101">
        <v>6</v>
      </c>
      <c r="V3101" s="51">
        <v>42156</v>
      </c>
      <c r="W3101" s="4">
        <v>2680.4799999999996</v>
      </c>
      <c r="X3101" s="52">
        <v>3046</v>
      </c>
    </row>
    <row r="3102" spans="2:24" x14ac:dyDescent="0.35">
      <c r="B3102" s="6" t="s">
        <v>6</v>
      </c>
      <c r="C3102" s="6" t="s">
        <v>29</v>
      </c>
      <c r="D3102" s="6" t="s">
        <v>30</v>
      </c>
      <c r="E3102" s="6" t="s">
        <v>23</v>
      </c>
      <c r="F3102" s="6" t="s">
        <v>36</v>
      </c>
      <c r="G3102" s="6">
        <v>2015</v>
      </c>
      <c r="H3102" s="6">
        <v>6</v>
      </c>
      <c r="I3102" s="10">
        <v>42156</v>
      </c>
      <c r="J3102" s="6">
        <v>2397</v>
      </c>
      <c r="K3102" s="51"/>
      <c r="O3102" t="s">
        <v>6</v>
      </c>
      <c r="P3102" t="s">
        <v>29</v>
      </c>
      <c r="Q3102" t="s">
        <v>30</v>
      </c>
      <c r="R3102" t="s">
        <v>23</v>
      </c>
      <c r="S3102" t="s">
        <v>36</v>
      </c>
      <c r="T3102">
        <v>2015</v>
      </c>
      <c r="U3102">
        <v>6</v>
      </c>
      <c r="V3102" s="51">
        <v>42156</v>
      </c>
      <c r="W3102" s="4">
        <v>2253.1799999999998</v>
      </c>
      <c r="X3102" s="52">
        <v>2397</v>
      </c>
    </row>
    <row r="3103" spans="2:24" x14ac:dyDescent="0.35">
      <c r="B3103" s="6" t="s">
        <v>7</v>
      </c>
      <c r="C3103" s="6" t="s">
        <v>32</v>
      </c>
      <c r="D3103" s="6" t="s">
        <v>8</v>
      </c>
      <c r="E3103" s="6" t="s">
        <v>23</v>
      </c>
      <c r="F3103" s="6" t="s">
        <v>24</v>
      </c>
      <c r="G3103" s="6">
        <v>2015</v>
      </c>
      <c r="H3103" s="6">
        <v>6</v>
      </c>
      <c r="I3103" s="10">
        <v>42156</v>
      </c>
      <c r="J3103" s="6">
        <v>1742</v>
      </c>
      <c r="K3103" s="51"/>
      <c r="O3103" t="s">
        <v>7</v>
      </c>
      <c r="P3103" t="s">
        <v>32</v>
      </c>
      <c r="Q3103" t="s">
        <v>8</v>
      </c>
      <c r="R3103" t="s">
        <v>23</v>
      </c>
      <c r="S3103" t="s">
        <v>24</v>
      </c>
      <c r="T3103">
        <v>2015</v>
      </c>
      <c r="U3103">
        <v>6</v>
      </c>
      <c r="V3103" s="51">
        <v>42156</v>
      </c>
      <c r="W3103" s="4">
        <v>1637.48</v>
      </c>
      <c r="X3103" s="52">
        <v>1742</v>
      </c>
    </row>
    <row r="3104" spans="2:24" x14ac:dyDescent="0.35">
      <c r="B3104" s="6" t="s">
        <v>12</v>
      </c>
      <c r="C3104" s="6" t="s">
        <v>34</v>
      </c>
      <c r="D3104" s="6" t="s">
        <v>35</v>
      </c>
      <c r="E3104" s="6" t="s">
        <v>23</v>
      </c>
      <c r="F3104" s="6" t="s">
        <v>39</v>
      </c>
      <c r="G3104" s="6">
        <v>2015</v>
      </c>
      <c r="H3104" s="6">
        <v>6</v>
      </c>
      <c r="I3104" s="10">
        <v>42156</v>
      </c>
      <c r="J3104" s="6">
        <v>1373</v>
      </c>
      <c r="K3104" s="51"/>
      <c r="O3104" t="s">
        <v>12</v>
      </c>
      <c r="P3104" t="s">
        <v>34</v>
      </c>
      <c r="Q3104" t="s">
        <v>35</v>
      </c>
      <c r="R3104" t="s">
        <v>23</v>
      </c>
      <c r="S3104" t="s">
        <v>39</v>
      </c>
      <c r="T3104">
        <v>2015</v>
      </c>
      <c r="U3104">
        <v>6</v>
      </c>
      <c r="V3104" s="51">
        <v>42156</v>
      </c>
      <c r="W3104" s="4">
        <v>1194.5100000000002</v>
      </c>
      <c r="X3104" s="52">
        <v>1373</v>
      </c>
    </row>
    <row r="3105" spans="2:24" x14ac:dyDescent="0.35">
      <c r="B3105" s="6" t="s">
        <v>14</v>
      </c>
      <c r="C3105" s="6" t="s">
        <v>37</v>
      </c>
      <c r="D3105" s="6" t="s">
        <v>38</v>
      </c>
      <c r="E3105" s="6" t="s">
        <v>0</v>
      </c>
      <c r="F3105" s="6" t="s">
        <v>42</v>
      </c>
      <c r="G3105" s="6">
        <v>2015</v>
      </c>
      <c r="H3105" s="6">
        <v>6</v>
      </c>
      <c r="I3105" s="10">
        <v>42156</v>
      </c>
      <c r="J3105" s="6">
        <v>5496</v>
      </c>
      <c r="K3105" s="51"/>
      <c r="O3105" t="s">
        <v>14</v>
      </c>
      <c r="P3105" t="s">
        <v>37</v>
      </c>
      <c r="Q3105" t="s">
        <v>38</v>
      </c>
      <c r="R3105" t="s">
        <v>0</v>
      </c>
      <c r="S3105" t="s">
        <v>42</v>
      </c>
      <c r="T3105">
        <v>2015</v>
      </c>
      <c r="U3105">
        <v>6</v>
      </c>
      <c r="V3105" s="51">
        <v>42156</v>
      </c>
      <c r="W3105" s="4">
        <v>5056.32</v>
      </c>
      <c r="X3105" s="52">
        <v>5496</v>
      </c>
    </row>
    <row r="3106" spans="2:24" x14ac:dyDescent="0.35">
      <c r="B3106" s="6" t="s">
        <v>6</v>
      </c>
      <c r="C3106" s="6" t="s">
        <v>29</v>
      </c>
      <c r="D3106" s="6" t="s">
        <v>30</v>
      </c>
      <c r="E3106" s="6" t="s">
        <v>0</v>
      </c>
      <c r="F3106" s="6" t="s">
        <v>45</v>
      </c>
      <c r="G3106" s="6">
        <v>2015</v>
      </c>
      <c r="H3106" s="6">
        <v>6</v>
      </c>
      <c r="I3106" s="10">
        <v>42156</v>
      </c>
      <c r="J3106" s="6">
        <v>2085</v>
      </c>
      <c r="K3106" s="51"/>
      <c r="O3106" t="s">
        <v>6</v>
      </c>
      <c r="P3106" t="s">
        <v>29</v>
      </c>
      <c r="Q3106" t="s">
        <v>30</v>
      </c>
      <c r="R3106" t="s">
        <v>0</v>
      </c>
      <c r="S3106" t="s">
        <v>45</v>
      </c>
      <c r="T3106">
        <v>2015</v>
      </c>
      <c r="U3106">
        <v>6</v>
      </c>
      <c r="V3106" s="51">
        <v>42156</v>
      </c>
      <c r="W3106" s="4">
        <v>1855.6499999999999</v>
      </c>
      <c r="X3106" s="52">
        <v>2085</v>
      </c>
    </row>
    <row r="3107" spans="2:24" x14ac:dyDescent="0.35">
      <c r="B3107" s="6" t="s">
        <v>7</v>
      </c>
      <c r="C3107" s="6" t="s">
        <v>43</v>
      </c>
      <c r="D3107" s="6" t="s">
        <v>10</v>
      </c>
      <c r="E3107" s="6" t="s">
        <v>27</v>
      </c>
      <c r="F3107" s="6" t="s">
        <v>28</v>
      </c>
      <c r="G3107" s="6">
        <v>2015</v>
      </c>
      <c r="H3107" s="6">
        <v>6</v>
      </c>
      <c r="I3107" s="10">
        <v>42156</v>
      </c>
      <c r="J3107" s="6">
        <v>4286</v>
      </c>
      <c r="K3107" s="51"/>
      <c r="O3107" t="s">
        <v>7</v>
      </c>
      <c r="P3107" t="s">
        <v>43</v>
      </c>
      <c r="Q3107" t="s">
        <v>10</v>
      </c>
      <c r="R3107" t="s">
        <v>27</v>
      </c>
      <c r="S3107" t="s">
        <v>28</v>
      </c>
      <c r="T3107">
        <v>2015</v>
      </c>
      <c r="U3107">
        <v>6</v>
      </c>
      <c r="V3107" s="51">
        <v>42156</v>
      </c>
      <c r="W3107" s="4">
        <v>3643.1000000000004</v>
      </c>
      <c r="X3107" s="52">
        <v>4286</v>
      </c>
    </row>
    <row r="3108" spans="2:24" x14ac:dyDescent="0.35">
      <c r="B3108" s="6" t="s">
        <v>12</v>
      </c>
      <c r="C3108" s="6" t="s">
        <v>44</v>
      </c>
      <c r="D3108" s="6" t="s">
        <v>13</v>
      </c>
      <c r="E3108" s="6" t="s">
        <v>27</v>
      </c>
      <c r="F3108" s="6" t="s">
        <v>31</v>
      </c>
      <c r="G3108" s="6">
        <v>2015</v>
      </c>
      <c r="H3108" s="6">
        <v>6</v>
      </c>
      <c r="I3108" s="10">
        <v>42156</v>
      </c>
      <c r="J3108" s="6">
        <v>4811</v>
      </c>
      <c r="K3108" s="51"/>
      <c r="O3108" t="s">
        <v>12</v>
      </c>
      <c r="P3108" t="s">
        <v>44</v>
      </c>
      <c r="Q3108" t="s">
        <v>13</v>
      </c>
      <c r="R3108" t="s">
        <v>27</v>
      </c>
      <c r="S3108" t="s">
        <v>31</v>
      </c>
      <c r="T3108">
        <v>2015</v>
      </c>
      <c r="U3108">
        <v>6</v>
      </c>
      <c r="V3108" s="51">
        <v>42156</v>
      </c>
      <c r="W3108" s="4">
        <v>4426.12</v>
      </c>
      <c r="X3108" s="52">
        <v>4811</v>
      </c>
    </row>
    <row r="3109" spans="2:24" x14ac:dyDescent="0.35">
      <c r="B3109" s="6" t="s">
        <v>14</v>
      </c>
      <c r="C3109" s="6" t="s">
        <v>46</v>
      </c>
      <c r="D3109" s="6" t="s">
        <v>47</v>
      </c>
      <c r="E3109" s="6" t="s">
        <v>27</v>
      </c>
      <c r="F3109" s="6" t="s">
        <v>33</v>
      </c>
      <c r="G3109" s="6">
        <v>2015</v>
      </c>
      <c r="H3109" s="6">
        <v>6</v>
      </c>
      <c r="I3109" s="10">
        <v>42156</v>
      </c>
      <c r="J3109" s="6">
        <v>2973</v>
      </c>
      <c r="K3109" s="51"/>
      <c r="O3109" t="s">
        <v>14</v>
      </c>
      <c r="P3109" t="s">
        <v>46</v>
      </c>
      <c r="Q3109" t="s">
        <v>47</v>
      </c>
      <c r="R3109" t="s">
        <v>27</v>
      </c>
      <c r="S3109" t="s">
        <v>33</v>
      </c>
      <c r="T3109">
        <v>2015</v>
      </c>
      <c r="U3109">
        <v>6</v>
      </c>
      <c r="V3109" s="51">
        <v>42156</v>
      </c>
      <c r="W3109" s="4">
        <v>2794.62</v>
      </c>
      <c r="X3109" s="52">
        <v>2973</v>
      </c>
    </row>
    <row r="3110" spans="2:24" x14ac:dyDescent="0.35">
      <c r="B3110" s="6" t="s">
        <v>3</v>
      </c>
      <c r="C3110" s="6" t="s">
        <v>22</v>
      </c>
      <c r="D3110" s="6" t="s">
        <v>5</v>
      </c>
      <c r="E3110" s="6" t="s">
        <v>23</v>
      </c>
      <c r="F3110" s="6" t="s">
        <v>36</v>
      </c>
      <c r="G3110" s="6">
        <v>2015</v>
      </c>
      <c r="H3110" s="6">
        <v>6</v>
      </c>
      <c r="I3110" s="10">
        <v>42156</v>
      </c>
      <c r="J3110" s="6">
        <v>2580</v>
      </c>
      <c r="K3110" s="51"/>
      <c r="O3110" t="s">
        <v>3</v>
      </c>
      <c r="P3110" t="s">
        <v>22</v>
      </c>
      <c r="Q3110" t="s">
        <v>5</v>
      </c>
      <c r="R3110" t="s">
        <v>23</v>
      </c>
      <c r="S3110" t="s">
        <v>36</v>
      </c>
      <c r="T3110">
        <v>2015</v>
      </c>
      <c r="U3110">
        <v>6</v>
      </c>
      <c r="V3110" s="51">
        <v>42156</v>
      </c>
      <c r="W3110" s="4">
        <v>2347.7999999999997</v>
      </c>
      <c r="X3110" s="52">
        <v>2580</v>
      </c>
    </row>
    <row r="3111" spans="2:24" x14ac:dyDescent="0.35">
      <c r="B3111" s="6" t="s">
        <v>6</v>
      </c>
      <c r="C3111" s="6" t="s">
        <v>40</v>
      </c>
      <c r="D3111" s="6" t="s">
        <v>41</v>
      </c>
      <c r="E3111" s="6" t="s">
        <v>23</v>
      </c>
      <c r="F3111" s="6" t="s">
        <v>24</v>
      </c>
      <c r="G3111" s="6">
        <v>2015</v>
      </c>
      <c r="H3111" s="6">
        <v>6</v>
      </c>
      <c r="I3111" s="10">
        <v>42156</v>
      </c>
      <c r="J3111" s="6">
        <v>1848</v>
      </c>
      <c r="K3111" s="51"/>
      <c r="O3111" t="s">
        <v>6</v>
      </c>
      <c r="P3111" t="s">
        <v>40</v>
      </c>
      <c r="Q3111" t="s">
        <v>41</v>
      </c>
      <c r="R3111" t="s">
        <v>23</v>
      </c>
      <c r="S3111" t="s">
        <v>24</v>
      </c>
      <c r="T3111">
        <v>2015</v>
      </c>
      <c r="U3111">
        <v>6</v>
      </c>
      <c r="V3111" s="51">
        <v>42156</v>
      </c>
      <c r="W3111" s="4">
        <v>1589.2800000000002</v>
      </c>
      <c r="X3111" s="52">
        <v>1848</v>
      </c>
    </row>
    <row r="3112" spans="2:24" x14ac:dyDescent="0.35">
      <c r="B3112" s="6" t="s">
        <v>7</v>
      </c>
      <c r="C3112" s="6" t="s">
        <v>32</v>
      </c>
      <c r="D3112" s="6" t="s">
        <v>8</v>
      </c>
      <c r="E3112" s="6" t="s">
        <v>23</v>
      </c>
      <c r="F3112" s="6" t="s">
        <v>39</v>
      </c>
      <c r="G3112" s="6">
        <v>2015</v>
      </c>
      <c r="H3112" s="6">
        <v>6</v>
      </c>
      <c r="I3112" s="10">
        <v>42156</v>
      </c>
      <c r="J3112" s="6">
        <v>1684</v>
      </c>
      <c r="K3112" s="51"/>
      <c r="O3112" t="s">
        <v>7</v>
      </c>
      <c r="P3112" t="s">
        <v>32</v>
      </c>
      <c r="Q3112" t="s">
        <v>8</v>
      </c>
      <c r="R3112" t="s">
        <v>23</v>
      </c>
      <c r="S3112" t="s">
        <v>39</v>
      </c>
      <c r="T3112">
        <v>2015</v>
      </c>
      <c r="U3112">
        <v>6</v>
      </c>
      <c r="V3112" s="51">
        <v>42156</v>
      </c>
      <c r="W3112" s="4">
        <v>1515.6</v>
      </c>
      <c r="X3112" s="52">
        <v>1684</v>
      </c>
    </row>
    <row r="3113" spans="2:24" x14ac:dyDescent="0.35">
      <c r="B3113" s="6" t="s">
        <v>12</v>
      </c>
      <c r="C3113" s="6" t="s">
        <v>34</v>
      </c>
      <c r="D3113" s="6" t="s">
        <v>35</v>
      </c>
      <c r="E3113" s="6" t="s">
        <v>0</v>
      </c>
      <c r="F3113" s="6" t="s">
        <v>42</v>
      </c>
      <c r="G3113" s="6">
        <v>2015</v>
      </c>
      <c r="H3113" s="6">
        <v>6</v>
      </c>
      <c r="I3113" s="10">
        <v>42156</v>
      </c>
      <c r="J3113" s="6">
        <v>6030</v>
      </c>
      <c r="K3113" s="51"/>
      <c r="O3113" t="s">
        <v>12</v>
      </c>
      <c r="P3113" t="s">
        <v>34</v>
      </c>
      <c r="Q3113" t="s">
        <v>35</v>
      </c>
      <c r="R3113" t="s">
        <v>0</v>
      </c>
      <c r="S3113" t="s">
        <v>42</v>
      </c>
      <c r="T3113">
        <v>2015</v>
      </c>
      <c r="U3113">
        <v>6</v>
      </c>
      <c r="V3113" s="51">
        <v>42156</v>
      </c>
      <c r="W3113" s="4">
        <v>5668.2</v>
      </c>
      <c r="X3113" s="52">
        <v>6030</v>
      </c>
    </row>
    <row r="3114" spans="2:24" x14ac:dyDescent="0.35">
      <c r="B3114" s="6" t="s">
        <v>14</v>
      </c>
      <c r="C3114" s="6" t="s">
        <v>37</v>
      </c>
      <c r="D3114" s="6" t="s">
        <v>38</v>
      </c>
      <c r="E3114" s="6" t="s">
        <v>0</v>
      </c>
      <c r="F3114" s="6" t="s">
        <v>26</v>
      </c>
      <c r="G3114" s="6">
        <v>2015</v>
      </c>
      <c r="H3114" s="6">
        <v>6</v>
      </c>
      <c r="I3114" s="10">
        <v>42156</v>
      </c>
      <c r="J3114" s="6">
        <v>5031</v>
      </c>
      <c r="K3114" s="51"/>
      <c r="O3114" t="s">
        <v>14</v>
      </c>
      <c r="P3114" t="s">
        <v>37</v>
      </c>
      <c r="Q3114" t="s">
        <v>38</v>
      </c>
      <c r="R3114" t="s">
        <v>0</v>
      </c>
      <c r="S3114" t="s">
        <v>26</v>
      </c>
      <c r="T3114">
        <v>2015</v>
      </c>
      <c r="U3114">
        <v>6</v>
      </c>
      <c r="V3114" s="51">
        <v>42156</v>
      </c>
      <c r="W3114" s="4">
        <v>4527.8999999999996</v>
      </c>
      <c r="X3114" s="52">
        <v>5031</v>
      </c>
    </row>
    <row r="3115" spans="2:24" x14ac:dyDescent="0.35">
      <c r="B3115" s="6" t="s">
        <v>3</v>
      </c>
      <c r="C3115" s="6" t="s">
        <v>25</v>
      </c>
      <c r="D3115" s="6" t="s">
        <v>4</v>
      </c>
      <c r="E3115" s="6" t="s">
        <v>0</v>
      </c>
      <c r="F3115" s="6" t="s">
        <v>45</v>
      </c>
      <c r="G3115" s="6">
        <v>2015</v>
      </c>
      <c r="H3115" s="6">
        <v>6</v>
      </c>
      <c r="I3115" s="10">
        <v>42156</v>
      </c>
      <c r="J3115" s="6">
        <v>4998</v>
      </c>
      <c r="K3115" s="51"/>
      <c r="O3115" t="s">
        <v>3</v>
      </c>
      <c r="P3115" t="s">
        <v>25</v>
      </c>
      <c r="Q3115" t="s">
        <v>4</v>
      </c>
      <c r="R3115" t="s">
        <v>0</v>
      </c>
      <c r="S3115" t="s">
        <v>45</v>
      </c>
      <c r="T3115">
        <v>2015</v>
      </c>
      <c r="U3115">
        <v>6</v>
      </c>
      <c r="V3115" s="51">
        <v>42156</v>
      </c>
      <c r="W3115" s="4">
        <v>4648.1399999999994</v>
      </c>
      <c r="X3115" s="52">
        <v>4998</v>
      </c>
    </row>
    <row r="3116" spans="2:24" x14ac:dyDescent="0.35">
      <c r="B3116" s="6" t="s">
        <v>6</v>
      </c>
      <c r="C3116" s="6" t="s">
        <v>29</v>
      </c>
      <c r="D3116" s="6" t="s">
        <v>30</v>
      </c>
      <c r="E3116" s="6" t="s">
        <v>27</v>
      </c>
      <c r="F3116" s="6" t="s">
        <v>28</v>
      </c>
      <c r="G3116" s="6">
        <v>2015</v>
      </c>
      <c r="H3116" s="6">
        <v>6</v>
      </c>
      <c r="I3116" s="10">
        <v>42156</v>
      </c>
      <c r="J3116" s="6">
        <v>4831</v>
      </c>
      <c r="K3116" s="51"/>
      <c r="O3116" t="s">
        <v>6</v>
      </c>
      <c r="P3116" t="s">
        <v>29</v>
      </c>
      <c r="Q3116" t="s">
        <v>30</v>
      </c>
      <c r="R3116" t="s">
        <v>27</v>
      </c>
      <c r="S3116" t="s">
        <v>28</v>
      </c>
      <c r="T3116">
        <v>2015</v>
      </c>
      <c r="U3116">
        <v>6</v>
      </c>
      <c r="V3116" s="51">
        <v>42156</v>
      </c>
      <c r="W3116" s="4">
        <v>4541.1399999999994</v>
      </c>
      <c r="X3116" s="52">
        <v>4831</v>
      </c>
    </row>
    <row r="3117" spans="2:24" x14ac:dyDescent="0.35">
      <c r="B3117" s="6" t="s">
        <v>7</v>
      </c>
      <c r="C3117" s="6" t="s">
        <v>43</v>
      </c>
      <c r="D3117" s="6" t="s">
        <v>10</v>
      </c>
      <c r="E3117" s="6" t="s">
        <v>27</v>
      </c>
      <c r="F3117" s="6" t="s">
        <v>31</v>
      </c>
      <c r="G3117" s="6">
        <v>2015</v>
      </c>
      <c r="H3117" s="6">
        <v>6</v>
      </c>
      <c r="I3117" s="10">
        <v>42156</v>
      </c>
      <c r="J3117" s="6">
        <v>4647</v>
      </c>
      <c r="K3117" s="51"/>
      <c r="O3117" t="s">
        <v>7</v>
      </c>
      <c r="P3117" t="s">
        <v>43</v>
      </c>
      <c r="Q3117" t="s">
        <v>10</v>
      </c>
      <c r="R3117" t="s">
        <v>27</v>
      </c>
      <c r="S3117" t="s">
        <v>31</v>
      </c>
      <c r="T3117">
        <v>2015</v>
      </c>
      <c r="U3117">
        <v>6</v>
      </c>
      <c r="V3117" s="51">
        <v>42156</v>
      </c>
      <c r="W3117" s="4">
        <v>4182.2999999999993</v>
      </c>
      <c r="X3117" s="52">
        <v>4647</v>
      </c>
    </row>
    <row r="3118" spans="2:24" x14ac:dyDescent="0.35">
      <c r="B3118" s="6" t="s">
        <v>12</v>
      </c>
      <c r="C3118" s="6" t="s">
        <v>44</v>
      </c>
      <c r="D3118" s="6" t="s">
        <v>13</v>
      </c>
      <c r="E3118" s="6" t="s">
        <v>27</v>
      </c>
      <c r="F3118" s="6" t="s">
        <v>33</v>
      </c>
      <c r="G3118" s="6">
        <v>2015</v>
      </c>
      <c r="H3118" s="6">
        <v>6</v>
      </c>
      <c r="I3118" s="10">
        <v>42156</v>
      </c>
      <c r="J3118" s="6">
        <v>4060</v>
      </c>
      <c r="K3118" s="51"/>
      <c r="O3118" t="s">
        <v>12</v>
      </c>
      <c r="P3118" t="s">
        <v>44</v>
      </c>
      <c r="Q3118" t="s">
        <v>13</v>
      </c>
      <c r="R3118" t="s">
        <v>27</v>
      </c>
      <c r="S3118" t="s">
        <v>33</v>
      </c>
      <c r="T3118">
        <v>2015</v>
      </c>
      <c r="U3118">
        <v>6</v>
      </c>
      <c r="V3118" s="51">
        <v>42156</v>
      </c>
      <c r="W3118" s="4">
        <v>3816.3999999999996</v>
      </c>
      <c r="X3118" s="52">
        <v>4060</v>
      </c>
    </row>
    <row r="3119" spans="2:24" x14ac:dyDescent="0.35">
      <c r="B3119" s="6" t="s">
        <v>14</v>
      </c>
      <c r="C3119" s="6" t="s">
        <v>46</v>
      </c>
      <c r="D3119" s="6" t="s">
        <v>47</v>
      </c>
      <c r="E3119" s="6" t="s">
        <v>23</v>
      </c>
      <c r="F3119" s="6" t="s">
        <v>36</v>
      </c>
      <c r="G3119" s="6">
        <v>2015</v>
      </c>
      <c r="H3119" s="6">
        <v>6</v>
      </c>
      <c r="I3119" s="10">
        <v>42156</v>
      </c>
      <c r="J3119" s="6">
        <v>1943</v>
      </c>
      <c r="K3119" s="51"/>
      <c r="O3119" t="s">
        <v>14</v>
      </c>
      <c r="P3119" t="s">
        <v>46</v>
      </c>
      <c r="Q3119" t="s">
        <v>47</v>
      </c>
      <c r="R3119" t="s">
        <v>23</v>
      </c>
      <c r="S3119" t="s">
        <v>36</v>
      </c>
      <c r="T3119">
        <v>2015</v>
      </c>
      <c r="U3119">
        <v>6</v>
      </c>
      <c r="V3119" s="51">
        <v>42156</v>
      </c>
      <c r="W3119" s="4">
        <v>1690.4100000000003</v>
      </c>
      <c r="X3119" s="52">
        <v>1943</v>
      </c>
    </row>
    <row r="3120" spans="2:24" x14ac:dyDescent="0.35">
      <c r="B3120" s="6" t="s">
        <v>6</v>
      </c>
      <c r="C3120" s="6" t="s">
        <v>29</v>
      </c>
      <c r="D3120" s="6" t="s">
        <v>30</v>
      </c>
      <c r="E3120" s="6" t="s">
        <v>23</v>
      </c>
      <c r="F3120" s="6" t="s">
        <v>39</v>
      </c>
      <c r="G3120" s="6">
        <v>2015</v>
      </c>
      <c r="H3120" s="6">
        <v>6</v>
      </c>
      <c r="I3120" s="10">
        <v>42156</v>
      </c>
      <c r="J3120" s="6">
        <v>1473</v>
      </c>
      <c r="K3120" s="51"/>
      <c r="O3120" t="s">
        <v>6</v>
      </c>
      <c r="P3120" t="s">
        <v>29</v>
      </c>
      <c r="Q3120" t="s">
        <v>30</v>
      </c>
      <c r="R3120" t="s">
        <v>23</v>
      </c>
      <c r="S3120" t="s">
        <v>39</v>
      </c>
      <c r="T3120">
        <v>2015</v>
      </c>
      <c r="U3120">
        <v>6</v>
      </c>
      <c r="V3120" s="51">
        <v>42156</v>
      </c>
      <c r="W3120" s="4">
        <v>1355.1599999999999</v>
      </c>
      <c r="X3120" s="52">
        <v>1473</v>
      </c>
    </row>
    <row r="3121" spans="2:24" x14ac:dyDescent="0.35">
      <c r="B3121" s="6" t="s">
        <v>7</v>
      </c>
      <c r="C3121" s="6" t="s">
        <v>32</v>
      </c>
      <c r="D3121" s="6" t="s">
        <v>8</v>
      </c>
      <c r="E3121" s="6" t="s">
        <v>0</v>
      </c>
      <c r="F3121" s="6" t="s">
        <v>42</v>
      </c>
      <c r="G3121" s="6">
        <v>2015</v>
      </c>
      <c r="H3121" s="6">
        <v>6</v>
      </c>
      <c r="I3121" s="10">
        <v>42156</v>
      </c>
      <c r="J3121" s="6">
        <v>5754</v>
      </c>
      <c r="K3121" s="51"/>
      <c r="O3121" t="s">
        <v>7</v>
      </c>
      <c r="P3121" t="s">
        <v>32</v>
      </c>
      <c r="Q3121" t="s">
        <v>8</v>
      </c>
      <c r="R3121" t="s">
        <v>0</v>
      </c>
      <c r="S3121" t="s">
        <v>42</v>
      </c>
      <c r="T3121">
        <v>2015</v>
      </c>
      <c r="U3121">
        <v>6</v>
      </c>
      <c r="V3121" s="51">
        <v>42156</v>
      </c>
      <c r="W3121" s="4">
        <v>5236.1399999999994</v>
      </c>
      <c r="X3121" s="52">
        <v>5754</v>
      </c>
    </row>
    <row r="3122" spans="2:24" x14ac:dyDescent="0.35">
      <c r="B3122" s="6" t="s">
        <v>12</v>
      </c>
      <c r="C3122" s="6" t="s">
        <v>44</v>
      </c>
      <c r="D3122" s="6" t="s">
        <v>13</v>
      </c>
      <c r="E3122" s="6" t="s">
        <v>0</v>
      </c>
      <c r="F3122" s="6" t="s">
        <v>26</v>
      </c>
      <c r="G3122" s="6">
        <v>2015</v>
      </c>
      <c r="H3122" s="6">
        <v>6</v>
      </c>
      <c r="I3122" s="10">
        <v>42156</v>
      </c>
      <c r="J3122" s="6">
        <v>2612</v>
      </c>
      <c r="K3122" s="51"/>
      <c r="O3122" t="s">
        <v>12</v>
      </c>
      <c r="P3122" t="s">
        <v>44</v>
      </c>
      <c r="Q3122" t="s">
        <v>13</v>
      </c>
      <c r="R3122" t="s">
        <v>0</v>
      </c>
      <c r="S3122" t="s">
        <v>26</v>
      </c>
      <c r="T3122">
        <v>2015</v>
      </c>
      <c r="U3122">
        <v>6</v>
      </c>
      <c r="V3122" s="51">
        <v>42156</v>
      </c>
      <c r="W3122" s="4">
        <v>2298.5599999999995</v>
      </c>
      <c r="X3122" s="52">
        <v>2612</v>
      </c>
    </row>
    <row r="3123" spans="2:24" x14ac:dyDescent="0.35">
      <c r="B3123" s="6" t="s">
        <v>14</v>
      </c>
      <c r="C3123" s="6" t="s">
        <v>37</v>
      </c>
      <c r="D3123" s="6" t="s">
        <v>38</v>
      </c>
      <c r="E3123" s="6" t="s">
        <v>0</v>
      </c>
      <c r="F3123" s="6" t="s">
        <v>45</v>
      </c>
      <c r="G3123" s="6">
        <v>2015</v>
      </c>
      <c r="H3123" s="6">
        <v>6</v>
      </c>
      <c r="I3123" s="10">
        <v>42156</v>
      </c>
      <c r="J3123" s="6">
        <v>2383</v>
      </c>
      <c r="K3123" s="51"/>
      <c r="O3123" t="s">
        <v>14</v>
      </c>
      <c r="P3123" t="s">
        <v>37</v>
      </c>
      <c r="Q3123" t="s">
        <v>38</v>
      </c>
      <c r="R3123" t="s">
        <v>0</v>
      </c>
      <c r="S3123" t="s">
        <v>45</v>
      </c>
      <c r="T3123">
        <v>2015</v>
      </c>
      <c r="U3123">
        <v>6</v>
      </c>
      <c r="V3123" s="51">
        <v>42156</v>
      </c>
      <c r="W3123" s="4">
        <v>2120.87</v>
      </c>
      <c r="X3123" s="52">
        <v>2383</v>
      </c>
    </row>
    <row r="3124" spans="2:24" x14ac:dyDescent="0.35">
      <c r="B3124" s="6" t="s">
        <v>3</v>
      </c>
      <c r="C3124" s="6" t="s">
        <v>25</v>
      </c>
      <c r="D3124" s="6" t="s">
        <v>4</v>
      </c>
      <c r="E3124" s="6" t="s">
        <v>27</v>
      </c>
      <c r="F3124" s="6" t="s">
        <v>28</v>
      </c>
      <c r="G3124" s="6">
        <v>2015</v>
      </c>
      <c r="H3124" s="6">
        <v>6</v>
      </c>
      <c r="I3124" s="10">
        <v>42156</v>
      </c>
      <c r="J3124" s="6">
        <v>4202</v>
      </c>
      <c r="K3124" s="51"/>
      <c r="O3124" t="s">
        <v>3</v>
      </c>
      <c r="P3124" t="s">
        <v>25</v>
      </c>
      <c r="Q3124" t="s">
        <v>4</v>
      </c>
      <c r="R3124" t="s">
        <v>27</v>
      </c>
      <c r="S3124" t="s">
        <v>28</v>
      </c>
      <c r="T3124">
        <v>2015</v>
      </c>
      <c r="U3124">
        <v>6</v>
      </c>
      <c r="V3124" s="51">
        <v>42156</v>
      </c>
      <c r="W3124" s="4">
        <v>3949.8799999999997</v>
      </c>
      <c r="X3124" s="52">
        <v>4202</v>
      </c>
    </row>
    <row r="3125" spans="2:24" x14ac:dyDescent="0.35">
      <c r="B3125" s="6" t="s">
        <v>3</v>
      </c>
      <c r="C3125" s="6" t="s">
        <v>25</v>
      </c>
      <c r="D3125" s="6" t="s">
        <v>4</v>
      </c>
      <c r="E3125" s="6" t="s">
        <v>27</v>
      </c>
      <c r="F3125" s="6" t="s">
        <v>31</v>
      </c>
      <c r="G3125" s="6">
        <v>2015</v>
      </c>
      <c r="H3125" s="6">
        <v>6</v>
      </c>
      <c r="I3125" s="10">
        <v>42156</v>
      </c>
      <c r="J3125" s="6">
        <v>2697</v>
      </c>
      <c r="K3125" s="51"/>
      <c r="O3125" t="s">
        <v>3</v>
      </c>
      <c r="P3125" t="s">
        <v>25</v>
      </c>
      <c r="Q3125" t="s">
        <v>4</v>
      </c>
      <c r="R3125" t="s">
        <v>27</v>
      </c>
      <c r="S3125" t="s">
        <v>31</v>
      </c>
      <c r="T3125">
        <v>2015</v>
      </c>
      <c r="U3125">
        <v>6</v>
      </c>
      <c r="V3125" s="51">
        <v>42156</v>
      </c>
      <c r="W3125" s="4">
        <v>2400.33</v>
      </c>
      <c r="X3125" s="52">
        <v>2697</v>
      </c>
    </row>
    <row r="3126" spans="2:24" x14ac:dyDescent="0.35">
      <c r="B3126" s="6" t="s">
        <v>6</v>
      </c>
      <c r="C3126" s="6" t="s">
        <v>40</v>
      </c>
      <c r="D3126" s="6" t="s">
        <v>41</v>
      </c>
      <c r="E3126" s="6" t="s">
        <v>27</v>
      </c>
      <c r="F3126" s="6" t="s">
        <v>33</v>
      </c>
      <c r="G3126" s="6">
        <v>2015</v>
      </c>
      <c r="H3126" s="6">
        <v>6</v>
      </c>
      <c r="I3126" s="10">
        <v>42156</v>
      </c>
      <c r="J3126" s="6">
        <v>3246</v>
      </c>
      <c r="K3126" s="51"/>
      <c r="O3126" t="s">
        <v>6</v>
      </c>
      <c r="P3126" t="s">
        <v>40</v>
      </c>
      <c r="Q3126" t="s">
        <v>41</v>
      </c>
      <c r="R3126" t="s">
        <v>27</v>
      </c>
      <c r="S3126" t="s">
        <v>33</v>
      </c>
      <c r="T3126">
        <v>2015</v>
      </c>
      <c r="U3126">
        <v>6</v>
      </c>
      <c r="V3126" s="51">
        <v>42156</v>
      </c>
      <c r="W3126" s="4">
        <v>3051.24</v>
      </c>
      <c r="X3126" s="52">
        <v>3246</v>
      </c>
    </row>
    <row r="3127" spans="2:24" x14ac:dyDescent="0.35">
      <c r="B3127" s="6" t="s">
        <v>6</v>
      </c>
      <c r="C3127" s="6" t="s">
        <v>40</v>
      </c>
      <c r="D3127" s="6" t="s">
        <v>41</v>
      </c>
      <c r="E3127" s="6" t="s">
        <v>23</v>
      </c>
      <c r="F3127" s="6" t="s">
        <v>36</v>
      </c>
      <c r="G3127" s="6">
        <v>2015</v>
      </c>
      <c r="H3127" s="6">
        <v>6</v>
      </c>
      <c r="I3127" s="10">
        <v>42156</v>
      </c>
      <c r="J3127" s="6">
        <v>1652</v>
      </c>
      <c r="K3127" s="51"/>
      <c r="O3127" t="s">
        <v>6</v>
      </c>
      <c r="P3127" t="s">
        <v>40</v>
      </c>
      <c r="Q3127" t="s">
        <v>41</v>
      </c>
      <c r="R3127" t="s">
        <v>23</v>
      </c>
      <c r="S3127" t="s">
        <v>36</v>
      </c>
      <c r="T3127">
        <v>2015</v>
      </c>
      <c r="U3127">
        <v>6</v>
      </c>
      <c r="V3127" s="51">
        <v>42156</v>
      </c>
      <c r="W3127" s="4">
        <v>1420.7200000000003</v>
      </c>
      <c r="X3127" s="52">
        <v>1652</v>
      </c>
    </row>
    <row r="3128" spans="2:24" x14ac:dyDescent="0.35">
      <c r="B3128" s="6" t="s">
        <v>7</v>
      </c>
      <c r="C3128" s="6" t="s">
        <v>43</v>
      </c>
      <c r="D3128" s="6" t="s">
        <v>10</v>
      </c>
      <c r="E3128" s="6" t="s">
        <v>23</v>
      </c>
      <c r="F3128" s="6" t="s">
        <v>24</v>
      </c>
      <c r="G3128" s="6">
        <v>2015</v>
      </c>
      <c r="H3128" s="6">
        <v>6</v>
      </c>
      <c r="I3128" s="10">
        <v>42156</v>
      </c>
      <c r="J3128" s="6">
        <v>1766</v>
      </c>
      <c r="K3128" s="51"/>
      <c r="O3128" t="s">
        <v>7</v>
      </c>
      <c r="P3128" t="s">
        <v>43</v>
      </c>
      <c r="Q3128" t="s">
        <v>10</v>
      </c>
      <c r="R3128" t="s">
        <v>23</v>
      </c>
      <c r="S3128" t="s">
        <v>24</v>
      </c>
      <c r="T3128">
        <v>2015</v>
      </c>
      <c r="U3128">
        <v>6</v>
      </c>
      <c r="V3128" s="51">
        <v>42156</v>
      </c>
      <c r="W3128" s="4">
        <v>1660.04</v>
      </c>
      <c r="X3128" s="52">
        <v>1766</v>
      </c>
    </row>
    <row r="3129" spans="2:24" x14ac:dyDescent="0.35">
      <c r="B3129" s="6" t="s">
        <v>7</v>
      </c>
      <c r="C3129" s="6" t="s">
        <v>43</v>
      </c>
      <c r="D3129" s="6" t="s">
        <v>10</v>
      </c>
      <c r="E3129" s="6" t="s">
        <v>23</v>
      </c>
      <c r="F3129" s="6" t="s">
        <v>39</v>
      </c>
      <c r="G3129" s="6">
        <v>2015</v>
      </c>
      <c r="H3129" s="6">
        <v>6</v>
      </c>
      <c r="I3129" s="10">
        <v>42156</v>
      </c>
      <c r="J3129" s="6">
        <v>2155</v>
      </c>
      <c r="K3129" s="51"/>
      <c r="O3129" t="s">
        <v>7</v>
      </c>
      <c r="P3129" t="s">
        <v>43</v>
      </c>
      <c r="Q3129" t="s">
        <v>10</v>
      </c>
      <c r="R3129" t="s">
        <v>23</v>
      </c>
      <c r="S3129" t="s">
        <v>39</v>
      </c>
      <c r="T3129">
        <v>2015</v>
      </c>
      <c r="U3129">
        <v>6</v>
      </c>
      <c r="V3129" s="51">
        <v>42156</v>
      </c>
      <c r="W3129" s="4">
        <v>1874.8500000000004</v>
      </c>
      <c r="X3129" s="52">
        <v>2155</v>
      </c>
    </row>
    <row r="3130" spans="2:24" x14ac:dyDescent="0.35">
      <c r="B3130" s="6" t="s">
        <v>7</v>
      </c>
      <c r="C3130" s="6" t="s">
        <v>32</v>
      </c>
      <c r="D3130" s="6" t="s">
        <v>8</v>
      </c>
      <c r="E3130" s="6" t="s">
        <v>0</v>
      </c>
      <c r="F3130" s="6" t="s">
        <v>26</v>
      </c>
      <c r="G3130" s="6">
        <v>2015</v>
      </c>
      <c r="H3130" s="6">
        <v>6</v>
      </c>
      <c r="I3130" s="10">
        <v>42156</v>
      </c>
      <c r="J3130" s="6">
        <v>5252</v>
      </c>
      <c r="K3130" s="51"/>
      <c r="O3130" t="s">
        <v>7</v>
      </c>
      <c r="P3130" t="s">
        <v>32</v>
      </c>
      <c r="Q3130" t="s">
        <v>8</v>
      </c>
      <c r="R3130" t="s">
        <v>0</v>
      </c>
      <c r="S3130" t="s">
        <v>26</v>
      </c>
      <c r="T3130">
        <v>2015</v>
      </c>
      <c r="U3130">
        <v>6</v>
      </c>
      <c r="V3130" s="51">
        <v>42156</v>
      </c>
      <c r="W3130" s="4">
        <v>4726.7999999999993</v>
      </c>
      <c r="X3130" s="52">
        <v>5252</v>
      </c>
    </row>
    <row r="3131" spans="2:24" x14ac:dyDescent="0.35">
      <c r="B3131" s="6" t="s">
        <v>3</v>
      </c>
      <c r="C3131" s="6" t="s">
        <v>22</v>
      </c>
      <c r="D3131" s="6" t="s">
        <v>5</v>
      </c>
      <c r="E3131" s="6" t="s">
        <v>0</v>
      </c>
      <c r="F3131" s="6" t="s">
        <v>45</v>
      </c>
      <c r="G3131" s="6">
        <v>2015</v>
      </c>
      <c r="H3131" s="6">
        <v>6</v>
      </c>
      <c r="I3131" s="10">
        <v>42156</v>
      </c>
      <c r="J3131" s="6">
        <v>4227</v>
      </c>
      <c r="K3131" s="51"/>
      <c r="O3131" t="s">
        <v>3</v>
      </c>
      <c r="P3131" t="s">
        <v>22</v>
      </c>
      <c r="Q3131" t="s">
        <v>5</v>
      </c>
      <c r="R3131" t="s">
        <v>0</v>
      </c>
      <c r="S3131" t="s">
        <v>45</v>
      </c>
      <c r="T3131">
        <v>2015</v>
      </c>
      <c r="U3131">
        <v>6</v>
      </c>
      <c r="V3131" s="51">
        <v>42156</v>
      </c>
      <c r="W3131" s="4">
        <v>3846.5699999999997</v>
      </c>
      <c r="X3131" s="52">
        <v>4227</v>
      </c>
    </row>
    <row r="3132" spans="2:24" x14ac:dyDescent="0.35">
      <c r="B3132" s="6" t="s">
        <v>7</v>
      </c>
      <c r="C3132" s="6" t="s">
        <v>48</v>
      </c>
      <c r="D3132" s="6" t="s">
        <v>9</v>
      </c>
      <c r="E3132" s="6" t="s">
        <v>23</v>
      </c>
      <c r="F3132" s="6" t="s">
        <v>36</v>
      </c>
      <c r="G3132" s="6">
        <v>2015</v>
      </c>
      <c r="H3132" s="6">
        <v>6</v>
      </c>
      <c r="I3132" s="10">
        <v>42156</v>
      </c>
      <c r="J3132" s="6">
        <v>1755</v>
      </c>
      <c r="K3132" s="51"/>
      <c r="O3132" t="s">
        <v>7</v>
      </c>
      <c r="P3132" t="s">
        <v>48</v>
      </c>
      <c r="Q3132" t="s">
        <v>9</v>
      </c>
      <c r="R3132" t="s">
        <v>23</v>
      </c>
      <c r="S3132" t="s">
        <v>36</v>
      </c>
      <c r="T3132">
        <v>2015</v>
      </c>
      <c r="U3132">
        <v>6</v>
      </c>
      <c r="V3132" s="51">
        <v>42156</v>
      </c>
      <c r="W3132" s="4">
        <v>1649.6999999999998</v>
      </c>
      <c r="X3132" s="52">
        <v>1755</v>
      </c>
    </row>
    <row r="3133" spans="2:24" x14ac:dyDescent="0.35">
      <c r="B3133" s="6" t="s">
        <v>7</v>
      </c>
      <c r="C3133" s="6" t="s">
        <v>48</v>
      </c>
      <c r="D3133" s="6" t="s">
        <v>9</v>
      </c>
      <c r="E3133" s="6" t="s">
        <v>23</v>
      </c>
      <c r="F3133" s="6" t="s">
        <v>24</v>
      </c>
      <c r="G3133" s="6">
        <v>2015</v>
      </c>
      <c r="H3133" s="6">
        <v>6</v>
      </c>
      <c r="I3133" s="10">
        <v>42156</v>
      </c>
      <c r="J3133" s="6">
        <v>2589</v>
      </c>
      <c r="K3133" s="51"/>
      <c r="O3133" t="s">
        <v>7</v>
      </c>
      <c r="P3133" t="s">
        <v>48</v>
      </c>
      <c r="Q3133" t="s">
        <v>9</v>
      </c>
      <c r="R3133" t="s">
        <v>23</v>
      </c>
      <c r="S3133" t="s">
        <v>24</v>
      </c>
      <c r="T3133">
        <v>2015</v>
      </c>
      <c r="U3133">
        <v>6</v>
      </c>
      <c r="V3133" s="51">
        <v>42156</v>
      </c>
      <c r="W3133" s="4">
        <v>2433.66</v>
      </c>
      <c r="X3133" s="52">
        <v>2589</v>
      </c>
    </row>
    <row r="3134" spans="2:24" x14ac:dyDescent="0.35">
      <c r="B3134" s="6" t="s">
        <v>7</v>
      </c>
      <c r="C3134" s="6" t="s">
        <v>49</v>
      </c>
      <c r="D3134" s="6" t="s">
        <v>11</v>
      </c>
      <c r="E3134" s="6" t="s">
        <v>23</v>
      </c>
      <c r="F3134" s="6" t="s">
        <v>39</v>
      </c>
      <c r="G3134" s="6">
        <v>2015</v>
      </c>
      <c r="H3134" s="6">
        <v>6</v>
      </c>
      <c r="I3134" s="10">
        <v>42156</v>
      </c>
      <c r="J3134" s="6">
        <v>1572</v>
      </c>
      <c r="K3134" s="51"/>
      <c r="O3134" t="s">
        <v>7</v>
      </c>
      <c r="P3134" t="s">
        <v>49</v>
      </c>
      <c r="Q3134" t="s">
        <v>11</v>
      </c>
      <c r="R3134" t="s">
        <v>23</v>
      </c>
      <c r="S3134" t="s">
        <v>39</v>
      </c>
      <c r="T3134">
        <v>2015</v>
      </c>
      <c r="U3134">
        <v>6</v>
      </c>
      <c r="V3134" s="51">
        <v>42156</v>
      </c>
      <c r="W3134" s="4">
        <v>1336.2</v>
      </c>
      <c r="X3134" s="52">
        <v>1572</v>
      </c>
    </row>
    <row r="3135" spans="2:24" x14ac:dyDescent="0.35">
      <c r="B3135" s="6" t="s">
        <v>7</v>
      </c>
      <c r="C3135" s="6" t="s">
        <v>49</v>
      </c>
      <c r="D3135" s="6" t="s">
        <v>11</v>
      </c>
      <c r="E3135" s="6" t="s">
        <v>0</v>
      </c>
      <c r="F3135" s="6" t="s">
        <v>42</v>
      </c>
      <c r="G3135" s="6">
        <v>2015</v>
      </c>
      <c r="H3135" s="6">
        <v>6</v>
      </c>
      <c r="I3135" s="10">
        <v>42156</v>
      </c>
      <c r="J3135" s="6">
        <v>6568</v>
      </c>
      <c r="K3135" s="51"/>
      <c r="O3135" t="s">
        <v>7</v>
      </c>
      <c r="P3135" t="s">
        <v>49</v>
      </c>
      <c r="Q3135" t="s">
        <v>11</v>
      </c>
      <c r="R3135" t="s">
        <v>0</v>
      </c>
      <c r="S3135" t="s">
        <v>42</v>
      </c>
      <c r="T3135">
        <v>2015</v>
      </c>
      <c r="U3135">
        <v>6</v>
      </c>
      <c r="V3135" s="51">
        <v>42156</v>
      </c>
      <c r="W3135" s="4">
        <v>5582.8000000000011</v>
      </c>
      <c r="X3135" s="52">
        <v>6568</v>
      </c>
    </row>
    <row r="3136" spans="2:24" x14ac:dyDescent="0.35">
      <c r="B3136" s="6" t="s">
        <v>12</v>
      </c>
      <c r="C3136" s="6" t="s">
        <v>34</v>
      </c>
      <c r="D3136" s="6" t="s">
        <v>35</v>
      </c>
      <c r="E3136" s="6" t="s">
        <v>0</v>
      </c>
      <c r="F3136" s="6" t="s">
        <v>26</v>
      </c>
      <c r="G3136" s="6">
        <v>2015</v>
      </c>
      <c r="H3136" s="6">
        <v>6</v>
      </c>
      <c r="I3136" s="10">
        <v>42156</v>
      </c>
      <c r="J3136" s="6">
        <v>4709</v>
      </c>
      <c r="K3136" s="51"/>
      <c r="O3136" t="s">
        <v>12</v>
      </c>
      <c r="P3136" t="s">
        <v>34</v>
      </c>
      <c r="Q3136" t="s">
        <v>35</v>
      </c>
      <c r="R3136" t="s">
        <v>0</v>
      </c>
      <c r="S3136" t="s">
        <v>26</v>
      </c>
      <c r="T3136">
        <v>2015</v>
      </c>
      <c r="U3136">
        <v>6</v>
      </c>
      <c r="V3136" s="51">
        <v>42156</v>
      </c>
      <c r="W3136" s="4">
        <v>4049.7400000000007</v>
      </c>
      <c r="X3136" s="52">
        <v>4709</v>
      </c>
    </row>
    <row r="3137" spans="2:24" x14ac:dyDescent="0.35">
      <c r="B3137" s="6" t="s">
        <v>12</v>
      </c>
      <c r="C3137" s="6" t="s">
        <v>34</v>
      </c>
      <c r="D3137" s="6" t="s">
        <v>35</v>
      </c>
      <c r="E3137" s="6" t="s">
        <v>0</v>
      </c>
      <c r="F3137" s="6" t="s">
        <v>45</v>
      </c>
      <c r="G3137" s="6">
        <v>2015</v>
      </c>
      <c r="H3137" s="6">
        <v>6</v>
      </c>
      <c r="I3137" s="10">
        <v>42156</v>
      </c>
      <c r="J3137" s="6">
        <v>4503</v>
      </c>
      <c r="K3137" s="51"/>
      <c r="O3137" t="s">
        <v>12</v>
      </c>
      <c r="P3137" t="s">
        <v>34</v>
      </c>
      <c r="Q3137" t="s">
        <v>35</v>
      </c>
      <c r="R3137" t="s">
        <v>0</v>
      </c>
      <c r="S3137" t="s">
        <v>45</v>
      </c>
      <c r="T3137">
        <v>2015</v>
      </c>
      <c r="U3137">
        <v>6</v>
      </c>
      <c r="V3137" s="51">
        <v>42156</v>
      </c>
      <c r="W3137" s="4">
        <v>3917.6100000000006</v>
      </c>
      <c r="X3137" s="52">
        <v>4503</v>
      </c>
    </row>
    <row r="3138" spans="2:24" x14ac:dyDescent="0.35">
      <c r="B3138" s="6" t="s">
        <v>14</v>
      </c>
      <c r="C3138" s="6" t="s">
        <v>37</v>
      </c>
      <c r="D3138" s="6" t="s">
        <v>38</v>
      </c>
      <c r="E3138" s="6" t="s">
        <v>27</v>
      </c>
      <c r="F3138" s="6" t="s">
        <v>28</v>
      </c>
      <c r="G3138" s="6">
        <v>2015</v>
      </c>
      <c r="H3138" s="6">
        <v>6</v>
      </c>
      <c r="I3138" s="10">
        <v>42156</v>
      </c>
      <c r="J3138" s="6">
        <v>3390</v>
      </c>
      <c r="K3138" s="51"/>
      <c r="O3138" t="s">
        <v>14</v>
      </c>
      <c r="P3138" t="s">
        <v>37</v>
      </c>
      <c r="Q3138" t="s">
        <v>38</v>
      </c>
      <c r="R3138" t="s">
        <v>27</v>
      </c>
      <c r="S3138" t="s">
        <v>28</v>
      </c>
      <c r="T3138">
        <v>2015</v>
      </c>
      <c r="U3138">
        <v>6</v>
      </c>
      <c r="V3138" s="51">
        <v>42156</v>
      </c>
      <c r="W3138" s="4">
        <v>3050.9999999999995</v>
      </c>
      <c r="X3138" s="52">
        <v>3390</v>
      </c>
    </row>
    <row r="3139" spans="2:24" x14ac:dyDescent="0.35">
      <c r="B3139" s="6" t="s">
        <v>14</v>
      </c>
      <c r="C3139" s="6" t="s">
        <v>37</v>
      </c>
      <c r="D3139" s="6" t="s">
        <v>38</v>
      </c>
      <c r="E3139" s="6" t="s">
        <v>27</v>
      </c>
      <c r="F3139" s="6" t="s">
        <v>31</v>
      </c>
      <c r="G3139" s="6">
        <v>2015</v>
      </c>
      <c r="H3139" s="6">
        <v>6</v>
      </c>
      <c r="I3139" s="10">
        <v>42156</v>
      </c>
      <c r="J3139" s="6">
        <v>4893</v>
      </c>
      <c r="K3139" s="51"/>
      <c r="O3139" t="s">
        <v>14</v>
      </c>
      <c r="P3139" t="s">
        <v>37</v>
      </c>
      <c r="Q3139" t="s">
        <v>38</v>
      </c>
      <c r="R3139" t="s">
        <v>27</v>
      </c>
      <c r="S3139" t="s">
        <v>31</v>
      </c>
      <c r="T3139">
        <v>2015</v>
      </c>
      <c r="U3139">
        <v>6</v>
      </c>
      <c r="V3139" s="51">
        <v>42156</v>
      </c>
      <c r="W3139" s="4">
        <v>4256.9100000000008</v>
      </c>
      <c r="X3139" s="52">
        <v>4893</v>
      </c>
    </row>
    <row r="3140" spans="2:24" x14ac:dyDescent="0.35">
      <c r="B3140" s="6" t="s">
        <v>12</v>
      </c>
      <c r="C3140" s="6" t="s">
        <v>44</v>
      </c>
      <c r="D3140" s="6" t="s">
        <v>13</v>
      </c>
      <c r="E3140" s="6" t="s">
        <v>23</v>
      </c>
      <c r="F3140" s="6" t="s">
        <v>36</v>
      </c>
      <c r="G3140" s="6">
        <v>2015</v>
      </c>
      <c r="H3140" s="6">
        <v>6</v>
      </c>
      <c r="I3140" s="10">
        <v>42156</v>
      </c>
      <c r="J3140" s="6">
        <v>2921</v>
      </c>
      <c r="K3140" s="51"/>
      <c r="O3140" t="s">
        <v>12</v>
      </c>
      <c r="P3140" t="s">
        <v>44</v>
      </c>
      <c r="Q3140" t="s">
        <v>13</v>
      </c>
      <c r="R3140" t="s">
        <v>23</v>
      </c>
      <c r="S3140" t="s">
        <v>36</v>
      </c>
      <c r="T3140">
        <v>2015</v>
      </c>
      <c r="U3140">
        <v>6</v>
      </c>
      <c r="V3140" s="51">
        <v>42156</v>
      </c>
      <c r="W3140" s="4">
        <v>2482.8500000000004</v>
      </c>
      <c r="X3140" s="52">
        <v>2921</v>
      </c>
    </row>
    <row r="3141" spans="2:24" x14ac:dyDescent="0.35">
      <c r="B3141" s="6" t="s">
        <v>14</v>
      </c>
      <c r="C3141" s="6" t="s">
        <v>46</v>
      </c>
      <c r="D3141" s="6" t="s">
        <v>47</v>
      </c>
      <c r="E3141" s="6" t="s">
        <v>23</v>
      </c>
      <c r="F3141" s="6" t="s">
        <v>24</v>
      </c>
      <c r="G3141" s="6">
        <v>2015</v>
      </c>
      <c r="H3141" s="6">
        <v>6</v>
      </c>
      <c r="I3141" s="10">
        <v>42156</v>
      </c>
      <c r="J3141" s="6">
        <v>2209</v>
      </c>
      <c r="K3141" s="51"/>
      <c r="O3141" t="s">
        <v>14</v>
      </c>
      <c r="P3141" t="s">
        <v>46</v>
      </c>
      <c r="Q3141" t="s">
        <v>47</v>
      </c>
      <c r="R3141" t="s">
        <v>23</v>
      </c>
      <c r="S3141" t="s">
        <v>24</v>
      </c>
      <c r="T3141">
        <v>2015</v>
      </c>
      <c r="U3141">
        <v>6</v>
      </c>
      <c r="V3141" s="51">
        <v>42156</v>
      </c>
      <c r="W3141" s="4">
        <v>1966.0099999999998</v>
      </c>
      <c r="X3141" s="52">
        <v>2209</v>
      </c>
    </row>
    <row r="3142" spans="2:24" x14ac:dyDescent="0.35">
      <c r="B3142" s="6" t="s">
        <v>14</v>
      </c>
      <c r="C3142" s="6" t="s">
        <v>46</v>
      </c>
      <c r="D3142" s="6" t="s">
        <v>47</v>
      </c>
      <c r="E3142" s="6" t="s">
        <v>23</v>
      </c>
      <c r="F3142" s="6" t="s">
        <v>39</v>
      </c>
      <c r="G3142" s="6">
        <v>2015</v>
      </c>
      <c r="H3142" s="6">
        <v>6</v>
      </c>
      <c r="I3142" s="10">
        <v>42156</v>
      </c>
      <c r="J3142" s="6">
        <v>1948</v>
      </c>
      <c r="K3142" s="51"/>
      <c r="O3142" t="s">
        <v>14</v>
      </c>
      <c r="P3142" t="s">
        <v>46</v>
      </c>
      <c r="Q3142" t="s">
        <v>47</v>
      </c>
      <c r="R3142" t="s">
        <v>23</v>
      </c>
      <c r="S3142" t="s">
        <v>39</v>
      </c>
      <c r="T3142">
        <v>2015</v>
      </c>
      <c r="U3142">
        <v>6</v>
      </c>
      <c r="V3142" s="51">
        <v>42156</v>
      </c>
      <c r="W3142" s="4">
        <v>1831.12</v>
      </c>
      <c r="X3142" s="52">
        <v>1948</v>
      </c>
    </row>
    <row r="3143" spans="2:24" x14ac:dyDescent="0.35">
      <c r="B3143" s="6" t="s">
        <v>7</v>
      </c>
      <c r="C3143" s="6" t="s">
        <v>43</v>
      </c>
      <c r="D3143" s="6" t="s">
        <v>10</v>
      </c>
      <c r="E3143" s="6" t="s">
        <v>0</v>
      </c>
      <c r="F3143" s="6" t="s">
        <v>42</v>
      </c>
      <c r="G3143" s="6">
        <v>2015</v>
      </c>
      <c r="H3143" s="6">
        <v>6</v>
      </c>
      <c r="I3143" s="10">
        <v>42156</v>
      </c>
      <c r="J3143" s="6">
        <v>5507</v>
      </c>
      <c r="K3143" s="51"/>
      <c r="O3143" t="s">
        <v>7</v>
      </c>
      <c r="P3143" t="s">
        <v>43</v>
      </c>
      <c r="Q3143" t="s">
        <v>10</v>
      </c>
      <c r="R3143" t="s">
        <v>0</v>
      </c>
      <c r="S3143" t="s">
        <v>42</v>
      </c>
      <c r="T3143">
        <v>2015</v>
      </c>
      <c r="U3143">
        <v>6</v>
      </c>
      <c r="V3143" s="51">
        <v>42156</v>
      </c>
      <c r="W3143" s="4">
        <v>4680.9500000000007</v>
      </c>
      <c r="X3143" s="52">
        <v>5507</v>
      </c>
    </row>
    <row r="3144" spans="2:24" x14ac:dyDescent="0.35">
      <c r="B3144" s="6" t="s">
        <v>6</v>
      </c>
      <c r="C3144" s="6" t="s">
        <v>40</v>
      </c>
      <c r="D3144" s="6" t="s">
        <v>41</v>
      </c>
      <c r="E3144" s="6" t="s">
        <v>27</v>
      </c>
      <c r="F3144" s="6" t="s">
        <v>31</v>
      </c>
      <c r="G3144" s="6">
        <v>2015</v>
      </c>
      <c r="H3144" s="6">
        <v>6</v>
      </c>
      <c r="I3144" s="10">
        <v>42156</v>
      </c>
      <c r="J3144" s="6">
        <v>3251</v>
      </c>
      <c r="K3144" s="51"/>
      <c r="O3144" t="s">
        <v>6</v>
      </c>
      <c r="P3144" t="s">
        <v>40</v>
      </c>
      <c r="Q3144" t="s">
        <v>41</v>
      </c>
      <c r="R3144" t="s">
        <v>27</v>
      </c>
      <c r="S3144" t="s">
        <v>31</v>
      </c>
      <c r="T3144">
        <v>2015</v>
      </c>
      <c r="U3144">
        <v>6</v>
      </c>
      <c r="V3144" s="51">
        <v>42156</v>
      </c>
      <c r="W3144" s="4">
        <v>2763.3500000000004</v>
      </c>
      <c r="X3144" s="52">
        <v>3251</v>
      </c>
    </row>
    <row r="3145" spans="2:24" x14ac:dyDescent="0.35">
      <c r="B3145" s="6" t="s">
        <v>3</v>
      </c>
      <c r="C3145" s="6" t="s">
        <v>22</v>
      </c>
      <c r="D3145" s="6" t="s">
        <v>5</v>
      </c>
      <c r="E3145" s="6" t="s">
        <v>23</v>
      </c>
      <c r="F3145" s="6" t="s">
        <v>39</v>
      </c>
      <c r="G3145" s="6">
        <v>2015</v>
      </c>
      <c r="H3145" s="6">
        <v>6</v>
      </c>
      <c r="I3145" s="10">
        <v>42156</v>
      </c>
      <c r="J3145" s="6">
        <v>1916</v>
      </c>
      <c r="K3145" s="51"/>
      <c r="O3145" t="s">
        <v>3</v>
      </c>
      <c r="P3145" t="s">
        <v>22</v>
      </c>
      <c r="Q3145" t="s">
        <v>5</v>
      </c>
      <c r="R3145" t="s">
        <v>23</v>
      </c>
      <c r="S3145" t="s">
        <v>39</v>
      </c>
      <c r="T3145">
        <v>2015</v>
      </c>
      <c r="U3145">
        <v>6</v>
      </c>
      <c r="V3145" s="51">
        <v>42156</v>
      </c>
      <c r="W3145" s="4">
        <v>1801.04</v>
      </c>
      <c r="X3145" s="52">
        <v>1916</v>
      </c>
    </row>
    <row r="3146" spans="2:24" x14ac:dyDescent="0.35">
      <c r="B3146" s="6" t="s">
        <v>3</v>
      </c>
      <c r="C3146" s="6" t="s">
        <v>22</v>
      </c>
      <c r="D3146" s="6" t="s">
        <v>5</v>
      </c>
      <c r="E3146" s="6" t="s">
        <v>0</v>
      </c>
      <c r="F3146" s="6" t="s">
        <v>42</v>
      </c>
      <c r="G3146" s="6">
        <v>2015</v>
      </c>
      <c r="H3146" s="6">
        <v>6</v>
      </c>
      <c r="I3146" s="10">
        <v>42156</v>
      </c>
      <c r="J3146" s="6">
        <v>5568</v>
      </c>
      <c r="K3146" s="51"/>
      <c r="O3146" t="s">
        <v>3</v>
      </c>
      <c r="P3146" t="s">
        <v>22</v>
      </c>
      <c r="Q3146" t="s">
        <v>5</v>
      </c>
      <c r="R3146" t="s">
        <v>0</v>
      </c>
      <c r="S3146" t="s">
        <v>42</v>
      </c>
      <c r="T3146">
        <v>2015</v>
      </c>
      <c r="U3146">
        <v>6</v>
      </c>
      <c r="V3146" s="51">
        <v>42156</v>
      </c>
      <c r="W3146" s="4">
        <v>5122.5599999999995</v>
      </c>
      <c r="X3146" s="52">
        <v>5568</v>
      </c>
    </row>
    <row r="3147" spans="2:24" x14ac:dyDescent="0.35">
      <c r="B3147" s="6" t="s">
        <v>6</v>
      </c>
      <c r="C3147" s="6" t="s">
        <v>29</v>
      </c>
      <c r="D3147" s="6" t="s">
        <v>30</v>
      </c>
      <c r="E3147" s="6" t="s">
        <v>0</v>
      </c>
      <c r="F3147" s="6" t="s">
        <v>26</v>
      </c>
      <c r="G3147" s="6">
        <v>2015</v>
      </c>
      <c r="H3147" s="6">
        <v>6</v>
      </c>
      <c r="I3147" s="10">
        <v>42156</v>
      </c>
      <c r="J3147" s="6">
        <v>4240</v>
      </c>
      <c r="K3147" s="51"/>
      <c r="O3147" t="s">
        <v>6</v>
      </c>
      <c r="P3147" t="s">
        <v>29</v>
      </c>
      <c r="Q3147" t="s">
        <v>30</v>
      </c>
      <c r="R3147" t="s">
        <v>0</v>
      </c>
      <c r="S3147" t="s">
        <v>26</v>
      </c>
      <c r="T3147">
        <v>2015</v>
      </c>
      <c r="U3147">
        <v>6</v>
      </c>
      <c r="V3147" s="51">
        <v>42156</v>
      </c>
      <c r="W3147" s="4">
        <v>3604.0000000000005</v>
      </c>
      <c r="X3147" s="52">
        <v>4240</v>
      </c>
    </row>
    <row r="3148" spans="2:24" x14ac:dyDescent="0.35">
      <c r="B3148" s="6" t="s">
        <v>7</v>
      </c>
      <c r="C3148" s="6" t="s">
        <v>48</v>
      </c>
      <c r="D3148" s="6" t="s">
        <v>9</v>
      </c>
      <c r="E3148" s="6" t="s">
        <v>27</v>
      </c>
      <c r="F3148" s="6" t="s">
        <v>28</v>
      </c>
      <c r="G3148" s="6">
        <v>2015</v>
      </c>
      <c r="H3148" s="6">
        <v>6</v>
      </c>
      <c r="I3148" s="10">
        <v>42156</v>
      </c>
      <c r="J3148" s="6">
        <v>4331</v>
      </c>
      <c r="K3148" s="51"/>
      <c r="O3148" t="s">
        <v>7</v>
      </c>
      <c r="P3148" t="s">
        <v>48</v>
      </c>
      <c r="Q3148" t="s">
        <v>9</v>
      </c>
      <c r="R3148" t="s">
        <v>27</v>
      </c>
      <c r="S3148" t="s">
        <v>28</v>
      </c>
      <c r="T3148">
        <v>2015</v>
      </c>
      <c r="U3148">
        <v>6</v>
      </c>
      <c r="V3148" s="51">
        <v>42156</v>
      </c>
      <c r="W3148" s="4">
        <v>3811.2799999999997</v>
      </c>
      <c r="X3148" s="52">
        <v>4331</v>
      </c>
    </row>
    <row r="3149" spans="2:24" x14ac:dyDescent="0.35">
      <c r="B3149" s="6" t="s">
        <v>7</v>
      </c>
      <c r="C3149" s="6" t="s">
        <v>48</v>
      </c>
      <c r="D3149" s="6" t="s">
        <v>9</v>
      </c>
      <c r="E3149" s="6" t="s">
        <v>27</v>
      </c>
      <c r="F3149" s="6" t="s">
        <v>31</v>
      </c>
      <c r="G3149" s="6">
        <v>2015</v>
      </c>
      <c r="H3149" s="6">
        <v>6</v>
      </c>
      <c r="I3149" s="10">
        <v>42156</v>
      </c>
      <c r="J3149" s="6">
        <v>3951</v>
      </c>
      <c r="K3149" s="51"/>
      <c r="O3149" t="s">
        <v>7</v>
      </c>
      <c r="P3149" t="s">
        <v>48</v>
      </c>
      <c r="Q3149" t="s">
        <v>9</v>
      </c>
      <c r="R3149" t="s">
        <v>27</v>
      </c>
      <c r="S3149" t="s">
        <v>31</v>
      </c>
      <c r="T3149">
        <v>2015</v>
      </c>
      <c r="U3149">
        <v>6</v>
      </c>
      <c r="V3149" s="51">
        <v>42156</v>
      </c>
      <c r="W3149" s="4">
        <v>3516.3899999999994</v>
      </c>
      <c r="X3149" s="52">
        <v>3951</v>
      </c>
    </row>
    <row r="3150" spans="2:24" x14ac:dyDescent="0.35">
      <c r="B3150" s="6" t="s">
        <v>7</v>
      </c>
      <c r="C3150" s="6" t="s">
        <v>49</v>
      </c>
      <c r="D3150" s="6" t="s">
        <v>11</v>
      </c>
      <c r="E3150" s="6" t="s">
        <v>27</v>
      </c>
      <c r="F3150" s="6" t="s">
        <v>33</v>
      </c>
      <c r="G3150" s="6">
        <v>2015</v>
      </c>
      <c r="H3150" s="6">
        <v>6</v>
      </c>
      <c r="I3150" s="10">
        <v>42156</v>
      </c>
      <c r="J3150" s="6">
        <v>3871</v>
      </c>
      <c r="K3150" s="51"/>
      <c r="O3150" t="s">
        <v>7</v>
      </c>
      <c r="P3150" t="s">
        <v>49</v>
      </c>
      <c r="Q3150" t="s">
        <v>11</v>
      </c>
      <c r="R3150" t="s">
        <v>27</v>
      </c>
      <c r="S3150" t="s">
        <v>33</v>
      </c>
      <c r="T3150">
        <v>2015</v>
      </c>
      <c r="U3150">
        <v>6</v>
      </c>
      <c r="V3150" s="51">
        <v>42156</v>
      </c>
      <c r="W3150" s="4">
        <v>3290.3500000000004</v>
      </c>
      <c r="X3150" s="52">
        <v>3871</v>
      </c>
    </row>
    <row r="3151" spans="2:24" x14ac:dyDescent="0.35">
      <c r="B3151" s="6" t="s">
        <v>7</v>
      </c>
      <c r="C3151" s="6" t="s">
        <v>49</v>
      </c>
      <c r="D3151" s="6" t="s">
        <v>11</v>
      </c>
      <c r="E3151" s="6" t="s">
        <v>23</v>
      </c>
      <c r="F3151" s="6" t="s">
        <v>36</v>
      </c>
      <c r="G3151" s="6">
        <v>2015</v>
      </c>
      <c r="H3151" s="6">
        <v>6</v>
      </c>
      <c r="I3151" s="10">
        <v>42156</v>
      </c>
      <c r="J3151" s="6">
        <v>2284</v>
      </c>
      <c r="K3151" s="51"/>
      <c r="O3151" t="s">
        <v>7</v>
      </c>
      <c r="P3151" t="s">
        <v>49</v>
      </c>
      <c r="Q3151" t="s">
        <v>11</v>
      </c>
      <c r="R3151" t="s">
        <v>23</v>
      </c>
      <c r="S3151" t="s">
        <v>36</v>
      </c>
      <c r="T3151">
        <v>2015</v>
      </c>
      <c r="U3151">
        <v>6</v>
      </c>
      <c r="V3151" s="51">
        <v>42156</v>
      </c>
      <c r="W3151" s="4">
        <v>2032.7599999999998</v>
      </c>
      <c r="X3151" s="52">
        <v>2284</v>
      </c>
    </row>
    <row r="3152" spans="2:24" x14ac:dyDescent="0.35">
      <c r="B3152" s="6" t="s">
        <v>7</v>
      </c>
      <c r="C3152" s="6" t="s">
        <v>43</v>
      </c>
      <c r="D3152" s="6" t="s">
        <v>10</v>
      </c>
      <c r="E3152" s="6" t="s">
        <v>23</v>
      </c>
      <c r="F3152" s="6" t="s">
        <v>36</v>
      </c>
      <c r="G3152" s="6">
        <v>2015</v>
      </c>
      <c r="H3152" s="6">
        <v>6</v>
      </c>
      <c r="I3152" s="10">
        <v>42156</v>
      </c>
      <c r="J3152" s="6">
        <v>2665</v>
      </c>
      <c r="K3152" s="51"/>
      <c r="O3152" t="s">
        <v>7</v>
      </c>
      <c r="P3152" t="s">
        <v>43</v>
      </c>
      <c r="Q3152" t="s">
        <v>10</v>
      </c>
      <c r="R3152" t="s">
        <v>23</v>
      </c>
      <c r="S3152" t="s">
        <v>36</v>
      </c>
      <c r="T3152">
        <v>2015</v>
      </c>
      <c r="U3152">
        <v>6</v>
      </c>
      <c r="V3152" s="51">
        <v>42156</v>
      </c>
      <c r="W3152" s="4">
        <v>2478.4499999999998</v>
      </c>
      <c r="X3152" s="52">
        <v>2665</v>
      </c>
    </row>
    <row r="3153" spans="2:24" x14ac:dyDescent="0.35">
      <c r="B3153" s="6" t="s">
        <v>6</v>
      </c>
      <c r="C3153" s="6" t="s">
        <v>40</v>
      </c>
      <c r="D3153" s="6" t="s">
        <v>41</v>
      </c>
      <c r="E3153" s="6" t="s">
        <v>0</v>
      </c>
      <c r="F3153" s="6" t="s">
        <v>45</v>
      </c>
      <c r="G3153" s="6">
        <v>2015</v>
      </c>
      <c r="H3153" s="6">
        <v>6</v>
      </c>
      <c r="I3153" s="10">
        <v>42156</v>
      </c>
      <c r="J3153" s="6">
        <v>2494</v>
      </c>
      <c r="K3153" s="51"/>
      <c r="O3153" t="s">
        <v>6</v>
      </c>
      <c r="P3153" t="s">
        <v>40</v>
      </c>
      <c r="Q3153" t="s">
        <v>41</v>
      </c>
      <c r="R3153" t="s">
        <v>0</v>
      </c>
      <c r="S3153" t="s">
        <v>45</v>
      </c>
      <c r="T3153">
        <v>2015</v>
      </c>
      <c r="U3153">
        <v>6</v>
      </c>
      <c r="V3153" s="51">
        <v>42156</v>
      </c>
      <c r="W3153" s="4">
        <v>2319.42</v>
      </c>
      <c r="X3153" s="52">
        <v>2494</v>
      </c>
    </row>
    <row r="3154" spans="2:24" x14ac:dyDescent="0.35">
      <c r="B3154" s="6" t="s">
        <v>7</v>
      </c>
      <c r="C3154" s="6" t="s">
        <v>32</v>
      </c>
      <c r="D3154" s="6" t="s">
        <v>8</v>
      </c>
      <c r="E3154" s="6" t="s">
        <v>27</v>
      </c>
      <c r="F3154" s="6" t="s">
        <v>28</v>
      </c>
      <c r="G3154" s="6">
        <v>2015</v>
      </c>
      <c r="H3154" s="6">
        <v>6</v>
      </c>
      <c r="I3154" s="10">
        <v>42156</v>
      </c>
      <c r="J3154" s="6">
        <v>3355</v>
      </c>
      <c r="K3154" s="51"/>
      <c r="O3154" t="s">
        <v>7</v>
      </c>
      <c r="P3154" t="s">
        <v>32</v>
      </c>
      <c r="Q3154" t="s">
        <v>8</v>
      </c>
      <c r="R3154" t="s">
        <v>27</v>
      </c>
      <c r="S3154" t="s">
        <v>28</v>
      </c>
      <c r="T3154">
        <v>2015</v>
      </c>
      <c r="U3154">
        <v>6</v>
      </c>
      <c r="V3154" s="51">
        <v>42156</v>
      </c>
      <c r="W3154" s="4">
        <v>3019.4999999999995</v>
      </c>
      <c r="X3154" s="52">
        <v>3355</v>
      </c>
    </row>
    <row r="3155" spans="2:24" x14ac:dyDescent="0.35">
      <c r="B3155" s="6" t="s">
        <v>7</v>
      </c>
      <c r="C3155" s="6" t="s">
        <v>32</v>
      </c>
      <c r="D3155" s="6" t="s">
        <v>8</v>
      </c>
      <c r="E3155" s="6" t="s">
        <v>27</v>
      </c>
      <c r="F3155" s="6" t="s">
        <v>31</v>
      </c>
      <c r="G3155" s="6">
        <v>2015</v>
      </c>
      <c r="H3155" s="6">
        <v>6</v>
      </c>
      <c r="I3155" s="10">
        <v>42156</v>
      </c>
      <c r="J3155" s="6">
        <v>2794</v>
      </c>
      <c r="K3155" s="51"/>
      <c r="O3155" t="s">
        <v>7</v>
      </c>
      <c r="P3155" t="s">
        <v>32</v>
      </c>
      <c r="Q3155" t="s">
        <v>8</v>
      </c>
      <c r="R3155" t="s">
        <v>27</v>
      </c>
      <c r="S3155" t="s">
        <v>31</v>
      </c>
      <c r="T3155">
        <v>2015</v>
      </c>
      <c r="U3155">
        <v>6</v>
      </c>
      <c r="V3155" s="51">
        <v>42156</v>
      </c>
      <c r="W3155" s="4">
        <v>2430.7800000000002</v>
      </c>
      <c r="X3155" s="52">
        <v>2794</v>
      </c>
    </row>
    <row r="3156" spans="2:24" x14ac:dyDescent="0.35">
      <c r="B3156" s="6" t="s">
        <v>6</v>
      </c>
      <c r="C3156" s="6" t="s">
        <v>29</v>
      </c>
      <c r="D3156" s="6" t="s">
        <v>30</v>
      </c>
      <c r="E3156" s="6" t="s">
        <v>23</v>
      </c>
      <c r="F3156" s="6" t="s">
        <v>24</v>
      </c>
      <c r="G3156" s="6">
        <v>2015</v>
      </c>
      <c r="H3156" s="6">
        <v>6</v>
      </c>
      <c r="I3156" s="10">
        <v>42156</v>
      </c>
      <c r="J3156" s="6">
        <v>1562</v>
      </c>
      <c r="K3156" s="51"/>
      <c r="O3156" t="s">
        <v>6</v>
      </c>
      <c r="P3156" t="s">
        <v>29</v>
      </c>
      <c r="Q3156" t="s">
        <v>30</v>
      </c>
      <c r="R3156" t="s">
        <v>23</v>
      </c>
      <c r="S3156" t="s">
        <v>24</v>
      </c>
      <c r="T3156">
        <v>2015</v>
      </c>
      <c r="U3156">
        <v>6</v>
      </c>
      <c r="V3156" s="51">
        <v>42156</v>
      </c>
      <c r="W3156" s="4">
        <v>1343.3200000000002</v>
      </c>
      <c r="X3156" s="52">
        <v>1562</v>
      </c>
    </row>
    <row r="3157" spans="2:24" x14ac:dyDescent="0.35">
      <c r="B3157" s="6" t="s">
        <v>7</v>
      </c>
      <c r="C3157" s="6" t="s">
        <v>48</v>
      </c>
      <c r="D3157" s="6" t="s">
        <v>9</v>
      </c>
      <c r="E3157" s="6" t="s">
        <v>0</v>
      </c>
      <c r="F3157" s="6" t="s">
        <v>42</v>
      </c>
      <c r="G3157" s="6">
        <v>2015</v>
      </c>
      <c r="H3157" s="6">
        <v>6</v>
      </c>
      <c r="I3157" s="10">
        <v>42156</v>
      </c>
      <c r="J3157" s="6">
        <v>6097</v>
      </c>
      <c r="K3157" s="51"/>
      <c r="O3157" t="s">
        <v>7</v>
      </c>
      <c r="P3157" t="s">
        <v>48</v>
      </c>
      <c r="Q3157" t="s">
        <v>9</v>
      </c>
      <c r="R3157" t="s">
        <v>0</v>
      </c>
      <c r="S3157" t="s">
        <v>42</v>
      </c>
      <c r="T3157">
        <v>2015</v>
      </c>
      <c r="U3157">
        <v>6</v>
      </c>
      <c r="V3157" s="51">
        <v>42156</v>
      </c>
      <c r="W3157" s="4">
        <v>5487.2999999999993</v>
      </c>
      <c r="X3157" s="52">
        <v>6097</v>
      </c>
    </row>
    <row r="3158" spans="2:24" x14ac:dyDescent="0.35">
      <c r="B3158" s="6" t="s">
        <v>7</v>
      </c>
      <c r="C3158" s="6" t="s">
        <v>48</v>
      </c>
      <c r="D3158" s="6" t="s">
        <v>9</v>
      </c>
      <c r="E3158" s="6" t="s">
        <v>0</v>
      </c>
      <c r="F3158" s="6" t="s">
        <v>26</v>
      </c>
      <c r="G3158" s="6">
        <v>2015</v>
      </c>
      <c r="H3158" s="6">
        <v>6</v>
      </c>
      <c r="I3158" s="10">
        <v>42156</v>
      </c>
      <c r="J3158" s="6">
        <v>4497</v>
      </c>
      <c r="K3158" s="51"/>
      <c r="O3158" t="s">
        <v>7</v>
      </c>
      <c r="P3158" t="s">
        <v>48</v>
      </c>
      <c r="Q3158" t="s">
        <v>9</v>
      </c>
      <c r="R3158" t="s">
        <v>0</v>
      </c>
      <c r="S3158" t="s">
        <v>26</v>
      </c>
      <c r="T3158">
        <v>2015</v>
      </c>
      <c r="U3158">
        <v>6</v>
      </c>
      <c r="V3158" s="51">
        <v>42156</v>
      </c>
      <c r="W3158" s="4">
        <v>4227.1799999999994</v>
      </c>
      <c r="X3158" s="52">
        <v>4497</v>
      </c>
    </row>
    <row r="3159" spans="2:24" x14ac:dyDescent="0.35">
      <c r="B3159" s="6" t="s">
        <v>7</v>
      </c>
      <c r="C3159" s="6" t="s">
        <v>49</v>
      </c>
      <c r="D3159" s="6" t="s">
        <v>11</v>
      </c>
      <c r="E3159" s="6" t="s">
        <v>0</v>
      </c>
      <c r="F3159" s="6" t="s">
        <v>45</v>
      </c>
      <c r="G3159" s="6">
        <v>2015</v>
      </c>
      <c r="H3159" s="6">
        <v>6</v>
      </c>
      <c r="I3159" s="10">
        <v>42156</v>
      </c>
      <c r="J3159" s="6">
        <v>4753</v>
      </c>
      <c r="K3159" s="51"/>
      <c r="O3159" t="s">
        <v>7</v>
      </c>
      <c r="P3159" t="s">
        <v>49</v>
      </c>
      <c r="Q3159" t="s">
        <v>11</v>
      </c>
      <c r="R3159" t="s">
        <v>0</v>
      </c>
      <c r="S3159" t="s">
        <v>45</v>
      </c>
      <c r="T3159">
        <v>2015</v>
      </c>
      <c r="U3159">
        <v>6</v>
      </c>
      <c r="V3159" s="51">
        <v>42156</v>
      </c>
      <c r="W3159" s="4">
        <v>4182.6399999999994</v>
      </c>
      <c r="X3159" s="52">
        <v>4753</v>
      </c>
    </row>
    <row r="3160" spans="2:24" x14ac:dyDescent="0.35">
      <c r="B3160" s="6" t="s">
        <v>7</v>
      </c>
      <c r="C3160" s="6" t="s">
        <v>49</v>
      </c>
      <c r="D3160" s="6" t="s">
        <v>11</v>
      </c>
      <c r="E3160" s="6" t="s">
        <v>27</v>
      </c>
      <c r="F3160" s="6" t="s">
        <v>28</v>
      </c>
      <c r="G3160" s="6">
        <v>2015</v>
      </c>
      <c r="H3160" s="6">
        <v>6</v>
      </c>
      <c r="I3160" s="10">
        <v>42156</v>
      </c>
      <c r="J3160" s="6">
        <v>3299</v>
      </c>
      <c r="K3160" s="51"/>
      <c r="O3160" t="s">
        <v>7</v>
      </c>
      <c r="P3160" t="s">
        <v>49</v>
      </c>
      <c r="Q3160" t="s">
        <v>11</v>
      </c>
      <c r="R3160" t="s">
        <v>27</v>
      </c>
      <c r="S3160" t="s">
        <v>28</v>
      </c>
      <c r="T3160">
        <v>2015</v>
      </c>
      <c r="U3160">
        <v>6</v>
      </c>
      <c r="V3160" s="51">
        <v>42156</v>
      </c>
      <c r="W3160" s="4">
        <v>2870.13</v>
      </c>
      <c r="X3160" s="52">
        <v>3299</v>
      </c>
    </row>
    <row r="3161" spans="2:24" x14ac:dyDescent="0.35">
      <c r="B3161" s="6" t="s">
        <v>12</v>
      </c>
      <c r="C3161" s="6" t="s">
        <v>34</v>
      </c>
      <c r="D3161" s="6" t="s">
        <v>35</v>
      </c>
      <c r="E3161" s="6" t="s">
        <v>27</v>
      </c>
      <c r="F3161" s="6" t="s">
        <v>31</v>
      </c>
      <c r="G3161" s="6">
        <v>2015</v>
      </c>
      <c r="H3161" s="6">
        <v>6</v>
      </c>
      <c r="I3161" s="10">
        <v>42156</v>
      </c>
      <c r="J3161" s="6">
        <v>3742</v>
      </c>
      <c r="K3161" s="51"/>
      <c r="O3161" t="s">
        <v>12</v>
      </c>
      <c r="P3161" t="s">
        <v>34</v>
      </c>
      <c r="Q3161" t="s">
        <v>35</v>
      </c>
      <c r="R3161" t="s">
        <v>27</v>
      </c>
      <c r="S3161" t="s">
        <v>31</v>
      </c>
      <c r="T3161">
        <v>2015</v>
      </c>
      <c r="U3161">
        <v>6</v>
      </c>
      <c r="V3161" s="51">
        <v>42156</v>
      </c>
      <c r="W3161" s="4">
        <v>3442.64</v>
      </c>
      <c r="X3161" s="52">
        <v>3742</v>
      </c>
    </row>
    <row r="3162" spans="2:24" x14ac:dyDescent="0.35">
      <c r="B3162" s="6" t="s">
        <v>12</v>
      </c>
      <c r="C3162" s="6" t="s">
        <v>34</v>
      </c>
      <c r="D3162" s="6" t="s">
        <v>35</v>
      </c>
      <c r="E3162" s="6" t="s">
        <v>27</v>
      </c>
      <c r="F3162" s="6" t="s">
        <v>33</v>
      </c>
      <c r="G3162" s="6">
        <v>2015</v>
      </c>
      <c r="H3162" s="6">
        <v>6</v>
      </c>
      <c r="I3162" s="10">
        <v>42156</v>
      </c>
      <c r="J3162" s="6">
        <v>3878</v>
      </c>
      <c r="K3162" s="51"/>
      <c r="O3162" t="s">
        <v>12</v>
      </c>
      <c r="P3162" t="s">
        <v>34</v>
      </c>
      <c r="Q3162" t="s">
        <v>35</v>
      </c>
      <c r="R3162" t="s">
        <v>27</v>
      </c>
      <c r="S3162" t="s">
        <v>33</v>
      </c>
      <c r="T3162">
        <v>2015</v>
      </c>
      <c r="U3162">
        <v>6</v>
      </c>
      <c r="V3162" s="51">
        <v>42156</v>
      </c>
      <c r="W3162" s="4">
        <v>3412.6399999999994</v>
      </c>
      <c r="X3162" s="52">
        <v>3878</v>
      </c>
    </row>
    <row r="3163" spans="2:24" x14ac:dyDescent="0.35">
      <c r="B3163" s="6" t="s">
        <v>14</v>
      </c>
      <c r="C3163" s="6" t="s">
        <v>37</v>
      </c>
      <c r="D3163" s="6" t="s">
        <v>38</v>
      </c>
      <c r="E3163" s="6" t="s">
        <v>23</v>
      </c>
      <c r="F3163" s="6" t="s">
        <v>36</v>
      </c>
      <c r="G3163" s="6">
        <v>2015</v>
      </c>
      <c r="H3163" s="6">
        <v>6</v>
      </c>
      <c r="I3163" s="10">
        <v>42156</v>
      </c>
      <c r="J3163" s="6">
        <v>2033</v>
      </c>
      <c r="K3163" s="51"/>
      <c r="O3163" t="s">
        <v>14</v>
      </c>
      <c r="P3163" t="s">
        <v>37</v>
      </c>
      <c r="Q3163" t="s">
        <v>38</v>
      </c>
      <c r="R3163" t="s">
        <v>23</v>
      </c>
      <c r="S3163" t="s">
        <v>36</v>
      </c>
      <c r="T3163">
        <v>2015</v>
      </c>
      <c r="U3163">
        <v>6</v>
      </c>
      <c r="V3163" s="51">
        <v>42156</v>
      </c>
      <c r="W3163" s="4">
        <v>1829.6999999999998</v>
      </c>
      <c r="X3163" s="52">
        <v>2033</v>
      </c>
    </row>
    <row r="3164" spans="2:24" x14ac:dyDescent="0.35">
      <c r="B3164" s="6" t="s">
        <v>12</v>
      </c>
      <c r="C3164" s="6" t="s">
        <v>44</v>
      </c>
      <c r="D3164" s="6" t="s">
        <v>13</v>
      </c>
      <c r="E3164" s="6" t="s">
        <v>23</v>
      </c>
      <c r="F3164" s="6" t="s">
        <v>39</v>
      </c>
      <c r="G3164" s="6">
        <v>2015</v>
      </c>
      <c r="H3164" s="6">
        <v>6</v>
      </c>
      <c r="I3164" s="10">
        <v>42156</v>
      </c>
      <c r="J3164" s="6">
        <v>1662</v>
      </c>
      <c r="K3164" s="51"/>
      <c r="O3164" t="s">
        <v>12</v>
      </c>
      <c r="P3164" t="s">
        <v>44</v>
      </c>
      <c r="Q3164" t="s">
        <v>13</v>
      </c>
      <c r="R3164" t="s">
        <v>23</v>
      </c>
      <c r="S3164" t="s">
        <v>39</v>
      </c>
      <c r="T3164">
        <v>2015</v>
      </c>
      <c r="U3164">
        <v>6</v>
      </c>
      <c r="V3164" s="51">
        <v>42156</v>
      </c>
      <c r="W3164" s="4">
        <v>1479.1799999999998</v>
      </c>
      <c r="X3164" s="52">
        <v>1662</v>
      </c>
    </row>
    <row r="3165" spans="2:24" x14ac:dyDescent="0.35">
      <c r="B3165" s="6" t="s">
        <v>12</v>
      </c>
      <c r="C3165" s="6" t="s">
        <v>44</v>
      </c>
      <c r="D3165" s="6" t="s">
        <v>13</v>
      </c>
      <c r="E3165" s="6" t="s">
        <v>0</v>
      </c>
      <c r="F3165" s="6" t="s">
        <v>42</v>
      </c>
      <c r="G3165" s="6">
        <v>2015</v>
      </c>
      <c r="H3165" s="6">
        <v>6</v>
      </c>
      <c r="I3165" s="10">
        <v>42156</v>
      </c>
      <c r="J3165" s="6">
        <v>4375</v>
      </c>
      <c r="K3165" s="51"/>
      <c r="O3165" t="s">
        <v>12</v>
      </c>
      <c r="P3165" t="s">
        <v>44</v>
      </c>
      <c r="Q3165" t="s">
        <v>13</v>
      </c>
      <c r="R3165" t="s">
        <v>0</v>
      </c>
      <c r="S3165" t="s">
        <v>42</v>
      </c>
      <c r="T3165">
        <v>2015</v>
      </c>
      <c r="U3165">
        <v>6</v>
      </c>
      <c r="V3165" s="51">
        <v>42156</v>
      </c>
      <c r="W3165" s="4">
        <v>3893.7499999999995</v>
      </c>
      <c r="X3165" s="52">
        <v>4375</v>
      </c>
    </row>
    <row r="3166" spans="2:24" x14ac:dyDescent="0.35">
      <c r="B3166" s="6" t="s">
        <v>14</v>
      </c>
      <c r="C3166" s="6" t="s">
        <v>46</v>
      </c>
      <c r="D3166" s="6" t="s">
        <v>47</v>
      </c>
      <c r="E3166" s="6" t="s">
        <v>0</v>
      </c>
      <c r="F3166" s="6" t="s">
        <v>26</v>
      </c>
      <c r="G3166" s="6">
        <v>2015</v>
      </c>
      <c r="H3166" s="6">
        <v>6</v>
      </c>
      <c r="I3166" s="10">
        <v>42156</v>
      </c>
      <c r="J3166" s="6">
        <v>5273</v>
      </c>
      <c r="K3166" s="51"/>
      <c r="O3166" t="s">
        <v>14</v>
      </c>
      <c r="P3166" t="s">
        <v>46</v>
      </c>
      <c r="Q3166" t="s">
        <v>47</v>
      </c>
      <c r="R3166" t="s">
        <v>0</v>
      </c>
      <c r="S3166" t="s">
        <v>26</v>
      </c>
      <c r="T3166">
        <v>2015</v>
      </c>
      <c r="U3166">
        <v>6</v>
      </c>
      <c r="V3166" s="51">
        <v>42156</v>
      </c>
      <c r="W3166" s="4">
        <v>4798.4299999999994</v>
      </c>
      <c r="X3166" s="52">
        <v>5273</v>
      </c>
    </row>
    <row r="3167" spans="2:24" x14ac:dyDescent="0.35">
      <c r="B3167" s="6" t="s">
        <v>14</v>
      </c>
      <c r="C3167" s="6" t="s">
        <v>46</v>
      </c>
      <c r="D3167" s="6" t="s">
        <v>47</v>
      </c>
      <c r="E3167" s="6" t="s">
        <v>0</v>
      </c>
      <c r="F3167" s="6" t="s">
        <v>45</v>
      </c>
      <c r="G3167" s="6">
        <v>2015</v>
      </c>
      <c r="H3167" s="6">
        <v>6</v>
      </c>
      <c r="I3167" s="10">
        <v>42156</v>
      </c>
      <c r="J3167" s="6">
        <v>4625</v>
      </c>
      <c r="K3167" s="51"/>
      <c r="O3167" t="s">
        <v>14</v>
      </c>
      <c r="P3167" t="s">
        <v>46</v>
      </c>
      <c r="Q3167" t="s">
        <v>47</v>
      </c>
      <c r="R3167" t="s">
        <v>0</v>
      </c>
      <c r="S3167" t="s">
        <v>45</v>
      </c>
      <c r="T3167">
        <v>2015</v>
      </c>
      <c r="U3167">
        <v>6</v>
      </c>
      <c r="V3167" s="51">
        <v>42156</v>
      </c>
      <c r="W3167" s="4">
        <v>4208.75</v>
      </c>
      <c r="X3167" s="52">
        <v>4625</v>
      </c>
    </row>
    <row r="3168" spans="2:24" x14ac:dyDescent="0.35">
      <c r="B3168" s="6" t="s">
        <v>3</v>
      </c>
      <c r="C3168" s="6" t="s">
        <v>25</v>
      </c>
      <c r="D3168" s="6" t="s">
        <v>4</v>
      </c>
      <c r="E3168" s="6" t="s">
        <v>27</v>
      </c>
      <c r="F3168" s="6" t="s">
        <v>33</v>
      </c>
      <c r="G3168" s="6">
        <v>2015</v>
      </c>
      <c r="H3168" s="6">
        <v>6</v>
      </c>
      <c r="I3168" s="10">
        <v>42156</v>
      </c>
      <c r="J3168" s="6">
        <v>2911</v>
      </c>
      <c r="K3168" s="51"/>
      <c r="O3168" t="s">
        <v>3</v>
      </c>
      <c r="P3168" t="s">
        <v>25</v>
      </c>
      <c r="Q3168" t="s">
        <v>4</v>
      </c>
      <c r="R3168" t="s">
        <v>27</v>
      </c>
      <c r="S3168" t="s">
        <v>33</v>
      </c>
      <c r="T3168">
        <v>2015</v>
      </c>
      <c r="U3168">
        <v>6</v>
      </c>
      <c r="V3168" s="51">
        <v>42156</v>
      </c>
      <c r="W3168" s="4">
        <v>2649.0099999999998</v>
      </c>
      <c r="X3168" s="52">
        <v>2911</v>
      </c>
    </row>
    <row r="3169" spans="2:24" x14ac:dyDescent="0.35">
      <c r="B3169" s="6" t="s">
        <v>3</v>
      </c>
      <c r="C3169" s="6" t="s">
        <v>25</v>
      </c>
      <c r="D3169" s="6" t="s">
        <v>4</v>
      </c>
      <c r="E3169" s="6" t="s">
        <v>23</v>
      </c>
      <c r="F3169" s="6" t="s">
        <v>36</v>
      </c>
      <c r="G3169" s="6">
        <v>2015</v>
      </c>
      <c r="H3169" s="6">
        <v>6</v>
      </c>
      <c r="I3169" s="10">
        <v>42156</v>
      </c>
      <c r="J3169" s="6">
        <v>2691</v>
      </c>
      <c r="K3169" s="51"/>
      <c r="O3169" t="s">
        <v>3</v>
      </c>
      <c r="P3169" t="s">
        <v>25</v>
      </c>
      <c r="Q3169" t="s">
        <v>4</v>
      </c>
      <c r="R3169" t="s">
        <v>23</v>
      </c>
      <c r="S3169" t="s">
        <v>36</v>
      </c>
      <c r="T3169">
        <v>2015</v>
      </c>
      <c r="U3169">
        <v>6</v>
      </c>
      <c r="V3169" s="51">
        <v>42156</v>
      </c>
      <c r="W3169" s="4">
        <v>2368.08</v>
      </c>
      <c r="X3169" s="52">
        <v>2691</v>
      </c>
    </row>
    <row r="3170" spans="2:24" x14ac:dyDescent="0.35">
      <c r="B3170" s="6" t="s">
        <v>6</v>
      </c>
      <c r="C3170" s="6" t="s">
        <v>40</v>
      </c>
      <c r="D3170" s="6" t="s">
        <v>41</v>
      </c>
      <c r="E3170" s="6" t="s">
        <v>23</v>
      </c>
      <c r="F3170" s="6" t="s">
        <v>39</v>
      </c>
      <c r="G3170" s="6">
        <v>2015</v>
      </c>
      <c r="H3170" s="6">
        <v>6</v>
      </c>
      <c r="I3170" s="10">
        <v>42156</v>
      </c>
      <c r="J3170" s="6">
        <v>1380</v>
      </c>
      <c r="K3170" s="51"/>
      <c r="O3170" t="s">
        <v>6</v>
      </c>
      <c r="P3170" t="s">
        <v>40</v>
      </c>
      <c r="Q3170" t="s">
        <v>41</v>
      </c>
      <c r="R3170" t="s">
        <v>23</v>
      </c>
      <c r="S3170" t="s">
        <v>39</v>
      </c>
      <c r="T3170">
        <v>2015</v>
      </c>
      <c r="U3170">
        <v>6</v>
      </c>
      <c r="V3170" s="51">
        <v>42156</v>
      </c>
      <c r="W3170" s="4">
        <v>1255.8</v>
      </c>
      <c r="X3170" s="52">
        <v>1380</v>
      </c>
    </row>
    <row r="3171" spans="2:24" x14ac:dyDescent="0.35">
      <c r="B3171" s="6" t="s">
        <v>7</v>
      </c>
      <c r="C3171" s="6" t="s">
        <v>48</v>
      </c>
      <c r="D3171" s="6" t="s">
        <v>9</v>
      </c>
      <c r="E3171" s="6" t="s">
        <v>0</v>
      </c>
      <c r="F3171" s="6" t="s">
        <v>45</v>
      </c>
      <c r="G3171" s="6">
        <v>2015</v>
      </c>
      <c r="H3171" s="6">
        <v>6</v>
      </c>
      <c r="I3171" s="10">
        <v>42156</v>
      </c>
      <c r="J3171" s="6">
        <v>2280</v>
      </c>
      <c r="K3171" s="51"/>
      <c r="O3171" t="s">
        <v>7</v>
      </c>
      <c r="P3171" t="s">
        <v>48</v>
      </c>
      <c r="Q3171" t="s">
        <v>9</v>
      </c>
      <c r="R3171" t="s">
        <v>0</v>
      </c>
      <c r="S3171" t="s">
        <v>45</v>
      </c>
      <c r="T3171">
        <v>2015</v>
      </c>
      <c r="U3171">
        <v>6</v>
      </c>
      <c r="V3171" s="51">
        <v>42156</v>
      </c>
      <c r="W3171" s="4">
        <v>2097.6</v>
      </c>
      <c r="X3171" s="52">
        <v>2280</v>
      </c>
    </row>
    <row r="3172" spans="2:24" x14ac:dyDescent="0.35">
      <c r="B3172" s="6" t="s">
        <v>7</v>
      </c>
      <c r="C3172" s="6" t="s">
        <v>49</v>
      </c>
      <c r="D3172" s="6" t="s">
        <v>11</v>
      </c>
      <c r="E3172" s="6" t="s">
        <v>27</v>
      </c>
      <c r="F3172" s="6" t="s">
        <v>31</v>
      </c>
      <c r="G3172" s="6">
        <v>2015</v>
      </c>
      <c r="H3172" s="6">
        <v>6</v>
      </c>
      <c r="I3172" s="10">
        <v>42156</v>
      </c>
      <c r="J3172" s="6">
        <v>4294</v>
      </c>
      <c r="K3172" s="51"/>
      <c r="O3172" t="s">
        <v>7</v>
      </c>
      <c r="P3172" t="s">
        <v>49</v>
      </c>
      <c r="Q3172" t="s">
        <v>11</v>
      </c>
      <c r="R3172" t="s">
        <v>27</v>
      </c>
      <c r="S3172" t="s">
        <v>31</v>
      </c>
      <c r="T3172">
        <v>2015</v>
      </c>
      <c r="U3172">
        <v>6</v>
      </c>
      <c r="V3172" s="51">
        <v>42156</v>
      </c>
      <c r="W3172" s="4">
        <v>3907.5399999999995</v>
      </c>
      <c r="X3172" s="52">
        <v>4294</v>
      </c>
    </row>
    <row r="3173" spans="2:24" x14ac:dyDescent="0.35">
      <c r="B3173" s="6" t="s">
        <v>7</v>
      </c>
      <c r="C3173" s="6" t="s">
        <v>43</v>
      </c>
      <c r="D3173" s="6" t="s">
        <v>10</v>
      </c>
      <c r="E3173" s="6" t="s">
        <v>27</v>
      </c>
      <c r="F3173" s="6" t="s">
        <v>33</v>
      </c>
      <c r="G3173" s="6">
        <v>2015</v>
      </c>
      <c r="H3173" s="6">
        <v>6</v>
      </c>
      <c r="I3173" s="10">
        <v>42156</v>
      </c>
      <c r="J3173" s="6">
        <v>3965</v>
      </c>
      <c r="K3173" s="51"/>
      <c r="O3173" t="s">
        <v>7</v>
      </c>
      <c r="P3173" t="s">
        <v>43</v>
      </c>
      <c r="Q3173" t="s">
        <v>10</v>
      </c>
      <c r="R3173" t="s">
        <v>27</v>
      </c>
      <c r="S3173" t="s">
        <v>33</v>
      </c>
      <c r="T3173">
        <v>2015</v>
      </c>
      <c r="U3173">
        <v>6</v>
      </c>
      <c r="V3173" s="51">
        <v>42156</v>
      </c>
      <c r="W3173" s="4">
        <v>3647.7999999999997</v>
      </c>
      <c r="X3173" s="52">
        <v>3965</v>
      </c>
    </row>
    <row r="3174" spans="2:24" x14ac:dyDescent="0.35">
      <c r="B3174" s="6" t="s">
        <v>7</v>
      </c>
      <c r="C3174" s="6" t="s">
        <v>32</v>
      </c>
      <c r="D3174" s="6" t="s">
        <v>8</v>
      </c>
      <c r="E3174" s="6" t="s">
        <v>0</v>
      </c>
      <c r="F3174" s="6" t="s">
        <v>45</v>
      </c>
      <c r="G3174" s="6">
        <v>2015</v>
      </c>
      <c r="H3174" s="6">
        <v>6</v>
      </c>
      <c r="I3174" s="10">
        <v>42156</v>
      </c>
      <c r="J3174" s="6">
        <v>4394</v>
      </c>
      <c r="K3174" s="51"/>
      <c r="O3174" t="s">
        <v>7</v>
      </c>
      <c r="P3174" t="s">
        <v>32</v>
      </c>
      <c r="Q3174" t="s">
        <v>8</v>
      </c>
      <c r="R3174" t="s">
        <v>0</v>
      </c>
      <c r="S3174" t="s">
        <v>45</v>
      </c>
      <c r="T3174">
        <v>2015</v>
      </c>
      <c r="U3174">
        <v>6</v>
      </c>
      <c r="V3174" s="51">
        <v>42156</v>
      </c>
      <c r="W3174" s="4">
        <v>3822.7800000000007</v>
      </c>
      <c r="X3174" s="52">
        <v>4394</v>
      </c>
    </row>
    <row r="3175" spans="2:24" x14ac:dyDescent="0.35">
      <c r="B3175" s="6" t="s">
        <v>7</v>
      </c>
      <c r="C3175" s="6" t="s">
        <v>48</v>
      </c>
      <c r="D3175" s="6" t="s">
        <v>9</v>
      </c>
      <c r="E3175" s="6" t="s">
        <v>23</v>
      </c>
      <c r="F3175" s="6" t="s">
        <v>39</v>
      </c>
      <c r="G3175" s="6">
        <v>2015</v>
      </c>
      <c r="H3175" s="6">
        <v>6</v>
      </c>
      <c r="I3175" s="10">
        <v>42156</v>
      </c>
      <c r="J3175" s="6">
        <v>2324</v>
      </c>
      <c r="K3175" s="51"/>
      <c r="O3175" t="s">
        <v>7</v>
      </c>
      <c r="P3175" t="s">
        <v>48</v>
      </c>
      <c r="Q3175" t="s">
        <v>9</v>
      </c>
      <c r="R3175" t="s">
        <v>23</v>
      </c>
      <c r="S3175" t="s">
        <v>39</v>
      </c>
      <c r="T3175">
        <v>2015</v>
      </c>
      <c r="U3175">
        <v>6</v>
      </c>
      <c r="V3175" s="51">
        <v>42156</v>
      </c>
      <c r="W3175" s="4">
        <v>2021.88</v>
      </c>
      <c r="X3175" s="52">
        <v>2324</v>
      </c>
    </row>
    <row r="3176" spans="2:24" x14ac:dyDescent="0.35">
      <c r="B3176" s="6" t="s">
        <v>7</v>
      </c>
      <c r="C3176" s="6" t="s">
        <v>49</v>
      </c>
      <c r="D3176" s="6" t="s">
        <v>11</v>
      </c>
      <c r="E3176" s="6" t="s">
        <v>0</v>
      </c>
      <c r="F3176" s="6" t="s">
        <v>26</v>
      </c>
      <c r="G3176" s="6">
        <v>2015</v>
      </c>
      <c r="H3176" s="6">
        <v>6</v>
      </c>
      <c r="I3176" s="10">
        <v>42156</v>
      </c>
      <c r="J3176" s="6">
        <v>3869</v>
      </c>
      <c r="K3176" s="51"/>
      <c r="O3176" t="s">
        <v>7</v>
      </c>
      <c r="P3176" t="s">
        <v>49</v>
      </c>
      <c r="Q3176" t="s">
        <v>11</v>
      </c>
      <c r="R3176" t="s">
        <v>0</v>
      </c>
      <c r="S3176" t="s">
        <v>26</v>
      </c>
      <c r="T3176">
        <v>2015</v>
      </c>
      <c r="U3176">
        <v>6</v>
      </c>
      <c r="V3176" s="51">
        <v>42156</v>
      </c>
      <c r="W3176" s="4">
        <v>3598.1699999999996</v>
      </c>
      <c r="X3176" s="52">
        <v>3869</v>
      </c>
    </row>
    <row r="3177" spans="2:24" x14ac:dyDescent="0.35">
      <c r="B3177" s="6" t="s">
        <v>12</v>
      </c>
      <c r="C3177" s="6" t="s">
        <v>34</v>
      </c>
      <c r="D3177" s="6" t="s">
        <v>35</v>
      </c>
      <c r="E3177" s="6" t="s">
        <v>27</v>
      </c>
      <c r="F3177" s="6" t="s">
        <v>28</v>
      </c>
      <c r="G3177" s="6">
        <v>2015</v>
      </c>
      <c r="H3177" s="6">
        <v>6</v>
      </c>
      <c r="I3177" s="10">
        <v>42156</v>
      </c>
      <c r="J3177" s="6">
        <v>4735</v>
      </c>
      <c r="K3177" s="51"/>
      <c r="O3177" t="s">
        <v>12</v>
      </c>
      <c r="P3177" t="s">
        <v>34</v>
      </c>
      <c r="Q3177" t="s">
        <v>35</v>
      </c>
      <c r="R3177" t="s">
        <v>27</v>
      </c>
      <c r="S3177" t="s">
        <v>28</v>
      </c>
      <c r="T3177">
        <v>2015</v>
      </c>
      <c r="U3177">
        <v>6</v>
      </c>
      <c r="V3177" s="51">
        <v>42156</v>
      </c>
      <c r="W3177" s="4">
        <v>4261.5</v>
      </c>
      <c r="X3177" s="52">
        <v>4735</v>
      </c>
    </row>
    <row r="3178" spans="2:24" x14ac:dyDescent="0.35">
      <c r="B3178" s="6" t="s">
        <v>14</v>
      </c>
      <c r="C3178" s="6" t="s">
        <v>37</v>
      </c>
      <c r="D3178" s="6" t="s">
        <v>38</v>
      </c>
      <c r="E3178" s="6" t="s">
        <v>27</v>
      </c>
      <c r="F3178" s="6" t="s">
        <v>33</v>
      </c>
      <c r="G3178" s="6">
        <v>2015</v>
      </c>
      <c r="H3178" s="6">
        <v>6</v>
      </c>
      <c r="I3178" s="10">
        <v>42156</v>
      </c>
      <c r="J3178" s="6">
        <v>3375</v>
      </c>
      <c r="K3178" s="51"/>
      <c r="O3178" t="s">
        <v>14</v>
      </c>
      <c r="P3178" t="s">
        <v>37</v>
      </c>
      <c r="Q3178" t="s">
        <v>38</v>
      </c>
      <c r="R3178" t="s">
        <v>27</v>
      </c>
      <c r="S3178" t="s">
        <v>33</v>
      </c>
      <c r="T3178">
        <v>2015</v>
      </c>
      <c r="U3178">
        <v>6</v>
      </c>
      <c r="V3178" s="51">
        <v>42156</v>
      </c>
      <c r="W3178" s="4">
        <v>3003.7499999999995</v>
      </c>
      <c r="X3178" s="52">
        <v>3375</v>
      </c>
    </row>
    <row r="3179" spans="2:24" x14ac:dyDescent="0.35">
      <c r="B3179" s="6" t="s">
        <v>12</v>
      </c>
      <c r="C3179" s="6" t="s">
        <v>44</v>
      </c>
      <c r="D3179" s="6" t="s">
        <v>13</v>
      </c>
      <c r="E3179" s="6" t="s">
        <v>23</v>
      </c>
      <c r="F3179" s="6" t="s">
        <v>24</v>
      </c>
      <c r="G3179" s="6">
        <v>2015</v>
      </c>
      <c r="H3179" s="6">
        <v>6</v>
      </c>
      <c r="I3179" s="10">
        <v>42156</v>
      </c>
      <c r="J3179" s="6">
        <v>2069</v>
      </c>
      <c r="K3179" s="51"/>
      <c r="O3179" t="s">
        <v>12</v>
      </c>
      <c r="P3179" t="s">
        <v>44</v>
      </c>
      <c r="Q3179" t="s">
        <v>13</v>
      </c>
      <c r="R3179" t="s">
        <v>23</v>
      </c>
      <c r="S3179" t="s">
        <v>24</v>
      </c>
      <c r="T3179">
        <v>2015</v>
      </c>
      <c r="U3179">
        <v>6</v>
      </c>
      <c r="V3179" s="51">
        <v>42156</v>
      </c>
      <c r="W3179" s="4">
        <v>1862.1</v>
      </c>
      <c r="X3179" s="52">
        <v>2069</v>
      </c>
    </row>
    <row r="3180" spans="2:24" x14ac:dyDescent="0.35">
      <c r="B3180" s="6" t="s">
        <v>14</v>
      </c>
      <c r="C3180" s="6" t="s">
        <v>46</v>
      </c>
      <c r="D3180" s="6" t="s">
        <v>47</v>
      </c>
      <c r="E3180" s="6" t="s">
        <v>0</v>
      </c>
      <c r="F3180" s="6" t="s">
        <v>42</v>
      </c>
      <c r="G3180" s="6">
        <v>2015</v>
      </c>
      <c r="H3180" s="6">
        <v>6</v>
      </c>
      <c r="I3180" s="10">
        <v>42156</v>
      </c>
      <c r="J3180" s="6">
        <v>5530</v>
      </c>
      <c r="K3180" s="51"/>
      <c r="O3180" t="s">
        <v>14</v>
      </c>
      <c r="P3180" t="s">
        <v>46</v>
      </c>
      <c r="Q3180" t="s">
        <v>47</v>
      </c>
      <c r="R3180" t="s">
        <v>0</v>
      </c>
      <c r="S3180" t="s">
        <v>42</v>
      </c>
      <c r="T3180">
        <v>2015</v>
      </c>
      <c r="U3180">
        <v>6</v>
      </c>
      <c r="V3180" s="51">
        <v>42156</v>
      </c>
      <c r="W3180" s="4">
        <v>4921.7</v>
      </c>
      <c r="X3180" s="52">
        <v>5530</v>
      </c>
    </row>
    <row r="3181" spans="2:24" x14ac:dyDescent="0.35">
      <c r="B3181" s="6" t="s">
        <v>7</v>
      </c>
      <c r="C3181" s="6" t="s">
        <v>48</v>
      </c>
      <c r="D3181" s="6" t="s">
        <v>9</v>
      </c>
      <c r="E3181" s="6" t="s">
        <v>27</v>
      </c>
      <c r="F3181" s="6" t="s">
        <v>33</v>
      </c>
      <c r="G3181" s="6">
        <v>2015</v>
      </c>
      <c r="H3181" s="6">
        <v>6</v>
      </c>
      <c r="I3181" s="10">
        <v>42156</v>
      </c>
      <c r="J3181" s="6">
        <v>2981</v>
      </c>
      <c r="K3181" s="51"/>
      <c r="O3181" t="s">
        <v>7</v>
      </c>
      <c r="P3181" t="s">
        <v>48</v>
      </c>
      <c r="Q3181" t="s">
        <v>9</v>
      </c>
      <c r="R3181" t="s">
        <v>27</v>
      </c>
      <c r="S3181" t="s">
        <v>33</v>
      </c>
      <c r="T3181">
        <v>2015</v>
      </c>
      <c r="U3181">
        <v>6</v>
      </c>
      <c r="V3181" s="51">
        <v>42156</v>
      </c>
      <c r="W3181" s="4">
        <v>2563.6600000000003</v>
      </c>
      <c r="X3181" s="52">
        <v>2981</v>
      </c>
    </row>
    <row r="3182" spans="2:24" x14ac:dyDescent="0.35">
      <c r="B3182" s="6" t="s">
        <v>7</v>
      </c>
      <c r="C3182" s="6" t="s">
        <v>49</v>
      </c>
      <c r="D3182" s="6" t="s">
        <v>11</v>
      </c>
      <c r="E3182" s="6" t="s">
        <v>23</v>
      </c>
      <c r="F3182" s="6" t="s">
        <v>24</v>
      </c>
      <c r="G3182" s="6">
        <v>2015</v>
      </c>
      <c r="H3182" s="6">
        <v>6</v>
      </c>
      <c r="I3182" s="10">
        <v>42156</v>
      </c>
      <c r="J3182" s="6">
        <v>2495</v>
      </c>
      <c r="K3182" s="51"/>
      <c r="O3182" t="s">
        <v>7</v>
      </c>
      <c r="P3182" t="s">
        <v>49</v>
      </c>
      <c r="Q3182" t="s">
        <v>11</v>
      </c>
      <c r="R3182" t="s">
        <v>23</v>
      </c>
      <c r="S3182" t="s">
        <v>24</v>
      </c>
      <c r="T3182">
        <v>2015</v>
      </c>
      <c r="U3182">
        <v>6</v>
      </c>
      <c r="V3182" s="51">
        <v>42156</v>
      </c>
      <c r="W3182" s="4">
        <v>2220.5499999999997</v>
      </c>
      <c r="X3182" s="52">
        <v>2495</v>
      </c>
    </row>
    <row r="3183" spans="2:24" x14ac:dyDescent="0.35">
      <c r="B3183" s="6" t="s">
        <v>3</v>
      </c>
      <c r="C3183" s="6" t="s">
        <v>22</v>
      </c>
      <c r="D3183" s="6" t="s">
        <v>5</v>
      </c>
      <c r="E3183" s="6" t="s">
        <v>23</v>
      </c>
      <c r="F3183" s="6" t="s">
        <v>24</v>
      </c>
      <c r="G3183" s="6">
        <v>2015</v>
      </c>
      <c r="H3183" s="6">
        <v>7</v>
      </c>
      <c r="I3183" s="10">
        <v>42186</v>
      </c>
      <c r="J3183" s="6">
        <v>1719</v>
      </c>
      <c r="K3183" s="51"/>
      <c r="O3183" t="s">
        <v>3</v>
      </c>
      <c r="P3183" t="s">
        <v>22</v>
      </c>
      <c r="Q3183" t="s">
        <v>5</v>
      </c>
      <c r="R3183" t="s">
        <v>23</v>
      </c>
      <c r="S3183" t="s">
        <v>24</v>
      </c>
      <c r="T3183">
        <v>2015</v>
      </c>
      <c r="U3183">
        <v>7</v>
      </c>
      <c r="V3183" s="51">
        <v>42186</v>
      </c>
      <c r="W3183" s="4">
        <v>1529.9099999999999</v>
      </c>
      <c r="X3183" s="52">
        <v>1719</v>
      </c>
    </row>
    <row r="3184" spans="2:24" x14ac:dyDescent="0.35">
      <c r="B3184" s="6" t="s">
        <v>3</v>
      </c>
      <c r="C3184" s="6" t="s">
        <v>25</v>
      </c>
      <c r="D3184" s="6" t="s">
        <v>4</v>
      </c>
      <c r="E3184" s="6" t="s">
        <v>23</v>
      </c>
      <c r="F3184" s="6" t="s">
        <v>24</v>
      </c>
      <c r="G3184" s="6">
        <v>2015</v>
      </c>
      <c r="H3184" s="6">
        <v>7</v>
      </c>
      <c r="I3184" s="10">
        <v>42186</v>
      </c>
      <c r="J3184" s="6">
        <v>1662</v>
      </c>
      <c r="K3184" s="51"/>
      <c r="O3184" t="s">
        <v>3</v>
      </c>
      <c r="P3184" t="s">
        <v>25</v>
      </c>
      <c r="Q3184" t="s">
        <v>4</v>
      </c>
      <c r="R3184" t="s">
        <v>23</v>
      </c>
      <c r="S3184" t="s">
        <v>24</v>
      </c>
      <c r="T3184">
        <v>2015</v>
      </c>
      <c r="U3184">
        <v>7</v>
      </c>
      <c r="V3184" s="51">
        <v>42186</v>
      </c>
      <c r="W3184" s="4">
        <v>1479.1799999999998</v>
      </c>
      <c r="X3184" s="52">
        <v>1662</v>
      </c>
    </row>
    <row r="3185" spans="2:24" x14ac:dyDescent="0.35">
      <c r="B3185" s="6" t="s">
        <v>3</v>
      </c>
      <c r="C3185" s="6" t="s">
        <v>25</v>
      </c>
      <c r="D3185" s="6" t="s">
        <v>4</v>
      </c>
      <c r="E3185" s="6" t="s">
        <v>0</v>
      </c>
      <c r="F3185" s="6" t="s">
        <v>26</v>
      </c>
      <c r="G3185" s="6">
        <v>2015</v>
      </c>
      <c r="H3185" s="6">
        <v>7</v>
      </c>
      <c r="I3185" s="10">
        <v>42186</v>
      </c>
      <c r="J3185" s="6">
        <v>3966</v>
      </c>
      <c r="K3185" s="51"/>
      <c r="O3185" t="s">
        <v>3</v>
      </c>
      <c r="P3185" t="s">
        <v>25</v>
      </c>
      <c r="Q3185" t="s">
        <v>4</v>
      </c>
      <c r="R3185" t="s">
        <v>0</v>
      </c>
      <c r="S3185" t="s">
        <v>26</v>
      </c>
      <c r="T3185">
        <v>2015</v>
      </c>
      <c r="U3185">
        <v>7</v>
      </c>
      <c r="V3185" s="51">
        <v>42186</v>
      </c>
      <c r="W3185" s="4">
        <v>3410.76</v>
      </c>
      <c r="X3185" s="52">
        <v>3966</v>
      </c>
    </row>
    <row r="3186" spans="2:24" x14ac:dyDescent="0.35">
      <c r="B3186" s="6" t="s">
        <v>3</v>
      </c>
      <c r="C3186" s="6" t="s">
        <v>22</v>
      </c>
      <c r="D3186" s="6" t="s">
        <v>5</v>
      </c>
      <c r="E3186" s="6" t="s">
        <v>0</v>
      </c>
      <c r="F3186" s="6" t="s">
        <v>26</v>
      </c>
      <c r="G3186" s="6">
        <v>2015</v>
      </c>
      <c r="H3186" s="6">
        <v>7</v>
      </c>
      <c r="I3186" s="10">
        <v>42186</v>
      </c>
      <c r="J3186" s="6">
        <v>4879</v>
      </c>
      <c r="K3186" s="51"/>
      <c r="O3186" t="s">
        <v>3</v>
      </c>
      <c r="P3186" t="s">
        <v>22</v>
      </c>
      <c r="Q3186" t="s">
        <v>5</v>
      </c>
      <c r="R3186" t="s">
        <v>0</v>
      </c>
      <c r="S3186" t="s">
        <v>26</v>
      </c>
      <c r="T3186">
        <v>2015</v>
      </c>
      <c r="U3186">
        <v>7</v>
      </c>
      <c r="V3186" s="51">
        <v>42186</v>
      </c>
      <c r="W3186" s="4">
        <v>4342.3099999999995</v>
      </c>
      <c r="X3186" s="52">
        <v>4879</v>
      </c>
    </row>
    <row r="3187" spans="2:24" x14ac:dyDescent="0.35">
      <c r="B3187" s="6" t="s">
        <v>3</v>
      </c>
      <c r="C3187" s="6" t="s">
        <v>22</v>
      </c>
      <c r="D3187" s="6" t="s">
        <v>5</v>
      </c>
      <c r="E3187" s="6" t="s">
        <v>27</v>
      </c>
      <c r="F3187" s="6" t="s">
        <v>28</v>
      </c>
      <c r="G3187" s="6">
        <v>2015</v>
      </c>
      <c r="H3187" s="6">
        <v>7</v>
      </c>
      <c r="I3187" s="10">
        <v>42186</v>
      </c>
      <c r="J3187" s="6">
        <v>3693</v>
      </c>
      <c r="K3187" s="51"/>
      <c r="O3187" t="s">
        <v>3</v>
      </c>
      <c r="P3187" t="s">
        <v>22</v>
      </c>
      <c r="Q3187" t="s">
        <v>5</v>
      </c>
      <c r="R3187" t="s">
        <v>27</v>
      </c>
      <c r="S3187" t="s">
        <v>28</v>
      </c>
      <c r="T3187">
        <v>2015</v>
      </c>
      <c r="U3187">
        <v>7</v>
      </c>
      <c r="V3187" s="51">
        <v>42186</v>
      </c>
      <c r="W3187" s="4">
        <v>3323.7</v>
      </c>
      <c r="X3187" s="52">
        <v>3693</v>
      </c>
    </row>
    <row r="3188" spans="2:24" x14ac:dyDescent="0.35">
      <c r="B3188" s="6" t="s">
        <v>6</v>
      </c>
      <c r="C3188" s="6" t="s">
        <v>29</v>
      </c>
      <c r="D3188" s="6" t="s">
        <v>30</v>
      </c>
      <c r="E3188" s="6" t="s">
        <v>27</v>
      </c>
      <c r="F3188" s="6" t="s">
        <v>31</v>
      </c>
      <c r="G3188" s="6">
        <v>2015</v>
      </c>
      <c r="H3188" s="6">
        <v>7</v>
      </c>
      <c r="I3188" s="10">
        <v>42186</v>
      </c>
      <c r="J3188" s="6">
        <v>3411</v>
      </c>
      <c r="K3188" s="51"/>
      <c r="O3188" t="s">
        <v>6</v>
      </c>
      <c r="P3188" t="s">
        <v>29</v>
      </c>
      <c r="Q3188" t="s">
        <v>30</v>
      </c>
      <c r="R3188" t="s">
        <v>27</v>
      </c>
      <c r="S3188" t="s">
        <v>31</v>
      </c>
      <c r="T3188">
        <v>2015</v>
      </c>
      <c r="U3188">
        <v>7</v>
      </c>
      <c r="V3188" s="51">
        <v>42186</v>
      </c>
      <c r="W3188" s="4">
        <v>3138.12</v>
      </c>
      <c r="X3188" s="52">
        <v>3411</v>
      </c>
    </row>
    <row r="3189" spans="2:24" x14ac:dyDescent="0.35">
      <c r="B3189" s="6" t="s">
        <v>7</v>
      </c>
      <c r="C3189" s="6" t="s">
        <v>32</v>
      </c>
      <c r="D3189" s="6" t="s">
        <v>8</v>
      </c>
      <c r="E3189" s="6" t="s">
        <v>27</v>
      </c>
      <c r="F3189" s="6" t="s">
        <v>33</v>
      </c>
      <c r="G3189" s="6">
        <v>2015</v>
      </c>
      <c r="H3189" s="6">
        <v>7</v>
      </c>
      <c r="I3189" s="10">
        <v>42186</v>
      </c>
      <c r="J3189" s="6">
        <v>3913</v>
      </c>
      <c r="K3189" s="51"/>
      <c r="O3189" t="s">
        <v>7</v>
      </c>
      <c r="P3189" t="s">
        <v>32</v>
      </c>
      <c r="Q3189" t="s">
        <v>8</v>
      </c>
      <c r="R3189" t="s">
        <v>27</v>
      </c>
      <c r="S3189" t="s">
        <v>33</v>
      </c>
      <c r="T3189">
        <v>2015</v>
      </c>
      <c r="U3189">
        <v>7</v>
      </c>
      <c r="V3189" s="51">
        <v>42186</v>
      </c>
      <c r="W3189" s="4">
        <v>3365.1800000000003</v>
      </c>
      <c r="X3189" s="52">
        <v>3913</v>
      </c>
    </row>
    <row r="3190" spans="2:24" x14ac:dyDescent="0.35">
      <c r="B3190" s="6" t="s">
        <v>12</v>
      </c>
      <c r="C3190" s="6" t="s">
        <v>34</v>
      </c>
      <c r="D3190" s="6" t="s">
        <v>35</v>
      </c>
      <c r="E3190" s="6" t="s">
        <v>23</v>
      </c>
      <c r="F3190" s="6" t="s">
        <v>36</v>
      </c>
      <c r="G3190" s="6">
        <v>2015</v>
      </c>
      <c r="H3190" s="6">
        <v>7</v>
      </c>
      <c r="I3190" s="10">
        <v>42186</v>
      </c>
      <c r="J3190" s="6">
        <v>2156</v>
      </c>
      <c r="K3190" s="51"/>
      <c r="O3190" t="s">
        <v>12</v>
      </c>
      <c r="P3190" t="s">
        <v>34</v>
      </c>
      <c r="Q3190" t="s">
        <v>35</v>
      </c>
      <c r="R3190" t="s">
        <v>23</v>
      </c>
      <c r="S3190" t="s">
        <v>36</v>
      </c>
      <c r="T3190">
        <v>2015</v>
      </c>
      <c r="U3190">
        <v>7</v>
      </c>
      <c r="V3190" s="51">
        <v>42186</v>
      </c>
      <c r="W3190" s="4">
        <v>1940.3999999999999</v>
      </c>
      <c r="X3190" s="52">
        <v>2156</v>
      </c>
    </row>
    <row r="3191" spans="2:24" x14ac:dyDescent="0.35">
      <c r="B3191" s="6" t="s">
        <v>14</v>
      </c>
      <c r="C3191" s="6" t="s">
        <v>37</v>
      </c>
      <c r="D3191" s="6" t="s">
        <v>38</v>
      </c>
      <c r="E3191" s="6" t="s">
        <v>23</v>
      </c>
      <c r="F3191" s="6" t="s">
        <v>24</v>
      </c>
      <c r="G3191" s="6">
        <v>2015</v>
      </c>
      <c r="H3191" s="6">
        <v>7</v>
      </c>
      <c r="I3191" s="10">
        <v>42186</v>
      </c>
      <c r="J3191" s="6">
        <v>1839</v>
      </c>
      <c r="K3191" s="51"/>
      <c r="O3191" t="s">
        <v>14</v>
      </c>
      <c r="P3191" t="s">
        <v>37</v>
      </c>
      <c r="Q3191" t="s">
        <v>38</v>
      </c>
      <c r="R3191" t="s">
        <v>23</v>
      </c>
      <c r="S3191" t="s">
        <v>24</v>
      </c>
      <c r="T3191">
        <v>2015</v>
      </c>
      <c r="U3191">
        <v>7</v>
      </c>
      <c r="V3191" s="51">
        <v>42186</v>
      </c>
      <c r="W3191" s="4">
        <v>1655.1</v>
      </c>
      <c r="X3191" s="52">
        <v>1839</v>
      </c>
    </row>
    <row r="3192" spans="2:24" x14ac:dyDescent="0.35">
      <c r="B3192" s="6" t="s">
        <v>3</v>
      </c>
      <c r="C3192" s="6" t="s">
        <v>25</v>
      </c>
      <c r="D3192" s="6" t="s">
        <v>4</v>
      </c>
      <c r="E3192" s="6" t="s">
        <v>23</v>
      </c>
      <c r="F3192" s="6" t="s">
        <v>39</v>
      </c>
      <c r="G3192" s="6">
        <v>2015</v>
      </c>
      <c r="H3192" s="6">
        <v>7</v>
      </c>
      <c r="I3192" s="10">
        <v>42186</v>
      </c>
      <c r="J3192" s="6">
        <v>2325</v>
      </c>
      <c r="K3192" s="51"/>
      <c r="O3192" t="s">
        <v>3</v>
      </c>
      <c r="P3192" t="s">
        <v>25</v>
      </c>
      <c r="Q3192" t="s">
        <v>4</v>
      </c>
      <c r="R3192" t="s">
        <v>23</v>
      </c>
      <c r="S3192" t="s">
        <v>39</v>
      </c>
      <c r="T3192">
        <v>2015</v>
      </c>
      <c r="U3192">
        <v>7</v>
      </c>
      <c r="V3192" s="51">
        <v>42186</v>
      </c>
      <c r="W3192" s="4">
        <v>2022.7500000000002</v>
      </c>
      <c r="X3192" s="52">
        <v>2325</v>
      </c>
    </row>
    <row r="3193" spans="2:24" x14ac:dyDescent="0.35">
      <c r="B3193" s="6" t="s">
        <v>6</v>
      </c>
      <c r="C3193" s="6" t="s">
        <v>40</v>
      </c>
      <c r="D3193" s="6" t="s">
        <v>41</v>
      </c>
      <c r="E3193" s="6" t="s">
        <v>0</v>
      </c>
      <c r="F3193" s="6" t="s">
        <v>42</v>
      </c>
      <c r="G3193" s="6">
        <v>2015</v>
      </c>
      <c r="H3193" s="6">
        <v>7</v>
      </c>
      <c r="I3193" s="10">
        <v>42186</v>
      </c>
      <c r="J3193" s="6">
        <v>5467</v>
      </c>
      <c r="K3193" s="51"/>
      <c r="O3193" t="s">
        <v>6</v>
      </c>
      <c r="P3193" t="s">
        <v>40</v>
      </c>
      <c r="Q3193" t="s">
        <v>41</v>
      </c>
      <c r="R3193" t="s">
        <v>0</v>
      </c>
      <c r="S3193" t="s">
        <v>42</v>
      </c>
      <c r="T3193">
        <v>2015</v>
      </c>
      <c r="U3193">
        <v>7</v>
      </c>
      <c r="V3193" s="51">
        <v>42186</v>
      </c>
      <c r="W3193" s="4">
        <v>5029.6399999999994</v>
      </c>
      <c r="X3193" s="52">
        <v>5467</v>
      </c>
    </row>
    <row r="3194" spans="2:24" x14ac:dyDescent="0.35">
      <c r="B3194" s="6" t="s">
        <v>7</v>
      </c>
      <c r="C3194" s="6" t="s">
        <v>43</v>
      </c>
      <c r="D3194" s="6" t="s">
        <v>10</v>
      </c>
      <c r="E3194" s="6" t="s">
        <v>0</v>
      </c>
      <c r="F3194" s="6" t="s">
        <v>26</v>
      </c>
      <c r="G3194" s="6">
        <v>2015</v>
      </c>
      <c r="H3194" s="6">
        <v>7</v>
      </c>
      <c r="I3194" s="10">
        <v>42186</v>
      </c>
      <c r="J3194" s="6">
        <v>3106</v>
      </c>
      <c r="K3194" s="51"/>
      <c r="O3194" t="s">
        <v>7</v>
      </c>
      <c r="P3194" t="s">
        <v>43</v>
      </c>
      <c r="Q3194" t="s">
        <v>10</v>
      </c>
      <c r="R3194" t="s">
        <v>0</v>
      </c>
      <c r="S3194" t="s">
        <v>26</v>
      </c>
      <c r="T3194">
        <v>2015</v>
      </c>
      <c r="U3194">
        <v>7</v>
      </c>
      <c r="V3194" s="51">
        <v>42186</v>
      </c>
      <c r="W3194" s="4">
        <v>2888.58</v>
      </c>
      <c r="X3194" s="52">
        <v>3106</v>
      </c>
    </row>
    <row r="3195" spans="2:24" x14ac:dyDescent="0.35">
      <c r="B3195" s="6" t="s">
        <v>12</v>
      </c>
      <c r="C3195" s="6" t="s">
        <v>44</v>
      </c>
      <c r="D3195" s="6" t="s">
        <v>13</v>
      </c>
      <c r="E3195" s="6" t="s">
        <v>0</v>
      </c>
      <c r="F3195" s="6" t="s">
        <v>45</v>
      </c>
      <c r="G3195" s="6">
        <v>2015</v>
      </c>
      <c r="H3195" s="6">
        <v>7</v>
      </c>
      <c r="I3195" s="10">
        <v>42186</v>
      </c>
      <c r="J3195" s="6">
        <v>2010</v>
      </c>
      <c r="K3195" s="51"/>
      <c r="O3195" t="s">
        <v>12</v>
      </c>
      <c r="P3195" t="s">
        <v>44</v>
      </c>
      <c r="Q3195" t="s">
        <v>13</v>
      </c>
      <c r="R3195" t="s">
        <v>0</v>
      </c>
      <c r="S3195" t="s">
        <v>45</v>
      </c>
      <c r="T3195">
        <v>2015</v>
      </c>
      <c r="U3195">
        <v>7</v>
      </c>
      <c r="V3195" s="51">
        <v>42186</v>
      </c>
      <c r="W3195" s="4">
        <v>1708.5000000000002</v>
      </c>
      <c r="X3195" s="52">
        <v>2010</v>
      </c>
    </row>
    <row r="3196" spans="2:24" x14ac:dyDescent="0.35">
      <c r="B3196" s="6" t="s">
        <v>14</v>
      </c>
      <c r="C3196" s="6" t="s">
        <v>46</v>
      </c>
      <c r="D3196" s="6" t="s">
        <v>47</v>
      </c>
      <c r="E3196" s="6" t="s">
        <v>27</v>
      </c>
      <c r="F3196" s="6" t="s">
        <v>28</v>
      </c>
      <c r="G3196" s="6">
        <v>2015</v>
      </c>
      <c r="H3196" s="6">
        <v>7</v>
      </c>
      <c r="I3196" s="10">
        <v>42186</v>
      </c>
      <c r="J3196" s="6">
        <v>4482</v>
      </c>
      <c r="K3196" s="51"/>
      <c r="O3196" t="s">
        <v>14</v>
      </c>
      <c r="P3196" t="s">
        <v>46</v>
      </c>
      <c r="Q3196" t="s">
        <v>47</v>
      </c>
      <c r="R3196" t="s">
        <v>27</v>
      </c>
      <c r="S3196" t="s">
        <v>28</v>
      </c>
      <c r="T3196">
        <v>2015</v>
      </c>
      <c r="U3196">
        <v>7</v>
      </c>
      <c r="V3196" s="51">
        <v>42186</v>
      </c>
      <c r="W3196" s="4">
        <v>3899.3400000000006</v>
      </c>
      <c r="X3196" s="52">
        <v>4482</v>
      </c>
    </row>
    <row r="3197" spans="2:24" x14ac:dyDescent="0.35">
      <c r="B3197" s="6" t="s">
        <v>3</v>
      </c>
      <c r="C3197" s="6" t="s">
        <v>22</v>
      </c>
      <c r="D3197" s="6" t="s">
        <v>5</v>
      </c>
      <c r="E3197" s="6" t="s">
        <v>27</v>
      </c>
      <c r="F3197" s="6" t="s">
        <v>31</v>
      </c>
      <c r="G3197" s="6">
        <v>2015</v>
      </c>
      <c r="H3197" s="6">
        <v>7</v>
      </c>
      <c r="I3197" s="10">
        <v>42186</v>
      </c>
      <c r="J3197" s="6">
        <v>3832</v>
      </c>
      <c r="K3197" s="51"/>
      <c r="O3197" t="s">
        <v>3</v>
      </c>
      <c r="P3197" t="s">
        <v>22</v>
      </c>
      <c r="Q3197" t="s">
        <v>5</v>
      </c>
      <c r="R3197" t="s">
        <v>27</v>
      </c>
      <c r="S3197" t="s">
        <v>31</v>
      </c>
      <c r="T3197">
        <v>2015</v>
      </c>
      <c r="U3197">
        <v>7</v>
      </c>
      <c r="V3197" s="51">
        <v>42186</v>
      </c>
      <c r="W3197" s="4">
        <v>3448.7999999999997</v>
      </c>
      <c r="X3197" s="52">
        <v>3832</v>
      </c>
    </row>
    <row r="3198" spans="2:24" x14ac:dyDescent="0.35">
      <c r="B3198" s="6" t="s">
        <v>6</v>
      </c>
      <c r="C3198" s="6" t="s">
        <v>29</v>
      </c>
      <c r="D3198" s="6" t="s">
        <v>30</v>
      </c>
      <c r="E3198" s="6" t="s">
        <v>27</v>
      </c>
      <c r="F3198" s="6" t="s">
        <v>33</v>
      </c>
      <c r="G3198" s="6">
        <v>2015</v>
      </c>
      <c r="H3198" s="6">
        <v>7</v>
      </c>
      <c r="I3198" s="10">
        <v>42186</v>
      </c>
      <c r="J3198" s="6">
        <v>3074</v>
      </c>
      <c r="K3198" s="51"/>
      <c r="O3198" t="s">
        <v>6</v>
      </c>
      <c r="P3198" t="s">
        <v>29</v>
      </c>
      <c r="Q3198" t="s">
        <v>30</v>
      </c>
      <c r="R3198" t="s">
        <v>27</v>
      </c>
      <c r="S3198" t="s">
        <v>33</v>
      </c>
      <c r="T3198">
        <v>2015</v>
      </c>
      <c r="U3198">
        <v>7</v>
      </c>
      <c r="V3198" s="51">
        <v>42186</v>
      </c>
      <c r="W3198" s="4">
        <v>2612.9</v>
      </c>
      <c r="X3198" s="52">
        <v>3074</v>
      </c>
    </row>
    <row r="3199" spans="2:24" x14ac:dyDescent="0.35">
      <c r="B3199" s="6" t="s">
        <v>7</v>
      </c>
      <c r="C3199" s="6" t="s">
        <v>32</v>
      </c>
      <c r="D3199" s="6" t="s">
        <v>8</v>
      </c>
      <c r="E3199" s="6" t="s">
        <v>23</v>
      </c>
      <c r="F3199" s="6" t="s">
        <v>36</v>
      </c>
      <c r="G3199" s="6">
        <v>2015</v>
      </c>
      <c r="H3199" s="6">
        <v>7</v>
      </c>
      <c r="I3199" s="10">
        <v>42186</v>
      </c>
      <c r="J3199" s="6">
        <v>1766</v>
      </c>
      <c r="K3199" s="51"/>
      <c r="O3199" t="s">
        <v>7</v>
      </c>
      <c r="P3199" t="s">
        <v>32</v>
      </c>
      <c r="Q3199" t="s">
        <v>8</v>
      </c>
      <c r="R3199" t="s">
        <v>23</v>
      </c>
      <c r="S3199" t="s">
        <v>36</v>
      </c>
      <c r="T3199">
        <v>2015</v>
      </c>
      <c r="U3199">
        <v>7</v>
      </c>
      <c r="V3199" s="51">
        <v>42186</v>
      </c>
      <c r="W3199" s="4">
        <v>1660.04</v>
      </c>
      <c r="X3199" s="52">
        <v>1766</v>
      </c>
    </row>
    <row r="3200" spans="2:24" x14ac:dyDescent="0.35">
      <c r="B3200" s="6" t="s">
        <v>12</v>
      </c>
      <c r="C3200" s="6" t="s">
        <v>34</v>
      </c>
      <c r="D3200" s="6" t="s">
        <v>35</v>
      </c>
      <c r="E3200" s="6" t="s">
        <v>23</v>
      </c>
      <c r="F3200" s="6" t="s">
        <v>24</v>
      </c>
      <c r="G3200" s="6">
        <v>2015</v>
      </c>
      <c r="H3200" s="6">
        <v>7</v>
      </c>
      <c r="I3200" s="10">
        <v>42186</v>
      </c>
      <c r="J3200" s="6">
        <v>3250</v>
      </c>
      <c r="K3200" s="51"/>
      <c r="O3200" t="s">
        <v>12</v>
      </c>
      <c r="P3200" t="s">
        <v>34</v>
      </c>
      <c r="Q3200" t="s">
        <v>35</v>
      </c>
      <c r="R3200" t="s">
        <v>23</v>
      </c>
      <c r="S3200" t="s">
        <v>24</v>
      </c>
      <c r="T3200">
        <v>2015</v>
      </c>
      <c r="U3200">
        <v>7</v>
      </c>
      <c r="V3200" s="51">
        <v>42186</v>
      </c>
      <c r="W3200" s="4">
        <v>2762.5000000000005</v>
      </c>
      <c r="X3200" s="52">
        <v>3250</v>
      </c>
    </row>
    <row r="3201" spans="2:24" x14ac:dyDescent="0.35">
      <c r="B3201" s="6" t="s">
        <v>14</v>
      </c>
      <c r="C3201" s="6" t="s">
        <v>37</v>
      </c>
      <c r="D3201" s="6" t="s">
        <v>38</v>
      </c>
      <c r="E3201" s="6" t="s">
        <v>23</v>
      </c>
      <c r="F3201" s="6" t="s">
        <v>39</v>
      </c>
      <c r="G3201" s="6">
        <v>2015</v>
      </c>
      <c r="H3201" s="6">
        <v>7</v>
      </c>
      <c r="I3201" s="10">
        <v>42186</v>
      </c>
      <c r="J3201" s="6">
        <v>1721</v>
      </c>
      <c r="K3201" s="51"/>
      <c r="O3201" t="s">
        <v>14</v>
      </c>
      <c r="P3201" t="s">
        <v>37</v>
      </c>
      <c r="Q3201" t="s">
        <v>38</v>
      </c>
      <c r="R3201" t="s">
        <v>23</v>
      </c>
      <c r="S3201" t="s">
        <v>39</v>
      </c>
      <c r="T3201">
        <v>2015</v>
      </c>
      <c r="U3201">
        <v>7</v>
      </c>
      <c r="V3201" s="51">
        <v>42186</v>
      </c>
      <c r="W3201" s="4">
        <v>1617.74</v>
      </c>
      <c r="X3201" s="52">
        <v>1721</v>
      </c>
    </row>
    <row r="3202" spans="2:24" x14ac:dyDescent="0.35">
      <c r="B3202" s="6" t="s">
        <v>3</v>
      </c>
      <c r="C3202" s="6" t="s">
        <v>25</v>
      </c>
      <c r="D3202" s="6" t="s">
        <v>4</v>
      </c>
      <c r="E3202" s="6" t="s">
        <v>0</v>
      </c>
      <c r="F3202" s="6" t="s">
        <v>42</v>
      </c>
      <c r="G3202" s="6">
        <v>2015</v>
      </c>
      <c r="H3202" s="6">
        <v>7</v>
      </c>
      <c r="I3202" s="10">
        <v>42186</v>
      </c>
      <c r="J3202" s="6">
        <v>4175</v>
      </c>
      <c r="K3202" s="51"/>
      <c r="O3202" t="s">
        <v>3</v>
      </c>
      <c r="P3202" t="s">
        <v>25</v>
      </c>
      <c r="Q3202" t="s">
        <v>4</v>
      </c>
      <c r="R3202" t="s">
        <v>0</v>
      </c>
      <c r="S3202" t="s">
        <v>42</v>
      </c>
      <c r="T3202">
        <v>2015</v>
      </c>
      <c r="U3202">
        <v>7</v>
      </c>
      <c r="V3202" s="51">
        <v>42186</v>
      </c>
      <c r="W3202" s="4">
        <v>3924.5</v>
      </c>
      <c r="X3202" s="52">
        <v>4175</v>
      </c>
    </row>
    <row r="3203" spans="2:24" x14ac:dyDescent="0.35">
      <c r="B3203" s="6" t="s">
        <v>6</v>
      </c>
      <c r="C3203" s="6" t="s">
        <v>40</v>
      </c>
      <c r="D3203" s="6" t="s">
        <v>41</v>
      </c>
      <c r="E3203" s="6" t="s">
        <v>0</v>
      </c>
      <c r="F3203" s="6" t="s">
        <v>26</v>
      </c>
      <c r="G3203" s="6">
        <v>2015</v>
      </c>
      <c r="H3203" s="6">
        <v>7</v>
      </c>
      <c r="I3203" s="10">
        <v>42186</v>
      </c>
      <c r="J3203" s="6">
        <v>4480</v>
      </c>
      <c r="K3203" s="51"/>
      <c r="O3203" t="s">
        <v>6</v>
      </c>
      <c r="P3203" t="s">
        <v>40</v>
      </c>
      <c r="Q3203" t="s">
        <v>41</v>
      </c>
      <c r="R3203" t="s">
        <v>0</v>
      </c>
      <c r="S3203" t="s">
        <v>26</v>
      </c>
      <c r="T3203">
        <v>2015</v>
      </c>
      <c r="U3203">
        <v>7</v>
      </c>
      <c r="V3203" s="51">
        <v>42186</v>
      </c>
      <c r="W3203" s="4">
        <v>3852.8</v>
      </c>
      <c r="X3203" s="52">
        <v>4480</v>
      </c>
    </row>
    <row r="3204" spans="2:24" x14ac:dyDescent="0.35">
      <c r="B3204" s="6" t="s">
        <v>7</v>
      </c>
      <c r="C3204" s="6" t="s">
        <v>43</v>
      </c>
      <c r="D3204" s="6" t="s">
        <v>10</v>
      </c>
      <c r="E3204" s="6" t="s">
        <v>0</v>
      </c>
      <c r="F3204" s="6" t="s">
        <v>45</v>
      </c>
      <c r="G3204" s="6">
        <v>2015</v>
      </c>
      <c r="H3204" s="6">
        <v>7</v>
      </c>
      <c r="I3204" s="10">
        <v>42186</v>
      </c>
      <c r="J3204" s="6">
        <v>4334</v>
      </c>
      <c r="K3204" s="51"/>
      <c r="O3204" t="s">
        <v>7</v>
      </c>
      <c r="P3204" t="s">
        <v>43</v>
      </c>
      <c r="Q3204" t="s">
        <v>10</v>
      </c>
      <c r="R3204" t="s">
        <v>0</v>
      </c>
      <c r="S3204" t="s">
        <v>45</v>
      </c>
      <c r="T3204">
        <v>2015</v>
      </c>
      <c r="U3204">
        <v>7</v>
      </c>
      <c r="V3204" s="51">
        <v>42186</v>
      </c>
      <c r="W3204" s="4">
        <v>3770.5800000000004</v>
      </c>
      <c r="X3204" s="52">
        <v>4334</v>
      </c>
    </row>
    <row r="3205" spans="2:24" x14ac:dyDescent="0.35">
      <c r="B3205" s="6" t="s">
        <v>12</v>
      </c>
      <c r="C3205" s="6" t="s">
        <v>44</v>
      </c>
      <c r="D3205" s="6" t="s">
        <v>13</v>
      </c>
      <c r="E3205" s="6" t="s">
        <v>27</v>
      </c>
      <c r="F3205" s="6" t="s">
        <v>28</v>
      </c>
      <c r="G3205" s="6">
        <v>2015</v>
      </c>
      <c r="H3205" s="6">
        <v>7</v>
      </c>
      <c r="I3205" s="10">
        <v>42186</v>
      </c>
      <c r="J3205" s="6">
        <v>3788</v>
      </c>
      <c r="K3205" s="51"/>
      <c r="O3205" t="s">
        <v>12</v>
      </c>
      <c r="P3205" t="s">
        <v>44</v>
      </c>
      <c r="Q3205" t="s">
        <v>13</v>
      </c>
      <c r="R3205" t="s">
        <v>27</v>
      </c>
      <c r="S3205" t="s">
        <v>28</v>
      </c>
      <c r="T3205">
        <v>2015</v>
      </c>
      <c r="U3205">
        <v>7</v>
      </c>
      <c r="V3205" s="51">
        <v>42186</v>
      </c>
      <c r="W3205" s="4">
        <v>3219.8</v>
      </c>
      <c r="X3205" s="52">
        <v>3788</v>
      </c>
    </row>
    <row r="3206" spans="2:24" x14ac:dyDescent="0.35">
      <c r="B3206" s="6" t="s">
        <v>14</v>
      </c>
      <c r="C3206" s="6" t="s">
        <v>46</v>
      </c>
      <c r="D3206" s="6" t="s">
        <v>47</v>
      </c>
      <c r="E3206" s="6" t="s">
        <v>27</v>
      </c>
      <c r="F3206" s="6" t="s">
        <v>31</v>
      </c>
      <c r="G3206" s="6">
        <v>2015</v>
      </c>
      <c r="H3206" s="6">
        <v>7</v>
      </c>
      <c r="I3206" s="10">
        <v>42186</v>
      </c>
      <c r="J3206" s="6">
        <v>4758</v>
      </c>
      <c r="K3206" s="51"/>
      <c r="O3206" t="s">
        <v>14</v>
      </c>
      <c r="P3206" t="s">
        <v>46</v>
      </c>
      <c r="Q3206" t="s">
        <v>47</v>
      </c>
      <c r="R3206" t="s">
        <v>27</v>
      </c>
      <c r="S3206" t="s">
        <v>31</v>
      </c>
      <c r="T3206">
        <v>2015</v>
      </c>
      <c r="U3206">
        <v>7</v>
      </c>
      <c r="V3206" s="51">
        <v>42186</v>
      </c>
      <c r="W3206" s="4">
        <v>4377.3599999999997</v>
      </c>
      <c r="X3206" s="52">
        <v>4758</v>
      </c>
    </row>
    <row r="3207" spans="2:24" x14ac:dyDescent="0.35">
      <c r="B3207" s="6" t="s">
        <v>3</v>
      </c>
      <c r="C3207" s="6" t="s">
        <v>22</v>
      </c>
      <c r="D3207" s="6" t="s">
        <v>5</v>
      </c>
      <c r="E3207" s="6" t="s">
        <v>27</v>
      </c>
      <c r="F3207" s="6" t="s">
        <v>33</v>
      </c>
      <c r="G3207" s="6">
        <v>2015</v>
      </c>
      <c r="H3207" s="6">
        <v>7</v>
      </c>
      <c r="I3207" s="10">
        <v>42186</v>
      </c>
      <c r="J3207" s="6">
        <v>2933</v>
      </c>
      <c r="K3207" s="51"/>
      <c r="O3207" t="s">
        <v>3</v>
      </c>
      <c r="P3207" t="s">
        <v>22</v>
      </c>
      <c r="Q3207" t="s">
        <v>5</v>
      </c>
      <c r="R3207" t="s">
        <v>27</v>
      </c>
      <c r="S3207" t="s">
        <v>33</v>
      </c>
      <c r="T3207">
        <v>2015</v>
      </c>
      <c r="U3207">
        <v>7</v>
      </c>
      <c r="V3207" s="51">
        <v>42186</v>
      </c>
      <c r="W3207" s="4">
        <v>2757.02</v>
      </c>
      <c r="X3207" s="52">
        <v>2933</v>
      </c>
    </row>
    <row r="3208" spans="2:24" x14ac:dyDescent="0.35">
      <c r="B3208" s="6" t="s">
        <v>6</v>
      </c>
      <c r="C3208" s="6" t="s">
        <v>29</v>
      </c>
      <c r="D3208" s="6" t="s">
        <v>30</v>
      </c>
      <c r="E3208" s="6" t="s">
        <v>23</v>
      </c>
      <c r="F3208" s="6" t="s">
        <v>36</v>
      </c>
      <c r="G3208" s="6">
        <v>2015</v>
      </c>
      <c r="H3208" s="6">
        <v>7</v>
      </c>
      <c r="I3208" s="10">
        <v>42186</v>
      </c>
      <c r="J3208" s="6">
        <v>1656</v>
      </c>
      <c r="K3208" s="51"/>
      <c r="O3208" t="s">
        <v>6</v>
      </c>
      <c r="P3208" t="s">
        <v>29</v>
      </c>
      <c r="Q3208" t="s">
        <v>30</v>
      </c>
      <c r="R3208" t="s">
        <v>23</v>
      </c>
      <c r="S3208" t="s">
        <v>36</v>
      </c>
      <c r="T3208">
        <v>2015</v>
      </c>
      <c r="U3208">
        <v>7</v>
      </c>
      <c r="V3208" s="51">
        <v>42186</v>
      </c>
      <c r="W3208" s="4">
        <v>1440.7200000000003</v>
      </c>
      <c r="X3208" s="52">
        <v>1656</v>
      </c>
    </row>
    <row r="3209" spans="2:24" x14ac:dyDescent="0.35">
      <c r="B3209" s="6" t="s">
        <v>7</v>
      </c>
      <c r="C3209" s="6" t="s">
        <v>32</v>
      </c>
      <c r="D3209" s="6" t="s">
        <v>8</v>
      </c>
      <c r="E3209" s="6" t="s">
        <v>23</v>
      </c>
      <c r="F3209" s="6" t="s">
        <v>24</v>
      </c>
      <c r="G3209" s="6">
        <v>2015</v>
      </c>
      <c r="H3209" s="6">
        <v>7</v>
      </c>
      <c r="I3209" s="10">
        <v>42186</v>
      </c>
      <c r="J3209" s="6">
        <v>2566</v>
      </c>
      <c r="K3209" s="51"/>
      <c r="O3209" t="s">
        <v>7</v>
      </c>
      <c r="P3209" t="s">
        <v>32</v>
      </c>
      <c r="Q3209" t="s">
        <v>8</v>
      </c>
      <c r="R3209" t="s">
        <v>23</v>
      </c>
      <c r="S3209" t="s">
        <v>24</v>
      </c>
      <c r="T3209">
        <v>2015</v>
      </c>
      <c r="U3209">
        <v>7</v>
      </c>
      <c r="V3209" s="51">
        <v>42186</v>
      </c>
      <c r="W3209" s="4">
        <v>2360.7199999999998</v>
      </c>
      <c r="X3209" s="52">
        <v>2566</v>
      </c>
    </row>
    <row r="3210" spans="2:24" x14ac:dyDescent="0.35">
      <c r="B3210" s="6" t="s">
        <v>12</v>
      </c>
      <c r="C3210" s="6" t="s">
        <v>34</v>
      </c>
      <c r="D3210" s="6" t="s">
        <v>35</v>
      </c>
      <c r="E3210" s="6" t="s">
        <v>23</v>
      </c>
      <c r="F3210" s="6" t="s">
        <v>39</v>
      </c>
      <c r="G3210" s="6">
        <v>2015</v>
      </c>
      <c r="H3210" s="6">
        <v>7</v>
      </c>
      <c r="I3210" s="10">
        <v>42186</v>
      </c>
      <c r="J3210" s="6">
        <v>1211</v>
      </c>
      <c r="K3210" s="51"/>
      <c r="O3210" t="s">
        <v>12</v>
      </c>
      <c r="P3210" t="s">
        <v>34</v>
      </c>
      <c r="Q3210" t="s">
        <v>35</v>
      </c>
      <c r="R3210" t="s">
        <v>23</v>
      </c>
      <c r="S3210" t="s">
        <v>39</v>
      </c>
      <c r="T3210">
        <v>2015</v>
      </c>
      <c r="U3210">
        <v>7</v>
      </c>
      <c r="V3210" s="51">
        <v>42186</v>
      </c>
      <c r="W3210" s="4">
        <v>1041.46</v>
      </c>
      <c r="X3210" s="52">
        <v>1211</v>
      </c>
    </row>
    <row r="3211" spans="2:24" x14ac:dyDescent="0.35">
      <c r="B3211" s="6" t="s">
        <v>14</v>
      </c>
      <c r="C3211" s="6" t="s">
        <v>37</v>
      </c>
      <c r="D3211" s="6" t="s">
        <v>38</v>
      </c>
      <c r="E3211" s="6" t="s">
        <v>0</v>
      </c>
      <c r="F3211" s="6" t="s">
        <v>42</v>
      </c>
      <c r="G3211" s="6">
        <v>2015</v>
      </c>
      <c r="H3211" s="6">
        <v>7</v>
      </c>
      <c r="I3211" s="10">
        <v>42186</v>
      </c>
      <c r="J3211" s="6">
        <v>5784</v>
      </c>
      <c r="K3211" s="51"/>
      <c r="O3211" t="s">
        <v>14</v>
      </c>
      <c r="P3211" t="s">
        <v>37</v>
      </c>
      <c r="Q3211" t="s">
        <v>38</v>
      </c>
      <c r="R3211" t="s">
        <v>0</v>
      </c>
      <c r="S3211" t="s">
        <v>42</v>
      </c>
      <c r="T3211">
        <v>2015</v>
      </c>
      <c r="U3211">
        <v>7</v>
      </c>
      <c r="V3211" s="51">
        <v>42186</v>
      </c>
      <c r="W3211" s="4">
        <v>5379.12</v>
      </c>
      <c r="X3211" s="52">
        <v>5784</v>
      </c>
    </row>
    <row r="3212" spans="2:24" x14ac:dyDescent="0.35">
      <c r="B3212" s="6" t="s">
        <v>6</v>
      </c>
      <c r="C3212" s="6" t="s">
        <v>29</v>
      </c>
      <c r="D3212" s="6" t="s">
        <v>30</v>
      </c>
      <c r="E3212" s="6" t="s">
        <v>0</v>
      </c>
      <c r="F3212" s="6" t="s">
        <v>45</v>
      </c>
      <c r="G3212" s="6">
        <v>2015</v>
      </c>
      <c r="H3212" s="6">
        <v>7</v>
      </c>
      <c r="I3212" s="10">
        <v>42186</v>
      </c>
      <c r="J3212" s="6">
        <v>3695</v>
      </c>
      <c r="K3212" s="51"/>
      <c r="O3212" t="s">
        <v>6</v>
      </c>
      <c r="P3212" t="s">
        <v>29</v>
      </c>
      <c r="Q3212" t="s">
        <v>30</v>
      </c>
      <c r="R3212" t="s">
        <v>0</v>
      </c>
      <c r="S3212" t="s">
        <v>45</v>
      </c>
      <c r="T3212">
        <v>2015</v>
      </c>
      <c r="U3212">
        <v>7</v>
      </c>
      <c r="V3212" s="51">
        <v>42186</v>
      </c>
      <c r="W3212" s="4">
        <v>3362.45</v>
      </c>
      <c r="X3212" s="52">
        <v>3695</v>
      </c>
    </row>
    <row r="3213" spans="2:24" x14ac:dyDescent="0.35">
      <c r="B3213" s="6" t="s">
        <v>7</v>
      </c>
      <c r="C3213" s="6" t="s">
        <v>43</v>
      </c>
      <c r="D3213" s="6" t="s">
        <v>10</v>
      </c>
      <c r="E3213" s="6" t="s">
        <v>27</v>
      </c>
      <c r="F3213" s="6" t="s">
        <v>28</v>
      </c>
      <c r="G3213" s="6">
        <v>2015</v>
      </c>
      <c r="H3213" s="6">
        <v>7</v>
      </c>
      <c r="I3213" s="10">
        <v>42186</v>
      </c>
      <c r="J3213" s="6">
        <v>3495</v>
      </c>
      <c r="K3213" s="51"/>
      <c r="O3213" t="s">
        <v>7</v>
      </c>
      <c r="P3213" t="s">
        <v>43</v>
      </c>
      <c r="Q3213" t="s">
        <v>10</v>
      </c>
      <c r="R3213" t="s">
        <v>27</v>
      </c>
      <c r="S3213" t="s">
        <v>28</v>
      </c>
      <c r="T3213">
        <v>2015</v>
      </c>
      <c r="U3213">
        <v>7</v>
      </c>
      <c r="V3213" s="51">
        <v>42186</v>
      </c>
      <c r="W3213" s="4">
        <v>3040.6500000000005</v>
      </c>
      <c r="X3213" s="52">
        <v>3495</v>
      </c>
    </row>
    <row r="3214" spans="2:24" x14ac:dyDescent="0.35">
      <c r="B3214" s="6" t="s">
        <v>12</v>
      </c>
      <c r="C3214" s="6" t="s">
        <v>44</v>
      </c>
      <c r="D3214" s="6" t="s">
        <v>13</v>
      </c>
      <c r="E3214" s="6" t="s">
        <v>27</v>
      </c>
      <c r="F3214" s="6" t="s">
        <v>31</v>
      </c>
      <c r="G3214" s="6">
        <v>2015</v>
      </c>
      <c r="H3214" s="6">
        <v>7</v>
      </c>
      <c r="I3214" s="10">
        <v>42186</v>
      </c>
      <c r="J3214" s="6">
        <v>3891</v>
      </c>
      <c r="K3214" s="51"/>
      <c r="O3214" t="s">
        <v>12</v>
      </c>
      <c r="P3214" t="s">
        <v>44</v>
      </c>
      <c r="Q3214" t="s">
        <v>13</v>
      </c>
      <c r="R3214" t="s">
        <v>27</v>
      </c>
      <c r="S3214" t="s">
        <v>31</v>
      </c>
      <c r="T3214">
        <v>2015</v>
      </c>
      <c r="U3214">
        <v>7</v>
      </c>
      <c r="V3214" s="51">
        <v>42186</v>
      </c>
      <c r="W3214" s="4">
        <v>3346.26</v>
      </c>
      <c r="X3214" s="52">
        <v>3891</v>
      </c>
    </row>
    <row r="3215" spans="2:24" x14ac:dyDescent="0.35">
      <c r="B3215" s="6" t="s">
        <v>14</v>
      </c>
      <c r="C3215" s="6" t="s">
        <v>46</v>
      </c>
      <c r="D3215" s="6" t="s">
        <v>47</v>
      </c>
      <c r="E3215" s="6" t="s">
        <v>27</v>
      </c>
      <c r="F3215" s="6" t="s">
        <v>33</v>
      </c>
      <c r="G3215" s="6">
        <v>2015</v>
      </c>
      <c r="H3215" s="6">
        <v>7</v>
      </c>
      <c r="I3215" s="10">
        <v>42186</v>
      </c>
      <c r="J3215" s="6">
        <v>3167</v>
      </c>
      <c r="K3215" s="51"/>
      <c r="O3215" t="s">
        <v>14</v>
      </c>
      <c r="P3215" t="s">
        <v>46</v>
      </c>
      <c r="Q3215" t="s">
        <v>47</v>
      </c>
      <c r="R3215" t="s">
        <v>27</v>
      </c>
      <c r="S3215" t="s">
        <v>33</v>
      </c>
      <c r="T3215">
        <v>2015</v>
      </c>
      <c r="U3215">
        <v>7</v>
      </c>
      <c r="V3215" s="51">
        <v>42186</v>
      </c>
      <c r="W3215" s="4">
        <v>2691.9500000000003</v>
      </c>
      <c r="X3215" s="52">
        <v>3167</v>
      </c>
    </row>
    <row r="3216" spans="2:24" x14ac:dyDescent="0.35">
      <c r="B3216" s="6" t="s">
        <v>3</v>
      </c>
      <c r="C3216" s="6" t="s">
        <v>22</v>
      </c>
      <c r="D3216" s="6" t="s">
        <v>5</v>
      </c>
      <c r="E3216" s="6" t="s">
        <v>23</v>
      </c>
      <c r="F3216" s="6" t="s">
        <v>36</v>
      </c>
      <c r="G3216" s="6">
        <v>2015</v>
      </c>
      <c r="H3216" s="6">
        <v>7</v>
      </c>
      <c r="I3216" s="10">
        <v>42186</v>
      </c>
      <c r="J3216" s="6">
        <v>1784</v>
      </c>
      <c r="K3216" s="51"/>
      <c r="O3216" t="s">
        <v>3</v>
      </c>
      <c r="P3216" t="s">
        <v>22</v>
      </c>
      <c r="Q3216" t="s">
        <v>5</v>
      </c>
      <c r="R3216" t="s">
        <v>23</v>
      </c>
      <c r="S3216" t="s">
        <v>36</v>
      </c>
      <c r="T3216">
        <v>2015</v>
      </c>
      <c r="U3216">
        <v>7</v>
      </c>
      <c r="V3216" s="51">
        <v>42186</v>
      </c>
      <c r="W3216" s="4">
        <v>1676.9599999999998</v>
      </c>
      <c r="X3216" s="52">
        <v>1784</v>
      </c>
    </row>
    <row r="3217" spans="2:24" x14ac:dyDescent="0.35">
      <c r="B3217" s="6" t="s">
        <v>6</v>
      </c>
      <c r="C3217" s="6" t="s">
        <v>40</v>
      </c>
      <c r="D3217" s="6" t="s">
        <v>41</v>
      </c>
      <c r="E3217" s="6" t="s">
        <v>23</v>
      </c>
      <c r="F3217" s="6" t="s">
        <v>24</v>
      </c>
      <c r="G3217" s="6">
        <v>2015</v>
      </c>
      <c r="H3217" s="6">
        <v>7</v>
      </c>
      <c r="I3217" s="10">
        <v>42186</v>
      </c>
      <c r="J3217" s="6">
        <v>2567</v>
      </c>
      <c r="K3217" s="51"/>
      <c r="O3217" t="s">
        <v>6</v>
      </c>
      <c r="P3217" t="s">
        <v>40</v>
      </c>
      <c r="Q3217" t="s">
        <v>41</v>
      </c>
      <c r="R3217" t="s">
        <v>23</v>
      </c>
      <c r="S3217" t="s">
        <v>24</v>
      </c>
      <c r="T3217">
        <v>2015</v>
      </c>
      <c r="U3217">
        <v>7</v>
      </c>
      <c r="V3217" s="51">
        <v>42186</v>
      </c>
      <c r="W3217" s="4">
        <v>2181.9500000000003</v>
      </c>
      <c r="X3217" s="52">
        <v>2567</v>
      </c>
    </row>
    <row r="3218" spans="2:24" x14ac:dyDescent="0.35">
      <c r="B3218" s="6" t="s">
        <v>7</v>
      </c>
      <c r="C3218" s="6" t="s">
        <v>32</v>
      </c>
      <c r="D3218" s="6" t="s">
        <v>8</v>
      </c>
      <c r="E3218" s="6" t="s">
        <v>23</v>
      </c>
      <c r="F3218" s="6" t="s">
        <v>39</v>
      </c>
      <c r="G3218" s="6">
        <v>2015</v>
      </c>
      <c r="H3218" s="6">
        <v>7</v>
      </c>
      <c r="I3218" s="10">
        <v>42186</v>
      </c>
      <c r="J3218" s="6">
        <v>2860</v>
      </c>
      <c r="K3218" s="51"/>
      <c r="O3218" t="s">
        <v>7</v>
      </c>
      <c r="P3218" t="s">
        <v>32</v>
      </c>
      <c r="Q3218" t="s">
        <v>8</v>
      </c>
      <c r="R3218" t="s">
        <v>23</v>
      </c>
      <c r="S3218" t="s">
        <v>39</v>
      </c>
      <c r="T3218">
        <v>2015</v>
      </c>
      <c r="U3218">
        <v>7</v>
      </c>
      <c r="V3218" s="51">
        <v>42186</v>
      </c>
      <c r="W3218" s="4">
        <v>2688.3999999999996</v>
      </c>
      <c r="X3218" s="52">
        <v>2860</v>
      </c>
    </row>
    <row r="3219" spans="2:24" x14ac:dyDescent="0.35">
      <c r="B3219" s="6" t="s">
        <v>12</v>
      </c>
      <c r="C3219" s="6" t="s">
        <v>34</v>
      </c>
      <c r="D3219" s="6" t="s">
        <v>35</v>
      </c>
      <c r="E3219" s="6" t="s">
        <v>0</v>
      </c>
      <c r="F3219" s="6" t="s">
        <v>42</v>
      </c>
      <c r="G3219" s="6">
        <v>2015</v>
      </c>
      <c r="H3219" s="6">
        <v>7</v>
      </c>
      <c r="I3219" s="10">
        <v>42186</v>
      </c>
      <c r="J3219" s="6">
        <v>6295</v>
      </c>
      <c r="K3219" s="51"/>
      <c r="O3219" t="s">
        <v>12</v>
      </c>
      <c r="P3219" t="s">
        <v>34</v>
      </c>
      <c r="Q3219" t="s">
        <v>35</v>
      </c>
      <c r="R3219" t="s">
        <v>0</v>
      </c>
      <c r="S3219" t="s">
        <v>42</v>
      </c>
      <c r="T3219">
        <v>2015</v>
      </c>
      <c r="U3219">
        <v>7</v>
      </c>
      <c r="V3219" s="51">
        <v>42186</v>
      </c>
      <c r="W3219" s="4">
        <v>5476.6500000000005</v>
      </c>
      <c r="X3219" s="52">
        <v>6295</v>
      </c>
    </row>
    <row r="3220" spans="2:24" x14ac:dyDescent="0.35">
      <c r="B3220" s="6" t="s">
        <v>14</v>
      </c>
      <c r="C3220" s="6" t="s">
        <v>37</v>
      </c>
      <c r="D3220" s="6" t="s">
        <v>38</v>
      </c>
      <c r="E3220" s="6" t="s">
        <v>0</v>
      </c>
      <c r="F3220" s="6" t="s">
        <v>26</v>
      </c>
      <c r="G3220" s="6">
        <v>2015</v>
      </c>
      <c r="H3220" s="6">
        <v>7</v>
      </c>
      <c r="I3220" s="10">
        <v>42186</v>
      </c>
      <c r="J3220" s="6">
        <v>4214</v>
      </c>
      <c r="K3220" s="51"/>
      <c r="O3220" t="s">
        <v>14</v>
      </c>
      <c r="P3220" t="s">
        <v>37</v>
      </c>
      <c r="Q3220" t="s">
        <v>38</v>
      </c>
      <c r="R3220" t="s">
        <v>0</v>
      </c>
      <c r="S3220" t="s">
        <v>26</v>
      </c>
      <c r="T3220">
        <v>2015</v>
      </c>
      <c r="U3220">
        <v>7</v>
      </c>
      <c r="V3220" s="51">
        <v>42186</v>
      </c>
      <c r="W3220" s="4">
        <v>3750.4599999999996</v>
      </c>
      <c r="X3220" s="52">
        <v>4214</v>
      </c>
    </row>
    <row r="3221" spans="2:24" x14ac:dyDescent="0.35">
      <c r="B3221" s="6" t="s">
        <v>3</v>
      </c>
      <c r="C3221" s="6" t="s">
        <v>25</v>
      </c>
      <c r="D3221" s="6" t="s">
        <v>4</v>
      </c>
      <c r="E3221" s="6" t="s">
        <v>0</v>
      </c>
      <c r="F3221" s="6" t="s">
        <v>45</v>
      </c>
      <c r="G3221" s="6">
        <v>2015</v>
      </c>
      <c r="H3221" s="6">
        <v>7</v>
      </c>
      <c r="I3221" s="10">
        <v>42186</v>
      </c>
      <c r="J3221" s="6">
        <v>4977</v>
      </c>
      <c r="K3221" s="51"/>
      <c r="O3221" t="s">
        <v>3</v>
      </c>
      <c r="P3221" t="s">
        <v>25</v>
      </c>
      <c r="Q3221" t="s">
        <v>4</v>
      </c>
      <c r="R3221" t="s">
        <v>0</v>
      </c>
      <c r="S3221" t="s">
        <v>45</v>
      </c>
      <c r="T3221">
        <v>2015</v>
      </c>
      <c r="U3221">
        <v>7</v>
      </c>
      <c r="V3221" s="51">
        <v>42186</v>
      </c>
      <c r="W3221" s="4">
        <v>4578.8399999999992</v>
      </c>
      <c r="X3221" s="52">
        <v>4977</v>
      </c>
    </row>
    <row r="3222" spans="2:24" x14ac:dyDescent="0.35">
      <c r="B3222" s="6" t="s">
        <v>6</v>
      </c>
      <c r="C3222" s="6" t="s">
        <v>29</v>
      </c>
      <c r="D3222" s="6" t="s">
        <v>30</v>
      </c>
      <c r="E3222" s="6" t="s">
        <v>27</v>
      </c>
      <c r="F3222" s="6" t="s">
        <v>28</v>
      </c>
      <c r="G3222" s="6">
        <v>2015</v>
      </c>
      <c r="H3222" s="6">
        <v>7</v>
      </c>
      <c r="I3222" s="10">
        <v>42186</v>
      </c>
      <c r="J3222" s="6">
        <v>3564</v>
      </c>
      <c r="K3222" s="51"/>
      <c r="O3222" t="s">
        <v>6</v>
      </c>
      <c r="P3222" t="s">
        <v>29</v>
      </c>
      <c r="Q3222" t="s">
        <v>30</v>
      </c>
      <c r="R3222" t="s">
        <v>27</v>
      </c>
      <c r="S3222" t="s">
        <v>28</v>
      </c>
      <c r="T3222">
        <v>2015</v>
      </c>
      <c r="U3222">
        <v>7</v>
      </c>
      <c r="V3222" s="51">
        <v>42186</v>
      </c>
      <c r="W3222" s="4">
        <v>3100.6800000000003</v>
      </c>
      <c r="X3222" s="52">
        <v>3564</v>
      </c>
    </row>
    <row r="3223" spans="2:24" x14ac:dyDescent="0.35">
      <c r="B3223" s="6" t="s">
        <v>7</v>
      </c>
      <c r="C3223" s="6" t="s">
        <v>43</v>
      </c>
      <c r="D3223" s="6" t="s">
        <v>10</v>
      </c>
      <c r="E3223" s="6" t="s">
        <v>27</v>
      </c>
      <c r="F3223" s="6" t="s">
        <v>31</v>
      </c>
      <c r="G3223" s="6">
        <v>2015</v>
      </c>
      <c r="H3223" s="6">
        <v>7</v>
      </c>
      <c r="I3223" s="10">
        <v>42186</v>
      </c>
      <c r="J3223" s="6">
        <v>3025</v>
      </c>
      <c r="K3223" s="51"/>
      <c r="O3223" t="s">
        <v>7</v>
      </c>
      <c r="P3223" t="s">
        <v>43</v>
      </c>
      <c r="Q3223" t="s">
        <v>10</v>
      </c>
      <c r="R3223" t="s">
        <v>27</v>
      </c>
      <c r="S3223" t="s">
        <v>31</v>
      </c>
      <c r="T3223">
        <v>2015</v>
      </c>
      <c r="U3223">
        <v>7</v>
      </c>
      <c r="V3223" s="51">
        <v>42186</v>
      </c>
      <c r="W3223" s="4">
        <v>2661.9999999999995</v>
      </c>
      <c r="X3223" s="52">
        <v>3025</v>
      </c>
    </row>
    <row r="3224" spans="2:24" x14ac:dyDescent="0.35">
      <c r="B3224" s="6" t="s">
        <v>12</v>
      </c>
      <c r="C3224" s="6" t="s">
        <v>44</v>
      </c>
      <c r="D3224" s="6" t="s">
        <v>13</v>
      </c>
      <c r="E3224" s="6" t="s">
        <v>27</v>
      </c>
      <c r="F3224" s="6" t="s">
        <v>33</v>
      </c>
      <c r="G3224" s="6">
        <v>2015</v>
      </c>
      <c r="H3224" s="6">
        <v>7</v>
      </c>
      <c r="I3224" s="10">
        <v>42186</v>
      </c>
      <c r="J3224" s="6">
        <v>3403</v>
      </c>
      <c r="K3224" s="51"/>
      <c r="O3224" t="s">
        <v>12</v>
      </c>
      <c r="P3224" t="s">
        <v>44</v>
      </c>
      <c r="Q3224" t="s">
        <v>13</v>
      </c>
      <c r="R3224" t="s">
        <v>27</v>
      </c>
      <c r="S3224" t="s">
        <v>33</v>
      </c>
      <c r="T3224">
        <v>2015</v>
      </c>
      <c r="U3224">
        <v>7</v>
      </c>
      <c r="V3224" s="51">
        <v>42186</v>
      </c>
      <c r="W3224" s="4">
        <v>2892.55</v>
      </c>
      <c r="X3224" s="52">
        <v>3403</v>
      </c>
    </row>
    <row r="3225" spans="2:24" x14ac:dyDescent="0.35">
      <c r="B3225" s="6" t="s">
        <v>14</v>
      </c>
      <c r="C3225" s="6" t="s">
        <v>46</v>
      </c>
      <c r="D3225" s="6" t="s">
        <v>47</v>
      </c>
      <c r="E3225" s="6" t="s">
        <v>23</v>
      </c>
      <c r="F3225" s="6" t="s">
        <v>36</v>
      </c>
      <c r="G3225" s="6">
        <v>2015</v>
      </c>
      <c r="H3225" s="6">
        <v>7</v>
      </c>
      <c r="I3225" s="10">
        <v>42186</v>
      </c>
      <c r="J3225" s="6">
        <v>1926</v>
      </c>
      <c r="K3225" s="51"/>
      <c r="O3225" t="s">
        <v>14</v>
      </c>
      <c r="P3225" t="s">
        <v>46</v>
      </c>
      <c r="Q3225" t="s">
        <v>47</v>
      </c>
      <c r="R3225" t="s">
        <v>23</v>
      </c>
      <c r="S3225" t="s">
        <v>36</v>
      </c>
      <c r="T3225">
        <v>2015</v>
      </c>
      <c r="U3225">
        <v>7</v>
      </c>
      <c r="V3225" s="51">
        <v>42186</v>
      </c>
      <c r="W3225" s="4">
        <v>1637.1000000000001</v>
      </c>
      <c r="X3225" s="52">
        <v>1926</v>
      </c>
    </row>
    <row r="3226" spans="2:24" x14ac:dyDescent="0.35">
      <c r="B3226" s="6" t="s">
        <v>6</v>
      </c>
      <c r="C3226" s="6" t="s">
        <v>29</v>
      </c>
      <c r="D3226" s="6" t="s">
        <v>30</v>
      </c>
      <c r="E3226" s="6" t="s">
        <v>23</v>
      </c>
      <c r="F3226" s="6" t="s">
        <v>39</v>
      </c>
      <c r="G3226" s="6">
        <v>2015</v>
      </c>
      <c r="H3226" s="6">
        <v>7</v>
      </c>
      <c r="I3226" s="10">
        <v>42186</v>
      </c>
      <c r="J3226" s="6">
        <v>1942</v>
      </c>
      <c r="K3226" s="51"/>
      <c r="O3226" t="s">
        <v>6</v>
      </c>
      <c r="P3226" t="s">
        <v>29</v>
      </c>
      <c r="Q3226" t="s">
        <v>30</v>
      </c>
      <c r="R3226" t="s">
        <v>23</v>
      </c>
      <c r="S3226" t="s">
        <v>39</v>
      </c>
      <c r="T3226">
        <v>2015</v>
      </c>
      <c r="U3226">
        <v>7</v>
      </c>
      <c r="V3226" s="51">
        <v>42186</v>
      </c>
      <c r="W3226" s="4">
        <v>1747.7999999999997</v>
      </c>
      <c r="X3226" s="52">
        <v>1942</v>
      </c>
    </row>
    <row r="3227" spans="2:24" x14ac:dyDescent="0.35">
      <c r="B3227" s="6" t="s">
        <v>7</v>
      </c>
      <c r="C3227" s="6" t="s">
        <v>32</v>
      </c>
      <c r="D3227" s="6" t="s">
        <v>8</v>
      </c>
      <c r="E3227" s="6" t="s">
        <v>0</v>
      </c>
      <c r="F3227" s="6" t="s">
        <v>42</v>
      </c>
      <c r="G3227" s="6">
        <v>2015</v>
      </c>
      <c r="H3227" s="6">
        <v>7</v>
      </c>
      <c r="I3227" s="10">
        <v>42186</v>
      </c>
      <c r="J3227" s="6">
        <v>4369</v>
      </c>
      <c r="K3227" s="51"/>
      <c r="O3227" t="s">
        <v>7</v>
      </c>
      <c r="P3227" t="s">
        <v>32</v>
      </c>
      <c r="Q3227" t="s">
        <v>8</v>
      </c>
      <c r="R3227" t="s">
        <v>0</v>
      </c>
      <c r="S3227" t="s">
        <v>42</v>
      </c>
      <c r="T3227">
        <v>2015</v>
      </c>
      <c r="U3227">
        <v>7</v>
      </c>
      <c r="V3227" s="51">
        <v>42186</v>
      </c>
      <c r="W3227" s="4">
        <v>3888.4099999999994</v>
      </c>
      <c r="X3227" s="52">
        <v>4369</v>
      </c>
    </row>
    <row r="3228" spans="2:24" x14ac:dyDescent="0.35">
      <c r="B3228" s="6" t="s">
        <v>12</v>
      </c>
      <c r="C3228" s="6" t="s">
        <v>44</v>
      </c>
      <c r="D3228" s="6" t="s">
        <v>13</v>
      </c>
      <c r="E3228" s="6" t="s">
        <v>0</v>
      </c>
      <c r="F3228" s="6" t="s">
        <v>26</v>
      </c>
      <c r="G3228" s="6">
        <v>2015</v>
      </c>
      <c r="H3228" s="6">
        <v>7</v>
      </c>
      <c r="I3228" s="10">
        <v>42186</v>
      </c>
      <c r="J3228" s="6">
        <v>2814</v>
      </c>
      <c r="K3228" s="51"/>
      <c r="O3228" t="s">
        <v>12</v>
      </c>
      <c r="P3228" t="s">
        <v>44</v>
      </c>
      <c r="Q3228" t="s">
        <v>13</v>
      </c>
      <c r="R3228" t="s">
        <v>0</v>
      </c>
      <c r="S3228" t="s">
        <v>26</v>
      </c>
      <c r="T3228">
        <v>2015</v>
      </c>
      <c r="U3228">
        <v>7</v>
      </c>
      <c r="V3228" s="51">
        <v>42186</v>
      </c>
      <c r="W3228" s="4">
        <v>2420.0400000000004</v>
      </c>
      <c r="X3228" s="52">
        <v>2814</v>
      </c>
    </row>
    <row r="3229" spans="2:24" x14ac:dyDescent="0.35">
      <c r="B3229" s="6" t="s">
        <v>14</v>
      </c>
      <c r="C3229" s="6" t="s">
        <v>37</v>
      </c>
      <c r="D3229" s="6" t="s">
        <v>38</v>
      </c>
      <c r="E3229" s="6" t="s">
        <v>0</v>
      </c>
      <c r="F3229" s="6" t="s">
        <v>45</v>
      </c>
      <c r="G3229" s="6">
        <v>2015</v>
      </c>
      <c r="H3229" s="6">
        <v>7</v>
      </c>
      <c r="I3229" s="10">
        <v>42186</v>
      </c>
      <c r="J3229" s="6">
        <v>2956</v>
      </c>
      <c r="K3229" s="51"/>
      <c r="O3229" t="s">
        <v>14</v>
      </c>
      <c r="P3229" t="s">
        <v>37</v>
      </c>
      <c r="Q3229" t="s">
        <v>38</v>
      </c>
      <c r="R3229" t="s">
        <v>0</v>
      </c>
      <c r="S3229" t="s">
        <v>45</v>
      </c>
      <c r="T3229">
        <v>2015</v>
      </c>
      <c r="U3229">
        <v>7</v>
      </c>
      <c r="V3229" s="51">
        <v>42186</v>
      </c>
      <c r="W3229" s="4">
        <v>2542.1600000000003</v>
      </c>
      <c r="X3229" s="52">
        <v>2956</v>
      </c>
    </row>
    <row r="3230" spans="2:24" x14ac:dyDescent="0.35">
      <c r="B3230" s="6" t="s">
        <v>3</v>
      </c>
      <c r="C3230" s="6" t="s">
        <v>25</v>
      </c>
      <c r="D3230" s="6" t="s">
        <v>4</v>
      </c>
      <c r="E3230" s="6" t="s">
        <v>27</v>
      </c>
      <c r="F3230" s="6" t="s">
        <v>28</v>
      </c>
      <c r="G3230" s="6">
        <v>2015</v>
      </c>
      <c r="H3230" s="6">
        <v>7</v>
      </c>
      <c r="I3230" s="10">
        <v>42186</v>
      </c>
      <c r="J3230" s="6">
        <v>3297</v>
      </c>
      <c r="K3230" s="51"/>
      <c r="O3230" t="s">
        <v>3</v>
      </c>
      <c r="P3230" t="s">
        <v>25</v>
      </c>
      <c r="Q3230" t="s">
        <v>4</v>
      </c>
      <c r="R3230" t="s">
        <v>27</v>
      </c>
      <c r="S3230" t="s">
        <v>28</v>
      </c>
      <c r="T3230">
        <v>2015</v>
      </c>
      <c r="U3230">
        <v>7</v>
      </c>
      <c r="V3230" s="51">
        <v>42186</v>
      </c>
      <c r="W3230" s="4">
        <v>2868.3900000000003</v>
      </c>
      <c r="X3230" s="52">
        <v>3297</v>
      </c>
    </row>
    <row r="3231" spans="2:24" x14ac:dyDescent="0.35">
      <c r="B3231" s="6" t="s">
        <v>3</v>
      </c>
      <c r="C3231" s="6" t="s">
        <v>25</v>
      </c>
      <c r="D3231" s="6" t="s">
        <v>4</v>
      </c>
      <c r="E3231" s="6" t="s">
        <v>27</v>
      </c>
      <c r="F3231" s="6" t="s">
        <v>31</v>
      </c>
      <c r="G3231" s="6">
        <v>2015</v>
      </c>
      <c r="H3231" s="6">
        <v>7</v>
      </c>
      <c r="I3231" s="10">
        <v>42186</v>
      </c>
      <c r="J3231" s="6">
        <v>3262</v>
      </c>
      <c r="K3231" s="51"/>
      <c r="O3231" t="s">
        <v>3</v>
      </c>
      <c r="P3231" t="s">
        <v>25</v>
      </c>
      <c r="Q3231" t="s">
        <v>4</v>
      </c>
      <c r="R3231" t="s">
        <v>27</v>
      </c>
      <c r="S3231" t="s">
        <v>31</v>
      </c>
      <c r="T3231">
        <v>2015</v>
      </c>
      <c r="U3231">
        <v>7</v>
      </c>
      <c r="V3231" s="51">
        <v>42186</v>
      </c>
      <c r="W3231" s="4">
        <v>2870.5599999999995</v>
      </c>
      <c r="X3231" s="52">
        <v>3262</v>
      </c>
    </row>
    <row r="3232" spans="2:24" x14ac:dyDescent="0.35">
      <c r="B3232" s="6" t="s">
        <v>6</v>
      </c>
      <c r="C3232" s="6" t="s">
        <v>40</v>
      </c>
      <c r="D3232" s="6" t="s">
        <v>41</v>
      </c>
      <c r="E3232" s="6" t="s">
        <v>27</v>
      </c>
      <c r="F3232" s="6" t="s">
        <v>33</v>
      </c>
      <c r="G3232" s="6">
        <v>2015</v>
      </c>
      <c r="H3232" s="6">
        <v>7</v>
      </c>
      <c r="I3232" s="10">
        <v>42186</v>
      </c>
      <c r="J3232" s="6">
        <v>3746</v>
      </c>
      <c r="K3232" s="51"/>
      <c r="O3232" t="s">
        <v>6</v>
      </c>
      <c r="P3232" t="s">
        <v>40</v>
      </c>
      <c r="Q3232" t="s">
        <v>41</v>
      </c>
      <c r="R3232" t="s">
        <v>27</v>
      </c>
      <c r="S3232" t="s">
        <v>33</v>
      </c>
      <c r="T3232">
        <v>2015</v>
      </c>
      <c r="U3232">
        <v>7</v>
      </c>
      <c r="V3232" s="51">
        <v>42186</v>
      </c>
      <c r="W3232" s="4">
        <v>3483.7799999999997</v>
      </c>
      <c r="X3232" s="52">
        <v>3746</v>
      </c>
    </row>
    <row r="3233" spans="2:24" x14ac:dyDescent="0.35">
      <c r="B3233" s="6" t="s">
        <v>6</v>
      </c>
      <c r="C3233" s="6" t="s">
        <v>40</v>
      </c>
      <c r="D3233" s="6" t="s">
        <v>41</v>
      </c>
      <c r="E3233" s="6" t="s">
        <v>23</v>
      </c>
      <c r="F3233" s="6" t="s">
        <v>36</v>
      </c>
      <c r="G3233" s="6">
        <v>2015</v>
      </c>
      <c r="H3233" s="6">
        <v>7</v>
      </c>
      <c r="I3233" s="10">
        <v>42186</v>
      </c>
      <c r="J3233" s="6">
        <v>1766</v>
      </c>
      <c r="K3233" s="51"/>
      <c r="O3233" t="s">
        <v>6</v>
      </c>
      <c r="P3233" t="s">
        <v>40</v>
      </c>
      <c r="Q3233" t="s">
        <v>41</v>
      </c>
      <c r="R3233" t="s">
        <v>23</v>
      </c>
      <c r="S3233" t="s">
        <v>36</v>
      </c>
      <c r="T3233">
        <v>2015</v>
      </c>
      <c r="U3233">
        <v>7</v>
      </c>
      <c r="V3233" s="51">
        <v>42186</v>
      </c>
      <c r="W3233" s="4">
        <v>1501.1000000000001</v>
      </c>
      <c r="X3233" s="52">
        <v>1766</v>
      </c>
    </row>
    <row r="3234" spans="2:24" x14ac:dyDescent="0.35">
      <c r="B3234" s="6" t="s">
        <v>7</v>
      </c>
      <c r="C3234" s="6" t="s">
        <v>43</v>
      </c>
      <c r="D3234" s="6" t="s">
        <v>10</v>
      </c>
      <c r="E3234" s="6" t="s">
        <v>23</v>
      </c>
      <c r="F3234" s="6" t="s">
        <v>24</v>
      </c>
      <c r="G3234" s="6">
        <v>2015</v>
      </c>
      <c r="H3234" s="6">
        <v>7</v>
      </c>
      <c r="I3234" s="10">
        <v>42186</v>
      </c>
      <c r="J3234" s="6">
        <v>1816</v>
      </c>
      <c r="K3234" s="51"/>
      <c r="O3234" t="s">
        <v>7</v>
      </c>
      <c r="P3234" t="s">
        <v>43</v>
      </c>
      <c r="Q3234" t="s">
        <v>10</v>
      </c>
      <c r="R3234" t="s">
        <v>23</v>
      </c>
      <c r="S3234" t="s">
        <v>24</v>
      </c>
      <c r="T3234">
        <v>2015</v>
      </c>
      <c r="U3234">
        <v>7</v>
      </c>
      <c r="V3234" s="51">
        <v>42186</v>
      </c>
      <c r="W3234" s="4">
        <v>1670.7199999999998</v>
      </c>
      <c r="X3234" s="52">
        <v>1816</v>
      </c>
    </row>
    <row r="3235" spans="2:24" x14ac:dyDescent="0.35">
      <c r="B3235" s="6" t="s">
        <v>7</v>
      </c>
      <c r="C3235" s="6" t="s">
        <v>43</v>
      </c>
      <c r="D3235" s="6" t="s">
        <v>10</v>
      </c>
      <c r="E3235" s="6" t="s">
        <v>23</v>
      </c>
      <c r="F3235" s="6" t="s">
        <v>39</v>
      </c>
      <c r="G3235" s="6">
        <v>2015</v>
      </c>
      <c r="H3235" s="6">
        <v>7</v>
      </c>
      <c r="I3235" s="10">
        <v>42186</v>
      </c>
      <c r="J3235" s="6">
        <v>2386</v>
      </c>
      <c r="K3235" s="51"/>
      <c r="O3235" t="s">
        <v>7</v>
      </c>
      <c r="P3235" t="s">
        <v>43</v>
      </c>
      <c r="Q3235" t="s">
        <v>10</v>
      </c>
      <c r="R3235" t="s">
        <v>23</v>
      </c>
      <c r="S3235" t="s">
        <v>39</v>
      </c>
      <c r="T3235">
        <v>2015</v>
      </c>
      <c r="U3235">
        <v>7</v>
      </c>
      <c r="V3235" s="51">
        <v>42186</v>
      </c>
      <c r="W3235" s="4">
        <v>2051.96</v>
      </c>
      <c r="X3235" s="52">
        <v>2386</v>
      </c>
    </row>
    <row r="3236" spans="2:24" x14ac:dyDescent="0.35">
      <c r="B3236" s="6" t="s">
        <v>7</v>
      </c>
      <c r="C3236" s="6" t="s">
        <v>32</v>
      </c>
      <c r="D3236" s="6" t="s">
        <v>8</v>
      </c>
      <c r="E3236" s="6" t="s">
        <v>0</v>
      </c>
      <c r="F3236" s="6" t="s">
        <v>26</v>
      </c>
      <c r="G3236" s="6">
        <v>2015</v>
      </c>
      <c r="H3236" s="6">
        <v>7</v>
      </c>
      <c r="I3236" s="10">
        <v>42186</v>
      </c>
      <c r="J3236" s="6">
        <v>5103</v>
      </c>
      <c r="K3236" s="51"/>
      <c r="O3236" t="s">
        <v>7</v>
      </c>
      <c r="P3236" t="s">
        <v>32</v>
      </c>
      <c r="Q3236" t="s">
        <v>8</v>
      </c>
      <c r="R3236" t="s">
        <v>0</v>
      </c>
      <c r="S3236" t="s">
        <v>26</v>
      </c>
      <c r="T3236">
        <v>2015</v>
      </c>
      <c r="U3236">
        <v>7</v>
      </c>
      <c r="V3236" s="51">
        <v>42186</v>
      </c>
      <c r="W3236" s="4">
        <v>4694.7599999999993</v>
      </c>
      <c r="X3236" s="52">
        <v>5103</v>
      </c>
    </row>
    <row r="3237" spans="2:24" x14ac:dyDescent="0.35">
      <c r="B3237" s="6" t="s">
        <v>3</v>
      </c>
      <c r="C3237" s="6" t="s">
        <v>22</v>
      </c>
      <c r="D3237" s="6" t="s">
        <v>5</v>
      </c>
      <c r="E3237" s="6" t="s">
        <v>0</v>
      </c>
      <c r="F3237" s="6" t="s">
        <v>45</v>
      </c>
      <c r="G3237" s="6">
        <v>2015</v>
      </c>
      <c r="H3237" s="6">
        <v>7</v>
      </c>
      <c r="I3237" s="10">
        <v>42186</v>
      </c>
      <c r="J3237" s="6">
        <v>2119</v>
      </c>
      <c r="K3237" s="51"/>
      <c r="O3237" t="s">
        <v>3</v>
      </c>
      <c r="P3237" t="s">
        <v>22</v>
      </c>
      <c r="Q3237" t="s">
        <v>5</v>
      </c>
      <c r="R3237" t="s">
        <v>0</v>
      </c>
      <c r="S3237" t="s">
        <v>45</v>
      </c>
      <c r="T3237">
        <v>2015</v>
      </c>
      <c r="U3237">
        <v>7</v>
      </c>
      <c r="V3237" s="51">
        <v>42186</v>
      </c>
      <c r="W3237" s="4">
        <v>1928.2899999999997</v>
      </c>
      <c r="X3237" s="52">
        <v>2119</v>
      </c>
    </row>
    <row r="3238" spans="2:24" x14ac:dyDescent="0.35">
      <c r="B3238" s="6" t="s">
        <v>7</v>
      </c>
      <c r="C3238" s="6" t="s">
        <v>48</v>
      </c>
      <c r="D3238" s="6" t="s">
        <v>9</v>
      </c>
      <c r="E3238" s="6" t="s">
        <v>23</v>
      </c>
      <c r="F3238" s="6" t="s">
        <v>36</v>
      </c>
      <c r="G3238" s="6">
        <v>2015</v>
      </c>
      <c r="H3238" s="6">
        <v>7</v>
      </c>
      <c r="I3238" s="10">
        <v>42186</v>
      </c>
      <c r="J3238" s="6">
        <v>2105</v>
      </c>
      <c r="K3238" s="51"/>
      <c r="O3238" t="s">
        <v>7</v>
      </c>
      <c r="P3238" t="s">
        <v>48</v>
      </c>
      <c r="Q3238" t="s">
        <v>9</v>
      </c>
      <c r="R3238" t="s">
        <v>23</v>
      </c>
      <c r="S3238" t="s">
        <v>36</v>
      </c>
      <c r="T3238">
        <v>2015</v>
      </c>
      <c r="U3238">
        <v>7</v>
      </c>
      <c r="V3238" s="51">
        <v>42186</v>
      </c>
      <c r="W3238" s="4">
        <v>1978.6999999999998</v>
      </c>
      <c r="X3238" s="52">
        <v>2105</v>
      </c>
    </row>
    <row r="3239" spans="2:24" x14ac:dyDescent="0.35">
      <c r="B3239" s="6" t="s">
        <v>7</v>
      </c>
      <c r="C3239" s="6" t="s">
        <v>48</v>
      </c>
      <c r="D3239" s="6" t="s">
        <v>9</v>
      </c>
      <c r="E3239" s="6" t="s">
        <v>23</v>
      </c>
      <c r="F3239" s="6" t="s">
        <v>24</v>
      </c>
      <c r="G3239" s="6">
        <v>2015</v>
      </c>
      <c r="H3239" s="6">
        <v>7</v>
      </c>
      <c r="I3239" s="10">
        <v>42186</v>
      </c>
      <c r="J3239" s="6">
        <v>1836</v>
      </c>
      <c r="K3239" s="51"/>
      <c r="O3239" t="s">
        <v>7</v>
      </c>
      <c r="P3239" t="s">
        <v>48</v>
      </c>
      <c r="Q3239" t="s">
        <v>9</v>
      </c>
      <c r="R3239" t="s">
        <v>23</v>
      </c>
      <c r="S3239" t="s">
        <v>24</v>
      </c>
      <c r="T3239">
        <v>2015</v>
      </c>
      <c r="U3239">
        <v>7</v>
      </c>
      <c r="V3239" s="51">
        <v>42186</v>
      </c>
      <c r="W3239" s="4">
        <v>1689.12</v>
      </c>
      <c r="X3239" s="52">
        <v>1836</v>
      </c>
    </row>
    <row r="3240" spans="2:24" x14ac:dyDescent="0.35">
      <c r="B3240" s="6" t="s">
        <v>7</v>
      </c>
      <c r="C3240" s="6" t="s">
        <v>49</v>
      </c>
      <c r="D3240" s="6" t="s">
        <v>11</v>
      </c>
      <c r="E3240" s="6" t="s">
        <v>23</v>
      </c>
      <c r="F3240" s="6" t="s">
        <v>39</v>
      </c>
      <c r="G3240" s="6">
        <v>2015</v>
      </c>
      <c r="H3240" s="6">
        <v>7</v>
      </c>
      <c r="I3240" s="10">
        <v>42186</v>
      </c>
      <c r="J3240" s="6">
        <v>2840</v>
      </c>
      <c r="K3240" s="51"/>
      <c r="O3240" t="s">
        <v>7</v>
      </c>
      <c r="P3240" t="s">
        <v>49</v>
      </c>
      <c r="Q3240" t="s">
        <v>11</v>
      </c>
      <c r="R3240" t="s">
        <v>23</v>
      </c>
      <c r="S3240" t="s">
        <v>39</v>
      </c>
      <c r="T3240">
        <v>2015</v>
      </c>
      <c r="U3240">
        <v>7</v>
      </c>
      <c r="V3240" s="51">
        <v>42186</v>
      </c>
      <c r="W3240" s="4">
        <v>2584.3999999999996</v>
      </c>
      <c r="X3240" s="52">
        <v>2840</v>
      </c>
    </row>
    <row r="3241" spans="2:24" x14ac:dyDescent="0.35">
      <c r="B3241" s="6" t="s">
        <v>7</v>
      </c>
      <c r="C3241" s="6" t="s">
        <v>49</v>
      </c>
      <c r="D3241" s="6" t="s">
        <v>11</v>
      </c>
      <c r="E3241" s="6" t="s">
        <v>0</v>
      </c>
      <c r="F3241" s="6" t="s">
        <v>42</v>
      </c>
      <c r="G3241" s="6">
        <v>2015</v>
      </c>
      <c r="H3241" s="6">
        <v>7</v>
      </c>
      <c r="I3241" s="10">
        <v>42186</v>
      </c>
      <c r="J3241" s="6">
        <v>6849</v>
      </c>
      <c r="K3241" s="51"/>
      <c r="O3241" t="s">
        <v>7</v>
      </c>
      <c r="P3241" t="s">
        <v>49</v>
      </c>
      <c r="Q3241" t="s">
        <v>11</v>
      </c>
      <c r="R3241" t="s">
        <v>0</v>
      </c>
      <c r="S3241" t="s">
        <v>42</v>
      </c>
      <c r="T3241">
        <v>2015</v>
      </c>
      <c r="U3241">
        <v>7</v>
      </c>
      <c r="V3241" s="51">
        <v>42186</v>
      </c>
      <c r="W3241" s="4">
        <v>6369.57</v>
      </c>
      <c r="X3241" s="52">
        <v>6849</v>
      </c>
    </row>
    <row r="3242" spans="2:24" x14ac:dyDescent="0.35">
      <c r="B3242" s="6" t="s">
        <v>12</v>
      </c>
      <c r="C3242" s="6" t="s">
        <v>34</v>
      </c>
      <c r="D3242" s="6" t="s">
        <v>35</v>
      </c>
      <c r="E3242" s="6" t="s">
        <v>0</v>
      </c>
      <c r="F3242" s="6" t="s">
        <v>26</v>
      </c>
      <c r="G3242" s="6">
        <v>2015</v>
      </c>
      <c r="H3242" s="6">
        <v>7</v>
      </c>
      <c r="I3242" s="10">
        <v>42186</v>
      </c>
      <c r="J3242" s="6">
        <v>3696</v>
      </c>
      <c r="K3242" s="51"/>
      <c r="O3242" t="s">
        <v>12</v>
      </c>
      <c r="P3242" t="s">
        <v>34</v>
      </c>
      <c r="Q3242" t="s">
        <v>35</v>
      </c>
      <c r="R3242" t="s">
        <v>0</v>
      </c>
      <c r="S3242" t="s">
        <v>26</v>
      </c>
      <c r="T3242">
        <v>2015</v>
      </c>
      <c r="U3242">
        <v>7</v>
      </c>
      <c r="V3242" s="51">
        <v>42186</v>
      </c>
      <c r="W3242" s="4">
        <v>3178.5600000000004</v>
      </c>
      <c r="X3242" s="52">
        <v>3696</v>
      </c>
    </row>
    <row r="3243" spans="2:24" x14ac:dyDescent="0.35">
      <c r="B3243" s="6" t="s">
        <v>12</v>
      </c>
      <c r="C3243" s="6" t="s">
        <v>34</v>
      </c>
      <c r="D3243" s="6" t="s">
        <v>35</v>
      </c>
      <c r="E3243" s="6" t="s">
        <v>0</v>
      </c>
      <c r="F3243" s="6" t="s">
        <v>45</v>
      </c>
      <c r="G3243" s="6">
        <v>2015</v>
      </c>
      <c r="H3243" s="6">
        <v>7</v>
      </c>
      <c r="I3243" s="10">
        <v>42186</v>
      </c>
      <c r="J3243" s="6">
        <v>4480</v>
      </c>
      <c r="K3243" s="51"/>
      <c r="O3243" t="s">
        <v>12</v>
      </c>
      <c r="P3243" t="s">
        <v>34</v>
      </c>
      <c r="Q3243" t="s">
        <v>35</v>
      </c>
      <c r="R3243" t="s">
        <v>0</v>
      </c>
      <c r="S3243" t="s">
        <v>45</v>
      </c>
      <c r="T3243">
        <v>2015</v>
      </c>
      <c r="U3243">
        <v>7</v>
      </c>
      <c r="V3243" s="51">
        <v>42186</v>
      </c>
      <c r="W3243" s="4">
        <v>3942.3999999999996</v>
      </c>
      <c r="X3243" s="52">
        <v>4480</v>
      </c>
    </row>
    <row r="3244" spans="2:24" x14ac:dyDescent="0.35">
      <c r="B3244" s="6" t="s">
        <v>14</v>
      </c>
      <c r="C3244" s="6" t="s">
        <v>37</v>
      </c>
      <c r="D3244" s="6" t="s">
        <v>38</v>
      </c>
      <c r="E3244" s="6" t="s">
        <v>27</v>
      </c>
      <c r="F3244" s="6" t="s">
        <v>28</v>
      </c>
      <c r="G3244" s="6">
        <v>2015</v>
      </c>
      <c r="H3244" s="6">
        <v>7</v>
      </c>
      <c r="I3244" s="10">
        <v>42186</v>
      </c>
      <c r="J3244" s="6">
        <v>3351</v>
      </c>
      <c r="K3244" s="51"/>
      <c r="O3244" t="s">
        <v>14</v>
      </c>
      <c r="P3244" t="s">
        <v>37</v>
      </c>
      <c r="Q3244" t="s">
        <v>38</v>
      </c>
      <c r="R3244" t="s">
        <v>27</v>
      </c>
      <c r="S3244" t="s">
        <v>28</v>
      </c>
      <c r="T3244">
        <v>2015</v>
      </c>
      <c r="U3244">
        <v>7</v>
      </c>
      <c r="V3244" s="51">
        <v>42186</v>
      </c>
      <c r="W3244" s="4">
        <v>2948.8799999999997</v>
      </c>
      <c r="X3244" s="52">
        <v>3351</v>
      </c>
    </row>
    <row r="3245" spans="2:24" x14ac:dyDescent="0.35">
      <c r="B3245" s="6" t="s">
        <v>14</v>
      </c>
      <c r="C3245" s="6" t="s">
        <v>37</v>
      </c>
      <c r="D3245" s="6" t="s">
        <v>38</v>
      </c>
      <c r="E3245" s="6" t="s">
        <v>27</v>
      </c>
      <c r="F3245" s="6" t="s">
        <v>31</v>
      </c>
      <c r="G3245" s="6">
        <v>2015</v>
      </c>
      <c r="H3245" s="6">
        <v>7</v>
      </c>
      <c r="I3245" s="10">
        <v>42186</v>
      </c>
      <c r="J3245" s="6">
        <v>2610</v>
      </c>
      <c r="K3245" s="51"/>
      <c r="O3245" t="s">
        <v>14</v>
      </c>
      <c r="P3245" t="s">
        <v>37</v>
      </c>
      <c r="Q3245" t="s">
        <v>38</v>
      </c>
      <c r="R3245" t="s">
        <v>27</v>
      </c>
      <c r="S3245" t="s">
        <v>31</v>
      </c>
      <c r="T3245">
        <v>2015</v>
      </c>
      <c r="U3245">
        <v>7</v>
      </c>
      <c r="V3245" s="51">
        <v>42186</v>
      </c>
      <c r="W3245" s="4">
        <v>2270.7000000000003</v>
      </c>
      <c r="X3245" s="52">
        <v>2610</v>
      </c>
    </row>
    <row r="3246" spans="2:24" x14ac:dyDescent="0.35">
      <c r="B3246" s="6" t="s">
        <v>12</v>
      </c>
      <c r="C3246" s="6" t="s">
        <v>44</v>
      </c>
      <c r="D3246" s="6" t="s">
        <v>13</v>
      </c>
      <c r="E3246" s="6" t="s">
        <v>23</v>
      </c>
      <c r="F3246" s="6" t="s">
        <v>36</v>
      </c>
      <c r="G3246" s="6">
        <v>2015</v>
      </c>
      <c r="H3246" s="6">
        <v>7</v>
      </c>
      <c r="I3246" s="10">
        <v>42186</v>
      </c>
      <c r="J3246" s="6">
        <v>1792</v>
      </c>
      <c r="K3246" s="51"/>
      <c r="O3246" t="s">
        <v>12</v>
      </c>
      <c r="P3246" t="s">
        <v>44</v>
      </c>
      <c r="Q3246" t="s">
        <v>13</v>
      </c>
      <c r="R3246" t="s">
        <v>23</v>
      </c>
      <c r="S3246" t="s">
        <v>36</v>
      </c>
      <c r="T3246">
        <v>2015</v>
      </c>
      <c r="U3246">
        <v>7</v>
      </c>
      <c r="V3246" s="51">
        <v>42186</v>
      </c>
      <c r="W3246" s="4">
        <v>1684.48</v>
      </c>
      <c r="X3246" s="52">
        <v>1792</v>
      </c>
    </row>
    <row r="3247" spans="2:24" x14ac:dyDescent="0.35">
      <c r="B3247" s="6" t="s">
        <v>14</v>
      </c>
      <c r="C3247" s="6" t="s">
        <v>46</v>
      </c>
      <c r="D3247" s="6" t="s">
        <v>47</v>
      </c>
      <c r="E3247" s="6" t="s">
        <v>23</v>
      </c>
      <c r="F3247" s="6" t="s">
        <v>24</v>
      </c>
      <c r="G3247" s="6">
        <v>2015</v>
      </c>
      <c r="H3247" s="6">
        <v>7</v>
      </c>
      <c r="I3247" s="10">
        <v>42186</v>
      </c>
      <c r="J3247" s="6">
        <v>3191</v>
      </c>
      <c r="K3247" s="51"/>
      <c r="O3247" t="s">
        <v>14</v>
      </c>
      <c r="P3247" t="s">
        <v>46</v>
      </c>
      <c r="Q3247" t="s">
        <v>47</v>
      </c>
      <c r="R3247" t="s">
        <v>23</v>
      </c>
      <c r="S3247" t="s">
        <v>24</v>
      </c>
      <c r="T3247">
        <v>2015</v>
      </c>
      <c r="U3247">
        <v>7</v>
      </c>
      <c r="V3247" s="51">
        <v>42186</v>
      </c>
      <c r="W3247" s="4">
        <v>2744.26</v>
      </c>
      <c r="X3247" s="52">
        <v>3191</v>
      </c>
    </row>
    <row r="3248" spans="2:24" x14ac:dyDescent="0.35">
      <c r="B3248" s="6" t="s">
        <v>14</v>
      </c>
      <c r="C3248" s="6" t="s">
        <v>46</v>
      </c>
      <c r="D3248" s="6" t="s">
        <v>47</v>
      </c>
      <c r="E3248" s="6" t="s">
        <v>23</v>
      </c>
      <c r="F3248" s="6" t="s">
        <v>39</v>
      </c>
      <c r="G3248" s="6">
        <v>2015</v>
      </c>
      <c r="H3248" s="6">
        <v>7</v>
      </c>
      <c r="I3248" s="10">
        <v>42186</v>
      </c>
      <c r="J3248" s="6">
        <v>1311</v>
      </c>
      <c r="K3248" s="51"/>
      <c r="O3248" t="s">
        <v>14</v>
      </c>
      <c r="P3248" t="s">
        <v>46</v>
      </c>
      <c r="Q3248" t="s">
        <v>47</v>
      </c>
      <c r="R3248" t="s">
        <v>23</v>
      </c>
      <c r="S3248" t="s">
        <v>39</v>
      </c>
      <c r="T3248">
        <v>2015</v>
      </c>
      <c r="U3248">
        <v>7</v>
      </c>
      <c r="V3248" s="51">
        <v>42186</v>
      </c>
      <c r="W3248" s="4">
        <v>1219.23</v>
      </c>
      <c r="X3248" s="52">
        <v>1311</v>
      </c>
    </row>
    <row r="3249" spans="2:24" x14ac:dyDescent="0.35">
      <c r="B3249" s="6" t="s">
        <v>7</v>
      </c>
      <c r="C3249" s="6" t="s">
        <v>43</v>
      </c>
      <c r="D3249" s="6" t="s">
        <v>10</v>
      </c>
      <c r="E3249" s="6" t="s">
        <v>0</v>
      </c>
      <c r="F3249" s="6" t="s">
        <v>42</v>
      </c>
      <c r="G3249" s="6">
        <v>2015</v>
      </c>
      <c r="H3249" s="6">
        <v>7</v>
      </c>
      <c r="I3249" s="10">
        <v>42186</v>
      </c>
      <c r="J3249" s="6">
        <v>4217</v>
      </c>
      <c r="K3249" s="51"/>
      <c r="O3249" t="s">
        <v>7</v>
      </c>
      <c r="P3249" t="s">
        <v>43</v>
      </c>
      <c r="Q3249" t="s">
        <v>10</v>
      </c>
      <c r="R3249" t="s">
        <v>0</v>
      </c>
      <c r="S3249" t="s">
        <v>42</v>
      </c>
      <c r="T3249">
        <v>2015</v>
      </c>
      <c r="U3249">
        <v>7</v>
      </c>
      <c r="V3249" s="51">
        <v>42186</v>
      </c>
      <c r="W3249" s="4">
        <v>3626.6200000000003</v>
      </c>
      <c r="X3249" s="52">
        <v>4217</v>
      </c>
    </row>
    <row r="3250" spans="2:24" x14ac:dyDescent="0.35">
      <c r="B3250" s="6" t="s">
        <v>6</v>
      </c>
      <c r="C3250" s="6" t="s">
        <v>40</v>
      </c>
      <c r="D3250" s="6" t="s">
        <v>41</v>
      </c>
      <c r="E3250" s="6" t="s">
        <v>27</v>
      </c>
      <c r="F3250" s="6" t="s">
        <v>31</v>
      </c>
      <c r="G3250" s="6">
        <v>2015</v>
      </c>
      <c r="H3250" s="6">
        <v>7</v>
      </c>
      <c r="I3250" s="10">
        <v>42186</v>
      </c>
      <c r="J3250" s="6">
        <v>4091</v>
      </c>
      <c r="K3250" s="51"/>
      <c r="O3250" t="s">
        <v>6</v>
      </c>
      <c r="P3250" t="s">
        <v>40</v>
      </c>
      <c r="Q3250" t="s">
        <v>41</v>
      </c>
      <c r="R3250" t="s">
        <v>27</v>
      </c>
      <c r="S3250" t="s">
        <v>31</v>
      </c>
      <c r="T3250">
        <v>2015</v>
      </c>
      <c r="U3250">
        <v>7</v>
      </c>
      <c r="V3250" s="51">
        <v>42186</v>
      </c>
      <c r="W3250" s="4">
        <v>3477.3500000000004</v>
      </c>
      <c r="X3250" s="52">
        <v>4091</v>
      </c>
    </row>
    <row r="3251" spans="2:24" x14ac:dyDescent="0.35">
      <c r="B3251" s="6" t="s">
        <v>3</v>
      </c>
      <c r="C3251" s="6" t="s">
        <v>22</v>
      </c>
      <c r="D3251" s="6" t="s">
        <v>5</v>
      </c>
      <c r="E3251" s="6" t="s">
        <v>23</v>
      </c>
      <c r="F3251" s="6" t="s">
        <v>39</v>
      </c>
      <c r="G3251" s="6">
        <v>2015</v>
      </c>
      <c r="H3251" s="6">
        <v>7</v>
      </c>
      <c r="I3251" s="10">
        <v>42186</v>
      </c>
      <c r="J3251" s="6">
        <v>2695</v>
      </c>
      <c r="K3251" s="51"/>
      <c r="O3251" t="s">
        <v>3</v>
      </c>
      <c r="P3251" t="s">
        <v>22</v>
      </c>
      <c r="Q3251" t="s">
        <v>5</v>
      </c>
      <c r="R3251" t="s">
        <v>23</v>
      </c>
      <c r="S3251" t="s">
        <v>39</v>
      </c>
      <c r="T3251">
        <v>2015</v>
      </c>
      <c r="U3251">
        <v>7</v>
      </c>
      <c r="V3251" s="51">
        <v>42186</v>
      </c>
      <c r="W3251" s="4">
        <v>2290.75</v>
      </c>
      <c r="X3251" s="52">
        <v>2695</v>
      </c>
    </row>
    <row r="3252" spans="2:24" x14ac:dyDescent="0.35">
      <c r="B3252" s="6" t="s">
        <v>3</v>
      </c>
      <c r="C3252" s="6" t="s">
        <v>22</v>
      </c>
      <c r="D3252" s="6" t="s">
        <v>5</v>
      </c>
      <c r="E3252" s="6" t="s">
        <v>0</v>
      </c>
      <c r="F3252" s="6" t="s">
        <v>42</v>
      </c>
      <c r="G3252" s="6">
        <v>2015</v>
      </c>
      <c r="H3252" s="6">
        <v>7</v>
      </c>
      <c r="I3252" s="10">
        <v>42186</v>
      </c>
      <c r="J3252" s="6">
        <v>5660</v>
      </c>
      <c r="K3252" s="51"/>
      <c r="O3252" t="s">
        <v>3</v>
      </c>
      <c r="P3252" t="s">
        <v>22</v>
      </c>
      <c r="Q3252" t="s">
        <v>5</v>
      </c>
      <c r="R3252" t="s">
        <v>0</v>
      </c>
      <c r="S3252" t="s">
        <v>42</v>
      </c>
      <c r="T3252">
        <v>2015</v>
      </c>
      <c r="U3252">
        <v>7</v>
      </c>
      <c r="V3252" s="51">
        <v>42186</v>
      </c>
      <c r="W3252" s="4">
        <v>5037.3999999999996</v>
      </c>
      <c r="X3252" s="52">
        <v>5660</v>
      </c>
    </row>
    <row r="3253" spans="2:24" x14ac:dyDescent="0.35">
      <c r="B3253" s="6" t="s">
        <v>6</v>
      </c>
      <c r="C3253" s="6" t="s">
        <v>29</v>
      </c>
      <c r="D3253" s="6" t="s">
        <v>30</v>
      </c>
      <c r="E3253" s="6" t="s">
        <v>0</v>
      </c>
      <c r="F3253" s="6" t="s">
        <v>26</v>
      </c>
      <c r="G3253" s="6">
        <v>2015</v>
      </c>
      <c r="H3253" s="6">
        <v>7</v>
      </c>
      <c r="I3253" s="10">
        <v>42186</v>
      </c>
      <c r="J3253" s="6">
        <v>3571</v>
      </c>
      <c r="K3253" s="51"/>
      <c r="O3253" t="s">
        <v>6</v>
      </c>
      <c r="P3253" t="s">
        <v>29</v>
      </c>
      <c r="Q3253" t="s">
        <v>30</v>
      </c>
      <c r="R3253" t="s">
        <v>0</v>
      </c>
      <c r="S3253" t="s">
        <v>26</v>
      </c>
      <c r="T3253">
        <v>2015</v>
      </c>
      <c r="U3253">
        <v>7</v>
      </c>
      <c r="V3253" s="51">
        <v>42186</v>
      </c>
      <c r="W3253" s="4">
        <v>3035.3500000000004</v>
      </c>
      <c r="X3253" s="52">
        <v>3571</v>
      </c>
    </row>
    <row r="3254" spans="2:24" x14ac:dyDescent="0.35">
      <c r="B3254" s="6" t="s">
        <v>7</v>
      </c>
      <c r="C3254" s="6" t="s">
        <v>48</v>
      </c>
      <c r="D3254" s="6" t="s">
        <v>9</v>
      </c>
      <c r="E3254" s="6" t="s">
        <v>27</v>
      </c>
      <c r="F3254" s="6" t="s">
        <v>28</v>
      </c>
      <c r="G3254" s="6">
        <v>2015</v>
      </c>
      <c r="H3254" s="6">
        <v>7</v>
      </c>
      <c r="I3254" s="10">
        <v>42186</v>
      </c>
      <c r="J3254" s="6">
        <v>3517</v>
      </c>
      <c r="K3254" s="51"/>
      <c r="O3254" t="s">
        <v>7</v>
      </c>
      <c r="P3254" t="s">
        <v>48</v>
      </c>
      <c r="Q3254" t="s">
        <v>9</v>
      </c>
      <c r="R3254" t="s">
        <v>27</v>
      </c>
      <c r="S3254" t="s">
        <v>28</v>
      </c>
      <c r="T3254">
        <v>2015</v>
      </c>
      <c r="U3254">
        <v>7</v>
      </c>
      <c r="V3254" s="51">
        <v>42186</v>
      </c>
      <c r="W3254" s="4">
        <v>2989.4500000000003</v>
      </c>
      <c r="X3254" s="52">
        <v>3517</v>
      </c>
    </row>
    <row r="3255" spans="2:24" x14ac:dyDescent="0.35">
      <c r="B3255" s="6" t="s">
        <v>7</v>
      </c>
      <c r="C3255" s="6" t="s">
        <v>48</v>
      </c>
      <c r="D3255" s="6" t="s">
        <v>9</v>
      </c>
      <c r="E3255" s="6" t="s">
        <v>27</v>
      </c>
      <c r="F3255" s="6" t="s">
        <v>31</v>
      </c>
      <c r="G3255" s="6">
        <v>2015</v>
      </c>
      <c r="H3255" s="6">
        <v>7</v>
      </c>
      <c r="I3255" s="10">
        <v>42186</v>
      </c>
      <c r="J3255" s="6">
        <v>4658</v>
      </c>
      <c r="K3255" s="51"/>
      <c r="O3255" t="s">
        <v>7</v>
      </c>
      <c r="P3255" t="s">
        <v>48</v>
      </c>
      <c r="Q3255" t="s">
        <v>9</v>
      </c>
      <c r="R3255" t="s">
        <v>27</v>
      </c>
      <c r="S3255" t="s">
        <v>31</v>
      </c>
      <c r="T3255">
        <v>2015</v>
      </c>
      <c r="U3255">
        <v>7</v>
      </c>
      <c r="V3255" s="51">
        <v>42186</v>
      </c>
      <c r="W3255" s="4">
        <v>4005.8800000000006</v>
      </c>
      <c r="X3255" s="52">
        <v>4658</v>
      </c>
    </row>
    <row r="3256" spans="2:24" x14ac:dyDescent="0.35">
      <c r="B3256" s="6" t="s">
        <v>7</v>
      </c>
      <c r="C3256" s="6" t="s">
        <v>49</v>
      </c>
      <c r="D3256" s="6" t="s">
        <v>11</v>
      </c>
      <c r="E3256" s="6" t="s">
        <v>27</v>
      </c>
      <c r="F3256" s="6" t="s">
        <v>33</v>
      </c>
      <c r="G3256" s="6">
        <v>2015</v>
      </c>
      <c r="H3256" s="6">
        <v>7</v>
      </c>
      <c r="I3256" s="10">
        <v>42186</v>
      </c>
      <c r="J3256" s="6">
        <v>3848</v>
      </c>
      <c r="K3256" s="51"/>
      <c r="O3256" t="s">
        <v>7</v>
      </c>
      <c r="P3256" t="s">
        <v>49</v>
      </c>
      <c r="Q3256" t="s">
        <v>11</v>
      </c>
      <c r="R3256" t="s">
        <v>27</v>
      </c>
      <c r="S3256" t="s">
        <v>33</v>
      </c>
      <c r="T3256">
        <v>2015</v>
      </c>
      <c r="U3256">
        <v>7</v>
      </c>
      <c r="V3256" s="51">
        <v>42186</v>
      </c>
      <c r="W3256" s="4">
        <v>3309.2800000000007</v>
      </c>
      <c r="X3256" s="52">
        <v>3848</v>
      </c>
    </row>
    <row r="3257" spans="2:24" x14ac:dyDescent="0.35">
      <c r="B3257" s="6" t="s">
        <v>7</v>
      </c>
      <c r="C3257" s="6" t="s">
        <v>49</v>
      </c>
      <c r="D3257" s="6" t="s">
        <v>11</v>
      </c>
      <c r="E3257" s="6" t="s">
        <v>23</v>
      </c>
      <c r="F3257" s="6" t="s">
        <v>36</v>
      </c>
      <c r="G3257" s="6">
        <v>2015</v>
      </c>
      <c r="H3257" s="6">
        <v>7</v>
      </c>
      <c r="I3257" s="10">
        <v>42186</v>
      </c>
      <c r="J3257" s="6">
        <v>2613</v>
      </c>
      <c r="K3257" s="51"/>
      <c r="O3257" t="s">
        <v>7</v>
      </c>
      <c r="P3257" t="s">
        <v>49</v>
      </c>
      <c r="Q3257" t="s">
        <v>11</v>
      </c>
      <c r="R3257" t="s">
        <v>23</v>
      </c>
      <c r="S3257" t="s">
        <v>36</v>
      </c>
      <c r="T3257">
        <v>2015</v>
      </c>
      <c r="U3257">
        <v>7</v>
      </c>
      <c r="V3257" s="51">
        <v>42186</v>
      </c>
      <c r="W3257" s="4">
        <v>2377.83</v>
      </c>
      <c r="X3257" s="52">
        <v>2613</v>
      </c>
    </row>
    <row r="3258" spans="2:24" x14ac:dyDescent="0.35">
      <c r="B3258" s="6" t="s">
        <v>7</v>
      </c>
      <c r="C3258" s="6" t="s">
        <v>43</v>
      </c>
      <c r="D3258" s="6" t="s">
        <v>10</v>
      </c>
      <c r="E3258" s="6" t="s">
        <v>23</v>
      </c>
      <c r="F3258" s="6" t="s">
        <v>36</v>
      </c>
      <c r="G3258" s="6">
        <v>2015</v>
      </c>
      <c r="H3258" s="6">
        <v>7</v>
      </c>
      <c r="I3258" s="10">
        <v>42186</v>
      </c>
      <c r="J3258" s="6">
        <v>1852</v>
      </c>
      <c r="K3258" s="51"/>
      <c r="O3258" t="s">
        <v>7</v>
      </c>
      <c r="P3258" t="s">
        <v>43</v>
      </c>
      <c r="Q3258" t="s">
        <v>10</v>
      </c>
      <c r="R3258" t="s">
        <v>23</v>
      </c>
      <c r="S3258" t="s">
        <v>36</v>
      </c>
      <c r="T3258">
        <v>2015</v>
      </c>
      <c r="U3258">
        <v>7</v>
      </c>
      <c r="V3258" s="51">
        <v>42186</v>
      </c>
      <c r="W3258" s="4">
        <v>1685.32</v>
      </c>
      <c r="X3258" s="52">
        <v>1852</v>
      </c>
    </row>
    <row r="3259" spans="2:24" x14ac:dyDescent="0.35">
      <c r="B3259" s="6" t="s">
        <v>6</v>
      </c>
      <c r="C3259" s="6" t="s">
        <v>40</v>
      </c>
      <c r="D3259" s="6" t="s">
        <v>41</v>
      </c>
      <c r="E3259" s="6" t="s">
        <v>0</v>
      </c>
      <c r="F3259" s="6" t="s">
        <v>45</v>
      </c>
      <c r="G3259" s="6">
        <v>2015</v>
      </c>
      <c r="H3259" s="6">
        <v>7</v>
      </c>
      <c r="I3259" s="10">
        <v>42186</v>
      </c>
      <c r="J3259" s="6">
        <v>4798</v>
      </c>
      <c r="K3259" s="51"/>
      <c r="O3259" t="s">
        <v>6</v>
      </c>
      <c r="P3259" t="s">
        <v>40</v>
      </c>
      <c r="Q3259" t="s">
        <v>41</v>
      </c>
      <c r="R3259" t="s">
        <v>0</v>
      </c>
      <c r="S3259" t="s">
        <v>45</v>
      </c>
      <c r="T3259">
        <v>2015</v>
      </c>
      <c r="U3259">
        <v>7</v>
      </c>
      <c r="V3259" s="51">
        <v>42186</v>
      </c>
      <c r="W3259" s="4">
        <v>4414.16</v>
      </c>
      <c r="X3259" s="52">
        <v>4798</v>
      </c>
    </row>
    <row r="3260" spans="2:24" x14ac:dyDescent="0.35">
      <c r="B3260" s="6" t="s">
        <v>7</v>
      </c>
      <c r="C3260" s="6" t="s">
        <v>32</v>
      </c>
      <c r="D3260" s="6" t="s">
        <v>8</v>
      </c>
      <c r="E3260" s="6" t="s">
        <v>27</v>
      </c>
      <c r="F3260" s="6" t="s">
        <v>28</v>
      </c>
      <c r="G3260" s="6">
        <v>2015</v>
      </c>
      <c r="H3260" s="6">
        <v>7</v>
      </c>
      <c r="I3260" s="10">
        <v>42186</v>
      </c>
      <c r="J3260" s="6">
        <v>4872</v>
      </c>
      <c r="K3260" s="51"/>
      <c r="O3260" t="s">
        <v>7</v>
      </c>
      <c r="P3260" t="s">
        <v>32</v>
      </c>
      <c r="Q3260" t="s">
        <v>8</v>
      </c>
      <c r="R3260" t="s">
        <v>27</v>
      </c>
      <c r="S3260" t="s">
        <v>28</v>
      </c>
      <c r="T3260">
        <v>2015</v>
      </c>
      <c r="U3260">
        <v>7</v>
      </c>
      <c r="V3260" s="51">
        <v>42186</v>
      </c>
      <c r="W3260" s="4">
        <v>4287.3599999999997</v>
      </c>
      <c r="X3260" s="52">
        <v>4872</v>
      </c>
    </row>
    <row r="3261" spans="2:24" x14ac:dyDescent="0.35">
      <c r="B3261" s="6" t="s">
        <v>7</v>
      </c>
      <c r="C3261" s="6" t="s">
        <v>32</v>
      </c>
      <c r="D3261" s="6" t="s">
        <v>8</v>
      </c>
      <c r="E3261" s="6" t="s">
        <v>27</v>
      </c>
      <c r="F3261" s="6" t="s">
        <v>31</v>
      </c>
      <c r="G3261" s="6">
        <v>2015</v>
      </c>
      <c r="H3261" s="6">
        <v>7</v>
      </c>
      <c r="I3261" s="10">
        <v>42186</v>
      </c>
      <c r="J3261" s="6">
        <v>3771</v>
      </c>
      <c r="K3261" s="51"/>
      <c r="O3261" t="s">
        <v>7</v>
      </c>
      <c r="P3261" t="s">
        <v>32</v>
      </c>
      <c r="Q3261" t="s">
        <v>8</v>
      </c>
      <c r="R3261" t="s">
        <v>27</v>
      </c>
      <c r="S3261" t="s">
        <v>31</v>
      </c>
      <c r="T3261">
        <v>2015</v>
      </c>
      <c r="U3261">
        <v>7</v>
      </c>
      <c r="V3261" s="51">
        <v>42186</v>
      </c>
      <c r="W3261" s="4">
        <v>3205.3500000000004</v>
      </c>
      <c r="X3261" s="52">
        <v>3771</v>
      </c>
    </row>
    <row r="3262" spans="2:24" x14ac:dyDescent="0.35">
      <c r="B3262" s="6" t="s">
        <v>6</v>
      </c>
      <c r="C3262" s="6" t="s">
        <v>29</v>
      </c>
      <c r="D3262" s="6" t="s">
        <v>30</v>
      </c>
      <c r="E3262" s="6" t="s">
        <v>23</v>
      </c>
      <c r="F3262" s="6" t="s">
        <v>24</v>
      </c>
      <c r="G3262" s="6">
        <v>2015</v>
      </c>
      <c r="H3262" s="6">
        <v>7</v>
      </c>
      <c r="I3262" s="10">
        <v>42186</v>
      </c>
      <c r="J3262" s="6">
        <v>2530</v>
      </c>
      <c r="K3262" s="51"/>
      <c r="O3262" t="s">
        <v>6</v>
      </c>
      <c r="P3262" t="s">
        <v>29</v>
      </c>
      <c r="Q3262" t="s">
        <v>30</v>
      </c>
      <c r="R3262" t="s">
        <v>23</v>
      </c>
      <c r="S3262" t="s">
        <v>24</v>
      </c>
      <c r="T3262">
        <v>2015</v>
      </c>
      <c r="U3262">
        <v>7</v>
      </c>
      <c r="V3262" s="51">
        <v>42186</v>
      </c>
      <c r="W3262" s="4">
        <v>2327.6</v>
      </c>
      <c r="X3262" s="52">
        <v>2530</v>
      </c>
    </row>
    <row r="3263" spans="2:24" x14ac:dyDescent="0.35">
      <c r="B3263" s="6" t="s">
        <v>7</v>
      </c>
      <c r="C3263" s="6" t="s">
        <v>48</v>
      </c>
      <c r="D3263" s="6" t="s">
        <v>9</v>
      </c>
      <c r="E3263" s="6" t="s">
        <v>0</v>
      </c>
      <c r="F3263" s="6" t="s">
        <v>42</v>
      </c>
      <c r="G3263" s="6">
        <v>2015</v>
      </c>
      <c r="H3263" s="6">
        <v>7</v>
      </c>
      <c r="I3263" s="10">
        <v>42186</v>
      </c>
      <c r="J3263" s="6">
        <v>4684</v>
      </c>
      <c r="K3263" s="51"/>
      <c r="O3263" t="s">
        <v>7</v>
      </c>
      <c r="P3263" t="s">
        <v>48</v>
      </c>
      <c r="Q3263" t="s">
        <v>9</v>
      </c>
      <c r="R3263" t="s">
        <v>0</v>
      </c>
      <c r="S3263" t="s">
        <v>42</v>
      </c>
      <c r="T3263">
        <v>2015</v>
      </c>
      <c r="U3263">
        <v>7</v>
      </c>
      <c r="V3263" s="51">
        <v>42186</v>
      </c>
      <c r="W3263" s="4">
        <v>4215.5999999999995</v>
      </c>
      <c r="X3263" s="52">
        <v>4684</v>
      </c>
    </row>
    <row r="3264" spans="2:24" x14ac:dyDescent="0.35">
      <c r="B3264" s="6" t="s">
        <v>7</v>
      </c>
      <c r="C3264" s="6" t="s">
        <v>48</v>
      </c>
      <c r="D3264" s="6" t="s">
        <v>9</v>
      </c>
      <c r="E3264" s="6" t="s">
        <v>0</v>
      </c>
      <c r="F3264" s="6" t="s">
        <v>26</v>
      </c>
      <c r="G3264" s="6">
        <v>2015</v>
      </c>
      <c r="H3264" s="6">
        <v>7</v>
      </c>
      <c r="I3264" s="10">
        <v>42186</v>
      </c>
      <c r="J3264" s="6">
        <v>5549</v>
      </c>
      <c r="K3264" s="51"/>
      <c r="O3264" t="s">
        <v>7</v>
      </c>
      <c r="P3264" t="s">
        <v>48</v>
      </c>
      <c r="Q3264" t="s">
        <v>9</v>
      </c>
      <c r="R3264" t="s">
        <v>0</v>
      </c>
      <c r="S3264" t="s">
        <v>26</v>
      </c>
      <c r="T3264">
        <v>2015</v>
      </c>
      <c r="U3264">
        <v>7</v>
      </c>
      <c r="V3264" s="51">
        <v>42186</v>
      </c>
      <c r="W3264" s="4">
        <v>4772.1400000000003</v>
      </c>
      <c r="X3264" s="52">
        <v>5549</v>
      </c>
    </row>
    <row r="3265" spans="2:24" x14ac:dyDescent="0.35">
      <c r="B3265" s="6" t="s">
        <v>7</v>
      </c>
      <c r="C3265" s="6" t="s">
        <v>49</v>
      </c>
      <c r="D3265" s="6" t="s">
        <v>11</v>
      </c>
      <c r="E3265" s="6" t="s">
        <v>0</v>
      </c>
      <c r="F3265" s="6" t="s">
        <v>45</v>
      </c>
      <c r="G3265" s="6">
        <v>2015</v>
      </c>
      <c r="H3265" s="6">
        <v>7</v>
      </c>
      <c r="I3265" s="10">
        <v>42186</v>
      </c>
      <c r="J3265" s="6">
        <v>2552</v>
      </c>
      <c r="K3265" s="51"/>
      <c r="O3265" t="s">
        <v>7</v>
      </c>
      <c r="P3265" t="s">
        <v>49</v>
      </c>
      <c r="Q3265" t="s">
        <v>11</v>
      </c>
      <c r="R3265" t="s">
        <v>0</v>
      </c>
      <c r="S3265" t="s">
        <v>45</v>
      </c>
      <c r="T3265">
        <v>2015</v>
      </c>
      <c r="U3265">
        <v>7</v>
      </c>
      <c r="V3265" s="51">
        <v>42186</v>
      </c>
      <c r="W3265" s="4">
        <v>2169.2000000000003</v>
      </c>
      <c r="X3265" s="52">
        <v>2552</v>
      </c>
    </row>
    <row r="3266" spans="2:24" x14ac:dyDescent="0.35">
      <c r="B3266" s="6" t="s">
        <v>7</v>
      </c>
      <c r="C3266" s="6" t="s">
        <v>49</v>
      </c>
      <c r="D3266" s="6" t="s">
        <v>11</v>
      </c>
      <c r="E3266" s="6" t="s">
        <v>27</v>
      </c>
      <c r="F3266" s="6" t="s">
        <v>28</v>
      </c>
      <c r="G3266" s="6">
        <v>2015</v>
      </c>
      <c r="H3266" s="6">
        <v>7</v>
      </c>
      <c r="I3266" s="10">
        <v>42186</v>
      </c>
      <c r="J3266" s="6">
        <v>4761</v>
      </c>
      <c r="K3266" s="51"/>
      <c r="O3266" t="s">
        <v>7</v>
      </c>
      <c r="P3266" t="s">
        <v>49</v>
      </c>
      <c r="Q3266" t="s">
        <v>11</v>
      </c>
      <c r="R3266" t="s">
        <v>27</v>
      </c>
      <c r="S3266" t="s">
        <v>28</v>
      </c>
      <c r="T3266">
        <v>2015</v>
      </c>
      <c r="U3266">
        <v>7</v>
      </c>
      <c r="V3266" s="51">
        <v>42186</v>
      </c>
      <c r="W3266" s="4">
        <v>4189.6799999999994</v>
      </c>
      <c r="X3266" s="52">
        <v>4761</v>
      </c>
    </row>
    <row r="3267" spans="2:24" x14ac:dyDescent="0.35">
      <c r="B3267" s="6" t="s">
        <v>12</v>
      </c>
      <c r="C3267" s="6" t="s">
        <v>34</v>
      </c>
      <c r="D3267" s="6" t="s">
        <v>35</v>
      </c>
      <c r="E3267" s="6" t="s">
        <v>27</v>
      </c>
      <c r="F3267" s="6" t="s">
        <v>31</v>
      </c>
      <c r="G3267" s="6">
        <v>2015</v>
      </c>
      <c r="H3267" s="6">
        <v>7</v>
      </c>
      <c r="I3267" s="10">
        <v>42186</v>
      </c>
      <c r="J3267" s="6">
        <v>2601</v>
      </c>
      <c r="K3267" s="51"/>
      <c r="O3267" t="s">
        <v>12</v>
      </c>
      <c r="P3267" t="s">
        <v>34</v>
      </c>
      <c r="Q3267" t="s">
        <v>35</v>
      </c>
      <c r="R3267" t="s">
        <v>27</v>
      </c>
      <c r="S3267" t="s">
        <v>31</v>
      </c>
      <c r="T3267">
        <v>2015</v>
      </c>
      <c r="U3267">
        <v>7</v>
      </c>
      <c r="V3267" s="51">
        <v>42186</v>
      </c>
      <c r="W3267" s="4">
        <v>2366.91</v>
      </c>
      <c r="X3267" s="52">
        <v>2601</v>
      </c>
    </row>
    <row r="3268" spans="2:24" x14ac:dyDescent="0.35">
      <c r="B3268" s="6" t="s">
        <v>12</v>
      </c>
      <c r="C3268" s="6" t="s">
        <v>34</v>
      </c>
      <c r="D3268" s="6" t="s">
        <v>35</v>
      </c>
      <c r="E3268" s="6" t="s">
        <v>27</v>
      </c>
      <c r="F3268" s="6" t="s">
        <v>33</v>
      </c>
      <c r="G3268" s="6">
        <v>2015</v>
      </c>
      <c r="H3268" s="6">
        <v>7</v>
      </c>
      <c r="I3268" s="10">
        <v>42186</v>
      </c>
      <c r="J3268" s="6">
        <v>2851</v>
      </c>
      <c r="K3268" s="51"/>
      <c r="O3268" t="s">
        <v>12</v>
      </c>
      <c r="P3268" t="s">
        <v>34</v>
      </c>
      <c r="Q3268" t="s">
        <v>35</v>
      </c>
      <c r="R3268" t="s">
        <v>27</v>
      </c>
      <c r="S3268" t="s">
        <v>33</v>
      </c>
      <c r="T3268">
        <v>2015</v>
      </c>
      <c r="U3268">
        <v>7</v>
      </c>
      <c r="V3268" s="51">
        <v>42186</v>
      </c>
      <c r="W3268" s="4">
        <v>2537.39</v>
      </c>
      <c r="X3268" s="52">
        <v>2851</v>
      </c>
    </row>
    <row r="3269" spans="2:24" x14ac:dyDescent="0.35">
      <c r="B3269" s="6" t="s">
        <v>14</v>
      </c>
      <c r="C3269" s="6" t="s">
        <v>37</v>
      </c>
      <c r="D3269" s="6" t="s">
        <v>38</v>
      </c>
      <c r="E3269" s="6" t="s">
        <v>23</v>
      </c>
      <c r="F3269" s="6" t="s">
        <v>36</v>
      </c>
      <c r="G3269" s="6">
        <v>2015</v>
      </c>
      <c r="H3269" s="6">
        <v>7</v>
      </c>
      <c r="I3269" s="10">
        <v>42186</v>
      </c>
      <c r="J3269" s="6">
        <v>1722</v>
      </c>
      <c r="K3269" s="51"/>
      <c r="O3269" t="s">
        <v>14</v>
      </c>
      <c r="P3269" t="s">
        <v>37</v>
      </c>
      <c r="Q3269" t="s">
        <v>38</v>
      </c>
      <c r="R3269" t="s">
        <v>23</v>
      </c>
      <c r="S3269" t="s">
        <v>36</v>
      </c>
      <c r="T3269">
        <v>2015</v>
      </c>
      <c r="U3269">
        <v>7</v>
      </c>
      <c r="V3269" s="51">
        <v>42186</v>
      </c>
      <c r="W3269" s="4">
        <v>1601.4599999999998</v>
      </c>
      <c r="X3269" s="52">
        <v>1722</v>
      </c>
    </row>
    <row r="3270" spans="2:24" x14ac:dyDescent="0.35">
      <c r="B3270" s="6" t="s">
        <v>12</v>
      </c>
      <c r="C3270" s="6" t="s">
        <v>44</v>
      </c>
      <c r="D3270" s="6" t="s">
        <v>13</v>
      </c>
      <c r="E3270" s="6" t="s">
        <v>23</v>
      </c>
      <c r="F3270" s="6" t="s">
        <v>39</v>
      </c>
      <c r="G3270" s="6">
        <v>2015</v>
      </c>
      <c r="H3270" s="6">
        <v>7</v>
      </c>
      <c r="I3270" s="10">
        <v>42186</v>
      </c>
      <c r="J3270" s="6">
        <v>2128</v>
      </c>
      <c r="K3270" s="51"/>
      <c r="O3270" t="s">
        <v>12</v>
      </c>
      <c r="P3270" t="s">
        <v>44</v>
      </c>
      <c r="Q3270" t="s">
        <v>13</v>
      </c>
      <c r="R3270" t="s">
        <v>23</v>
      </c>
      <c r="S3270" t="s">
        <v>39</v>
      </c>
      <c r="T3270">
        <v>2015</v>
      </c>
      <c r="U3270">
        <v>7</v>
      </c>
      <c r="V3270" s="51">
        <v>42186</v>
      </c>
      <c r="W3270" s="4">
        <v>1893.9199999999998</v>
      </c>
      <c r="X3270" s="52">
        <v>2128</v>
      </c>
    </row>
    <row r="3271" spans="2:24" x14ac:dyDescent="0.35">
      <c r="B3271" s="6" t="s">
        <v>12</v>
      </c>
      <c r="C3271" s="6" t="s">
        <v>44</v>
      </c>
      <c r="D3271" s="6" t="s">
        <v>13</v>
      </c>
      <c r="E3271" s="6" t="s">
        <v>0</v>
      </c>
      <c r="F3271" s="6" t="s">
        <v>42</v>
      </c>
      <c r="G3271" s="6">
        <v>2015</v>
      </c>
      <c r="H3271" s="6">
        <v>7</v>
      </c>
      <c r="I3271" s="10">
        <v>42186</v>
      </c>
      <c r="J3271" s="6">
        <v>5423</v>
      </c>
      <c r="K3271" s="51"/>
      <c r="O3271" t="s">
        <v>12</v>
      </c>
      <c r="P3271" t="s">
        <v>44</v>
      </c>
      <c r="Q3271" t="s">
        <v>13</v>
      </c>
      <c r="R3271" t="s">
        <v>0</v>
      </c>
      <c r="S3271" t="s">
        <v>42</v>
      </c>
      <c r="T3271">
        <v>2015</v>
      </c>
      <c r="U3271">
        <v>7</v>
      </c>
      <c r="V3271" s="51">
        <v>42186</v>
      </c>
      <c r="W3271" s="4">
        <v>4609.55</v>
      </c>
      <c r="X3271" s="52">
        <v>5423</v>
      </c>
    </row>
    <row r="3272" spans="2:24" x14ac:dyDescent="0.35">
      <c r="B3272" s="6" t="s">
        <v>14</v>
      </c>
      <c r="C3272" s="6" t="s">
        <v>46</v>
      </c>
      <c r="D3272" s="6" t="s">
        <v>47</v>
      </c>
      <c r="E3272" s="6" t="s">
        <v>0</v>
      </c>
      <c r="F3272" s="6" t="s">
        <v>26</v>
      </c>
      <c r="G3272" s="6">
        <v>2015</v>
      </c>
      <c r="H3272" s="6">
        <v>7</v>
      </c>
      <c r="I3272" s="10">
        <v>42186</v>
      </c>
      <c r="J3272" s="6">
        <v>2714</v>
      </c>
      <c r="K3272" s="51"/>
      <c r="O3272" t="s">
        <v>14</v>
      </c>
      <c r="P3272" t="s">
        <v>46</v>
      </c>
      <c r="Q3272" t="s">
        <v>47</v>
      </c>
      <c r="R3272" t="s">
        <v>0</v>
      </c>
      <c r="S3272" t="s">
        <v>26</v>
      </c>
      <c r="T3272">
        <v>2015</v>
      </c>
      <c r="U3272">
        <v>7</v>
      </c>
      <c r="V3272" s="51">
        <v>42186</v>
      </c>
      <c r="W3272" s="4">
        <v>2524.02</v>
      </c>
      <c r="X3272" s="52">
        <v>2714</v>
      </c>
    </row>
    <row r="3273" spans="2:24" x14ac:dyDescent="0.35">
      <c r="B3273" s="6" t="s">
        <v>14</v>
      </c>
      <c r="C3273" s="6" t="s">
        <v>46</v>
      </c>
      <c r="D3273" s="6" t="s">
        <v>47</v>
      </c>
      <c r="E3273" s="6" t="s">
        <v>0</v>
      </c>
      <c r="F3273" s="6" t="s">
        <v>45</v>
      </c>
      <c r="G3273" s="6">
        <v>2015</v>
      </c>
      <c r="H3273" s="6">
        <v>7</v>
      </c>
      <c r="I3273" s="10">
        <v>42186</v>
      </c>
      <c r="J3273" s="6">
        <v>2737</v>
      </c>
      <c r="K3273" s="51"/>
      <c r="O3273" t="s">
        <v>14</v>
      </c>
      <c r="P3273" t="s">
        <v>46</v>
      </c>
      <c r="Q3273" t="s">
        <v>47</v>
      </c>
      <c r="R3273" t="s">
        <v>0</v>
      </c>
      <c r="S3273" t="s">
        <v>45</v>
      </c>
      <c r="T3273">
        <v>2015</v>
      </c>
      <c r="U3273">
        <v>7</v>
      </c>
      <c r="V3273" s="51">
        <v>42186</v>
      </c>
      <c r="W3273" s="4">
        <v>2353.8200000000002</v>
      </c>
      <c r="X3273" s="52">
        <v>2737</v>
      </c>
    </row>
    <row r="3274" spans="2:24" x14ac:dyDescent="0.35">
      <c r="B3274" s="6" t="s">
        <v>3</v>
      </c>
      <c r="C3274" s="6" t="s">
        <v>25</v>
      </c>
      <c r="D3274" s="6" t="s">
        <v>4</v>
      </c>
      <c r="E3274" s="6" t="s">
        <v>27</v>
      </c>
      <c r="F3274" s="6" t="s">
        <v>33</v>
      </c>
      <c r="G3274" s="6">
        <v>2015</v>
      </c>
      <c r="H3274" s="6">
        <v>7</v>
      </c>
      <c r="I3274" s="10">
        <v>42186</v>
      </c>
      <c r="J3274" s="6">
        <v>4029</v>
      </c>
      <c r="K3274" s="51"/>
      <c r="O3274" t="s">
        <v>3</v>
      </c>
      <c r="P3274" t="s">
        <v>25</v>
      </c>
      <c r="Q3274" t="s">
        <v>4</v>
      </c>
      <c r="R3274" t="s">
        <v>27</v>
      </c>
      <c r="S3274" t="s">
        <v>33</v>
      </c>
      <c r="T3274">
        <v>2015</v>
      </c>
      <c r="U3274">
        <v>7</v>
      </c>
      <c r="V3274" s="51">
        <v>42186</v>
      </c>
      <c r="W3274" s="4">
        <v>3545.5199999999995</v>
      </c>
      <c r="X3274" s="52">
        <v>4029</v>
      </c>
    </row>
    <row r="3275" spans="2:24" x14ac:dyDescent="0.35">
      <c r="B3275" s="6" t="s">
        <v>3</v>
      </c>
      <c r="C3275" s="6" t="s">
        <v>25</v>
      </c>
      <c r="D3275" s="6" t="s">
        <v>4</v>
      </c>
      <c r="E3275" s="6" t="s">
        <v>23</v>
      </c>
      <c r="F3275" s="6" t="s">
        <v>36</v>
      </c>
      <c r="G3275" s="6">
        <v>2015</v>
      </c>
      <c r="H3275" s="6">
        <v>7</v>
      </c>
      <c r="I3275" s="10">
        <v>42186</v>
      </c>
      <c r="J3275" s="6">
        <v>2016</v>
      </c>
      <c r="K3275" s="51"/>
      <c r="O3275" t="s">
        <v>3</v>
      </c>
      <c r="P3275" t="s">
        <v>25</v>
      </c>
      <c r="Q3275" t="s">
        <v>4</v>
      </c>
      <c r="R3275" t="s">
        <v>23</v>
      </c>
      <c r="S3275" t="s">
        <v>36</v>
      </c>
      <c r="T3275">
        <v>2015</v>
      </c>
      <c r="U3275">
        <v>7</v>
      </c>
      <c r="V3275" s="51">
        <v>42186</v>
      </c>
      <c r="W3275" s="4">
        <v>1794.2399999999998</v>
      </c>
      <c r="X3275" s="52">
        <v>2016</v>
      </c>
    </row>
    <row r="3276" spans="2:24" x14ac:dyDescent="0.35">
      <c r="B3276" s="6" t="s">
        <v>6</v>
      </c>
      <c r="C3276" s="6" t="s">
        <v>40</v>
      </c>
      <c r="D3276" s="6" t="s">
        <v>41</v>
      </c>
      <c r="E3276" s="6" t="s">
        <v>23</v>
      </c>
      <c r="F3276" s="6" t="s">
        <v>39</v>
      </c>
      <c r="G3276" s="6">
        <v>2015</v>
      </c>
      <c r="H3276" s="6">
        <v>7</v>
      </c>
      <c r="I3276" s="10">
        <v>42186</v>
      </c>
      <c r="J3276" s="6">
        <v>2012</v>
      </c>
      <c r="K3276" s="51"/>
      <c r="O3276" t="s">
        <v>6</v>
      </c>
      <c r="P3276" t="s">
        <v>40</v>
      </c>
      <c r="Q3276" t="s">
        <v>41</v>
      </c>
      <c r="R3276" t="s">
        <v>23</v>
      </c>
      <c r="S3276" t="s">
        <v>39</v>
      </c>
      <c r="T3276">
        <v>2015</v>
      </c>
      <c r="U3276">
        <v>7</v>
      </c>
      <c r="V3276" s="51">
        <v>42186</v>
      </c>
      <c r="W3276" s="4">
        <v>1871.1599999999999</v>
      </c>
      <c r="X3276" s="52">
        <v>2012</v>
      </c>
    </row>
    <row r="3277" spans="2:24" x14ac:dyDescent="0.35">
      <c r="B3277" s="6" t="s">
        <v>7</v>
      </c>
      <c r="C3277" s="6" t="s">
        <v>48</v>
      </c>
      <c r="D3277" s="6" t="s">
        <v>9</v>
      </c>
      <c r="E3277" s="6" t="s">
        <v>0</v>
      </c>
      <c r="F3277" s="6" t="s">
        <v>45</v>
      </c>
      <c r="G3277" s="6">
        <v>2015</v>
      </c>
      <c r="H3277" s="6">
        <v>7</v>
      </c>
      <c r="I3277" s="10">
        <v>42186</v>
      </c>
      <c r="J3277" s="6">
        <v>2774</v>
      </c>
      <c r="K3277" s="51"/>
      <c r="O3277" t="s">
        <v>7</v>
      </c>
      <c r="P3277" t="s">
        <v>48</v>
      </c>
      <c r="Q3277" t="s">
        <v>9</v>
      </c>
      <c r="R3277" t="s">
        <v>0</v>
      </c>
      <c r="S3277" t="s">
        <v>45</v>
      </c>
      <c r="T3277">
        <v>2015</v>
      </c>
      <c r="U3277">
        <v>7</v>
      </c>
      <c r="V3277" s="51">
        <v>42186</v>
      </c>
      <c r="W3277" s="4">
        <v>2357.9</v>
      </c>
      <c r="X3277" s="52">
        <v>2774</v>
      </c>
    </row>
    <row r="3278" spans="2:24" x14ac:dyDescent="0.35">
      <c r="B3278" s="6" t="s">
        <v>7</v>
      </c>
      <c r="C3278" s="6" t="s">
        <v>49</v>
      </c>
      <c r="D3278" s="6" t="s">
        <v>11</v>
      </c>
      <c r="E3278" s="6" t="s">
        <v>27</v>
      </c>
      <c r="F3278" s="6" t="s">
        <v>31</v>
      </c>
      <c r="G3278" s="6">
        <v>2015</v>
      </c>
      <c r="H3278" s="6">
        <v>7</v>
      </c>
      <c r="I3278" s="10">
        <v>42186</v>
      </c>
      <c r="J3278" s="6">
        <v>4388</v>
      </c>
      <c r="K3278" s="51"/>
      <c r="O3278" t="s">
        <v>7</v>
      </c>
      <c r="P3278" t="s">
        <v>49</v>
      </c>
      <c r="Q3278" t="s">
        <v>11</v>
      </c>
      <c r="R3278" t="s">
        <v>27</v>
      </c>
      <c r="S3278" t="s">
        <v>31</v>
      </c>
      <c r="T3278">
        <v>2015</v>
      </c>
      <c r="U3278">
        <v>7</v>
      </c>
      <c r="V3278" s="51">
        <v>42186</v>
      </c>
      <c r="W3278" s="4">
        <v>4036.9599999999996</v>
      </c>
      <c r="X3278" s="52">
        <v>4388</v>
      </c>
    </row>
    <row r="3279" spans="2:24" x14ac:dyDescent="0.35">
      <c r="B3279" s="6" t="s">
        <v>7</v>
      </c>
      <c r="C3279" s="6" t="s">
        <v>43</v>
      </c>
      <c r="D3279" s="6" t="s">
        <v>10</v>
      </c>
      <c r="E3279" s="6" t="s">
        <v>27</v>
      </c>
      <c r="F3279" s="6" t="s">
        <v>33</v>
      </c>
      <c r="G3279" s="6">
        <v>2015</v>
      </c>
      <c r="H3279" s="6">
        <v>7</v>
      </c>
      <c r="I3279" s="10">
        <v>42186</v>
      </c>
      <c r="J3279" s="6">
        <v>3676</v>
      </c>
      <c r="K3279" s="51"/>
      <c r="O3279" t="s">
        <v>7</v>
      </c>
      <c r="P3279" t="s">
        <v>43</v>
      </c>
      <c r="Q3279" t="s">
        <v>10</v>
      </c>
      <c r="R3279" t="s">
        <v>27</v>
      </c>
      <c r="S3279" t="s">
        <v>33</v>
      </c>
      <c r="T3279">
        <v>2015</v>
      </c>
      <c r="U3279">
        <v>7</v>
      </c>
      <c r="V3279" s="51">
        <v>42186</v>
      </c>
      <c r="W3279" s="4">
        <v>3381.9199999999996</v>
      </c>
      <c r="X3279" s="52">
        <v>3676</v>
      </c>
    </row>
    <row r="3280" spans="2:24" x14ac:dyDescent="0.35">
      <c r="B3280" s="6" t="s">
        <v>7</v>
      </c>
      <c r="C3280" s="6" t="s">
        <v>32</v>
      </c>
      <c r="D3280" s="6" t="s">
        <v>8</v>
      </c>
      <c r="E3280" s="6" t="s">
        <v>0</v>
      </c>
      <c r="F3280" s="6" t="s">
        <v>45</v>
      </c>
      <c r="G3280" s="6">
        <v>2015</v>
      </c>
      <c r="H3280" s="6">
        <v>7</v>
      </c>
      <c r="I3280" s="10">
        <v>42186</v>
      </c>
      <c r="J3280" s="6">
        <v>4188</v>
      </c>
      <c r="K3280" s="51"/>
      <c r="O3280" t="s">
        <v>7</v>
      </c>
      <c r="P3280" t="s">
        <v>32</v>
      </c>
      <c r="Q3280" t="s">
        <v>8</v>
      </c>
      <c r="R3280" t="s">
        <v>0</v>
      </c>
      <c r="S3280" t="s">
        <v>45</v>
      </c>
      <c r="T3280">
        <v>2015</v>
      </c>
      <c r="U3280">
        <v>7</v>
      </c>
      <c r="V3280" s="51">
        <v>42186</v>
      </c>
      <c r="W3280" s="4">
        <v>3727.3199999999997</v>
      </c>
      <c r="X3280" s="52">
        <v>4188</v>
      </c>
    </row>
    <row r="3281" spans="2:24" x14ac:dyDescent="0.35">
      <c r="B3281" s="6" t="s">
        <v>7</v>
      </c>
      <c r="C3281" s="6" t="s">
        <v>48</v>
      </c>
      <c r="D3281" s="6" t="s">
        <v>9</v>
      </c>
      <c r="E3281" s="6" t="s">
        <v>23</v>
      </c>
      <c r="F3281" s="6" t="s">
        <v>39</v>
      </c>
      <c r="G3281" s="6">
        <v>2015</v>
      </c>
      <c r="H3281" s="6">
        <v>7</v>
      </c>
      <c r="I3281" s="10">
        <v>42186</v>
      </c>
      <c r="J3281" s="6">
        <v>1348</v>
      </c>
      <c r="K3281" s="51"/>
      <c r="O3281" t="s">
        <v>7</v>
      </c>
      <c r="P3281" t="s">
        <v>48</v>
      </c>
      <c r="Q3281" t="s">
        <v>9</v>
      </c>
      <c r="R3281" t="s">
        <v>23</v>
      </c>
      <c r="S3281" t="s">
        <v>39</v>
      </c>
      <c r="T3281">
        <v>2015</v>
      </c>
      <c r="U3281">
        <v>7</v>
      </c>
      <c r="V3281" s="51">
        <v>42186</v>
      </c>
      <c r="W3281" s="4">
        <v>1186.2399999999998</v>
      </c>
      <c r="X3281" s="52">
        <v>1348</v>
      </c>
    </row>
    <row r="3282" spans="2:24" x14ac:dyDescent="0.35">
      <c r="B3282" s="6" t="s">
        <v>7</v>
      </c>
      <c r="C3282" s="6" t="s">
        <v>49</v>
      </c>
      <c r="D3282" s="6" t="s">
        <v>11</v>
      </c>
      <c r="E3282" s="6" t="s">
        <v>0</v>
      </c>
      <c r="F3282" s="6" t="s">
        <v>26</v>
      </c>
      <c r="G3282" s="6">
        <v>2015</v>
      </c>
      <c r="H3282" s="6">
        <v>7</v>
      </c>
      <c r="I3282" s="10">
        <v>42186</v>
      </c>
      <c r="J3282" s="6">
        <v>5555</v>
      </c>
      <c r="K3282" s="51"/>
      <c r="O3282" t="s">
        <v>7</v>
      </c>
      <c r="P3282" t="s">
        <v>49</v>
      </c>
      <c r="Q3282" t="s">
        <v>11</v>
      </c>
      <c r="R3282" t="s">
        <v>0</v>
      </c>
      <c r="S3282" t="s">
        <v>26</v>
      </c>
      <c r="T3282">
        <v>2015</v>
      </c>
      <c r="U3282">
        <v>7</v>
      </c>
      <c r="V3282" s="51">
        <v>42186</v>
      </c>
      <c r="W3282" s="4">
        <v>5221.7</v>
      </c>
      <c r="X3282" s="52">
        <v>5555</v>
      </c>
    </row>
    <row r="3283" spans="2:24" x14ac:dyDescent="0.35">
      <c r="B3283" s="6" t="s">
        <v>12</v>
      </c>
      <c r="C3283" s="6" t="s">
        <v>34</v>
      </c>
      <c r="D3283" s="6" t="s">
        <v>35</v>
      </c>
      <c r="E3283" s="6" t="s">
        <v>27</v>
      </c>
      <c r="F3283" s="6" t="s">
        <v>28</v>
      </c>
      <c r="G3283" s="6">
        <v>2015</v>
      </c>
      <c r="H3283" s="6">
        <v>7</v>
      </c>
      <c r="I3283" s="10">
        <v>42186</v>
      </c>
      <c r="J3283" s="6">
        <v>3463</v>
      </c>
      <c r="K3283" s="51"/>
      <c r="O3283" t="s">
        <v>12</v>
      </c>
      <c r="P3283" t="s">
        <v>34</v>
      </c>
      <c r="Q3283" t="s">
        <v>35</v>
      </c>
      <c r="R3283" t="s">
        <v>27</v>
      </c>
      <c r="S3283" t="s">
        <v>28</v>
      </c>
      <c r="T3283">
        <v>2015</v>
      </c>
      <c r="U3283">
        <v>7</v>
      </c>
      <c r="V3283" s="51">
        <v>42186</v>
      </c>
      <c r="W3283" s="4">
        <v>3047.4399999999996</v>
      </c>
      <c r="X3283" s="52">
        <v>3463</v>
      </c>
    </row>
    <row r="3284" spans="2:24" x14ac:dyDescent="0.35">
      <c r="B3284" s="6" t="s">
        <v>14</v>
      </c>
      <c r="C3284" s="6" t="s">
        <v>37</v>
      </c>
      <c r="D3284" s="6" t="s">
        <v>38</v>
      </c>
      <c r="E3284" s="6" t="s">
        <v>27</v>
      </c>
      <c r="F3284" s="6" t="s">
        <v>33</v>
      </c>
      <c r="G3284" s="6">
        <v>2015</v>
      </c>
      <c r="H3284" s="6">
        <v>7</v>
      </c>
      <c r="I3284" s="10">
        <v>42186</v>
      </c>
      <c r="J3284" s="6">
        <v>4068</v>
      </c>
      <c r="K3284" s="51"/>
      <c r="O3284" t="s">
        <v>14</v>
      </c>
      <c r="P3284" t="s">
        <v>37</v>
      </c>
      <c r="Q3284" t="s">
        <v>38</v>
      </c>
      <c r="R3284" t="s">
        <v>27</v>
      </c>
      <c r="S3284" t="s">
        <v>33</v>
      </c>
      <c r="T3284">
        <v>2015</v>
      </c>
      <c r="U3284">
        <v>7</v>
      </c>
      <c r="V3284" s="51">
        <v>42186</v>
      </c>
      <c r="W3284" s="4">
        <v>3539.1600000000003</v>
      </c>
      <c r="X3284" s="52">
        <v>4068</v>
      </c>
    </row>
    <row r="3285" spans="2:24" x14ac:dyDescent="0.35">
      <c r="B3285" s="6" t="s">
        <v>12</v>
      </c>
      <c r="C3285" s="6" t="s">
        <v>44</v>
      </c>
      <c r="D3285" s="6" t="s">
        <v>13</v>
      </c>
      <c r="E3285" s="6" t="s">
        <v>23</v>
      </c>
      <c r="F3285" s="6" t="s">
        <v>24</v>
      </c>
      <c r="G3285" s="6">
        <v>2015</v>
      </c>
      <c r="H3285" s="6">
        <v>7</v>
      </c>
      <c r="I3285" s="10">
        <v>42186</v>
      </c>
      <c r="J3285" s="6">
        <v>3388</v>
      </c>
      <c r="K3285" s="51"/>
      <c r="O3285" t="s">
        <v>12</v>
      </c>
      <c r="P3285" t="s">
        <v>44</v>
      </c>
      <c r="Q3285" t="s">
        <v>13</v>
      </c>
      <c r="R3285" t="s">
        <v>23</v>
      </c>
      <c r="S3285" t="s">
        <v>24</v>
      </c>
      <c r="T3285">
        <v>2015</v>
      </c>
      <c r="U3285">
        <v>7</v>
      </c>
      <c r="V3285" s="51">
        <v>42186</v>
      </c>
      <c r="W3285" s="4">
        <v>2913.6800000000003</v>
      </c>
      <c r="X3285" s="52">
        <v>3388</v>
      </c>
    </row>
    <row r="3286" spans="2:24" x14ac:dyDescent="0.35">
      <c r="B3286" s="6" t="s">
        <v>14</v>
      </c>
      <c r="C3286" s="6" t="s">
        <v>46</v>
      </c>
      <c r="D3286" s="6" t="s">
        <v>47</v>
      </c>
      <c r="E3286" s="6" t="s">
        <v>0</v>
      </c>
      <c r="F3286" s="6" t="s">
        <v>42</v>
      </c>
      <c r="G3286" s="6">
        <v>2015</v>
      </c>
      <c r="H3286" s="6">
        <v>7</v>
      </c>
      <c r="I3286" s="10">
        <v>42186</v>
      </c>
      <c r="J3286" s="6">
        <v>6956</v>
      </c>
      <c r="K3286" s="51"/>
      <c r="O3286" t="s">
        <v>14</v>
      </c>
      <c r="P3286" t="s">
        <v>46</v>
      </c>
      <c r="Q3286" t="s">
        <v>47</v>
      </c>
      <c r="R3286" t="s">
        <v>0</v>
      </c>
      <c r="S3286" t="s">
        <v>42</v>
      </c>
      <c r="T3286">
        <v>2015</v>
      </c>
      <c r="U3286">
        <v>7</v>
      </c>
      <c r="V3286" s="51">
        <v>42186</v>
      </c>
      <c r="W3286" s="4">
        <v>6121.2799999999988</v>
      </c>
      <c r="X3286" s="52">
        <v>6956</v>
      </c>
    </row>
    <row r="3287" spans="2:24" x14ac:dyDescent="0.35">
      <c r="B3287" s="6" t="s">
        <v>7</v>
      </c>
      <c r="C3287" s="6" t="s">
        <v>48</v>
      </c>
      <c r="D3287" s="6" t="s">
        <v>9</v>
      </c>
      <c r="E3287" s="6" t="s">
        <v>27</v>
      </c>
      <c r="F3287" s="6" t="s">
        <v>33</v>
      </c>
      <c r="G3287" s="6">
        <v>2015</v>
      </c>
      <c r="H3287" s="6">
        <v>7</v>
      </c>
      <c r="I3287" s="10">
        <v>42186</v>
      </c>
      <c r="J3287" s="6">
        <v>2829</v>
      </c>
      <c r="K3287" s="51"/>
      <c r="O3287" t="s">
        <v>7</v>
      </c>
      <c r="P3287" t="s">
        <v>48</v>
      </c>
      <c r="Q3287" t="s">
        <v>9</v>
      </c>
      <c r="R3287" t="s">
        <v>27</v>
      </c>
      <c r="S3287" t="s">
        <v>33</v>
      </c>
      <c r="T3287">
        <v>2015</v>
      </c>
      <c r="U3287">
        <v>7</v>
      </c>
      <c r="V3287" s="51">
        <v>42186</v>
      </c>
      <c r="W3287" s="4">
        <v>2546.1</v>
      </c>
      <c r="X3287" s="52">
        <v>2829</v>
      </c>
    </row>
    <row r="3288" spans="2:24" x14ac:dyDescent="0.35">
      <c r="B3288" s="6" t="s">
        <v>7</v>
      </c>
      <c r="C3288" s="6" t="s">
        <v>49</v>
      </c>
      <c r="D3288" s="6" t="s">
        <v>11</v>
      </c>
      <c r="E3288" s="6" t="s">
        <v>23</v>
      </c>
      <c r="F3288" s="6" t="s">
        <v>24</v>
      </c>
      <c r="G3288" s="6">
        <v>2015</v>
      </c>
      <c r="H3288" s="6">
        <v>7</v>
      </c>
      <c r="I3288" s="10">
        <v>42186</v>
      </c>
      <c r="J3288" s="6">
        <v>1821</v>
      </c>
      <c r="K3288" s="51"/>
      <c r="O3288" t="s">
        <v>7</v>
      </c>
      <c r="P3288" t="s">
        <v>49</v>
      </c>
      <c r="Q3288" t="s">
        <v>11</v>
      </c>
      <c r="R3288" t="s">
        <v>23</v>
      </c>
      <c r="S3288" t="s">
        <v>24</v>
      </c>
      <c r="T3288">
        <v>2015</v>
      </c>
      <c r="U3288">
        <v>7</v>
      </c>
      <c r="V3288" s="51">
        <v>42186</v>
      </c>
      <c r="W3288" s="4">
        <v>1638.8999999999999</v>
      </c>
      <c r="X3288" s="52">
        <v>1821</v>
      </c>
    </row>
    <row r="3289" spans="2:24" x14ac:dyDescent="0.35">
      <c r="B3289" s="6" t="s">
        <v>3</v>
      </c>
      <c r="C3289" s="6" t="s">
        <v>22</v>
      </c>
      <c r="D3289" s="6" t="s">
        <v>5</v>
      </c>
      <c r="E3289" s="6" t="s">
        <v>23</v>
      </c>
      <c r="F3289" s="6" t="s">
        <v>24</v>
      </c>
      <c r="G3289" s="6">
        <v>2015</v>
      </c>
      <c r="H3289" s="6">
        <v>8</v>
      </c>
      <c r="I3289" s="10">
        <v>42217</v>
      </c>
      <c r="J3289" s="6">
        <v>2403</v>
      </c>
      <c r="K3289" s="51"/>
      <c r="O3289" t="s">
        <v>3</v>
      </c>
      <c r="P3289" t="s">
        <v>22</v>
      </c>
      <c r="Q3289" t="s">
        <v>5</v>
      </c>
      <c r="R3289" t="s">
        <v>23</v>
      </c>
      <c r="S3289" t="s">
        <v>24</v>
      </c>
      <c r="T3289">
        <v>2015</v>
      </c>
      <c r="U3289">
        <v>8</v>
      </c>
      <c r="V3289" s="51">
        <v>42217</v>
      </c>
      <c r="W3289" s="4">
        <v>2258.8199999999997</v>
      </c>
      <c r="X3289" s="52">
        <v>2403</v>
      </c>
    </row>
    <row r="3290" spans="2:24" x14ac:dyDescent="0.35">
      <c r="B3290" s="6" t="s">
        <v>3</v>
      </c>
      <c r="C3290" s="6" t="s">
        <v>25</v>
      </c>
      <c r="D3290" s="6" t="s">
        <v>4</v>
      </c>
      <c r="E3290" s="6" t="s">
        <v>23</v>
      </c>
      <c r="F3290" s="6" t="s">
        <v>24</v>
      </c>
      <c r="G3290" s="6">
        <v>2015</v>
      </c>
      <c r="H3290" s="6">
        <v>8</v>
      </c>
      <c r="I3290" s="10">
        <v>42217</v>
      </c>
      <c r="J3290" s="6">
        <v>1625</v>
      </c>
      <c r="K3290" s="51"/>
      <c r="O3290" t="s">
        <v>3</v>
      </c>
      <c r="P3290" t="s">
        <v>25</v>
      </c>
      <c r="Q3290" t="s">
        <v>4</v>
      </c>
      <c r="R3290" t="s">
        <v>23</v>
      </c>
      <c r="S3290" t="s">
        <v>24</v>
      </c>
      <c r="T3290">
        <v>2015</v>
      </c>
      <c r="U3290">
        <v>8</v>
      </c>
      <c r="V3290" s="51">
        <v>42217</v>
      </c>
      <c r="W3290" s="4">
        <v>1413.7500000000002</v>
      </c>
      <c r="X3290" s="52">
        <v>1625</v>
      </c>
    </row>
    <row r="3291" spans="2:24" x14ac:dyDescent="0.35">
      <c r="B3291" s="6" t="s">
        <v>3</v>
      </c>
      <c r="C3291" s="6" t="s">
        <v>25</v>
      </c>
      <c r="D3291" s="6" t="s">
        <v>4</v>
      </c>
      <c r="E3291" s="6" t="s">
        <v>0</v>
      </c>
      <c r="F3291" s="6" t="s">
        <v>26</v>
      </c>
      <c r="G3291" s="6">
        <v>2015</v>
      </c>
      <c r="H3291" s="6">
        <v>8</v>
      </c>
      <c r="I3291" s="10">
        <v>42217</v>
      </c>
      <c r="J3291" s="6">
        <v>4903</v>
      </c>
      <c r="K3291" s="51"/>
      <c r="O3291" t="s">
        <v>3</v>
      </c>
      <c r="P3291" t="s">
        <v>25</v>
      </c>
      <c r="Q3291" t="s">
        <v>4</v>
      </c>
      <c r="R3291" t="s">
        <v>0</v>
      </c>
      <c r="S3291" t="s">
        <v>26</v>
      </c>
      <c r="T3291">
        <v>2015</v>
      </c>
      <c r="U3291">
        <v>8</v>
      </c>
      <c r="V3291" s="51">
        <v>42217</v>
      </c>
      <c r="W3291" s="4">
        <v>4510.7599999999993</v>
      </c>
      <c r="X3291" s="52">
        <v>4903</v>
      </c>
    </row>
    <row r="3292" spans="2:24" x14ac:dyDescent="0.35">
      <c r="B3292" s="6" t="s">
        <v>3</v>
      </c>
      <c r="C3292" s="6" t="s">
        <v>22</v>
      </c>
      <c r="D3292" s="6" t="s">
        <v>5</v>
      </c>
      <c r="E3292" s="6" t="s">
        <v>0</v>
      </c>
      <c r="F3292" s="6" t="s">
        <v>26</v>
      </c>
      <c r="G3292" s="6">
        <v>2015</v>
      </c>
      <c r="H3292" s="6">
        <v>8</v>
      </c>
      <c r="I3292" s="10">
        <v>42217</v>
      </c>
      <c r="J3292" s="6">
        <v>3106</v>
      </c>
      <c r="K3292" s="51"/>
      <c r="O3292" t="s">
        <v>3</v>
      </c>
      <c r="P3292" t="s">
        <v>22</v>
      </c>
      <c r="Q3292" t="s">
        <v>5</v>
      </c>
      <c r="R3292" t="s">
        <v>0</v>
      </c>
      <c r="S3292" t="s">
        <v>26</v>
      </c>
      <c r="T3292">
        <v>2015</v>
      </c>
      <c r="U3292">
        <v>8</v>
      </c>
      <c r="V3292" s="51">
        <v>42217</v>
      </c>
      <c r="W3292" s="4">
        <v>2733.2799999999997</v>
      </c>
      <c r="X3292" s="52">
        <v>3106</v>
      </c>
    </row>
    <row r="3293" spans="2:24" x14ac:dyDescent="0.35">
      <c r="B3293" s="6" t="s">
        <v>3</v>
      </c>
      <c r="C3293" s="6" t="s">
        <v>22</v>
      </c>
      <c r="D3293" s="6" t="s">
        <v>5</v>
      </c>
      <c r="E3293" s="6" t="s">
        <v>27</v>
      </c>
      <c r="F3293" s="6" t="s">
        <v>28</v>
      </c>
      <c r="G3293" s="6">
        <v>2015</v>
      </c>
      <c r="H3293" s="6">
        <v>8</v>
      </c>
      <c r="I3293" s="10">
        <v>42217</v>
      </c>
      <c r="J3293" s="6">
        <v>3328</v>
      </c>
      <c r="K3293" s="51"/>
      <c r="O3293" t="s">
        <v>3</v>
      </c>
      <c r="P3293" t="s">
        <v>22</v>
      </c>
      <c r="Q3293" t="s">
        <v>5</v>
      </c>
      <c r="R3293" t="s">
        <v>27</v>
      </c>
      <c r="S3293" t="s">
        <v>28</v>
      </c>
      <c r="T3293">
        <v>2015</v>
      </c>
      <c r="U3293">
        <v>8</v>
      </c>
      <c r="V3293" s="51">
        <v>42217</v>
      </c>
      <c r="W3293" s="4">
        <v>3028.4799999999996</v>
      </c>
      <c r="X3293" s="52">
        <v>3328</v>
      </c>
    </row>
    <row r="3294" spans="2:24" x14ac:dyDescent="0.35">
      <c r="B3294" s="6" t="s">
        <v>6</v>
      </c>
      <c r="C3294" s="6" t="s">
        <v>29</v>
      </c>
      <c r="D3294" s="6" t="s">
        <v>30</v>
      </c>
      <c r="E3294" s="6" t="s">
        <v>27</v>
      </c>
      <c r="F3294" s="6" t="s">
        <v>31</v>
      </c>
      <c r="G3294" s="6">
        <v>2015</v>
      </c>
      <c r="H3294" s="6">
        <v>8</v>
      </c>
      <c r="I3294" s="10">
        <v>42217</v>
      </c>
      <c r="J3294" s="6">
        <v>4514</v>
      </c>
      <c r="K3294" s="51"/>
      <c r="O3294" t="s">
        <v>6</v>
      </c>
      <c r="P3294" t="s">
        <v>29</v>
      </c>
      <c r="Q3294" t="s">
        <v>30</v>
      </c>
      <c r="R3294" t="s">
        <v>27</v>
      </c>
      <c r="S3294" t="s">
        <v>31</v>
      </c>
      <c r="T3294">
        <v>2015</v>
      </c>
      <c r="U3294">
        <v>8</v>
      </c>
      <c r="V3294" s="51">
        <v>42217</v>
      </c>
      <c r="W3294" s="4">
        <v>3972.3199999999997</v>
      </c>
      <c r="X3294" s="52">
        <v>4514</v>
      </c>
    </row>
    <row r="3295" spans="2:24" x14ac:dyDescent="0.35">
      <c r="B3295" s="6" t="s">
        <v>7</v>
      </c>
      <c r="C3295" s="6" t="s">
        <v>32</v>
      </c>
      <c r="D3295" s="6" t="s">
        <v>8</v>
      </c>
      <c r="E3295" s="6" t="s">
        <v>27</v>
      </c>
      <c r="F3295" s="6" t="s">
        <v>33</v>
      </c>
      <c r="G3295" s="6">
        <v>2015</v>
      </c>
      <c r="H3295" s="6">
        <v>8</v>
      </c>
      <c r="I3295" s="10">
        <v>42217</v>
      </c>
      <c r="J3295" s="6">
        <v>3160</v>
      </c>
      <c r="K3295" s="51"/>
      <c r="O3295" t="s">
        <v>7</v>
      </c>
      <c r="P3295" t="s">
        <v>32</v>
      </c>
      <c r="Q3295" t="s">
        <v>8</v>
      </c>
      <c r="R3295" t="s">
        <v>27</v>
      </c>
      <c r="S3295" t="s">
        <v>33</v>
      </c>
      <c r="T3295">
        <v>2015</v>
      </c>
      <c r="U3295">
        <v>8</v>
      </c>
      <c r="V3295" s="51">
        <v>42217</v>
      </c>
      <c r="W3295" s="4">
        <v>2780.7999999999997</v>
      </c>
      <c r="X3295" s="52">
        <v>3160</v>
      </c>
    </row>
    <row r="3296" spans="2:24" x14ac:dyDescent="0.35">
      <c r="B3296" s="6" t="s">
        <v>12</v>
      </c>
      <c r="C3296" s="6" t="s">
        <v>34</v>
      </c>
      <c r="D3296" s="6" t="s">
        <v>35</v>
      </c>
      <c r="E3296" s="6" t="s">
        <v>23</v>
      </c>
      <c r="F3296" s="6" t="s">
        <v>36</v>
      </c>
      <c r="G3296" s="6">
        <v>2015</v>
      </c>
      <c r="H3296" s="6">
        <v>8</v>
      </c>
      <c r="I3296" s="10">
        <v>42217</v>
      </c>
      <c r="J3296" s="6">
        <v>1889</v>
      </c>
      <c r="K3296" s="51"/>
      <c r="O3296" t="s">
        <v>12</v>
      </c>
      <c r="P3296" t="s">
        <v>34</v>
      </c>
      <c r="Q3296" t="s">
        <v>35</v>
      </c>
      <c r="R3296" t="s">
        <v>23</v>
      </c>
      <c r="S3296" t="s">
        <v>36</v>
      </c>
      <c r="T3296">
        <v>2015</v>
      </c>
      <c r="U3296">
        <v>8</v>
      </c>
      <c r="V3296" s="51">
        <v>42217</v>
      </c>
      <c r="W3296" s="4">
        <v>1643.4300000000003</v>
      </c>
      <c r="X3296" s="52">
        <v>1889</v>
      </c>
    </row>
    <row r="3297" spans="2:24" x14ac:dyDescent="0.35">
      <c r="B3297" s="6" t="s">
        <v>14</v>
      </c>
      <c r="C3297" s="6" t="s">
        <v>37</v>
      </c>
      <c r="D3297" s="6" t="s">
        <v>38</v>
      </c>
      <c r="E3297" s="6" t="s">
        <v>23</v>
      </c>
      <c r="F3297" s="6" t="s">
        <v>24</v>
      </c>
      <c r="G3297" s="6">
        <v>2015</v>
      </c>
      <c r="H3297" s="6">
        <v>8</v>
      </c>
      <c r="I3297" s="10">
        <v>42217</v>
      </c>
      <c r="J3297" s="6">
        <v>2644</v>
      </c>
      <c r="K3297" s="51"/>
      <c r="O3297" t="s">
        <v>14</v>
      </c>
      <c r="P3297" t="s">
        <v>37</v>
      </c>
      <c r="Q3297" t="s">
        <v>38</v>
      </c>
      <c r="R3297" t="s">
        <v>23</v>
      </c>
      <c r="S3297" t="s">
        <v>24</v>
      </c>
      <c r="T3297">
        <v>2015</v>
      </c>
      <c r="U3297">
        <v>8</v>
      </c>
      <c r="V3297" s="51">
        <v>42217</v>
      </c>
      <c r="W3297" s="4">
        <v>2326.7199999999998</v>
      </c>
      <c r="X3297" s="52">
        <v>2644</v>
      </c>
    </row>
    <row r="3298" spans="2:24" x14ac:dyDescent="0.35">
      <c r="B3298" s="6" t="s">
        <v>3</v>
      </c>
      <c r="C3298" s="6" t="s">
        <v>25</v>
      </c>
      <c r="D3298" s="6" t="s">
        <v>4</v>
      </c>
      <c r="E3298" s="6" t="s">
        <v>23</v>
      </c>
      <c r="F3298" s="6" t="s">
        <v>39</v>
      </c>
      <c r="G3298" s="6">
        <v>2015</v>
      </c>
      <c r="H3298" s="6">
        <v>8</v>
      </c>
      <c r="I3298" s="10">
        <v>42217</v>
      </c>
      <c r="J3298" s="6">
        <v>1837</v>
      </c>
      <c r="K3298" s="51"/>
      <c r="O3298" t="s">
        <v>3</v>
      </c>
      <c r="P3298" t="s">
        <v>25</v>
      </c>
      <c r="Q3298" t="s">
        <v>4</v>
      </c>
      <c r="R3298" t="s">
        <v>23</v>
      </c>
      <c r="S3298" t="s">
        <v>39</v>
      </c>
      <c r="T3298">
        <v>2015</v>
      </c>
      <c r="U3298">
        <v>8</v>
      </c>
      <c r="V3298" s="51">
        <v>42217</v>
      </c>
      <c r="W3298" s="4">
        <v>1653.2999999999997</v>
      </c>
      <c r="X3298" s="52">
        <v>1837</v>
      </c>
    </row>
    <row r="3299" spans="2:24" x14ac:dyDescent="0.35">
      <c r="B3299" s="6" t="s">
        <v>6</v>
      </c>
      <c r="C3299" s="6" t="s">
        <v>40</v>
      </c>
      <c r="D3299" s="6" t="s">
        <v>41</v>
      </c>
      <c r="E3299" s="6" t="s">
        <v>0</v>
      </c>
      <c r="F3299" s="6" t="s">
        <v>42</v>
      </c>
      <c r="G3299" s="6">
        <v>2015</v>
      </c>
      <c r="H3299" s="6">
        <v>8</v>
      </c>
      <c r="I3299" s="10">
        <v>42217</v>
      </c>
      <c r="J3299" s="6">
        <v>6465</v>
      </c>
      <c r="K3299" s="51"/>
      <c r="O3299" t="s">
        <v>6</v>
      </c>
      <c r="P3299" t="s">
        <v>40</v>
      </c>
      <c r="Q3299" t="s">
        <v>41</v>
      </c>
      <c r="R3299" t="s">
        <v>0</v>
      </c>
      <c r="S3299" t="s">
        <v>42</v>
      </c>
      <c r="T3299">
        <v>2015</v>
      </c>
      <c r="U3299">
        <v>8</v>
      </c>
      <c r="V3299" s="51">
        <v>42217</v>
      </c>
      <c r="W3299" s="4">
        <v>5624.5500000000011</v>
      </c>
      <c r="X3299" s="52">
        <v>6465</v>
      </c>
    </row>
    <row r="3300" spans="2:24" x14ac:dyDescent="0.35">
      <c r="B3300" s="6" t="s">
        <v>7</v>
      </c>
      <c r="C3300" s="6" t="s">
        <v>43</v>
      </c>
      <c r="D3300" s="6" t="s">
        <v>10</v>
      </c>
      <c r="E3300" s="6" t="s">
        <v>0</v>
      </c>
      <c r="F3300" s="6" t="s">
        <v>26</v>
      </c>
      <c r="G3300" s="6">
        <v>2015</v>
      </c>
      <c r="H3300" s="6">
        <v>8</v>
      </c>
      <c r="I3300" s="10">
        <v>42217</v>
      </c>
      <c r="J3300" s="6">
        <v>4232</v>
      </c>
      <c r="K3300" s="51"/>
      <c r="O3300" t="s">
        <v>7</v>
      </c>
      <c r="P3300" t="s">
        <v>43</v>
      </c>
      <c r="Q3300" t="s">
        <v>10</v>
      </c>
      <c r="R3300" t="s">
        <v>0</v>
      </c>
      <c r="S3300" t="s">
        <v>26</v>
      </c>
      <c r="T3300">
        <v>2015</v>
      </c>
      <c r="U3300">
        <v>8</v>
      </c>
      <c r="V3300" s="51">
        <v>42217</v>
      </c>
      <c r="W3300" s="4">
        <v>3724.1599999999994</v>
      </c>
      <c r="X3300" s="52">
        <v>4232</v>
      </c>
    </row>
    <row r="3301" spans="2:24" x14ac:dyDescent="0.35">
      <c r="B3301" s="6" t="s">
        <v>12</v>
      </c>
      <c r="C3301" s="6" t="s">
        <v>44</v>
      </c>
      <c r="D3301" s="6" t="s">
        <v>13</v>
      </c>
      <c r="E3301" s="6" t="s">
        <v>0</v>
      </c>
      <c r="F3301" s="6" t="s">
        <v>45</v>
      </c>
      <c r="G3301" s="6">
        <v>2015</v>
      </c>
      <c r="H3301" s="6">
        <v>8</v>
      </c>
      <c r="I3301" s="10">
        <v>42217</v>
      </c>
      <c r="J3301" s="6">
        <v>4269</v>
      </c>
      <c r="K3301" s="51"/>
      <c r="O3301" t="s">
        <v>12</v>
      </c>
      <c r="P3301" t="s">
        <v>44</v>
      </c>
      <c r="Q3301" t="s">
        <v>13</v>
      </c>
      <c r="R3301" t="s">
        <v>0</v>
      </c>
      <c r="S3301" t="s">
        <v>45</v>
      </c>
      <c r="T3301">
        <v>2015</v>
      </c>
      <c r="U3301">
        <v>8</v>
      </c>
      <c r="V3301" s="51">
        <v>42217</v>
      </c>
      <c r="W3301" s="4">
        <v>3756.7199999999993</v>
      </c>
      <c r="X3301" s="52">
        <v>4269</v>
      </c>
    </row>
    <row r="3302" spans="2:24" x14ac:dyDescent="0.35">
      <c r="B3302" s="6" t="s">
        <v>14</v>
      </c>
      <c r="C3302" s="6" t="s">
        <v>46</v>
      </c>
      <c r="D3302" s="6" t="s">
        <v>47</v>
      </c>
      <c r="E3302" s="6" t="s">
        <v>27</v>
      </c>
      <c r="F3302" s="6" t="s">
        <v>28</v>
      </c>
      <c r="G3302" s="6">
        <v>2015</v>
      </c>
      <c r="H3302" s="6">
        <v>8</v>
      </c>
      <c r="I3302" s="10">
        <v>42217</v>
      </c>
      <c r="J3302" s="6">
        <v>3989</v>
      </c>
      <c r="K3302" s="51"/>
      <c r="O3302" t="s">
        <v>14</v>
      </c>
      <c r="P3302" t="s">
        <v>46</v>
      </c>
      <c r="Q3302" t="s">
        <v>47</v>
      </c>
      <c r="R3302" t="s">
        <v>27</v>
      </c>
      <c r="S3302" t="s">
        <v>28</v>
      </c>
      <c r="T3302">
        <v>2015</v>
      </c>
      <c r="U3302">
        <v>8</v>
      </c>
      <c r="V3302" s="51">
        <v>42217</v>
      </c>
      <c r="W3302" s="4">
        <v>3669.8799999999997</v>
      </c>
      <c r="X3302" s="52">
        <v>3989</v>
      </c>
    </row>
    <row r="3303" spans="2:24" x14ac:dyDescent="0.35">
      <c r="B3303" s="6" t="s">
        <v>3</v>
      </c>
      <c r="C3303" s="6" t="s">
        <v>22</v>
      </c>
      <c r="D3303" s="6" t="s">
        <v>5</v>
      </c>
      <c r="E3303" s="6" t="s">
        <v>27</v>
      </c>
      <c r="F3303" s="6" t="s">
        <v>31</v>
      </c>
      <c r="G3303" s="6">
        <v>2015</v>
      </c>
      <c r="H3303" s="6">
        <v>8</v>
      </c>
      <c r="I3303" s="10">
        <v>42217</v>
      </c>
      <c r="J3303" s="6">
        <v>4262</v>
      </c>
      <c r="K3303" s="51"/>
      <c r="O3303" t="s">
        <v>3</v>
      </c>
      <c r="P3303" t="s">
        <v>22</v>
      </c>
      <c r="Q3303" t="s">
        <v>5</v>
      </c>
      <c r="R3303" t="s">
        <v>27</v>
      </c>
      <c r="S3303" t="s">
        <v>31</v>
      </c>
      <c r="T3303">
        <v>2015</v>
      </c>
      <c r="U3303">
        <v>8</v>
      </c>
      <c r="V3303" s="51">
        <v>42217</v>
      </c>
      <c r="W3303" s="4">
        <v>3622.7000000000003</v>
      </c>
      <c r="X3303" s="52">
        <v>4262</v>
      </c>
    </row>
    <row r="3304" spans="2:24" x14ac:dyDescent="0.35">
      <c r="B3304" s="6" t="s">
        <v>6</v>
      </c>
      <c r="C3304" s="6" t="s">
        <v>29</v>
      </c>
      <c r="D3304" s="6" t="s">
        <v>30</v>
      </c>
      <c r="E3304" s="6" t="s">
        <v>27</v>
      </c>
      <c r="F3304" s="6" t="s">
        <v>33</v>
      </c>
      <c r="G3304" s="6">
        <v>2015</v>
      </c>
      <c r="H3304" s="6">
        <v>8</v>
      </c>
      <c r="I3304" s="10">
        <v>42217</v>
      </c>
      <c r="J3304" s="6">
        <v>3254</v>
      </c>
      <c r="K3304" s="51"/>
      <c r="O3304" t="s">
        <v>6</v>
      </c>
      <c r="P3304" t="s">
        <v>29</v>
      </c>
      <c r="Q3304" t="s">
        <v>30</v>
      </c>
      <c r="R3304" t="s">
        <v>27</v>
      </c>
      <c r="S3304" t="s">
        <v>33</v>
      </c>
      <c r="T3304">
        <v>2015</v>
      </c>
      <c r="U3304">
        <v>8</v>
      </c>
      <c r="V3304" s="51">
        <v>42217</v>
      </c>
      <c r="W3304" s="4">
        <v>2863.5199999999995</v>
      </c>
      <c r="X3304" s="52">
        <v>3254</v>
      </c>
    </row>
    <row r="3305" spans="2:24" x14ac:dyDescent="0.35">
      <c r="B3305" s="6" t="s">
        <v>7</v>
      </c>
      <c r="C3305" s="6" t="s">
        <v>32</v>
      </c>
      <c r="D3305" s="6" t="s">
        <v>8</v>
      </c>
      <c r="E3305" s="6" t="s">
        <v>23</v>
      </c>
      <c r="F3305" s="6" t="s">
        <v>36</v>
      </c>
      <c r="G3305" s="6">
        <v>2015</v>
      </c>
      <c r="H3305" s="6">
        <v>8</v>
      </c>
      <c r="I3305" s="10">
        <v>42217</v>
      </c>
      <c r="J3305" s="6">
        <v>2225</v>
      </c>
      <c r="K3305" s="51"/>
      <c r="O3305" t="s">
        <v>7</v>
      </c>
      <c r="P3305" t="s">
        <v>32</v>
      </c>
      <c r="Q3305" t="s">
        <v>8</v>
      </c>
      <c r="R3305" t="s">
        <v>23</v>
      </c>
      <c r="S3305" t="s">
        <v>36</v>
      </c>
      <c r="T3305">
        <v>2015</v>
      </c>
      <c r="U3305">
        <v>8</v>
      </c>
      <c r="V3305" s="51">
        <v>42217</v>
      </c>
      <c r="W3305" s="4">
        <v>2046.9999999999998</v>
      </c>
      <c r="X3305" s="52">
        <v>2225</v>
      </c>
    </row>
    <row r="3306" spans="2:24" x14ac:dyDescent="0.35">
      <c r="B3306" s="6" t="s">
        <v>12</v>
      </c>
      <c r="C3306" s="6" t="s">
        <v>34</v>
      </c>
      <c r="D3306" s="6" t="s">
        <v>35</v>
      </c>
      <c r="E3306" s="6" t="s">
        <v>23</v>
      </c>
      <c r="F3306" s="6" t="s">
        <v>24</v>
      </c>
      <c r="G3306" s="6">
        <v>2015</v>
      </c>
      <c r="H3306" s="6">
        <v>8</v>
      </c>
      <c r="I3306" s="10">
        <v>42217</v>
      </c>
      <c r="J3306" s="6">
        <v>3121</v>
      </c>
      <c r="K3306" s="51"/>
      <c r="O3306" t="s">
        <v>12</v>
      </c>
      <c r="P3306" t="s">
        <v>34</v>
      </c>
      <c r="Q3306" t="s">
        <v>35</v>
      </c>
      <c r="R3306" t="s">
        <v>23</v>
      </c>
      <c r="S3306" t="s">
        <v>24</v>
      </c>
      <c r="T3306">
        <v>2015</v>
      </c>
      <c r="U3306">
        <v>8</v>
      </c>
      <c r="V3306" s="51">
        <v>42217</v>
      </c>
      <c r="W3306" s="4">
        <v>2746.4799999999996</v>
      </c>
      <c r="X3306" s="52">
        <v>3121</v>
      </c>
    </row>
    <row r="3307" spans="2:24" x14ac:dyDescent="0.35">
      <c r="B3307" s="6" t="s">
        <v>14</v>
      </c>
      <c r="C3307" s="6" t="s">
        <v>37</v>
      </c>
      <c r="D3307" s="6" t="s">
        <v>38</v>
      </c>
      <c r="E3307" s="6" t="s">
        <v>23</v>
      </c>
      <c r="F3307" s="6" t="s">
        <v>39</v>
      </c>
      <c r="G3307" s="6">
        <v>2015</v>
      </c>
      <c r="H3307" s="6">
        <v>8</v>
      </c>
      <c r="I3307" s="10">
        <v>42217</v>
      </c>
      <c r="J3307" s="6">
        <v>1402</v>
      </c>
      <c r="K3307" s="51"/>
      <c r="O3307" t="s">
        <v>14</v>
      </c>
      <c r="P3307" t="s">
        <v>37</v>
      </c>
      <c r="Q3307" t="s">
        <v>38</v>
      </c>
      <c r="R3307" t="s">
        <v>23</v>
      </c>
      <c r="S3307" t="s">
        <v>39</v>
      </c>
      <c r="T3307">
        <v>2015</v>
      </c>
      <c r="U3307">
        <v>8</v>
      </c>
      <c r="V3307" s="51">
        <v>42217</v>
      </c>
      <c r="W3307" s="4">
        <v>1233.7599999999998</v>
      </c>
      <c r="X3307" s="52">
        <v>1402</v>
      </c>
    </row>
    <row r="3308" spans="2:24" x14ac:dyDescent="0.35">
      <c r="B3308" s="6" t="s">
        <v>3</v>
      </c>
      <c r="C3308" s="6" t="s">
        <v>25</v>
      </c>
      <c r="D3308" s="6" t="s">
        <v>4</v>
      </c>
      <c r="E3308" s="6" t="s">
        <v>0</v>
      </c>
      <c r="F3308" s="6" t="s">
        <v>42</v>
      </c>
      <c r="G3308" s="6">
        <v>2015</v>
      </c>
      <c r="H3308" s="6">
        <v>8</v>
      </c>
      <c r="I3308" s="10">
        <v>42217</v>
      </c>
      <c r="J3308" s="6">
        <v>5619</v>
      </c>
      <c r="K3308" s="51"/>
      <c r="O3308" t="s">
        <v>3</v>
      </c>
      <c r="P3308" t="s">
        <v>25</v>
      </c>
      <c r="Q3308" t="s">
        <v>4</v>
      </c>
      <c r="R3308" t="s">
        <v>0</v>
      </c>
      <c r="S3308" t="s">
        <v>42</v>
      </c>
      <c r="T3308">
        <v>2015</v>
      </c>
      <c r="U3308">
        <v>8</v>
      </c>
      <c r="V3308" s="51">
        <v>42217</v>
      </c>
      <c r="W3308" s="4">
        <v>4776.1500000000005</v>
      </c>
      <c r="X3308" s="52">
        <v>5619</v>
      </c>
    </row>
    <row r="3309" spans="2:24" x14ac:dyDescent="0.35">
      <c r="B3309" s="6" t="s">
        <v>6</v>
      </c>
      <c r="C3309" s="6" t="s">
        <v>40</v>
      </c>
      <c r="D3309" s="6" t="s">
        <v>41</v>
      </c>
      <c r="E3309" s="6" t="s">
        <v>0</v>
      </c>
      <c r="F3309" s="6" t="s">
        <v>26</v>
      </c>
      <c r="G3309" s="6">
        <v>2015</v>
      </c>
      <c r="H3309" s="6">
        <v>8</v>
      </c>
      <c r="I3309" s="10">
        <v>42217</v>
      </c>
      <c r="J3309" s="6">
        <v>3531</v>
      </c>
      <c r="K3309" s="51"/>
      <c r="O3309" t="s">
        <v>6</v>
      </c>
      <c r="P3309" t="s">
        <v>40</v>
      </c>
      <c r="Q3309" t="s">
        <v>41</v>
      </c>
      <c r="R3309" t="s">
        <v>0</v>
      </c>
      <c r="S3309" t="s">
        <v>26</v>
      </c>
      <c r="T3309">
        <v>2015</v>
      </c>
      <c r="U3309">
        <v>8</v>
      </c>
      <c r="V3309" s="51">
        <v>42217</v>
      </c>
      <c r="W3309" s="4">
        <v>3319.14</v>
      </c>
      <c r="X3309" s="52">
        <v>3531</v>
      </c>
    </row>
    <row r="3310" spans="2:24" x14ac:dyDescent="0.35">
      <c r="B3310" s="6" t="s">
        <v>7</v>
      </c>
      <c r="C3310" s="6" t="s">
        <v>43</v>
      </c>
      <c r="D3310" s="6" t="s">
        <v>10</v>
      </c>
      <c r="E3310" s="6" t="s">
        <v>0</v>
      </c>
      <c r="F3310" s="6" t="s">
        <v>45</v>
      </c>
      <c r="G3310" s="6">
        <v>2015</v>
      </c>
      <c r="H3310" s="6">
        <v>8</v>
      </c>
      <c r="I3310" s="10">
        <v>42217</v>
      </c>
      <c r="J3310" s="6">
        <v>2301</v>
      </c>
      <c r="K3310" s="51"/>
      <c r="O3310" t="s">
        <v>7</v>
      </c>
      <c r="P3310" t="s">
        <v>43</v>
      </c>
      <c r="Q3310" t="s">
        <v>10</v>
      </c>
      <c r="R3310" t="s">
        <v>0</v>
      </c>
      <c r="S3310" t="s">
        <v>45</v>
      </c>
      <c r="T3310">
        <v>2015</v>
      </c>
      <c r="U3310">
        <v>8</v>
      </c>
      <c r="V3310" s="51">
        <v>42217</v>
      </c>
      <c r="W3310" s="4">
        <v>2047.8899999999999</v>
      </c>
      <c r="X3310" s="52">
        <v>2301</v>
      </c>
    </row>
    <row r="3311" spans="2:24" x14ac:dyDescent="0.35">
      <c r="B3311" s="6" t="s">
        <v>12</v>
      </c>
      <c r="C3311" s="6" t="s">
        <v>44</v>
      </c>
      <c r="D3311" s="6" t="s">
        <v>13</v>
      </c>
      <c r="E3311" s="6" t="s">
        <v>27</v>
      </c>
      <c r="F3311" s="6" t="s">
        <v>28</v>
      </c>
      <c r="G3311" s="6">
        <v>2015</v>
      </c>
      <c r="H3311" s="6">
        <v>8</v>
      </c>
      <c r="I3311" s="10">
        <v>42217</v>
      </c>
      <c r="J3311" s="6">
        <v>4867</v>
      </c>
      <c r="K3311" s="51"/>
      <c r="O3311" t="s">
        <v>12</v>
      </c>
      <c r="P3311" t="s">
        <v>44</v>
      </c>
      <c r="Q3311" t="s">
        <v>13</v>
      </c>
      <c r="R3311" t="s">
        <v>27</v>
      </c>
      <c r="S3311" t="s">
        <v>28</v>
      </c>
      <c r="T3311">
        <v>2015</v>
      </c>
      <c r="U3311">
        <v>8</v>
      </c>
      <c r="V3311" s="51">
        <v>42217</v>
      </c>
      <c r="W3311" s="4">
        <v>4282.9599999999991</v>
      </c>
      <c r="X3311" s="52">
        <v>4867</v>
      </c>
    </row>
    <row r="3312" spans="2:24" x14ac:dyDescent="0.35">
      <c r="B3312" s="6" t="s">
        <v>14</v>
      </c>
      <c r="C3312" s="6" t="s">
        <v>46</v>
      </c>
      <c r="D3312" s="6" t="s">
        <v>47</v>
      </c>
      <c r="E3312" s="6" t="s">
        <v>27</v>
      </c>
      <c r="F3312" s="6" t="s">
        <v>31</v>
      </c>
      <c r="G3312" s="6">
        <v>2015</v>
      </c>
      <c r="H3312" s="6">
        <v>8</v>
      </c>
      <c r="I3312" s="10">
        <v>42217</v>
      </c>
      <c r="J3312" s="6">
        <v>5013</v>
      </c>
      <c r="K3312" s="51"/>
      <c r="O3312" t="s">
        <v>14</v>
      </c>
      <c r="P3312" t="s">
        <v>46</v>
      </c>
      <c r="Q3312" t="s">
        <v>47</v>
      </c>
      <c r="R3312" t="s">
        <v>27</v>
      </c>
      <c r="S3312" t="s">
        <v>31</v>
      </c>
      <c r="T3312">
        <v>2015</v>
      </c>
      <c r="U3312">
        <v>8</v>
      </c>
      <c r="V3312" s="51">
        <v>42217</v>
      </c>
      <c r="W3312" s="4">
        <v>4611.96</v>
      </c>
      <c r="X3312" s="52">
        <v>5013</v>
      </c>
    </row>
    <row r="3313" spans="2:24" x14ac:dyDescent="0.35">
      <c r="B3313" s="6" t="s">
        <v>3</v>
      </c>
      <c r="C3313" s="6" t="s">
        <v>22</v>
      </c>
      <c r="D3313" s="6" t="s">
        <v>5</v>
      </c>
      <c r="E3313" s="6" t="s">
        <v>27</v>
      </c>
      <c r="F3313" s="6" t="s">
        <v>33</v>
      </c>
      <c r="G3313" s="6">
        <v>2015</v>
      </c>
      <c r="H3313" s="6">
        <v>8</v>
      </c>
      <c r="I3313" s="10">
        <v>42217</v>
      </c>
      <c r="J3313" s="6">
        <v>2866</v>
      </c>
      <c r="K3313" s="51"/>
      <c r="O3313" t="s">
        <v>3</v>
      </c>
      <c r="P3313" t="s">
        <v>22</v>
      </c>
      <c r="Q3313" t="s">
        <v>5</v>
      </c>
      <c r="R3313" t="s">
        <v>27</v>
      </c>
      <c r="S3313" t="s">
        <v>33</v>
      </c>
      <c r="T3313">
        <v>2015</v>
      </c>
      <c r="U3313">
        <v>8</v>
      </c>
      <c r="V3313" s="51">
        <v>42217</v>
      </c>
      <c r="W3313" s="4">
        <v>2464.7600000000002</v>
      </c>
      <c r="X3313" s="52">
        <v>2866</v>
      </c>
    </row>
    <row r="3314" spans="2:24" x14ac:dyDescent="0.35">
      <c r="B3314" s="6" t="s">
        <v>6</v>
      </c>
      <c r="C3314" s="6" t="s">
        <v>29</v>
      </c>
      <c r="D3314" s="6" t="s">
        <v>30</v>
      </c>
      <c r="E3314" s="6" t="s">
        <v>23</v>
      </c>
      <c r="F3314" s="6" t="s">
        <v>36</v>
      </c>
      <c r="G3314" s="6">
        <v>2015</v>
      </c>
      <c r="H3314" s="6">
        <v>8</v>
      </c>
      <c r="I3314" s="10">
        <v>42217</v>
      </c>
      <c r="J3314" s="6">
        <v>2685</v>
      </c>
      <c r="K3314" s="51"/>
      <c r="O3314" t="s">
        <v>6</v>
      </c>
      <c r="P3314" t="s">
        <v>29</v>
      </c>
      <c r="Q3314" t="s">
        <v>30</v>
      </c>
      <c r="R3314" t="s">
        <v>23</v>
      </c>
      <c r="S3314" t="s">
        <v>36</v>
      </c>
      <c r="T3314">
        <v>2015</v>
      </c>
      <c r="U3314">
        <v>8</v>
      </c>
      <c r="V3314" s="51">
        <v>42217</v>
      </c>
      <c r="W3314" s="4">
        <v>2309.1000000000004</v>
      </c>
      <c r="X3314" s="52">
        <v>2685</v>
      </c>
    </row>
    <row r="3315" spans="2:24" x14ac:dyDescent="0.35">
      <c r="B3315" s="6" t="s">
        <v>7</v>
      </c>
      <c r="C3315" s="6" t="s">
        <v>32</v>
      </c>
      <c r="D3315" s="6" t="s">
        <v>8</v>
      </c>
      <c r="E3315" s="6" t="s">
        <v>23</v>
      </c>
      <c r="F3315" s="6" t="s">
        <v>24</v>
      </c>
      <c r="G3315" s="6">
        <v>2015</v>
      </c>
      <c r="H3315" s="6">
        <v>8</v>
      </c>
      <c r="I3315" s="10">
        <v>42217</v>
      </c>
      <c r="J3315" s="6">
        <v>2731</v>
      </c>
      <c r="K3315" s="51"/>
      <c r="O3315" t="s">
        <v>7</v>
      </c>
      <c r="P3315" t="s">
        <v>32</v>
      </c>
      <c r="Q3315" t="s">
        <v>8</v>
      </c>
      <c r="R3315" t="s">
        <v>23</v>
      </c>
      <c r="S3315" t="s">
        <v>24</v>
      </c>
      <c r="T3315">
        <v>2015</v>
      </c>
      <c r="U3315">
        <v>8</v>
      </c>
      <c r="V3315" s="51">
        <v>42217</v>
      </c>
      <c r="W3315" s="4">
        <v>2567.14</v>
      </c>
      <c r="X3315" s="52">
        <v>2731</v>
      </c>
    </row>
    <row r="3316" spans="2:24" x14ac:dyDescent="0.35">
      <c r="B3316" s="6" t="s">
        <v>12</v>
      </c>
      <c r="C3316" s="6" t="s">
        <v>34</v>
      </c>
      <c r="D3316" s="6" t="s">
        <v>35</v>
      </c>
      <c r="E3316" s="6" t="s">
        <v>23</v>
      </c>
      <c r="F3316" s="6" t="s">
        <v>39</v>
      </c>
      <c r="G3316" s="6">
        <v>2015</v>
      </c>
      <c r="H3316" s="6">
        <v>8</v>
      </c>
      <c r="I3316" s="10">
        <v>42217</v>
      </c>
      <c r="J3316" s="6">
        <v>2137</v>
      </c>
      <c r="K3316" s="51"/>
      <c r="O3316" t="s">
        <v>12</v>
      </c>
      <c r="P3316" t="s">
        <v>34</v>
      </c>
      <c r="Q3316" t="s">
        <v>35</v>
      </c>
      <c r="R3316" t="s">
        <v>23</v>
      </c>
      <c r="S3316" t="s">
        <v>39</v>
      </c>
      <c r="T3316">
        <v>2015</v>
      </c>
      <c r="U3316">
        <v>8</v>
      </c>
      <c r="V3316" s="51">
        <v>42217</v>
      </c>
      <c r="W3316" s="4">
        <v>1901.9299999999998</v>
      </c>
      <c r="X3316" s="52">
        <v>2137</v>
      </c>
    </row>
    <row r="3317" spans="2:24" x14ac:dyDescent="0.35">
      <c r="B3317" s="6" t="s">
        <v>14</v>
      </c>
      <c r="C3317" s="6" t="s">
        <v>37</v>
      </c>
      <c r="D3317" s="6" t="s">
        <v>38</v>
      </c>
      <c r="E3317" s="6" t="s">
        <v>0</v>
      </c>
      <c r="F3317" s="6" t="s">
        <v>42</v>
      </c>
      <c r="G3317" s="6">
        <v>2015</v>
      </c>
      <c r="H3317" s="6">
        <v>8</v>
      </c>
      <c r="I3317" s="10">
        <v>42217</v>
      </c>
      <c r="J3317" s="6">
        <v>5446</v>
      </c>
      <c r="K3317" s="51"/>
      <c r="O3317" t="s">
        <v>14</v>
      </c>
      <c r="P3317" t="s">
        <v>37</v>
      </c>
      <c r="Q3317" t="s">
        <v>38</v>
      </c>
      <c r="R3317" t="s">
        <v>0</v>
      </c>
      <c r="S3317" t="s">
        <v>42</v>
      </c>
      <c r="T3317">
        <v>2015</v>
      </c>
      <c r="U3317">
        <v>8</v>
      </c>
      <c r="V3317" s="51">
        <v>42217</v>
      </c>
      <c r="W3317" s="4">
        <v>4955.8599999999997</v>
      </c>
      <c r="X3317" s="52">
        <v>5446</v>
      </c>
    </row>
    <row r="3318" spans="2:24" x14ac:dyDescent="0.35">
      <c r="B3318" s="6" t="s">
        <v>6</v>
      </c>
      <c r="C3318" s="6" t="s">
        <v>29</v>
      </c>
      <c r="D3318" s="6" t="s">
        <v>30</v>
      </c>
      <c r="E3318" s="6" t="s">
        <v>0</v>
      </c>
      <c r="F3318" s="6" t="s">
        <v>45</v>
      </c>
      <c r="G3318" s="6">
        <v>2015</v>
      </c>
      <c r="H3318" s="6">
        <v>8</v>
      </c>
      <c r="I3318" s="10">
        <v>42217</v>
      </c>
      <c r="J3318" s="6">
        <v>4322</v>
      </c>
      <c r="K3318" s="51"/>
      <c r="O3318" t="s">
        <v>6</v>
      </c>
      <c r="P3318" t="s">
        <v>29</v>
      </c>
      <c r="Q3318" t="s">
        <v>30</v>
      </c>
      <c r="R3318" t="s">
        <v>0</v>
      </c>
      <c r="S3318" t="s">
        <v>45</v>
      </c>
      <c r="T3318">
        <v>2015</v>
      </c>
      <c r="U3318">
        <v>8</v>
      </c>
      <c r="V3318" s="51">
        <v>42217</v>
      </c>
      <c r="W3318" s="4">
        <v>3889.7999999999997</v>
      </c>
      <c r="X3318" s="52">
        <v>4322</v>
      </c>
    </row>
    <row r="3319" spans="2:24" x14ac:dyDescent="0.35">
      <c r="B3319" s="6" t="s">
        <v>7</v>
      </c>
      <c r="C3319" s="6" t="s">
        <v>43</v>
      </c>
      <c r="D3319" s="6" t="s">
        <v>10</v>
      </c>
      <c r="E3319" s="6" t="s">
        <v>27</v>
      </c>
      <c r="F3319" s="6" t="s">
        <v>28</v>
      </c>
      <c r="G3319" s="6">
        <v>2015</v>
      </c>
      <c r="H3319" s="6">
        <v>8</v>
      </c>
      <c r="I3319" s="10">
        <v>42217</v>
      </c>
      <c r="J3319" s="6">
        <v>5089</v>
      </c>
      <c r="K3319" s="51"/>
      <c r="O3319" t="s">
        <v>7</v>
      </c>
      <c r="P3319" t="s">
        <v>43</v>
      </c>
      <c r="Q3319" t="s">
        <v>10</v>
      </c>
      <c r="R3319" t="s">
        <v>27</v>
      </c>
      <c r="S3319" t="s">
        <v>28</v>
      </c>
      <c r="T3319">
        <v>2015</v>
      </c>
      <c r="U3319">
        <v>8</v>
      </c>
      <c r="V3319" s="51">
        <v>42217</v>
      </c>
      <c r="W3319" s="4">
        <v>4580.0999999999995</v>
      </c>
      <c r="X3319" s="52">
        <v>5089</v>
      </c>
    </row>
    <row r="3320" spans="2:24" x14ac:dyDescent="0.35">
      <c r="B3320" s="6" t="s">
        <v>12</v>
      </c>
      <c r="C3320" s="6" t="s">
        <v>44</v>
      </c>
      <c r="D3320" s="6" t="s">
        <v>13</v>
      </c>
      <c r="E3320" s="6" t="s">
        <v>27</v>
      </c>
      <c r="F3320" s="6" t="s">
        <v>31</v>
      </c>
      <c r="G3320" s="6">
        <v>2015</v>
      </c>
      <c r="H3320" s="6">
        <v>8</v>
      </c>
      <c r="I3320" s="10">
        <v>42217</v>
      </c>
      <c r="J3320" s="6">
        <v>4127</v>
      </c>
      <c r="K3320" s="51"/>
      <c r="O3320" t="s">
        <v>12</v>
      </c>
      <c r="P3320" t="s">
        <v>44</v>
      </c>
      <c r="Q3320" t="s">
        <v>13</v>
      </c>
      <c r="R3320" t="s">
        <v>27</v>
      </c>
      <c r="S3320" t="s">
        <v>31</v>
      </c>
      <c r="T3320">
        <v>2015</v>
      </c>
      <c r="U3320">
        <v>8</v>
      </c>
      <c r="V3320" s="51">
        <v>42217</v>
      </c>
      <c r="W3320" s="4">
        <v>3714.2999999999997</v>
      </c>
      <c r="X3320" s="52">
        <v>4127</v>
      </c>
    </row>
    <row r="3321" spans="2:24" x14ac:dyDescent="0.35">
      <c r="B3321" s="6" t="s">
        <v>14</v>
      </c>
      <c r="C3321" s="6" t="s">
        <v>46</v>
      </c>
      <c r="D3321" s="6" t="s">
        <v>47</v>
      </c>
      <c r="E3321" s="6" t="s">
        <v>27</v>
      </c>
      <c r="F3321" s="6" t="s">
        <v>33</v>
      </c>
      <c r="G3321" s="6">
        <v>2015</v>
      </c>
      <c r="H3321" s="6">
        <v>8</v>
      </c>
      <c r="I3321" s="10">
        <v>42217</v>
      </c>
      <c r="J3321" s="6">
        <v>3096</v>
      </c>
      <c r="K3321" s="51"/>
      <c r="O3321" t="s">
        <v>14</v>
      </c>
      <c r="P3321" t="s">
        <v>46</v>
      </c>
      <c r="Q3321" t="s">
        <v>47</v>
      </c>
      <c r="R3321" t="s">
        <v>27</v>
      </c>
      <c r="S3321" t="s">
        <v>33</v>
      </c>
      <c r="T3321">
        <v>2015</v>
      </c>
      <c r="U3321">
        <v>8</v>
      </c>
      <c r="V3321" s="51">
        <v>42217</v>
      </c>
      <c r="W3321" s="4">
        <v>2755.4399999999996</v>
      </c>
      <c r="X3321" s="52">
        <v>3096</v>
      </c>
    </row>
    <row r="3322" spans="2:24" x14ac:dyDescent="0.35">
      <c r="B3322" s="6" t="s">
        <v>3</v>
      </c>
      <c r="C3322" s="6" t="s">
        <v>22</v>
      </c>
      <c r="D3322" s="6" t="s">
        <v>5</v>
      </c>
      <c r="E3322" s="6" t="s">
        <v>23</v>
      </c>
      <c r="F3322" s="6" t="s">
        <v>36</v>
      </c>
      <c r="G3322" s="6">
        <v>2015</v>
      </c>
      <c r="H3322" s="6">
        <v>8</v>
      </c>
      <c r="I3322" s="10">
        <v>42217</v>
      </c>
      <c r="J3322" s="6">
        <v>2738</v>
      </c>
      <c r="K3322" s="51"/>
      <c r="O3322" t="s">
        <v>3</v>
      </c>
      <c r="P3322" t="s">
        <v>22</v>
      </c>
      <c r="Q3322" t="s">
        <v>5</v>
      </c>
      <c r="R3322" t="s">
        <v>23</v>
      </c>
      <c r="S3322" t="s">
        <v>36</v>
      </c>
      <c r="T3322">
        <v>2015</v>
      </c>
      <c r="U3322">
        <v>8</v>
      </c>
      <c r="V3322" s="51">
        <v>42217</v>
      </c>
      <c r="W3322" s="4">
        <v>2354.6800000000003</v>
      </c>
      <c r="X3322" s="52">
        <v>2738</v>
      </c>
    </row>
    <row r="3323" spans="2:24" x14ac:dyDescent="0.35">
      <c r="B3323" s="6" t="s">
        <v>6</v>
      </c>
      <c r="C3323" s="6" t="s">
        <v>40</v>
      </c>
      <c r="D3323" s="6" t="s">
        <v>41</v>
      </c>
      <c r="E3323" s="6" t="s">
        <v>23</v>
      </c>
      <c r="F3323" s="6" t="s">
        <v>24</v>
      </c>
      <c r="G3323" s="6">
        <v>2015</v>
      </c>
      <c r="H3323" s="6">
        <v>8</v>
      </c>
      <c r="I3323" s="10">
        <v>42217</v>
      </c>
      <c r="J3323" s="6">
        <v>1740</v>
      </c>
      <c r="K3323" s="51"/>
      <c r="O3323" t="s">
        <v>6</v>
      </c>
      <c r="P3323" t="s">
        <v>40</v>
      </c>
      <c r="Q3323" t="s">
        <v>41</v>
      </c>
      <c r="R3323" t="s">
        <v>23</v>
      </c>
      <c r="S3323" t="s">
        <v>24</v>
      </c>
      <c r="T3323">
        <v>2015</v>
      </c>
      <c r="U3323">
        <v>8</v>
      </c>
      <c r="V3323" s="51">
        <v>42217</v>
      </c>
      <c r="W3323" s="4">
        <v>1565.9999999999998</v>
      </c>
      <c r="X3323" s="52">
        <v>1740</v>
      </c>
    </row>
    <row r="3324" spans="2:24" x14ac:dyDescent="0.35">
      <c r="B3324" s="6" t="s">
        <v>7</v>
      </c>
      <c r="C3324" s="6" t="s">
        <v>32</v>
      </c>
      <c r="D3324" s="6" t="s">
        <v>8</v>
      </c>
      <c r="E3324" s="6" t="s">
        <v>23</v>
      </c>
      <c r="F3324" s="6" t="s">
        <v>39</v>
      </c>
      <c r="G3324" s="6">
        <v>2015</v>
      </c>
      <c r="H3324" s="6">
        <v>8</v>
      </c>
      <c r="I3324" s="10">
        <v>42217</v>
      </c>
      <c r="J3324" s="6">
        <v>2635</v>
      </c>
      <c r="K3324" s="51"/>
      <c r="O3324" t="s">
        <v>7</v>
      </c>
      <c r="P3324" t="s">
        <v>32</v>
      </c>
      <c r="Q3324" t="s">
        <v>8</v>
      </c>
      <c r="R3324" t="s">
        <v>23</v>
      </c>
      <c r="S3324" t="s">
        <v>39</v>
      </c>
      <c r="T3324">
        <v>2015</v>
      </c>
      <c r="U3324">
        <v>8</v>
      </c>
      <c r="V3324" s="51">
        <v>42217</v>
      </c>
      <c r="W3324" s="4">
        <v>2371.5</v>
      </c>
      <c r="X3324" s="52">
        <v>2635</v>
      </c>
    </row>
    <row r="3325" spans="2:24" x14ac:dyDescent="0.35">
      <c r="B3325" s="6" t="s">
        <v>12</v>
      </c>
      <c r="C3325" s="6" t="s">
        <v>34</v>
      </c>
      <c r="D3325" s="6" t="s">
        <v>35</v>
      </c>
      <c r="E3325" s="6" t="s">
        <v>0</v>
      </c>
      <c r="F3325" s="6" t="s">
        <v>42</v>
      </c>
      <c r="G3325" s="6">
        <v>2015</v>
      </c>
      <c r="H3325" s="6">
        <v>8</v>
      </c>
      <c r="I3325" s="10">
        <v>42217</v>
      </c>
      <c r="J3325" s="6">
        <v>4171</v>
      </c>
      <c r="K3325" s="51"/>
      <c r="O3325" t="s">
        <v>12</v>
      </c>
      <c r="P3325" t="s">
        <v>34</v>
      </c>
      <c r="Q3325" t="s">
        <v>35</v>
      </c>
      <c r="R3325" t="s">
        <v>0</v>
      </c>
      <c r="S3325" t="s">
        <v>42</v>
      </c>
      <c r="T3325">
        <v>2015</v>
      </c>
      <c r="U3325">
        <v>8</v>
      </c>
      <c r="V3325" s="51">
        <v>42217</v>
      </c>
      <c r="W3325" s="4">
        <v>3795.6099999999997</v>
      </c>
      <c r="X3325" s="52">
        <v>4171</v>
      </c>
    </row>
    <row r="3326" spans="2:24" x14ac:dyDescent="0.35">
      <c r="B3326" s="6" t="s">
        <v>14</v>
      </c>
      <c r="C3326" s="6" t="s">
        <v>37</v>
      </c>
      <c r="D3326" s="6" t="s">
        <v>38</v>
      </c>
      <c r="E3326" s="6" t="s">
        <v>0</v>
      </c>
      <c r="F3326" s="6" t="s">
        <v>26</v>
      </c>
      <c r="G3326" s="6">
        <v>2015</v>
      </c>
      <c r="H3326" s="6">
        <v>8</v>
      </c>
      <c r="I3326" s="10">
        <v>42217</v>
      </c>
      <c r="J3326" s="6">
        <v>5438</v>
      </c>
      <c r="K3326" s="51"/>
      <c r="O3326" t="s">
        <v>14</v>
      </c>
      <c r="P3326" t="s">
        <v>37</v>
      </c>
      <c r="Q3326" t="s">
        <v>38</v>
      </c>
      <c r="R3326" t="s">
        <v>0</v>
      </c>
      <c r="S3326" t="s">
        <v>26</v>
      </c>
      <c r="T3326">
        <v>2015</v>
      </c>
      <c r="U3326">
        <v>8</v>
      </c>
      <c r="V3326" s="51">
        <v>42217</v>
      </c>
      <c r="W3326" s="4">
        <v>4839.82</v>
      </c>
      <c r="X3326" s="52">
        <v>5438</v>
      </c>
    </row>
    <row r="3327" spans="2:24" x14ac:dyDescent="0.35">
      <c r="B3327" s="6" t="s">
        <v>3</v>
      </c>
      <c r="C3327" s="6" t="s">
        <v>25</v>
      </c>
      <c r="D3327" s="6" t="s">
        <v>4</v>
      </c>
      <c r="E3327" s="6" t="s">
        <v>0</v>
      </c>
      <c r="F3327" s="6" t="s">
        <v>45</v>
      </c>
      <c r="G3327" s="6">
        <v>2015</v>
      </c>
      <c r="H3327" s="6">
        <v>8</v>
      </c>
      <c r="I3327" s="10">
        <v>42217</v>
      </c>
      <c r="J3327" s="6">
        <v>3671</v>
      </c>
      <c r="K3327" s="51"/>
      <c r="O3327" t="s">
        <v>3</v>
      </c>
      <c r="P3327" t="s">
        <v>25</v>
      </c>
      <c r="Q3327" t="s">
        <v>4</v>
      </c>
      <c r="R3327" t="s">
        <v>0</v>
      </c>
      <c r="S3327" t="s">
        <v>45</v>
      </c>
      <c r="T3327">
        <v>2015</v>
      </c>
      <c r="U3327">
        <v>8</v>
      </c>
      <c r="V3327" s="51">
        <v>42217</v>
      </c>
      <c r="W3327" s="4">
        <v>3450.74</v>
      </c>
      <c r="X3327" s="52">
        <v>3671</v>
      </c>
    </row>
    <row r="3328" spans="2:24" x14ac:dyDescent="0.35">
      <c r="B3328" s="6" t="s">
        <v>6</v>
      </c>
      <c r="C3328" s="6" t="s">
        <v>29</v>
      </c>
      <c r="D3328" s="6" t="s">
        <v>30</v>
      </c>
      <c r="E3328" s="6" t="s">
        <v>27</v>
      </c>
      <c r="F3328" s="6" t="s">
        <v>28</v>
      </c>
      <c r="G3328" s="6">
        <v>2015</v>
      </c>
      <c r="H3328" s="6">
        <v>8</v>
      </c>
      <c r="I3328" s="10">
        <v>42217</v>
      </c>
      <c r="J3328" s="6">
        <v>3862</v>
      </c>
      <c r="K3328" s="51"/>
      <c r="O3328" t="s">
        <v>6</v>
      </c>
      <c r="P3328" t="s">
        <v>29</v>
      </c>
      <c r="Q3328" t="s">
        <v>30</v>
      </c>
      <c r="R3328" t="s">
        <v>27</v>
      </c>
      <c r="S3328" t="s">
        <v>28</v>
      </c>
      <c r="T3328">
        <v>2015</v>
      </c>
      <c r="U3328">
        <v>8</v>
      </c>
      <c r="V3328" s="51">
        <v>42217</v>
      </c>
      <c r="W3328" s="4">
        <v>3359.9400000000005</v>
      </c>
      <c r="X3328" s="52">
        <v>3862</v>
      </c>
    </row>
    <row r="3329" spans="2:24" x14ac:dyDescent="0.35">
      <c r="B3329" s="6" t="s">
        <v>7</v>
      </c>
      <c r="C3329" s="6" t="s">
        <v>43</v>
      </c>
      <c r="D3329" s="6" t="s">
        <v>10</v>
      </c>
      <c r="E3329" s="6" t="s">
        <v>27</v>
      </c>
      <c r="F3329" s="6" t="s">
        <v>31</v>
      </c>
      <c r="G3329" s="6">
        <v>2015</v>
      </c>
      <c r="H3329" s="6">
        <v>8</v>
      </c>
      <c r="I3329" s="10">
        <v>42217</v>
      </c>
      <c r="J3329" s="6">
        <v>4013</v>
      </c>
      <c r="K3329" s="51"/>
      <c r="O3329" t="s">
        <v>7</v>
      </c>
      <c r="P3329" t="s">
        <v>43</v>
      </c>
      <c r="Q3329" t="s">
        <v>10</v>
      </c>
      <c r="R3329" t="s">
        <v>27</v>
      </c>
      <c r="S3329" t="s">
        <v>31</v>
      </c>
      <c r="T3329">
        <v>2015</v>
      </c>
      <c r="U3329">
        <v>8</v>
      </c>
      <c r="V3329" s="51">
        <v>42217</v>
      </c>
      <c r="W3329" s="4">
        <v>3732.0899999999997</v>
      </c>
      <c r="X3329" s="52">
        <v>4013</v>
      </c>
    </row>
    <row r="3330" spans="2:24" x14ac:dyDescent="0.35">
      <c r="B3330" s="6" t="s">
        <v>12</v>
      </c>
      <c r="C3330" s="6" t="s">
        <v>44</v>
      </c>
      <c r="D3330" s="6" t="s">
        <v>13</v>
      </c>
      <c r="E3330" s="6" t="s">
        <v>27</v>
      </c>
      <c r="F3330" s="6" t="s">
        <v>33</v>
      </c>
      <c r="G3330" s="6">
        <v>2015</v>
      </c>
      <c r="H3330" s="6">
        <v>8</v>
      </c>
      <c r="I3330" s="10">
        <v>42217</v>
      </c>
      <c r="J3330" s="6">
        <v>4020</v>
      </c>
      <c r="K3330" s="51"/>
      <c r="O3330" t="s">
        <v>12</v>
      </c>
      <c r="P3330" t="s">
        <v>44</v>
      </c>
      <c r="Q3330" t="s">
        <v>13</v>
      </c>
      <c r="R3330" t="s">
        <v>27</v>
      </c>
      <c r="S3330" t="s">
        <v>33</v>
      </c>
      <c r="T3330">
        <v>2015</v>
      </c>
      <c r="U3330">
        <v>8</v>
      </c>
      <c r="V3330" s="51">
        <v>42217</v>
      </c>
      <c r="W3330" s="4">
        <v>3577.7999999999997</v>
      </c>
      <c r="X3330" s="52">
        <v>4020</v>
      </c>
    </row>
    <row r="3331" spans="2:24" x14ac:dyDescent="0.35">
      <c r="B3331" s="6" t="s">
        <v>14</v>
      </c>
      <c r="C3331" s="6" t="s">
        <v>46</v>
      </c>
      <c r="D3331" s="6" t="s">
        <v>47</v>
      </c>
      <c r="E3331" s="6" t="s">
        <v>23</v>
      </c>
      <c r="F3331" s="6" t="s">
        <v>36</v>
      </c>
      <c r="G3331" s="6">
        <v>2015</v>
      </c>
      <c r="H3331" s="6">
        <v>8</v>
      </c>
      <c r="I3331" s="10">
        <v>42217</v>
      </c>
      <c r="J3331" s="6">
        <v>2575</v>
      </c>
      <c r="K3331" s="51"/>
      <c r="O3331" t="s">
        <v>14</v>
      </c>
      <c r="P3331" t="s">
        <v>46</v>
      </c>
      <c r="Q3331" t="s">
        <v>47</v>
      </c>
      <c r="R3331" t="s">
        <v>23</v>
      </c>
      <c r="S3331" t="s">
        <v>36</v>
      </c>
      <c r="T3331">
        <v>2015</v>
      </c>
      <c r="U3331">
        <v>8</v>
      </c>
      <c r="V3331" s="51">
        <v>42217</v>
      </c>
      <c r="W3331" s="4">
        <v>2369</v>
      </c>
      <c r="X3331" s="52">
        <v>2575</v>
      </c>
    </row>
    <row r="3332" spans="2:24" x14ac:dyDescent="0.35">
      <c r="B3332" s="6" t="s">
        <v>6</v>
      </c>
      <c r="C3332" s="6" t="s">
        <v>29</v>
      </c>
      <c r="D3332" s="6" t="s">
        <v>30</v>
      </c>
      <c r="E3332" s="6" t="s">
        <v>23</v>
      </c>
      <c r="F3332" s="6" t="s">
        <v>39</v>
      </c>
      <c r="G3332" s="6">
        <v>2015</v>
      </c>
      <c r="H3332" s="6">
        <v>8</v>
      </c>
      <c r="I3332" s="10">
        <v>42217</v>
      </c>
      <c r="J3332" s="6">
        <v>1432</v>
      </c>
      <c r="K3332" s="51"/>
      <c r="O3332" t="s">
        <v>6</v>
      </c>
      <c r="P3332" t="s">
        <v>29</v>
      </c>
      <c r="Q3332" t="s">
        <v>30</v>
      </c>
      <c r="R3332" t="s">
        <v>23</v>
      </c>
      <c r="S3332" t="s">
        <v>39</v>
      </c>
      <c r="T3332">
        <v>2015</v>
      </c>
      <c r="U3332">
        <v>8</v>
      </c>
      <c r="V3332" s="51">
        <v>42217</v>
      </c>
      <c r="W3332" s="4">
        <v>1231.5200000000002</v>
      </c>
      <c r="X3332" s="52">
        <v>1432</v>
      </c>
    </row>
    <row r="3333" spans="2:24" x14ac:dyDescent="0.35">
      <c r="B3333" s="6" t="s">
        <v>7</v>
      </c>
      <c r="C3333" s="6" t="s">
        <v>32</v>
      </c>
      <c r="D3333" s="6" t="s">
        <v>8</v>
      </c>
      <c r="E3333" s="6" t="s">
        <v>0</v>
      </c>
      <c r="F3333" s="6" t="s">
        <v>42</v>
      </c>
      <c r="G3333" s="6">
        <v>2015</v>
      </c>
      <c r="H3333" s="6">
        <v>8</v>
      </c>
      <c r="I3333" s="10">
        <v>42217</v>
      </c>
      <c r="J3333" s="6">
        <v>6965</v>
      </c>
      <c r="K3333" s="51"/>
      <c r="O3333" t="s">
        <v>7</v>
      </c>
      <c r="P3333" t="s">
        <v>32</v>
      </c>
      <c r="Q3333" t="s">
        <v>8</v>
      </c>
      <c r="R3333" t="s">
        <v>0</v>
      </c>
      <c r="S3333" t="s">
        <v>42</v>
      </c>
      <c r="T3333">
        <v>2015</v>
      </c>
      <c r="U3333">
        <v>8</v>
      </c>
      <c r="V3333" s="51">
        <v>42217</v>
      </c>
      <c r="W3333" s="4">
        <v>6338.15</v>
      </c>
      <c r="X3333" s="52">
        <v>6965</v>
      </c>
    </row>
    <row r="3334" spans="2:24" x14ac:dyDescent="0.35">
      <c r="B3334" s="6" t="s">
        <v>12</v>
      </c>
      <c r="C3334" s="6" t="s">
        <v>44</v>
      </c>
      <c r="D3334" s="6" t="s">
        <v>13</v>
      </c>
      <c r="E3334" s="6" t="s">
        <v>0</v>
      </c>
      <c r="F3334" s="6" t="s">
        <v>26</v>
      </c>
      <c r="G3334" s="6">
        <v>2015</v>
      </c>
      <c r="H3334" s="6">
        <v>8</v>
      </c>
      <c r="I3334" s="10">
        <v>42217</v>
      </c>
      <c r="J3334" s="6">
        <v>3400</v>
      </c>
      <c r="K3334" s="51"/>
      <c r="O3334" t="s">
        <v>12</v>
      </c>
      <c r="P3334" t="s">
        <v>44</v>
      </c>
      <c r="Q3334" t="s">
        <v>13</v>
      </c>
      <c r="R3334" t="s">
        <v>0</v>
      </c>
      <c r="S3334" t="s">
        <v>26</v>
      </c>
      <c r="T3334">
        <v>2015</v>
      </c>
      <c r="U3334">
        <v>8</v>
      </c>
      <c r="V3334" s="51">
        <v>42217</v>
      </c>
      <c r="W3334" s="4">
        <v>3196</v>
      </c>
      <c r="X3334" s="52">
        <v>3400</v>
      </c>
    </row>
    <row r="3335" spans="2:24" x14ac:dyDescent="0.35">
      <c r="B3335" s="6" t="s">
        <v>14</v>
      </c>
      <c r="C3335" s="6" t="s">
        <v>37</v>
      </c>
      <c r="D3335" s="6" t="s">
        <v>38</v>
      </c>
      <c r="E3335" s="6" t="s">
        <v>0</v>
      </c>
      <c r="F3335" s="6" t="s">
        <v>45</v>
      </c>
      <c r="G3335" s="6">
        <v>2015</v>
      </c>
      <c r="H3335" s="6">
        <v>8</v>
      </c>
      <c r="I3335" s="10">
        <v>42217</v>
      </c>
      <c r="J3335" s="6">
        <v>4659</v>
      </c>
      <c r="K3335" s="51"/>
      <c r="O3335" t="s">
        <v>14</v>
      </c>
      <c r="P3335" t="s">
        <v>37</v>
      </c>
      <c r="Q3335" t="s">
        <v>38</v>
      </c>
      <c r="R3335" t="s">
        <v>0</v>
      </c>
      <c r="S3335" t="s">
        <v>45</v>
      </c>
      <c r="T3335">
        <v>2015</v>
      </c>
      <c r="U3335">
        <v>8</v>
      </c>
      <c r="V3335" s="51">
        <v>42217</v>
      </c>
      <c r="W3335" s="4">
        <v>4193.0999999999995</v>
      </c>
      <c r="X3335" s="52">
        <v>4659</v>
      </c>
    </row>
    <row r="3336" spans="2:24" x14ac:dyDescent="0.35">
      <c r="B3336" s="6" t="s">
        <v>3</v>
      </c>
      <c r="C3336" s="6" t="s">
        <v>25</v>
      </c>
      <c r="D3336" s="6" t="s">
        <v>4</v>
      </c>
      <c r="E3336" s="6" t="s">
        <v>27</v>
      </c>
      <c r="F3336" s="6" t="s">
        <v>28</v>
      </c>
      <c r="G3336" s="6">
        <v>2015</v>
      </c>
      <c r="H3336" s="6">
        <v>8</v>
      </c>
      <c r="I3336" s="10">
        <v>42217</v>
      </c>
      <c r="J3336" s="6">
        <v>4648</v>
      </c>
      <c r="K3336" s="51"/>
      <c r="O3336" t="s">
        <v>3</v>
      </c>
      <c r="P3336" t="s">
        <v>25</v>
      </c>
      <c r="Q3336" t="s">
        <v>4</v>
      </c>
      <c r="R3336" t="s">
        <v>27</v>
      </c>
      <c r="S3336" t="s">
        <v>28</v>
      </c>
      <c r="T3336">
        <v>2015</v>
      </c>
      <c r="U3336">
        <v>8</v>
      </c>
      <c r="V3336" s="51">
        <v>42217</v>
      </c>
      <c r="W3336" s="4">
        <v>3950.8</v>
      </c>
      <c r="X3336" s="52">
        <v>4648</v>
      </c>
    </row>
    <row r="3337" spans="2:24" x14ac:dyDescent="0.35">
      <c r="B3337" s="6" t="s">
        <v>3</v>
      </c>
      <c r="C3337" s="6" t="s">
        <v>25</v>
      </c>
      <c r="D3337" s="6" t="s">
        <v>4</v>
      </c>
      <c r="E3337" s="6" t="s">
        <v>27</v>
      </c>
      <c r="F3337" s="6" t="s">
        <v>31</v>
      </c>
      <c r="G3337" s="6">
        <v>2015</v>
      </c>
      <c r="H3337" s="6">
        <v>8</v>
      </c>
      <c r="I3337" s="10">
        <v>42217</v>
      </c>
      <c r="J3337" s="6">
        <v>5142</v>
      </c>
      <c r="K3337" s="51"/>
      <c r="O3337" t="s">
        <v>3</v>
      </c>
      <c r="P3337" t="s">
        <v>25</v>
      </c>
      <c r="Q3337" t="s">
        <v>4</v>
      </c>
      <c r="R3337" t="s">
        <v>27</v>
      </c>
      <c r="S3337" t="s">
        <v>31</v>
      </c>
      <c r="T3337">
        <v>2015</v>
      </c>
      <c r="U3337">
        <v>8</v>
      </c>
      <c r="V3337" s="51">
        <v>42217</v>
      </c>
      <c r="W3337" s="4">
        <v>4627.7999999999993</v>
      </c>
      <c r="X3337" s="52">
        <v>5142</v>
      </c>
    </row>
    <row r="3338" spans="2:24" x14ac:dyDescent="0.35">
      <c r="B3338" s="6" t="s">
        <v>6</v>
      </c>
      <c r="C3338" s="6" t="s">
        <v>40</v>
      </c>
      <c r="D3338" s="6" t="s">
        <v>41</v>
      </c>
      <c r="E3338" s="6" t="s">
        <v>27</v>
      </c>
      <c r="F3338" s="6" t="s">
        <v>33</v>
      </c>
      <c r="G3338" s="6">
        <v>2015</v>
      </c>
      <c r="H3338" s="6">
        <v>8</v>
      </c>
      <c r="I3338" s="10">
        <v>42217</v>
      </c>
      <c r="J3338" s="6">
        <v>3450</v>
      </c>
      <c r="K3338" s="51"/>
      <c r="O3338" t="s">
        <v>6</v>
      </c>
      <c r="P3338" t="s">
        <v>40</v>
      </c>
      <c r="Q3338" t="s">
        <v>41</v>
      </c>
      <c r="R3338" t="s">
        <v>27</v>
      </c>
      <c r="S3338" t="s">
        <v>33</v>
      </c>
      <c r="T3338">
        <v>2015</v>
      </c>
      <c r="U3338">
        <v>8</v>
      </c>
      <c r="V3338" s="51">
        <v>42217</v>
      </c>
      <c r="W3338" s="4">
        <v>3243</v>
      </c>
      <c r="X3338" s="52">
        <v>3450</v>
      </c>
    </row>
    <row r="3339" spans="2:24" x14ac:dyDescent="0.35">
      <c r="B3339" s="6" t="s">
        <v>6</v>
      </c>
      <c r="C3339" s="6" t="s">
        <v>40</v>
      </c>
      <c r="D3339" s="6" t="s">
        <v>41</v>
      </c>
      <c r="E3339" s="6" t="s">
        <v>23</v>
      </c>
      <c r="F3339" s="6" t="s">
        <v>36</v>
      </c>
      <c r="G3339" s="6">
        <v>2015</v>
      </c>
      <c r="H3339" s="6">
        <v>8</v>
      </c>
      <c r="I3339" s="10">
        <v>42217</v>
      </c>
      <c r="J3339" s="6">
        <v>2379</v>
      </c>
      <c r="K3339" s="51"/>
      <c r="O3339" t="s">
        <v>6</v>
      </c>
      <c r="P3339" t="s">
        <v>40</v>
      </c>
      <c r="Q3339" t="s">
        <v>41</v>
      </c>
      <c r="R3339" t="s">
        <v>23</v>
      </c>
      <c r="S3339" t="s">
        <v>36</v>
      </c>
      <c r="T3339">
        <v>2015</v>
      </c>
      <c r="U3339">
        <v>8</v>
      </c>
      <c r="V3339" s="51">
        <v>42217</v>
      </c>
      <c r="W3339" s="4">
        <v>2188.6799999999998</v>
      </c>
      <c r="X3339" s="52">
        <v>2379</v>
      </c>
    </row>
    <row r="3340" spans="2:24" x14ac:dyDescent="0.35">
      <c r="B3340" s="6" t="s">
        <v>7</v>
      </c>
      <c r="C3340" s="6" t="s">
        <v>43</v>
      </c>
      <c r="D3340" s="6" t="s">
        <v>10</v>
      </c>
      <c r="E3340" s="6" t="s">
        <v>23</v>
      </c>
      <c r="F3340" s="6" t="s">
        <v>24</v>
      </c>
      <c r="G3340" s="6">
        <v>2015</v>
      </c>
      <c r="H3340" s="6">
        <v>8</v>
      </c>
      <c r="I3340" s="10">
        <v>42217</v>
      </c>
      <c r="J3340" s="6">
        <v>3122</v>
      </c>
      <c r="K3340" s="51"/>
      <c r="O3340" t="s">
        <v>7</v>
      </c>
      <c r="P3340" t="s">
        <v>43</v>
      </c>
      <c r="Q3340" t="s">
        <v>10</v>
      </c>
      <c r="R3340" t="s">
        <v>23</v>
      </c>
      <c r="S3340" t="s">
        <v>24</v>
      </c>
      <c r="T3340">
        <v>2015</v>
      </c>
      <c r="U3340">
        <v>8</v>
      </c>
      <c r="V3340" s="51">
        <v>42217</v>
      </c>
      <c r="W3340" s="4">
        <v>2841.0199999999995</v>
      </c>
      <c r="X3340" s="52">
        <v>3122</v>
      </c>
    </row>
    <row r="3341" spans="2:24" x14ac:dyDescent="0.35">
      <c r="B3341" s="6" t="s">
        <v>7</v>
      </c>
      <c r="C3341" s="6" t="s">
        <v>43</v>
      </c>
      <c r="D3341" s="6" t="s">
        <v>10</v>
      </c>
      <c r="E3341" s="6" t="s">
        <v>23</v>
      </c>
      <c r="F3341" s="6" t="s">
        <v>39</v>
      </c>
      <c r="G3341" s="6">
        <v>2015</v>
      </c>
      <c r="H3341" s="6">
        <v>8</v>
      </c>
      <c r="I3341" s="10">
        <v>42217</v>
      </c>
      <c r="J3341" s="6">
        <v>1697</v>
      </c>
      <c r="K3341" s="51"/>
      <c r="O3341" t="s">
        <v>7</v>
      </c>
      <c r="P3341" t="s">
        <v>43</v>
      </c>
      <c r="Q3341" t="s">
        <v>10</v>
      </c>
      <c r="R3341" t="s">
        <v>23</v>
      </c>
      <c r="S3341" t="s">
        <v>39</v>
      </c>
      <c r="T3341">
        <v>2015</v>
      </c>
      <c r="U3341">
        <v>8</v>
      </c>
      <c r="V3341" s="51">
        <v>42217</v>
      </c>
      <c r="W3341" s="4">
        <v>1578.2099999999998</v>
      </c>
      <c r="X3341" s="52">
        <v>1697</v>
      </c>
    </row>
    <row r="3342" spans="2:24" x14ac:dyDescent="0.35">
      <c r="B3342" s="6" t="s">
        <v>7</v>
      </c>
      <c r="C3342" s="6" t="s">
        <v>32</v>
      </c>
      <c r="D3342" s="6" t="s">
        <v>8</v>
      </c>
      <c r="E3342" s="6" t="s">
        <v>0</v>
      </c>
      <c r="F3342" s="6" t="s">
        <v>26</v>
      </c>
      <c r="G3342" s="6">
        <v>2015</v>
      </c>
      <c r="H3342" s="6">
        <v>8</v>
      </c>
      <c r="I3342" s="10">
        <v>42217</v>
      </c>
      <c r="J3342" s="6">
        <v>5332</v>
      </c>
      <c r="K3342" s="51"/>
      <c r="O3342" t="s">
        <v>7</v>
      </c>
      <c r="P3342" t="s">
        <v>32</v>
      </c>
      <c r="Q3342" t="s">
        <v>8</v>
      </c>
      <c r="R3342" t="s">
        <v>0</v>
      </c>
      <c r="S3342" t="s">
        <v>26</v>
      </c>
      <c r="T3342">
        <v>2015</v>
      </c>
      <c r="U3342">
        <v>8</v>
      </c>
      <c r="V3342" s="51">
        <v>42217</v>
      </c>
      <c r="W3342" s="4">
        <v>4958.7599999999993</v>
      </c>
      <c r="X3342" s="52">
        <v>5332</v>
      </c>
    </row>
    <row r="3343" spans="2:24" x14ac:dyDescent="0.35">
      <c r="B3343" s="6" t="s">
        <v>3</v>
      </c>
      <c r="C3343" s="6" t="s">
        <v>22</v>
      </c>
      <c r="D3343" s="6" t="s">
        <v>5</v>
      </c>
      <c r="E3343" s="6" t="s">
        <v>0</v>
      </c>
      <c r="F3343" s="6" t="s">
        <v>45</v>
      </c>
      <c r="G3343" s="6">
        <v>2015</v>
      </c>
      <c r="H3343" s="6">
        <v>8</v>
      </c>
      <c r="I3343" s="10">
        <v>42217</v>
      </c>
      <c r="J3343" s="6">
        <v>4963</v>
      </c>
      <c r="K3343" s="51"/>
      <c r="O3343" t="s">
        <v>3</v>
      </c>
      <c r="P3343" t="s">
        <v>22</v>
      </c>
      <c r="Q3343" t="s">
        <v>5</v>
      </c>
      <c r="R3343" t="s">
        <v>0</v>
      </c>
      <c r="S3343" t="s">
        <v>45</v>
      </c>
      <c r="T3343">
        <v>2015</v>
      </c>
      <c r="U3343">
        <v>8</v>
      </c>
      <c r="V3343" s="51">
        <v>42217</v>
      </c>
      <c r="W3343" s="4">
        <v>4367.4399999999996</v>
      </c>
      <c r="X3343" s="52">
        <v>4963</v>
      </c>
    </row>
    <row r="3344" spans="2:24" x14ac:dyDescent="0.35">
      <c r="B3344" s="6" t="s">
        <v>7</v>
      </c>
      <c r="C3344" s="6" t="s">
        <v>48</v>
      </c>
      <c r="D3344" s="6" t="s">
        <v>9</v>
      </c>
      <c r="E3344" s="6" t="s">
        <v>23</v>
      </c>
      <c r="F3344" s="6" t="s">
        <v>36</v>
      </c>
      <c r="G3344" s="6">
        <v>2015</v>
      </c>
      <c r="H3344" s="6">
        <v>8</v>
      </c>
      <c r="I3344" s="10">
        <v>42217</v>
      </c>
      <c r="J3344" s="6">
        <v>1886</v>
      </c>
      <c r="K3344" s="51"/>
      <c r="O3344" t="s">
        <v>7</v>
      </c>
      <c r="P3344" t="s">
        <v>48</v>
      </c>
      <c r="Q3344" t="s">
        <v>9</v>
      </c>
      <c r="R3344" t="s">
        <v>23</v>
      </c>
      <c r="S3344" t="s">
        <v>36</v>
      </c>
      <c r="T3344">
        <v>2015</v>
      </c>
      <c r="U3344">
        <v>8</v>
      </c>
      <c r="V3344" s="51">
        <v>42217</v>
      </c>
      <c r="W3344" s="4">
        <v>1659.6799999999998</v>
      </c>
      <c r="X3344" s="52">
        <v>1886</v>
      </c>
    </row>
    <row r="3345" spans="2:24" x14ac:dyDescent="0.35">
      <c r="B3345" s="6" t="s">
        <v>7</v>
      </c>
      <c r="C3345" s="6" t="s">
        <v>48</v>
      </c>
      <c r="D3345" s="6" t="s">
        <v>9</v>
      </c>
      <c r="E3345" s="6" t="s">
        <v>23</v>
      </c>
      <c r="F3345" s="6" t="s">
        <v>24</v>
      </c>
      <c r="G3345" s="6">
        <v>2015</v>
      </c>
      <c r="H3345" s="6">
        <v>8</v>
      </c>
      <c r="I3345" s="10">
        <v>42217</v>
      </c>
      <c r="J3345" s="6">
        <v>2358</v>
      </c>
      <c r="K3345" s="51"/>
      <c r="O3345" t="s">
        <v>7</v>
      </c>
      <c r="P3345" t="s">
        <v>48</v>
      </c>
      <c r="Q3345" t="s">
        <v>9</v>
      </c>
      <c r="R3345" t="s">
        <v>23</v>
      </c>
      <c r="S3345" t="s">
        <v>24</v>
      </c>
      <c r="T3345">
        <v>2015</v>
      </c>
      <c r="U3345">
        <v>8</v>
      </c>
      <c r="V3345" s="51">
        <v>42217</v>
      </c>
      <c r="W3345" s="4">
        <v>2051.46</v>
      </c>
      <c r="X3345" s="52">
        <v>2358</v>
      </c>
    </row>
    <row r="3346" spans="2:24" x14ac:dyDescent="0.35">
      <c r="B3346" s="6" t="s">
        <v>7</v>
      </c>
      <c r="C3346" s="6" t="s">
        <v>49</v>
      </c>
      <c r="D3346" s="6" t="s">
        <v>11</v>
      </c>
      <c r="E3346" s="6" t="s">
        <v>23</v>
      </c>
      <c r="F3346" s="6" t="s">
        <v>39</v>
      </c>
      <c r="G3346" s="6">
        <v>2015</v>
      </c>
      <c r="H3346" s="6">
        <v>8</v>
      </c>
      <c r="I3346" s="10">
        <v>42217</v>
      </c>
      <c r="J3346" s="6">
        <v>1766</v>
      </c>
      <c r="K3346" s="51"/>
      <c r="O3346" t="s">
        <v>7</v>
      </c>
      <c r="P3346" t="s">
        <v>49</v>
      </c>
      <c r="Q3346" t="s">
        <v>11</v>
      </c>
      <c r="R3346" t="s">
        <v>23</v>
      </c>
      <c r="S3346" t="s">
        <v>39</v>
      </c>
      <c r="T3346">
        <v>2015</v>
      </c>
      <c r="U3346">
        <v>8</v>
      </c>
      <c r="V3346" s="51">
        <v>42217</v>
      </c>
      <c r="W3346" s="4">
        <v>1589.3999999999999</v>
      </c>
      <c r="X3346" s="52">
        <v>1766</v>
      </c>
    </row>
    <row r="3347" spans="2:24" x14ac:dyDescent="0.35">
      <c r="B3347" s="6" t="s">
        <v>7</v>
      </c>
      <c r="C3347" s="6" t="s">
        <v>49</v>
      </c>
      <c r="D3347" s="6" t="s">
        <v>11</v>
      </c>
      <c r="E3347" s="6" t="s">
        <v>0</v>
      </c>
      <c r="F3347" s="6" t="s">
        <v>42</v>
      </c>
      <c r="G3347" s="6">
        <v>2015</v>
      </c>
      <c r="H3347" s="6">
        <v>8</v>
      </c>
      <c r="I3347" s="10">
        <v>42217</v>
      </c>
      <c r="J3347" s="6">
        <v>4710</v>
      </c>
      <c r="K3347" s="51"/>
      <c r="O3347" t="s">
        <v>7</v>
      </c>
      <c r="P3347" t="s">
        <v>49</v>
      </c>
      <c r="Q3347" t="s">
        <v>11</v>
      </c>
      <c r="R3347" t="s">
        <v>0</v>
      </c>
      <c r="S3347" t="s">
        <v>42</v>
      </c>
      <c r="T3347">
        <v>2015</v>
      </c>
      <c r="U3347">
        <v>8</v>
      </c>
      <c r="V3347" s="51">
        <v>42217</v>
      </c>
      <c r="W3347" s="4">
        <v>4003.5000000000005</v>
      </c>
      <c r="X3347" s="52">
        <v>4710</v>
      </c>
    </row>
    <row r="3348" spans="2:24" x14ac:dyDescent="0.35">
      <c r="B3348" s="6" t="s">
        <v>12</v>
      </c>
      <c r="C3348" s="6" t="s">
        <v>34</v>
      </c>
      <c r="D3348" s="6" t="s">
        <v>35</v>
      </c>
      <c r="E3348" s="6" t="s">
        <v>0</v>
      </c>
      <c r="F3348" s="6" t="s">
        <v>26</v>
      </c>
      <c r="G3348" s="6">
        <v>2015</v>
      </c>
      <c r="H3348" s="6">
        <v>8</v>
      </c>
      <c r="I3348" s="10">
        <v>42217</v>
      </c>
      <c r="J3348" s="6">
        <v>2707</v>
      </c>
      <c r="K3348" s="51"/>
      <c r="O3348" t="s">
        <v>12</v>
      </c>
      <c r="P3348" t="s">
        <v>34</v>
      </c>
      <c r="Q3348" t="s">
        <v>35</v>
      </c>
      <c r="R3348" t="s">
        <v>0</v>
      </c>
      <c r="S3348" t="s">
        <v>26</v>
      </c>
      <c r="T3348">
        <v>2015</v>
      </c>
      <c r="U3348">
        <v>8</v>
      </c>
      <c r="V3348" s="51">
        <v>42217</v>
      </c>
      <c r="W3348" s="4">
        <v>2300.9500000000003</v>
      </c>
      <c r="X3348" s="52">
        <v>2707</v>
      </c>
    </row>
    <row r="3349" spans="2:24" x14ac:dyDescent="0.35">
      <c r="B3349" s="6" t="s">
        <v>12</v>
      </c>
      <c r="C3349" s="6" t="s">
        <v>34</v>
      </c>
      <c r="D3349" s="6" t="s">
        <v>35</v>
      </c>
      <c r="E3349" s="6" t="s">
        <v>0</v>
      </c>
      <c r="F3349" s="6" t="s">
        <v>45</v>
      </c>
      <c r="G3349" s="6">
        <v>2015</v>
      </c>
      <c r="H3349" s="6">
        <v>8</v>
      </c>
      <c r="I3349" s="10">
        <v>42217</v>
      </c>
      <c r="J3349" s="6">
        <v>3843</v>
      </c>
      <c r="K3349" s="51"/>
      <c r="O3349" t="s">
        <v>12</v>
      </c>
      <c r="P3349" t="s">
        <v>34</v>
      </c>
      <c r="Q3349" t="s">
        <v>35</v>
      </c>
      <c r="R3349" t="s">
        <v>0</v>
      </c>
      <c r="S3349" t="s">
        <v>45</v>
      </c>
      <c r="T3349">
        <v>2015</v>
      </c>
      <c r="U3349">
        <v>8</v>
      </c>
      <c r="V3349" s="51">
        <v>42217</v>
      </c>
      <c r="W3349" s="4">
        <v>3381.8399999999997</v>
      </c>
      <c r="X3349" s="52">
        <v>3843</v>
      </c>
    </row>
    <row r="3350" spans="2:24" x14ac:dyDescent="0.35">
      <c r="B3350" s="6" t="s">
        <v>14</v>
      </c>
      <c r="C3350" s="6" t="s">
        <v>37</v>
      </c>
      <c r="D3350" s="6" t="s">
        <v>38</v>
      </c>
      <c r="E3350" s="6" t="s">
        <v>27</v>
      </c>
      <c r="F3350" s="6" t="s">
        <v>28</v>
      </c>
      <c r="G3350" s="6">
        <v>2015</v>
      </c>
      <c r="H3350" s="6">
        <v>8</v>
      </c>
      <c r="I3350" s="10">
        <v>42217</v>
      </c>
      <c r="J3350" s="6">
        <v>4498</v>
      </c>
      <c r="K3350" s="51"/>
      <c r="O3350" t="s">
        <v>14</v>
      </c>
      <c r="P3350" t="s">
        <v>37</v>
      </c>
      <c r="Q3350" t="s">
        <v>38</v>
      </c>
      <c r="R3350" t="s">
        <v>27</v>
      </c>
      <c r="S3350" t="s">
        <v>28</v>
      </c>
      <c r="T3350">
        <v>2015</v>
      </c>
      <c r="U3350">
        <v>8</v>
      </c>
      <c r="V3350" s="51">
        <v>42217</v>
      </c>
      <c r="W3350" s="4">
        <v>4003.2199999999993</v>
      </c>
      <c r="X3350" s="52">
        <v>4498</v>
      </c>
    </row>
    <row r="3351" spans="2:24" x14ac:dyDescent="0.35">
      <c r="B3351" s="6" t="s">
        <v>14</v>
      </c>
      <c r="C3351" s="6" t="s">
        <v>37</v>
      </c>
      <c r="D3351" s="6" t="s">
        <v>38</v>
      </c>
      <c r="E3351" s="6" t="s">
        <v>27</v>
      </c>
      <c r="F3351" s="6" t="s">
        <v>31</v>
      </c>
      <c r="G3351" s="6">
        <v>2015</v>
      </c>
      <c r="H3351" s="6">
        <v>8</v>
      </c>
      <c r="I3351" s="10">
        <v>42217</v>
      </c>
      <c r="J3351" s="6">
        <v>4103</v>
      </c>
      <c r="K3351" s="51"/>
      <c r="O3351" t="s">
        <v>14</v>
      </c>
      <c r="P3351" t="s">
        <v>37</v>
      </c>
      <c r="Q3351" t="s">
        <v>38</v>
      </c>
      <c r="R3351" t="s">
        <v>27</v>
      </c>
      <c r="S3351" t="s">
        <v>31</v>
      </c>
      <c r="T3351">
        <v>2015</v>
      </c>
      <c r="U3351">
        <v>8</v>
      </c>
      <c r="V3351" s="51">
        <v>42217</v>
      </c>
      <c r="W3351" s="4">
        <v>3569.6100000000006</v>
      </c>
      <c r="X3351" s="52">
        <v>4103</v>
      </c>
    </row>
    <row r="3352" spans="2:24" x14ac:dyDescent="0.35">
      <c r="B3352" s="6" t="s">
        <v>12</v>
      </c>
      <c r="C3352" s="6" t="s">
        <v>44</v>
      </c>
      <c r="D3352" s="6" t="s">
        <v>13</v>
      </c>
      <c r="E3352" s="6" t="s">
        <v>23</v>
      </c>
      <c r="F3352" s="6" t="s">
        <v>36</v>
      </c>
      <c r="G3352" s="6">
        <v>2015</v>
      </c>
      <c r="H3352" s="6">
        <v>8</v>
      </c>
      <c r="I3352" s="10">
        <v>42217</v>
      </c>
      <c r="J3352" s="6">
        <v>2650</v>
      </c>
      <c r="K3352" s="51"/>
      <c r="O3352" t="s">
        <v>12</v>
      </c>
      <c r="P3352" t="s">
        <v>44</v>
      </c>
      <c r="Q3352" t="s">
        <v>13</v>
      </c>
      <c r="R3352" t="s">
        <v>23</v>
      </c>
      <c r="S3352" t="s">
        <v>36</v>
      </c>
      <c r="T3352">
        <v>2015</v>
      </c>
      <c r="U3352">
        <v>8</v>
      </c>
      <c r="V3352" s="51">
        <v>42217</v>
      </c>
      <c r="W3352" s="4">
        <v>2331.9999999999995</v>
      </c>
      <c r="X3352" s="52">
        <v>2650</v>
      </c>
    </row>
    <row r="3353" spans="2:24" x14ac:dyDescent="0.35">
      <c r="B3353" s="6" t="s">
        <v>14</v>
      </c>
      <c r="C3353" s="6" t="s">
        <v>46</v>
      </c>
      <c r="D3353" s="6" t="s">
        <v>47</v>
      </c>
      <c r="E3353" s="6" t="s">
        <v>23</v>
      </c>
      <c r="F3353" s="6" t="s">
        <v>24</v>
      </c>
      <c r="G3353" s="6">
        <v>2015</v>
      </c>
      <c r="H3353" s="6">
        <v>8</v>
      </c>
      <c r="I3353" s="10">
        <v>42217</v>
      </c>
      <c r="J3353" s="6">
        <v>3290</v>
      </c>
      <c r="K3353" s="51"/>
      <c r="O3353" t="s">
        <v>14</v>
      </c>
      <c r="P3353" t="s">
        <v>46</v>
      </c>
      <c r="Q3353" t="s">
        <v>47</v>
      </c>
      <c r="R3353" t="s">
        <v>23</v>
      </c>
      <c r="S3353" t="s">
        <v>24</v>
      </c>
      <c r="T3353">
        <v>2015</v>
      </c>
      <c r="U3353">
        <v>8</v>
      </c>
      <c r="V3353" s="51">
        <v>42217</v>
      </c>
      <c r="W3353" s="4">
        <v>2862.3</v>
      </c>
      <c r="X3353" s="52">
        <v>3290</v>
      </c>
    </row>
    <row r="3354" spans="2:24" x14ac:dyDescent="0.35">
      <c r="B3354" s="6" t="s">
        <v>14</v>
      </c>
      <c r="C3354" s="6" t="s">
        <v>46</v>
      </c>
      <c r="D3354" s="6" t="s">
        <v>47</v>
      </c>
      <c r="E3354" s="6" t="s">
        <v>23</v>
      </c>
      <c r="F3354" s="6" t="s">
        <v>39</v>
      </c>
      <c r="G3354" s="6">
        <v>2015</v>
      </c>
      <c r="H3354" s="6">
        <v>8</v>
      </c>
      <c r="I3354" s="10">
        <v>42217</v>
      </c>
      <c r="J3354" s="6">
        <v>2422</v>
      </c>
      <c r="K3354" s="51"/>
      <c r="O3354" t="s">
        <v>14</v>
      </c>
      <c r="P3354" t="s">
        <v>46</v>
      </c>
      <c r="Q3354" t="s">
        <v>47</v>
      </c>
      <c r="R3354" t="s">
        <v>23</v>
      </c>
      <c r="S3354" t="s">
        <v>39</v>
      </c>
      <c r="T3354">
        <v>2015</v>
      </c>
      <c r="U3354">
        <v>8</v>
      </c>
      <c r="V3354" s="51">
        <v>42217</v>
      </c>
      <c r="W3354" s="4">
        <v>2252.46</v>
      </c>
      <c r="X3354" s="52">
        <v>2422</v>
      </c>
    </row>
    <row r="3355" spans="2:24" x14ac:dyDescent="0.35">
      <c r="B3355" s="6" t="s">
        <v>7</v>
      </c>
      <c r="C3355" s="6" t="s">
        <v>43</v>
      </c>
      <c r="D3355" s="6" t="s">
        <v>10</v>
      </c>
      <c r="E3355" s="6" t="s">
        <v>0</v>
      </c>
      <c r="F3355" s="6" t="s">
        <v>42</v>
      </c>
      <c r="G3355" s="6">
        <v>2015</v>
      </c>
      <c r="H3355" s="6">
        <v>8</v>
      </c>
      <c r="I3355" s="10">
        <v>42217</v>
      </c>
      <c r="J3355" s="6">
        <v>5810</v>
      </c>
      <c r="K3355" s="51"/>
      <c r="O3355" t="s">
        <v>7</v>
      </c>
      <c r="P3355" t="s">
        <v>43</v>
      </c>
      <c r="Q3355" t="s">
        <v>10</v>
      </c>
      <c r="R3355" t="s">
        <v>0</v>
      </c>
      <c r="S3355" t="s">
        <v>42</v>
      </c>
      <c r="T3355">
        <v>2015</v>
      </c>
      <c r="U3355">
        <v>8</v>
      </c>
      <c r="V3355" s="51">
        <v>42217</v>
      </c>
      <c r="W3355" s="4">
        <v>4996.6000000000004</v>
      </c>
      <c r="X3355" s="52">
        <v>5810</v>
      </c>
    </row>
    <row r="3356" spans="2:24" x14ac:dyDescent="0.35">
      <c r="B3356" s="6" t="s">
        <v>6</v>
      </c>
      <c r="C3356" s="6" t="s">
        <v>40</v>
      </c>
      <c r="D3356" s="6" t="s">
        <v>41</v>
      </c>
      <c r="E3356" s="6" t="s">
        <v>27</v>
      </c>
      <c r="F3356" s="6" t="s">
        <v>31</v>
      </c>
      <c r="G3356" s="6">
        <v>2015</v>
      </c>
      <c r="H3356" s="6">
        <v>8</v>
      </c>
      <c r="I3356" s="10">
        <v>42217</v>
      </c>
      <c r="J3356" s="6">
        <v>5162</v>
      </c>
      <c r="K3356" s="51"/>
      <c r="O3356" t="s">
        <v>6</v>
      </c>
      <c r="P3356" t="s">
        <v>40</v>
      </c>
      <c r="Q3356" t="s">
        <v>41</v>
      </c>
      <c r="R3356" t="s">
        <v>27</v>
      </c>
      <c r="S3356" t="s">
        <v>31</v>
      </c>
      <c r="T3356">
        <v>2015</v>
      </c>
      <c r="U3356">
        <v>8</v>
      </c>
      <c r="V3356" s="51">
        <v>42217</v>
      </c>
      <c r="W3356" s="4">
        <v>4439.3200000000006</v>
      </c>
      <c r="X3356" s="52">
        <v>5162</v>
      </c>
    </row>
    <row r="3357" spans="2:24" x14ac:dyDescent="0.35">
      <c r="B3357" s="6" t="s">
        <v>3</v>
      </c>
      <c r="C3357" s="6" t="s">
        <v>22</v>
      </c>
      <c r="D3357" s="6" t="s">
        <v>5</v>
      </c>
      <c r="E3357" s="6" t="s">
        <v>23</v>
      </c>
      <c r="F3357" s="6" t="s">
        <v>39</v>
      </c>
      <c r="G3357" s="6">
        <v>2015</v>
      </c>
      <c r="H3357" s="6">
        <v>8</v>
      </c>
      <c r="I3357" s="10">
        <v>42217</v>
      </c>
      <c r="J3357" s="6">
        <v>1592</v>
      </c>
      <c r="K3357" s="51"/>
      <c r="O3357" t="s">
        <v>3</v>
      </c>
      <c r="P3357" t="s">
        <v>22</v>
      </c>
      <c r="Q3357" t="s">
        <v>5</v>
      </c>
      <c r="R3357" t="s">
        <v>23</v>
      </c>
      <c r="S3357" t="s">
        <v>39</v>
      </c>
      <c r="T3357">
        <v>2015</v>
      </c>
      <c r="U3357">
        <v>8</v>
      </c>
      <c r="V3357" s="51">
        <v>42217</v>
      </c>
      <c r="W3357" s="4">
        <v>1496.48</v>
      </c>
      <c r="X3357" s="52">
        <v>1592</v>
      </c>
    </row>
    <row r="3358" spans="2:24" x14ac:dyDescent="0.35">
      <c r="B3358" s="6" t="s">
        <v>3</v>
      </c>
      <c r="C3358" s="6" t="s">
        <v>22</v>
      </c>
      <c r="D3358" s="6" t="s">
        <v>5</v>
      </c>
      <c r="E3358" s="6" t="s">
        <v>0</v>
      </c>
      <c r="F3358" s="6" t="s">
        <v>42</v>
      </c>
      <c r="G3358" s="6">
        <v>2015</v>
      </c>
      <c r="H3358" s="6">
        <v>8</v>
      </c>
      <c r="I3358" s="10">
        <v>42217</v>
      </c>
      <c r="J3358" s="6">
        <v>5973</v>
      </c>
      <c r="K3358" s="51"/>
      <c r="O3358" t="s">
        <v>3</v>
      </c>
      <c r="P3358" t="s">
        <v>22</v>
      </c>
      <c r="Q3358" t="s">
        <v>5</v>
      </c>
      <c r="R3358" t="s">
        <v>0</v>
      </c>
      <c r="S3358" t="s">
        <v>42</v>
      </c>
      <c r="T3358">
        <v>2015</v>
      </c>
      <c r="U3358">
        <v>8</v>
      </c>
      <c r="V3358" s="51">
        <v>42217</v>
      </c>
      <c r="W3358" s="4">
        <v>5495.16</v>
      </c>
      <c r="X3358" s="52">
        <v>5973</v>
      </c>
    </row>
    <row r="3359" spans="2:24" x14ac:dyDescent="0.35">
      <c r="B3359" s="6" t="s">
        <v>6</v>
      </c>
      <c r="C3359" s="6" t="s">
        <v>29</v>
      </c>
      <c r="D3359" s="6" t="s">
        <v>30</v>
      </c>
      <c r="E3359" s="6" t="s">
        <v>0</v>
      </c>
      <c r="F3359" s="6" t="s">
        <v>26</v>
      </c>
      <c r="G3359" s="6">
        <v>2015</v>
      </c>
      <c r="H3359" s="6">
        <v>8</v>
      </c>
      <c r="I3359" s="10">
        <v>42217</v>
      </c>
      <c r="J3359" s="6">
        <v>4701</v>
      </c>
      <c r="K3359" s="51"/>
      <c r="O3359" t="s">
        <v>6</v>
      </c>
      <c r="P3359" t="s">
        <v>29</v>
      </c>
      <c r="Q3359" t="s">
        <v>30</v>
      </c>
      <c r="R3359" t="s">
        <v>0</v>
      </c>
      <c r="S3359" t="s">
        <v>26</v>
      </c>
      <c r="T3359">
        <v>2015</v>
      </c>
      <c r="U3359">
        <v>8</v>
      </c>
      <c r="V3359" s="51">
        <v>42217</v>
      </c>
      <c r="W3359" s="4">
        <v>3995.8500000000004</v>
      </c>
      <c r="X3359" s="52">
        <v>4701</v>
      </c>
    </row>
    <row r="3360" spans="2:24" x14ac:dyDescent="0.35">
      <c r="B3360" s="6" t="s">
        <v>7</v>
      </c>
      <c r="C3360" s="6" t="s">
        <v>48</v>
      </c>
      <c r="D3360" s="6" t="s">
        <v>9</v>
      </c>
      <c r="E3360" s="6" t="s">
        <v>27</v>
      </c>
      <c r="F3360" s="6" t="s">
        <v>28</v>
      </c>
      <c r="G3360" s="6">
        <v>2015</v>
      </c>
      <c r="H3360" s="6">
        <v>8</v>
      </c>
      <c r="I3360" s="10">
        <v>42217</v>
      </c>
      <c r="J3360" s="6">
        <v>3506</v>
      </c>
      <c r="K3360" s="51"/>
      <c r="O3360" t="s">
        <v>7</v>
      </c>
      <c r="P3360" t="s">
        <v>48</v>
      </c>
      <c r="Q3360" t="s">
        <v>9</v>
      </c>
      <c r="R3360" t="s">
        <v>27</v>
      </c>
      <c r="S3360" t="s">
        <v>28</v>
      </c>
      <c r="T3360">
        <v>2015</v>
      </c>
      <c r="U3360">
        <v>8</v>
      </c>
      <c r="V3360" s="51">
        <v>42217</v>
      </c>
      <c r="W3360" s="4">
        <v>3190.4599999999996</v>
      </c>
      <c r="X3360" s="52">
        <v>3506</v>
      </c>
    </row>
    <row r="3361" spans="2:24" x14ac:dyDescent="0.35">
      <c r="B3361" s="6" t="s">
        <v>7</v>
      </c>
      <c r="C3361" s="6" t="s">
        <v>48</v>
      </c>
      <c r="D3361" s="6" t="s">
        <v>9</v>
      </c>
      <c r="E3361" s="6" t="s">
        <v>27</v>
      </c>
      <c r="F3361" s="6" t="s">
        <v>31</v>
      </c>
      <c r="G3361" s="6">
        <v>2015</v>
      </c>
      <c r="H3361" s="6">
        <v>8</v>
      </c>
      <c r="I3361" s="10">
        <v>42217</v>
      </c>
      <c r="J3361" s="6">
        <v>4286</v>
      </c>
      <c r="K3361" s="51"/>
      <c r="O3361" t="s">
        <v>7</v>
      </c>
      <c r="P3361" t="s">
        <v>48</v>
      </c>
      <c r="Q3361" t="s">
        <v>9</v>
      </c>
      <c r="R3361" t="s">
        <v>27</v>
      </c>
      <c r="S3361" t="s">
        <v>31</v>
      </c>
      <c r="T3361">
        <v>2015</v>
      </c>
      <c r="U3361">
        <v>8</v>
      </c>
      <c r="V3361" s="51">
        <v>42217</v>
      </c>
      <c r="W3361" s="4">
        <v>3685.9600000000005</v>
      </c>
      <c r="X3361" s="52">
        <v>4286</v>
      </c>
    </row>
    <row r="3362" spans="2:24" x14ac:dyDescent="0.35">
      <c r="B3362" s="6" t="s">
        <v>7</v>
      </c>
      <c r="C3362" s="6" t="s">
        <v>49</v>
      </c>
      <c r="D3362" s="6" t="s">
        <v>11</v>
      </c>
      <c r="E3362" s="6" t="s">
        <v>27</v>
      </c>
      <c r="F3362" s="6" t="s">
        <v>33</v>
      </c>
      <c r="G3362" s="6">
        <v>2015</v>
      </c>
      <c r="H3362" s="6">
        <v>8</v>
      </c>
      <c r="I3362" s="10">
        <v>42217</v>
      </c>
      <c r="J3362" s="6">
        <v>3529</v>
      </c>
      <c r="K3362" s="51"/>
      <c r="O3362" t="s">
        <v>7</v>
      </c>
      <c r="P3362" t="s">
        <v>49</v>
      </c>
      <c r="Q3362" t="s">
        <v>11</v>
      </c>
      <c r="R3362" t="s">
        <v>27</v>
      </c>
      <c r="S3362" t="s">
        <v>33</v>
      </c>
      <c r="T3362">
        <v>2015</v>
      </c>
      <c r="U3362">
        <v>8</v>
      </c>
      <c r="V3362" s="51">
        <v>42217</v>
      </c>
      <c r="W3362" s="4">
        <v>3211.39</v>
      </c>
      <c r="X3362" s="52">
        <v>3529</v>
      </c>
    </row>
    <row r="3363" spans="2:24" x14ac:dyDescent="0.35">
      <c r="B3363" s="6" t="s">
        <v>7</v>
      </c>
      <c r="C3363" s="6" t="s">
        <v>49</v>
      </c>
      <c r="D3363" s="6" t="s">
        <v>11</v>
      </c>
      <c r="E3363" s="6" t="s">
        <v>23</v>
      </c>
      <c r="F3363" s="6" t="s">
        <v>36</v>
      </c>
      <c r="G3363" s="6">
        <v>2015</v>
      </c>
      <c r="H3363" s="6">
        <v>8</v>
      </c>
      <c r="I3363" s="10">
        <v>42217</v>
      </c>
      <c r="J3363" s="6">
        <v>2711</v>
      </c>
      <c r="K3363" s="51"/>
      <c r="O3363" t="s">
        <v>7</v>
      </c>
      <c r="P3363" t="s">
        <v>49</v>
      </c>
      <c r="Q3363" t="s">
        <v>11</v>
      </c>
      <c r="R3363" t="s">
        <v>23</v>
      </c>
      <c r="S3363" t="s">
        <v>36</v>
      </c>
      <c r="T3363">
        <v>2015</v>
      </c>
      <c r="U3363">
        <v>8</v>
      </c>
      <c r="V3363" s="51">
        <v>42217</v>
      </c>
      <c r="W3363" s="4">
        <v>2358.5700000000002</v>
      </c>
      <c r="X3363" s="52">
        <v>2711</v>
      </c>
    </row>
    <row r="3364" spans="2:24" x14ac:dyDescent="0.35">
      <c r="B3364" s="6" t="s">
        <v>7</v>
      </c>
      <c r="C3364" s="6" t="s">
        <v>43</v>
      </c>
      <c r="D3364" s="6" t="s">
        <v>10</v>
      </c>
      <c r="E3364" s="6" t="s">
        <v>23</v>
      </c>
      <c r="F3364" s="6" t="s">
        <v>36</v>
      </c>
      <c r="G3364" s="6">
        <v>2015</v>
      </c>
      <c r="H3364" s="6">
        <v>8</v>
      </c>
      <c r="I3364" s="10">
        <v>42217</v>
      </c>
      <c r="J3364" s="6">
        <v>2028</v>
      </c>
      <c r="K3364" s="51"/>
      <c r="O3364" t="s">
        <v>7</v>
      </c>
      <c r="P3364" t="s">
        <v>43</v>
      </c>
      <c r="Q3364" t="s">
        <v>10</v>
      </c>
      <c r="R3364" t="s">
        <v>23</v>
      </c>
      <c r="S3364" t="s">
        <v>36</v>
      </c>
      <c r="T3364">
        <v>2015</v>
      </c>
      <c r="U3364">
        <v>8</v>
      </c>
      <c r="V3364" s="51">
        <v>42217</v>
      </c>
      <c r="W3364" s="4">
        <v>1784.6399999999999</v>
      </c>
      <c r="X3364" s="52">
        <v>2028</v>
      </c>
    </row>
    <row r="3365" spans="2:24" x14ac:dyDescent="0.35">
      <c r="B3365" s="6" t="s">
        <v>6</v>
      </c>
      <c r="C3365" s="6" t="s">
        <v>40</v>
      </c>
      <c r="D3365" s="6" t="s">
        <v>41</v>
      </c>
      <c r="E3365" s="6" t="s">
        <v>0</v>
      </c>
      <c r="F3365" s="6" t="s">
        <v>45</v>
      </c>
      <c r="G3365" s="6">
        <v>2015</v>
      </c>
      <c r="H3365" s="6">
        <v>8</v>
      </c>
      <c r="I3365" s="10">
        <v>42217</v>
      </c>
      <c r="J3365" s="6">
        <v>4895</v>
      </c>
      <c r="K3365" s="51"/>
      <c r="O3365" t="s">
        <v>6</v>
      </c>
      <c r="P3365" t="s">
        <v>40</v>
      </c>
      <c r="Q3365" t="s">
        <v>41</v>
      </c>
      <c r="R3365" t="s">
        <v>0</v>
      </c>
      <c r="S3365" t="s">
        <v>45</v>
      </c>
      <c r="T3365">
        <v>2015</v>
      </c>
      <c r="U3365">
        <v>8</v>
      </c>
      <c r="V3365" s="51">
        <v>42217</v>
      </c>
      <c r="W3365" s="4">
        <v>4552.3499999999995</v>
      </c>
      <c r="X3365" s="52">
        <v>4895</v>
      </c>
    </row>
    <row r="3366" spans="2:24" x14ac:dyDescent="0.35">
      <c r="B3366" s="6" t="s">
        <v>7</v>
      </c>
      <c r="C3366" s="6" t="s">
        <v>32</v>
      </c>
      <c r="D3366" s="6" t="s">
        <v>8</v>
      </c>
      <c r="E3366" s="6" t="s">
        <v>27</v>
      </c>
      <c r="F3366" s="6" t="s">
        <v>28</v>
      </c>
      <c r="G3366" s="6">
        <v>2015</v>
      </c>
      <c r="H3366" s="6">
        <v>8</v>
      </c>
      <c r="I3366" s="10">
        <v>42217</v>
      </c>
      <c r="J3366" s="6">
        <v>4603</v>
      </c>
      <c r="K3366" s="51"/>
      <c r="O3366" t="s">
        <v>7</v>
      </c>
      <c r="P3366" t="s">
        <v>32</v>
      </c>
      <c r="Q3366" t="s">
        <v>8</v>
      </c>
      <c r="R3366" t="s">
        <v>27</v>
      </c>
      <c r="S3366" t="s">
        <v>28</v>
      </c>
      <c r="T3366">
        <v>2015</v>
      </c>
      <c r="U3366">
        <v>8</v>
      </c>
      <c r="V3366" s="51">
        <v>42217</v>
      </c>
      <c r="W3366" s="4">
        <v>3912.55</v>
      </c>
      <c r="X3366" s="52">
        <v>4603</v>
      </c>
    </row>
    <row r="3367" spans="2:24" x14ac:dyDescent="0.35">
      <c r="B3367" s="6" t="s">
        <v>7</v>
      </c>
      <c r="C3367" s="6" t="s">
        <v>32</v>
      </c>
      <c r="D3367" s="6" t="s">
        <v>8</v>
      </c>
      <c r="E3367" s="6" t="s">
        <v>27</v>
      </c>
      <c r="F3367" s="6" t="s">
        <v>31</v>
      </c>
      <c r="G3367" s="6">
        <v>2015</v>
      </c>
      <c r="H3367" s="6">
        <v>8</v>
      </c>
      <c r="I3367" s="10">
        <v>42217</v>
      </c>
      <c r="J3367" s="6">
        <v>4284</v>
      </c>
      <c r="K3367" s="51"/>
      <c r="O3367" t="s">
        <v>7</v>
      </c>
      <c r="P3367" t="s">
        <v>32</v>
      </c>
      <c r="Q3367" t="s">
        <v>8</v>
      </c>
      <c r="R3367" t="s">
        <v>27</v>
      </c>
      <c r="S3367" t="s">
        <v>31</v>
      </c>
      <c r="T3367">
        <v>2015</v>
      </c>
      <c r="U3367">
        <v>8</v>
      </c>
      <c r="V3367" s="51">
        <v>42217</v>
      </c>
      <c r="W3367" s="4">
        <v>3641.4000000000005</v>
      </c>
      <c r="X3367" s="52">
        <v>4284</v>
      </c>
    </row>
    <row r="3368" spans="2:24" x14ac:dyDescent="0.35">
      <c r="B3368" s="6" t="s">
        <v>6</v>
      </c>
      <c r="C3368" s="6" t="s">
        <v>29</v>
      </c>
      <c r="D3368" s="6" t="s">
        <v>30</v>
      </c>
      <c r="E3368" s="6" t="s">
        <v>23</v>
      </c>
      <c r="F3368" s="6" t="s">
        <v>24</v>
      </c>
      <c r="G3368" s="6">
        <v>2015</v>
      </c>
      <c r="H3368" s="6">
        <v>8</v>
      </c>
      <c r="I3368" s="10">
        <v>42217</v>
      </c>
      <c r="J3368" s="6">
        <v>1665</v>
      </c>
      <c r="K3368" s="51"/>
      <c r="O3368" t="s">
        <v>6</v>
      </c>
      <c r="P3368" t="s">
        <v>29</v>
      </c>
      <c r="Q3368" t="s">
        <v>30</v>
      </c>
      <c r="R3368" t="s">
        <v>23</v>
      </c>
      <c r="S3368" t="s">
        <v>24</v>
      </c>
      <c r="T3368">
        <v>2015</v>
      </c>
      <c r="U3368">
        <v>8</v>
      </c>
      <c r="V3368" s="51">
        <v>42217</v>
      </c>
      <c r="W3368" s="4">
        <v>1431.9</v>
      </c>
      <c r="X3368" s="52">
        <v>1665</v>
      </c>
    </row>
    <row r="3369" spans="2:24" x14ac:dyDescent="0.35">
      <c r="B3369" s="6" t="s">
        <v>7</v>
      </c>
      <c r="C3369" s="6" t="s">
        <v>48</v>
      </c>
      <c r="D3369" s="6" t="s">
        <v>9</v>
      </c>
      <c r="E3369" s="6" t="s">
        <v>0</v>
      </c>
      <c r="F3369" s="6" t="s">
        <v>42</v>
      </c>
      <c r="G3369" s="6">
        <v>2015</v>
      </c>
      <c r="H3369" s="6">
        <v>8</v>
      </c>
      <c r="I3369" s="10">
        <v>42217</v>
      </c>
      <c r="J3369" s="6">
        <v>5378</v>
      </c>
      <c r="K3369" s="51"/>
      <c r="O3369" t="s">
        <v>7</v>
      </c>
      <c r="P3369" t="s">
        <v>48</v>
      </c>
      <c r="Q3369" t="s">
        <v>9</v>
      </c>
      <c r="R3369" t="s">
        <v>0</v>
      </c>
      <c r="S3369" t="s">
        <v>42</v>
      </c>
      <c r="T3369">
        <v>2015</v>
      </c>
      <c r="U3369">
        <v>8</v>
      </c>
      <c r="V3369" s="51">
        <v>42217</v>
      </c>
      <c r="W3369" s="4">
        <v>5055.32</v>
      </c>
      <c r="X3369" s="52">
        <v>5378</v>
      </c>
    </row>
    <row r="3370" spans="2:24" x14ac:dyDescent="0.35">
      <c r="B3370" s="6" t="s">
        <v>7</v>
      </c>
      <c r="C3370" s="6" t="s">
        <v>48</v>
      </c>
      <c r="D3370" s="6" t="s">
        <v>9</v>
      </c>
      <c r="E3370" s="6" t="s">
        <v>0</v>
      </c>
      <c r="F3370" s="6" t="s">
        <v>26</v>
      </c>
      <c r="G3370" s="6">
        <v>2015</v>
      </c>
      <c r="H3370" s="6">
        <v>8</v>
      </c>
      <c r="I3370" s="10">
        <v>42217</v>
      </c>
      <c r="J3370" s="6">
        <v>5238</v>
      </c>
      <c r="K3370" s="51"/>
      <c r="O3370" t="s">
        <v>7</v>
      </c>
      <c r="P3370" t="s">
        <v>48</v>
      </c>
      <c r="Q3370" t="s">
        <v>9</v>
      </c>
      <c r="R3370" t="s">
        <v>0</v>
      </c>
      <c r="S3370" t="s">
        <v>26</v>
      </c>
      <c r="T3370">
        <v>2015</v>
      </c>
      <c r="U3370">
        <v>8</v>
      </c>
      <c r="V3370" s="51">
        <v>42217</v>
      </c>
      <c r="W3370" s="4">
        <v>4714.2</v>
      </c>
      <c r="X3370" s="52">
        <v>5238</v>
      </c>
    </row>
    <row r="3371" spans="2:24" x14ac:dyDescent="0.35">
      <c r="B3371" s="6" t="s">
        <v>7</v>
      </c>
      <c r="C3371" s="6" t="s">
        <v>49</v>
      </c>
      <c r="D3371" s="6" t="s">
        <v>11</v>
      </c>
      <c r="E3371" s="6" t="s">
        <v>0</v>
      </c>
      <c r="F3371" s="6" t="s">
        <v>45</v>
      </c>
      <c r="G3371" s="6">
        <v>2015</v>
      </c>
      <c r="H3371" s="6">
        <v>8</v>
      </c>
      <c r="I3371" s="10">
        <v>42217</v>
      </c>
      <c r="J3371" s="6">
        <v>4507</v>
      </c>
      <c r="K3371" s="51"/>
      <c r="O3371" t="s">
        <v>7</v>
      </c>
      <c r="P3371" t="s">
        <v>49</v>
      </c>
      <c r="Q3371" t="s">
        <v>11</v>
      </c>
      <c r="R3371" t="s">
        <v>0</v>
      </c>
      <c r="S3371" t="s">
        <v>45</v>
      </c>
      <c r="T3371">
        <v>2015</v>
      </c>
      <c r="U3371">
        <v>8</v>
      </c>
      <c r="V3371" s="51">
        <v>42217</v>
      </c>
      <c r="W3371" s="4">
        <v>3966.1599999999994</v>
      </c>
      <c r="X3371" s="52">
        <v>4507</v>
      </c>
    </row>
    <row r="3372" spans="2:24" x14ac:dyDescent="0.35">
      <c r="B3372" s="6" t="s">
        <v>7</v>
      </c>
      <c r="C3372" s="6" t="s">
        <v>49</v>
      </c>
      <c r="D3372" s="6" t="s">
        <v>11</v>
      </c>
      <c r="E3372" s="6" t="s">
        <v>27</v>
      </c>
      <c r="F3372" s="6" t="s">
        <v>28</v>
      </c>
      <c r="G3372" s="6">
        <v>2015</v>
      </c>
      <c r="H3372" s="6">
        <v>8</v>
      </c>
      <c r="I3372" s="10">
        <v>42217</v>
      </c>
      <c r="J3372" s="6">
        <v>3923</v>
      </c>
      <c r="K3372" s="51"/>
      <c r="O3372" t="s">
        <v>7</v>
      </c>
      <c r="P3372" t="s">
        <v>49</v>
      </c>
      <c r="Q3372" t="s">
        <v>11</v>
      </c>
      <c r="R3372" t="s">
        <v>27</v>
      </c>
      <c r="S3372" t="s">
        <v>28</v>
      </c>
      <c r="T3372">
        <v>2015</v>
      </c>
      <c r="U3372">
        <v>8</v>
      </c>
      <c r="V3372" s="51">
        <v>42217</v>
      </c>
      <c r="W3372" s="4">
        <v>3373.7800000000007</v>
      </c>
      <c r="X3372" s="52">
        <v>3923</v>
      </c>
    </row>
    <row r="3373" spans="2:24" x14ac:dyDescent="0.35">
      <c r="B3373" s="6" t="s">
        <v>12</v>
      </c>
      <c r="C3373" s="6" t="s">
        <v>34</v>
      </c>
      <c r="D3373" s="6" t="s">
        <v>35</v>
      </c>
      <c r="E3373" s="6" t="s">
        <v>27</v>
      </c>
      <c r="F3373" s="6" t="s">
        <v>31</v>
      </c>
      <c r="G3373" s="6">
        <v>2015</v>
      </c>
      <c r="H3373" s="6">
        <v>8</v>
      </c>
      <c r="I3373" s="10">
        <v>42217</v>
      </c>
      <c r="J3373" s="6">
        <v>4145</v>
      </c>
      <c r="K3373" s="51"/>
      <c r="O3373" t="s">
        <v>12</v>
      </c>
      <c r="P3373" t="s">
        <v>34</v>
      </c>
      <c r="Q3373" t="s">
        <v>35</v>
      </c>
      <c r="R3373" t="s">
        <v>27</v>
      </c>
      <c r="S3373" t="s">
        <v>31</v>
      </c>
      <c r="T3373">
        <v>2015</v>
      </c>
      <c r="U3373">
        <v>8</v>
      </c>
      <c r="V3373" s="51">
        <v>42217</v>
      </c>
      <c r="W3373" s="4">
        <v>3564.7000000000003</v>
      </c>
      <c r="X3373" s="52">
        <v>4145</v>
      </c>
    </row>
    <row r="3374" spans="2:24" x14ac:dyDescent="0.35">
      <c r="B3374" s="6" t="s">
        <v>12</v>
      </c>
      <c r="C3374" s="6" t="s">
        <v>34</v>
      </c>
      <c r="D3374" s="6" t="s">
        <v>35</v>
      </c>
      <c r="E3374" s="6" t="s">
        <v>27</v>
      </c>
      <c r="F3374" s="6" t="s">
        <v>33</v>
      </c>
      <c r="G3374" s="6">
        <v>2015</v>
      </c>
      <c r="H3374" s="6">
        <v>8</v>
      </c>
      <c r="I3374" s="10">
        <v>42217</v>
      </c>
      <c r="J3374" s="6">
        <v>2973</v>
      </c>
      <c r="K3374" s="51"/>
      <c r="O3374" t="s">
        <v>12</v>
      </c>
      <c r="P3374" t="s">
        <v>34</v>
      </c>
      <c r="Q3374" t="s">
        <v>35</v>
      </c>
      <c r="R3374" t="s">
        <v>27</v>
      </c>
      <c r="S3374" t="s">
        <v>33</v>
      </c>
      <c r="T3374">
        <v>2015</v>
      </c>
      <c r="U3374">
        <v>8</v>
      </c>
      <c r="V3374" s="51">
        <v>42217</v>
      </c>
      <c r="W3374" s="4">
        <v>2735.16</v>
      </c>
      <c r="X3374" s="52">
        <v>2973</v>
      </c>
    </row>
    <row r="3375" spans="2:24" x14ac:dyDescent="0.35">
      <c r="B3375" s="6" t="s">
        <v>14</v>
      </c>
      <c r="C3375" s="6" t="s">
        <v>37</v>
      </c>
      <c r="D3375" s="6" t="s">
        <v>38</v>
      </c>
      <c r="E3375" s="6" t="s">
        <v>23</v>
      </c>
      <c r="F3375" s="6" t="s">
        <v>36</v>
      </c>
      <c r="G3375" s="6">
        <v>2015</v>
      </c>
      <c r="H3375" s="6">
        <v>8</v>
      </c>
      <c r="I3375" s="10">
        <v>42217</v>
      </c>
      <c r="J3375" s="6">
        <v>1890</v>
      </c>
      <c r="K3375" s="51"/>
      <c r="O3375" t="s">
        <v>14</v>
      </c>
      <c r="P3375" t="s">
        <v>37</v>
      </c>
      <c r="Q3375" t="s">
        <v>38</v>
      </c>
      <c r="R3375" t="s">
        <v>23</v>
      </c>
      <c r="S3375" t="s">
        <v>36</v>
      </c>
      <c r="T3375">
        <v>2015</v>
      </c>
      <c r="U3375">
        <v>8</v>
      </c>
      <c r="V3375" s="51">
        <v>42217</v>
      </c>
      <c r="W3375" s="4">
        <v>1682.1</v>
      </c>
      <c r="X3375" s="52">
        <v>1890</v>
      </c>
    </row>
    <row r="3376" spans="2:24" x14ac:dyDescent="0.35">
      <c r="B3376" s="6" t="s">
        <v>12</v>
      </c>
      <c r="C3376" s="6" t="s">
        <v>44</v>
      </c>
      <c r="D3376" s="6" t="s">
        <v>13</v>
      </c>
      <c r="E3376" s="6" t="s">
        <v>23</v>
      </c>
      <c r="F3376" s="6" t="s">
        <v>39</v>
      </c>
      <c r="G3376" s="6">
        <v>2015</v>
      </c>
      <c r="H3376" s="6">
        <v>8</v>
      </c>
      <c r="I3376" s="10">
        <v>42217</v>
      </c>
      <c r="J3376" s="6">
        <v>1537</v>
      </c>
      <c r="K3376" s="51"/>
      <c r="O3376" t="s">
        <v>12</v>
      </c>
      <c r="P3376" t="s">
        <v>44</v>
      </c>
      <c r="Q3376" t="s">
        <v>13</v>
      </c>
      <c r="R3376" t="s">
        <v>23</v>
      </c>
      <c r="S3376" t="s">
        <v>39</v>
      </c>
      <c r="T3376">
        <v>2015</v>
      </c>
      <c r="U3376">
        <v>8</v>
      </c>
      <c r="V3376" s="51">
        <v>42217</v>
      </c>
      <c r="W3376" s="4">
        <v>1414.04</v>
      </c>
      <c r="X3376" s="52">
        <v>1537</v>
      </c>
    </row>
    <row r="3377" spans="2:24" x14ac:dyDescent="0.35">
      <c r="B3377" s="6" t="s">
        <v>12</v>
      </c>
      <c r="C3377" s="6" t="s">
        <v>44</v>
      </c>
      <c r="D3377" s="6" t="s">
        <v>13</v>
      </c>
      <c r="E3377" s="6" t="s">
        <v>0</v>
      </c>
      <c r="F3377" s="6" t="s">
        <v>42</v>
      </c>
      <c r="G3377" s="6">
        <v>2015</v>
      </c>
      <c r="H3377" s="6">
        <v>8</v>
      </c>
      <c r="I3377" s="10">
        <v>42217</v>
      </c>
      <c r="J3377" s="6">
        <v>6596</v>
      </c>
      <c r="K3377" s="51"/>
      <c r="O3377" t="s">
        <v>12</v>
      </c>
      <c r="P3377" t="s">
        <v>44</v>
      </c>
      <c r="Q3377" t="s">
        <v>13</v>
      </c>
      <c r="R3377" t="s">
        <v>0</v>
      </c>
      <c r="S3377" t="s">
        <v>42</v>
      </c>
      <c r="T3377">
        <v>2015</v>
      </c>
      <c r="U3377">
        <v>8</v>
      </c>
      <c r="V3377" s="51">
        <v>42217</v>
      </c>
      <c r="W3377" s="4">
        <v>5804.48</v>
      </c>
      <c r="X3377" s="52">
        <v>6596</v>
      </c>
    </row>
    <row r="3378" spans="2:24" x14ac:dyDescent="0.35">
      <c r="B3378" s="6" t="s">
        <v>14</v>
      </c>
      <c r="C3378" s="6" t="s">
        <v>46</v>
      </c>
      <c r="D3378" s="6" t="s">
        <v>47</v>
      </c>
      <c r="E3378" s="6" t="s">
        <v>0</v>
      </c>
      <c r="F3378" s="6" t="s">
        <v>26</v>
      </c>
      <c r="G3378" s="6">
        <v>2015</v>
      </c>
      <c r="H3378" s="6">
        <v>8</v>
      </c>
      <c r="I3378" s="10">
        <v>42217</v>
      </c>
      <c r="J3378" s="6">
        <v>5509</v>
      </c>
      <c r="K3378" s="51"/>
      <c r="O3378" t="s">
        <v>14</v>
      </c>
      <c r="P3378" t="s">
        <v>46</v>
      </c>
      <c r="Q3378" t="s">
        <v>47</v>
      </c>
      <c r="R3378" t="s">
        <v>0</v>
      </c>
      <c r="S3378" t="s">
        <v>26</v>
      </c>
      <c r="T3378">
        <v>2015</v>
      </c>
      <c r="U3378">
        <v>8</v>
      </c>
      <c r="V3378" s="51">
        <v>42217</v>
      </c>
      <c r="W3378" s="4">
        <v>5178.46</v>
      </c>
      <c r="X3378" s="52">
        <v>5509</v>
      </c>
    </row>
    <row r="3379" spans="2:24" x14ac:dyDescent="0.35">
      <c r="B3379" s="6" t="s">
        <v>14</v>
      </c>
      <c r="C3379" s="6" t="s">
        <v>46</v>
      </c>
      <c r="D3379" s="6" t="s">
        <v>47</v>
      </c>
      <c r="E3379" s="6" t="s">
        <v>0</v>
      </c>
      <c r="F3379" s="6" t="s">
        <v>45</v>
      </c>
      <c r="G3379" s="6">
        <v>2015</v>
      </c>
      <c r="H3379" s="6">
        <v>8</v>
      </c>
      <c r="I3379" s="10">
        <v>42217</v>
      </c>
      <c r="J3379" s="6">
        <v>2937</v>
      </c>
      <c r="K3379" s="51"/>
      <c r="O3379" t="s">
        <v>14</v>
      </c>
      <c r="P3379" t="s">
        <v>46</v>
      </c>
      <c r="Q3379" t="s">
        <v>47</v>
      </c>
      <c r="R3379" t="s">
        <v>0</v>
      </c>
      <c r="S3379" t="s">
        <v>45</v>
      </c>
      <c r="T3379">
        <v>2015</v>
      </c>
      <c r="U3379">
        <v>8</v>
      </c>
      <c r="V3379" s="51">
        <v>42217</v>
      </c>
      <c r="W3379" s="4">
        <v>2702.04</v>
      </c>
      <c r="X3379" s="52">
        <v>2937</v>
      </c>
    </row>
    <row r="3380" spans="2:24" x14ac:dyDescent="0.35">
      <c r="B3380" s="6" t="s">
        <v>3</v>
      </c>
      <c r="C3380" s="6" t="s">
        <v>25</v>
      </c>
      <c r="D3380" s="6" t="s">
        <v>4</v>
      </c>
      <c r="E3380" s="6" t="s">
        <v>27</v>
      </c>
      <c r="F3380" s="6" t="s">
        <v>33</v>
      </c>
      <c r="G3380" s="6">
        <v>2015</v>
      </c>
      <c r="H3380" s="6">
        <v>8</v>
      </c>
      <c r="I3380" s="10">
        <v>42217</v>
      </c>
      <c r="J3380" s="6">
        <v>3233</v>
      </c>
      <c r="K3380" s="51"/>
      <c r="O3380" t="s">
        <v>3</v>
      </c>
      <c r="P3380" t="s">
        <v>25</v>
      </c>
      <c r="Q3380" t="s">
        <v>4</v>
      </c>
      <c r="R3380" t="s">
        <v>27</v>
      </c>
      <c r="S3380" t="s">
        <v>33</v>
      </c>
      <c r="T3380">
        <v>2015</v>
      </c>
      <c r="U3380">
        <v>8</v>
      </c>
      <c r="V3380" s="51">
        <v>42217</v>
      </c>
      <c r="W3380" s="4">
        <v>2942.0299999999997</v>
      </c>
      <c r="X3380" s="52">
        <v>3233</v>
      </c>
    </row>
    <row r="3381" spans="2:24" x14ac:dyDescent="0.35">
      <c r="B3381" s="6" t="s">
        <v>3</v>
      </c>
      <c r="C3381" s="6" t="s">
        <v>25</v>
      </c>
      <c r="D3381" s="6" t="s">
        <v>4</v>
      </c>
      <c r="E3381" s="6" t="s">
        <v>23</v>
      </c>
      <c r="F3381" s="6" t="s">
        <v>36</v>
      </c>
      <c r="G3381" s="6">
        <v>2015</v>
      </c>
      <c r="H3381" s="6">
        <v>8</v>
      </c>
      <c r="I3381" s="10">
        <v>42217</v>
      </c>
      <c r="J3381" s="6">
        <v>1955</v>
      </c>
      <c r="K3381" s="51"/>
      <c r="O3381" t="s">
        <v>3</v>
      </c>
      <c r="P3381" t="s">
        <v>25</v>
      </c>
      <c r="Q3381" t="s">
        <v>4</v>
      </c>
      <c r="R3381" t="s">
        <v>23</v>
      </c>
      <c r="S3381" t="s">
        <v>36</v>
      </c>
      <c r="T3381">
        <v>2015</v>
      </c>
      <c r="U3381">
        <v>8</v>
      </c>
      <c r="V3381" s="51">
        <v>42217</v>
      </c>
      <c r="W3381" s="4">
        <v>1837.6999999999998</v>
      </c>
      <c r="X3381" s="52">
        <v>1955</v>
      </c>
    </row>
    <row r="3382" spans="2:24" x14ac:dyDescent="0.35">
      <c r="B3382" s="6" t="s">
        <v>6</v>
      </c>
      <c r="C3382" s="6" t="s">
        <v>40</v>
      </c>
      <c r="D3382" s="6" t="s">
        <v>41</v>
      </c>
      <c r="E3382" s="6" t="s">
        <v>23</v>
      </c>
      <c r="F3382" s="6" t="s">
        <v>39</v>
      </c>
      <c r="G3382" s="6">
        <v>2015</v>
      </c>
      <c r="H3382" s="6">
        <v>8</v>
      </c>
      <c r="I3382" s="10">
        <v>42217</v>
      </c>
      <c r="J3382" s="6">
        <v>2332</v>
      </c>
      <c r="K3382" s="51"/>
      <c r="O3382" t="s">
        <v>6</v>
      </c>
      <c r="P3382" t="s">
        <v>40</v>
      </c>
      <c r="Q3382" t="s">
        <v>41</v>
      </c>
      <c r="R3382" t="s">
        <v>23</v>
      </c>
      <c r="S3382" t="s">
        <v>39</v>
      </c>
      <c r="T3382">
        <v>2015</v>
      </c>
      <c r="U3382">
        <v>8</v>
      </c>
      <c r="V3382" s="51">
        <v>42217</v>
      </c>
      <c r="W3382" s="4">
        <v>2168.7599999999998</v>
      </c>
      <c r="X3382" s="52">
        <v>2332</v>
      </c>
    </row>
    <row r="3383" spans="2:24" x14ac:dyDescent="0.35">
      <c r="B3383" s="6" t="s">
        <v>7</v>
      </c>
      <c r="C3383" s="6" t="s">
        <v>48</v>
      </c>
      <c r="D3383" s="6" t="s">
        <v>9</v>
      </c>
      <c r="E3383" s="6" t="s">
        <v>0</v>
      </c>
      <c r="F3383" s="6" t="s">
        <v>45</v>
      </c>
      <c r="G3383" s="6">
        <v>2015</v>
      </c>
      <c r="H3383" s="6">
        <v>8</v>
      </c>
      <c r="I3383" s="10">
        <v>42217</v>
      </c>
      <c r="J3383" s="6">
        <v>2526</v>
      </c>
      <c r="K3383" s="51"/>
      <c r="O3383" t="s">
        <v>7</v>
      </c>
      <c r="P3383" t="s">
        <v>48</v>
      </c>
      <c r="Q3383" t="s">
        <v>9</v>
      </c>
      <c r="R3383" t="s">
        <v>0</v>
      </c>
      <c r="S3383" t="s">
        <v>45</v>
      </c>
      <c r="T3383">
        <v>2015</v>
      </c>
      <c r="U3383">
        <v>8</v>
      </c>
      <c r="V3383" s="51">
        <v>42217</v>
      </c>
      <c r="W3383" s="4">
        <v>2147.1000000000004</v>
      </c>
      <c r="X3383" s="52">
        <v>2526</v>
      </c>
    </row>
    <row r="3384" spans="2:24" x14ac:dyDescent="0.35">
      <c r="B3384" s="6" t="s">
        <v>7</v>
      </c>
      <c r="C3384" s="6" t="s">
        <v>49</v>
      </c>
      <c r="D3384" s="6" t="s">
        <v>11</v>
      </c>
      <c r="E3384" s="6" t="s">
        <v>27</v>
      </c>
      <c r="F3384" s="6" t="s">
        <v>31</v>
      </c>
      <c r="G3384" s="6">
        <v>2015</v>
      </c>
      <c r="H3384" s="6">
        <v>8</v>
      </c>
      <c r="I3384" s="10">
        <v>42217</v>
      </c>
      <c r="J3384" s="6">
        <v>3061</v>
      </c>
      <c r="K3384" s="51"/>
      <c r="O3384" t="s">
        <v>7</v>
      </c>
      <c r="P3384" t="s">
        <v>49</v>
      </c>
      <c r="Q3384" t="s">
        <v>11</v>
      </c>
      <c r="R3384" t="s">
        <v>27</v>
      </c>
      <c r="S3384" t="s">
        <v>31</v>
      </c>
      <c r="T3384">
        <v>2015</v>
      </c>
      <c r="U3384">
        <v>8</v>
      </c>
      <c r="V3384" s="51">
        <v>42217</v>
      </c>
      <c r="W3384" s="4">
        <v>2816.12</v>
      </c>
      <c r="X3384" s="52">
        <v>3061</v>
      </c>
    </row>
    <row r="3385" spans="2:24" x14ac:dyDescent="0.35">
      <c r="B3385" s="6" t="s">
        <v>7</v>
      </c>
      <c r="C3385" s="6" t="s">
        <v>43</v>
      </c>
      <c r="D3385" s="6" t="s">
        <v>10</v>
      </c>
      <c r="E3385" s="6" t="s">
        <v>27</v>
      </c>
      <c r="F3385" s="6" t="s">
        <v>33</v>
      </c>
      <c r="G3385" s="6">
        <v>2015</v>
      </c>
      <c r="H3385" s="6">
        <v>8</v>
      </c>
      <c r="I3385" s="10">
        <v>42217</v>
      </c>
      <c r="J3385" s="6">
        <v>3670</v>
      </c>
      <c r="K3385" s="51"/>
      <c r="O3385" t="s">
        <v>7</v>
      </c>
      <c r="P3385" t="s">
        <v>43</v>
      </c>
      <c r="Q3385" t="s">
        <v>10</v>
      </c>
      <c r="R3385" t="s">
        <v>27</v>
      </c>
      <c r="S3385" t="s">
        <v>33</v>
      </c>
      <c r="T3385">
        <v>2015</v>
      </c>
      <c r="U3385">
        <v>8</v>
      </c>
      <c r="V3385" s="51">
        <v>42217</v>
      </c>
      <c r="W3385" s="4">
        <v>3266.2999999999997</v>
      </c>
      <c r="X3385" s="52">
        <v>3670</v>
      </c>
    </row>
    <row r="3386" spans="2:24" x14ac:dyDescent="0.35">
      <c r="B3386" s="6" t="s">
        <v>7</v>
      </c>
      <c r="C3386" s="6" t="s">
        <v>32</v>
      </c>
      <c r="D3386" s="6" t="s">
        <v>8</v>
      </c>
      <c r="E3386" s="6" t="s">
        <v>0</v>
      </c>
      <c r="F3386" s="6" t="s">
        <v>45</v>
      </c>
      <c r="G3386" s="6">
        <v>2015</v>
      </c>
      <c r="H3386" s="6">
        <v>8</v>
      </c>
      <c r="I3386" s="10">
        <v>42217</v>
      </c>
      <c r="J3386" s="6">
        <v>4494</v>
      </c>
      <c r="K3386" s="51"/>
      <c r="O3386" t="s">
        <v>7</v>
      </c>
      <c r="P3386" t="s">
        <v>32</v>
      </c>
      <c r="Q3386" t="s">
        <v>8</v>
      </c>
      <c r="R3386" t="s">
        <v>0</v>
      </c>
      <c r="S3386" t="s">
        <v>45</v>
      </c>
      <c r="T3386">
        <v>2015</v>
      </c>
      <c r="U3386">
        <v>8</v>
      </c>
      <c r="V3386" s="51">
        <v>42217</v>
      </c>
      <c r="W3386" s="4">
        <v>3954.7199999999993</v>
      </c>
      <c r="X3386" s="52">
        <v>4494</v>
      </c>
    </row>
    <row r="3387" spans="2:24" x14ac:dyDescent="0.35">
      <c r="B3387" s="6" t="s">
        <v>7</v>
      </c>
      <c r="C3387" s="6" t="s">
        <v>48</v>
      </c>
      <c r="D3387" s="6" t="s">
        <v>9</v>
      </c>
      <c r="E3387" s="6" t="s">
        <v>23</v>
      </c>
      <c r="F3387" s="6" t="s">
        <v>39</v>
      </c>
      <c r="G3387" s="6">
        <v>2015</v>
      </c>
      <c r="H3387" s="6">
        <v>8</v>
      </c>
      <c r="I3387" s="10">
        <v>42217</v>
      </c>
      <c r="J3387" s="6">
        <v>2032</v>
      </c>
      <c r="K3387" s="51"/>
      <c r="O3387" t="s">
        <v>7</v>
      </c>
      <c r="P3387" t="s">
        <v>48</v>
      </c>
      <c r="Q3387" t="s">
        <v>9</v>
      </c>
      <c r="R3387" t="s">
        <v>23</v>
      </c>
      <c r="S3387" t="s">
        <v>39</v>
      </c>
      <c r="T3387">
        <v>2015</v>
      </c>
      <c r="U3387">
        <v>8</v>
      </c>
      <c r="V3387" s="51">
        <v>42217</v>
      </c>
      <c r="W3387" s="4">
        <v>1767.8400000000001</v>
      </c>
      <c r="X3387" s="52">
        <v>2032</v>
      </c>
    </row>
    <row r="3388" spans="2:24" x14ac:dyDescent="0.35">
      <c r="B3388" s="6" t="s">
        <v>7</v>
      </c>
      <c r="C3388" s="6" t="s">
        <v>49</v>
      </c>
      <c r="D3388" s="6" t="s">
        <v>11</v>
      </c>
      <c r="E3388" s="6" t="s">
        <v>0</v>
      </c>
      <c r="F3388" s="6" t="s">
        <v>26</v>
      </c>
      <c r="G3388" s="6">
        <v>2015</v>
      </c>
      <c r="H3388" s="6">
        <v>8</v>
      </c>
      <c r="I3388" s="10">
        <v>42217</v>
      </c>
      <c r="J3388" s="6">
        <v>2848</v>
      </c>
      <c r="K3388" s="51"/>
      <c r="O3388" t="s">
        <v>7</v>
      </c>
      <c r="P3388" t="s">
        <v>49</v>
      </c>
      <c r="Q3388" t="s">
        <v>11</v>
      </c>
      <c r="R3388" t="s">
        <v>0</v>
      </c>
      <c r="S3388" t="s">
        <v>26</v>
      </c>
      <c r="T3388">
        <v>2015</v>
      </c>
      <c r="U3388">
        <v>8</v>
      </c>
      <c r="V3388" s="51">
        <v>42217</v>
      </c>
      <c r="W3388" s="4">
        <v>2620.16</v>
      </c>
      <c r="X3388" s="52">
        <v>2848</v>
      </c>
    </row>
    <row r="3389" spans="2:24" x14ac:dyDescent="0.35">
      <c r="B3389" s="6" t="s">
        <v>12</v>
      </c>
      <c r="C3389" s="6" t="s">
        <v>34</v>
      </c>
      <c r="D3389" s="6" t="s">
        <v>35</v>
      </c>
      <c r="E3389" s="6" t="s">
        <v>27</v>
      </c>
      <c r="F3389" s="6" t="s">
        <v>28</v>
      </c>
      <c r="G3389" s="6">
        <v>2015</v>
      </c>
      <c r="H3389" s="6">
        <v>8</v>
      </c>
      <c r="I3389" s="10">
        <v>42217</v>
      </c>
      <c r="J3389" s="6">
        <v>4495</v>
      </c>
      <c r="K3389" s="51"/>
      <c r="O3389" t="s">
        <v>12</v>
      </c>
      <c r="P3389" t="s">
        <v>34</v>
      </c>
      <c r="Q3389" t="s">
        <v>35</v>
      </c>
      <c r="R3389" t="s">
        <v>27</v>
      </c>
      <c r="S3389" t="s">
        <v>28</v>
      </c>
      <c r="T3389">
        <v>2015</v>
      </c>
      <c r="U3389">
        <v>8</v>
      </c>
      <c r="V3389" s="51">
        <v>42217</v>
      </c>
      <c r="W3389" s="4">
        <v>4000.5499999999997</v>
      </c>
      <c r="X3389" s="52">
        <v>4495</v>
      </c>
    </row>
    <row r="3390" spans="2:24" x14ac:dyDescent="0.35">
      <c r="B3390" s="6" t="s">
        <v>14</v>
      </c>
      <c r="C3390" s="6" t="s">
        <v>37</v>
      </c>
      <c r="D3390" s="6" t="s">
        <v>38</v>
      </c>
      <c r="E3390" s="6" t="s">
        <v>27</v>
      </c>
      <c r="F3390" s="6" t="s">
        <v>33</v>
      </c>
      <c r="G3390" s="6">
        <v>2015</v>
      </c>
      <c r="H3390" s="6">
        <v>8</v>
      </c>
      <c r="I3390" s="10">
        <v>42217</v>
      </c>
      <c r="J3390" s="6">
        <v>2864</v>
      </c>
      <c r="K3390" s="51"/>
      <c r="O3390" t="s">
        <v>14</v>
      </c>
      <c r="P3390" t="s">
        <v>37</v>
      </c>
      <c r="Q3390" t="s">
        <v>38</v>
      </c>
      <c r="R3390" t="s">
        <v>27</v>
      </c>
      <c r="S3390" t="s">
        <v>33</v>
      </c>
      <c r="T3390">
        <v>2015</v>
      </c>
      <c r="U3390">
        <v>8</v>
      </c>
      <c r="V3390" s="51">
        <v>42217</v>
      </c>
      <c r="W3390" s="4">
        <v>2692.16</v>
      </c>
      <c r="X3390" s="52">
        <v>2864</v>
      </c>
    </row>
    <row r="3391" spans="2:24" x14ac:dyDescent="0.35">
      <c r="B3391" s="6" t="s">
        <v>12</v>
      </c>
      <c r="C3391" s="6" t="s">
        <v>44</v>
      </c>
      <c r="D3391" s="6" t="s">
        <v>13</v>
      </c>
      <c r="E3391" s="6" t="s">
        <v>23</v>
      </c>
      <c r="F3391" s="6" t="s">
        <v>24</v>
      </c>
      <c r="G3391" s="6">
        <v>2015</v>
      </c>
      <c r="H3391" s="6">
        <v>8</v>
      </c>
      <c r="I3391" s="10">
        <v>42217</v>
      </c>
      <c r="J3391" s="6">
        <v>1755</v>
      </c>
      <c r="K3391" s="51"/>
      <c r="O3391" t="s">
        <v>12</v>
      </c>
      <c r="P3391" t="s">
        <v>44</v>
      </c>
      <c r="Q3391" t="s">
        <v>13</v>
      </c>
      <c r="R3391" t="s">
        <v>23</v>
      </c>
      <c r="S3391" t="s">
        <v>24</v>
      </c>
      <c r="T3391">
        <v>2015</v>
      </c>
      <c r="U3391">
        <v>8</v>
      </c>
      <c r="V3391" s="51">
        <v>42217</v>
      </c>
      <c r="W3391" s="4">
        <v>1649.6999999999998</v>
      </c>
      <c r="X3391" s="52">
        <v>1755</v>
      </c>
    </row>
    <row r="3392" spans="2:24" x14ac:dyDescent="0.35">
      <c r="B3392" s="6" t="s">
        <v>14</v>
      </c>
      <c r="C3392" s="6" t="s">
        <v>46</v>
      </c>
      <c r="D3392" s="6" t="s">
        <v>47</v>
      </c>
      <c r="E3392" s="6" t="s">
        <v>0</v>
      </c>
      <c r="F3392" s="6" t="s">
        <v>42</v>
      </c>
      <c r="G3392" s="6">
        <v>2015</v>
      </c>
      <c r="H3392" s="6">
        <v>8</v>
      </c>
      <c r="I3392" s="10">
        <v>42217</v>
      </c>
      <c r="J3392" s="6">
        <v>5112</v>
      </c>
      <c r="K3392" s="51"/>
      <c r="O3392" t="s">
        <v>14</v>
      </c>
      <c r="P3392" t="s">
        <v>46</v>
      </c>
      <c r="Q3392" t="s">
        <v>47</v>
      </c>
      <c r="R3392" t="s">
        <v>0</v>
      </c>
      <c r="S3392" t="s">
        <v>42</v>
      </c>
      <c r="T3392">
        <v>2015</v>
      </c>
      <c r="U3392">
        <v>8</v>
      </c>
      <c r="V3392" s="51">
        <v>42217</v>
      </c>
      <c r="W3392" s="4">
        <v>4600.7999999999993</v>
      </c>
      <c r="X3392" s="52">
        <v>5112</v>
      </c>
    </row>
    <row r="3393" spans="2:24" x14ac:dyDescent="0.35">
      <c r="B3393" s="6" t="s">
        <v>7</v>
      </c>
      <c r="C3393" s="6" t="s">
        <v>48</v>
      </c>
      <c r="D3393" s="6" t="s">
        <v>9</v>
      </c>
      <c r="E3393" s="6" t="s">
        <v>27</v>
      </c>
      <c r="F3393" s="6" t="s">
        <v>33</v>
      </c>
      <c r="G3393" s="6">
        <v>2015</v>
      </c>
      <c r="H3393" s="6">
        <v>8</v>
      </c>
      <c r="I3393" s="10">
        <v>42217</v>
      </c>
      <c r="J3393" s="6">
        <v>3599</v>
      </c>
      <c r="K3393" s="51"/>
      <c r="O3393" t="s">
        <v>7</v>
      </c>
      <c r="P3393" t="s">
        <v>48</v>
      </c>
      <c r="Q3393" t="s">
        <v>9</v>
      </c>
      <c r="R3393" t="s">
        <v>27</v>
      </c>
      <c r="S3393" t="s">
        <v>33</v>
      </c>
      <c r="T3393">
        <v>2015</v>
      </c>
      <c r="U3393">
        <v>8</v>
      </c>
      <c r="V3393" s="51">
        <v>42217</v>
      </c>
      <c r="W3393" s="4">
        <v>3131.1300000000006</v>
      </c>
      <c r="X3393" s="52">
        <v>3599</v>
      </c>
    </row>
    <row r="3394" spans="2:24" x14ac:dyDescent="0.35">
      <c r="B3394" s="6" t="s">
        <v>7</v>
      </c>
      <c r="C3394" s="6" t="s">
        <v>49</v>
      </c>
      <c r="D3394" s="6" t="s">
        <v>11</v>
      </c>
      <c r="E3394" s="6" t="s">
        <v>23</v>
      </c>
      <c r="F3394" s="6" t="s">
        <v>24</v>
      </c>
      <c r="G3394" s="6">
        <v>2015</v>
      </c>
      <c r="H3394" s="6">
        <v>8</v>
      </c>
      <c r="I3394" s="10">
        <v>42217</v>
      </c>
      <c r="J3394" s="6">
        <v>1935</v>
      </c>
      <c r="K3394" s="51"/>
      <c r="O3394" t="s">
        <v>7</v>
      </c>
      <c r="P3394" t="s">
        <v>49</v>
      </c>
      <c r="Q3394" t="s">
        <v>11</v>
      </c>
      <c r="R3394" t="s">
        <v>23</v>
      </c>
      <c r="S3394" t="s">
        <v>24</v>
      </c>
      <c r="T3394">
        <v>2015</v>
      </c>
      <c r="U3394">
        <v>8</v>
      </c>
      <c r="V3394" s="51">
        <v>42217</v>
      </c>
      <c r="W3394" s="4">
        <v>1741.4999999999998</v>
      </c>
      <c r="X3394" s="52">
        <v>1935</v>
      </c>
    </row>
    <row r="3395" spans="2:24" x14ac:dyDescent="0.35">
      <c r="B3395" s="6" t="s">
        <v>3</v>
      </c>
      <c r="C3395" s="6" t="s">
        <v>22</v>
      </c>
      <c r="D3395" s="6" t="s">
        <v>5</v>
      </c>
      <c r="E3395" s="6" t="s">
        <v>23</v>
      </c>
      <c r="F3395" s="6" t="s">
        <v>24</v>
      </c>
      <c r="G3395" s="6">
        <v>2015</v>
      </c>
      <c r="H3395" s="6">
        <v>9</v>
      </c>
      <c r="I3395" s="10">
        <v>42248</v>
      </c>
      <c r="J3395" s="6">
        <v>2125</v>
      </c>
      <c r="K3395" s="51"/>
      <c r="O3395" t="s">
        <v>3</v>
      </c>
      <c r="P3395" t="s">
        <v>22</v>
      </c>
      <c r="Q3395" t="s">
        <v>5</v>
      </c>
      <c r="R3395" t="s">
        <v>23</v>
      </c>
      <c r="S3395" t="s">
        <v>24</v>
      </c>
      <c r="T3395">
        <v>2015</v>
      </c>
      <c r="U3395">
        <v>9</v>
      </c>
      <c r="V3395" s="51">
        <v>42248</v>
      </c>
      <c r="W3395" s="4">
        <v>1976.2499999999998</v>
      </c>
      <c r="X3395" s="52">
        <v>2125</v>
      </c>
    </row>
    <row r="3396" spans="2:24" x14ac:dyDescent="0.35">
      <c r="B3396" s="6" t="s">
        <v>3</v>
      </c>
      <c r="C3396" s="6" t="s">
        <v>25</v>
      </c>
      <c r="D3396" s="6" t="s">
        <v>4</v>
      </c>
      <c r="E3396" s="6" t="s">
        <v>23</v>
      </c>
      <c r="F3396" s="6" t="s">
        <v>24</v>
      </c>
      <c r="G3396" s="6">
        <v>2015</v>
      </c>
      <c r="H3396" s="6">
        <v>9</v>
      </c>
      <c r="I3396" s="10">
        <v>42248</v>
      </c>
      <c r="J3396" s="6">
        <v>1565</v>
      </c>
      <c r="K3396" s="51"/>
      <c r="O3396" t="s">
        <v>3</v>
      </c>
      <c r="P3396" t="s">
        <v>25</v>
      </c>
      <c r="Q3396" t="s">
        <v>4</v>
      </c>
      <c r="R3396" t="s">
        <v>23</v>
      </c>
      <c r="S3396" t="s">
        <v>24</v>
      </c>
      <c r="T3396">
        <v>2015</v>
      </c>
      <c r="U3396">
        <v>9</v>
      </c>
      <c r="V3396" s="51">
        <v>42248</v>
      </c>
      <c r="W3396" s="4">
        <v>1361.5500000000002</v>
      </c>
      <c r="X3396" s="52">
        <v>1565</v>
      </c>
    </row>
    <row r="3397" spans="2:24" x14ac:dyDescent="0.35">
      <c r="B3397" s="6" t="s">
        <v>3</v>
      </c>
      <c r="C3397" s="6" t="s">
        <v>25</v>
      </c>
      <c r="D3397" s="6" t="s">
        <v>4</v>
      </c>
      <c r="E3397" s="6" t="s">
        <v>0</v>
      </c>
      <c r="F3397" s="6" t="s">
        <v>26</v>
      </c>
      <c r="G3397" s="6">
        <v>2015</v>
      </c>
      <c r="H3397" s="6">
        <v>9</v>
      </c>
      <c r="I3397" s="10">
        <v>42248</v>
      </c>
      <c r="J3397" s="6">
        <v>4377</v>
      </c>
      <c r="K3397" s="51"/>
      <c r="O3397" t="s">
        <v>3</v>
      </c>
      <c r="P3397" t="s">
        <v>25</v>
      </c>
      <c r="Q3397" t="s">
        <v>4</v>
      </c>
      <c r="R3397" t="s">
        <v>0</v>
      </c>
      <c r="S3397" t="s">
        <v>26</v>
      </c>
      <c r="T3397">
        <v>2015</v>
      </c>
      <c r="U3397">
        <v>9</v>
      </c>
      <c r="V3397" s="51">
        <v>42248</v>
      </c>
      <c r="W3397" s="4">
        <v>3983.0699999999997</v>
      </c>
      <c r="X3397" s="52">
        <v>4377</v>
      </c>
    </row>
    <row r="3398" spans="2:24" x14ac:dyDescent="0.35">
      <c r="B3398" s="6" t="s">
        <v>3</v>
      </c>
      <c r="C3398" s="6" t="s">
        <v>22</v>
      </c>
      <c r="D3398" s="6" t="s">
        <v>5</v>
      </c>
      <c r="E3398" s="6" t="s">
        <v>0</v>
      </c>
      <c r="F3398" s="6" t="s">
        <v>26</v>
      </c>
      <c r="G3398" s="6">
        <v>2015</v>
      </c>
      <c r="H3398" s="6">
        <v>9</v>
      </c>
      <c r="I3398" s="10">
        <v>42248</v>
      </c>
      <c r="J3398" s="6">
        <v>3771</v>
      </c>
      <c r="K3398" s="51"/>
      <c r="O3398" t="s">
        <v>3</v>
      </c>
      <c r="P3398" t="s">
        <v>22</v>
      </c>
      <c r="Q3398" t="s">
        <v>5</v>
      </c>
      <c r="R3398" t="s">
        <v>0</v>
      </c>
      <c r="S3398" t="s">
        <v>26</v>
      </c>
      <c r="T3398">
        <v>2015</v>
      </c>
      <c r="U3398">
        <v>9</v>
      </c>
      <c r="V3398" s="51">
        <v>42248</v>
      </c>
      <c r="W3398" s="4">
        <v>3280.7700000000004</v>
      </c>
      <c r="X3398" s="52">
        <v>3771</v>
      </c>
    </row>
    <row r="3399" spans="2:24" x14ac:dyDescent="0.35">
      <c r="B3399" s="6" t="s">
        <v>3</v>
      </c>
      <c r="C3399" s="6" t="s">
        <v>22</v>
      </c>
      <c r="D3399" s="6" t="s">
        <v>5</v>
      </c>
      <c r="E3399" s="6" t="s">
        <v>27</v>
      </c>
      <c r="F3399" s="6" t="s">
        <v>28</v>
      </c>
      <c r="G3399" s="6">
        <v>2015</v>
      </c>
      <c r="H3399" s="6">
        <v>9</v>
      </c>
      <c r="I3399" s="10">
        <v>42248</v>
      </c>
      <c r="J3399" s="6">
        <v>5046</v>
      </c>
      <c r="K3399" s="51"/>
      <c r="O3399" t="s">
        <v>3</v>
      </c>
      <c r="P3399" t="s">
        <v>22</v>
      </c>
      <c r="Q3399" t="s">
        <v>5</v>
      </c>
      <c r="R3399" t="s">
        <v>27</v>
      </c>
      <c r="S3399" t="s">
        <v>28</v>
      </c>
      <c r="T3399">
        <v>2015</v>
      </c>
      <c r="U3399">
        <v>9</v>
      </c>
      <c r="V3399" s="51">
        <v>42248</v>
      </c>
      <c r="W3399" s="4">
        <v>4692.78</v>
      </c>
      <c r="X3399" s="52">
        <v>5046</v>
      </c>
    </row>
    <row r="3400" spans="2:24" x14ac:dyDescent="0.35">
      <c r="B3400" s="6" t="s">
        <v>6</v>
      </c>
      <c r="C3400" s="6" t="s">
        <v>29</v>
      </c>
      <c r="D3400" s="6" t="s">
        <v>30</v>
      </c>
      <c r="E3400" s="6" t="s">
        <v>27</v>
      </c>
      <c r="F3400" s="6" t="s">
        <v>31</v>
      </c>
      <c r="G3400" s="6">
        <v>2015</v>
      </c>
      <c r="H3400" s="6">
        <v>9</v>
      </c>
      <c r="I3400" s="10">
        <v>42248</v>
      </c>
      <c r="J3400" s="6">
        <v>2991</v>
      </c>
      <c r="K3400" s="51"/>
      <c r="O3400" t="s">
        <v>6</v>
      </c>
      <c r="P3400" t="s">
        <v>29</v>
      </c>
      <c r="Q3400" t="s">
        <v>30</v>
      </c>
      <c r="R3400" t="s">
        <v>27</v>
      </c>
      <c r="S3400" t="s">
        <v>31</v>
      </c>
      <c r="T3400">
        <v>2015</v>
      </c>
      <c r="U3400">
        <v>9</v>
      </c>
      <c r="V3400" s="51">
        <v>42248</v>
      </c>
      <c r="W3400" s="4">
        <v>2811.54</v>
      </c>
      <c r="X3400" s="52">
        <v>2991</v>
      </c>
    </row>
    <row r="3401" spans="2:24" x14ac:dyDescent="0.35">
      <c r="B3401" s="6" t="s">
        <v>7</v>
      </c>
      <c r="C3401" s="6" t="s">
        <v>32</v>
      </c>
      <c r="D3401" s="6" t="s">
        <v>8</v>
      </c>
      <c r="E3401" s="6" t="s">
        <v>27</v>
      </c>
      <c r="F3401" s="6" t="s">
        <v>33</v>
      </c>
      <c r="G3401" s="6">
        <v>2015</v>
      </c>
      <c r="H3401" s="6">
        <v>9</v>
      </c>
      <c r="I3401" s="10">
        <v>42248</v>
      </c>
      <c r="J3401" s="6">
        <v>3695</v>
      </c>
      <c r="K3401" s="51"/>
      <c r="O3401" t="s">
        <v>7</v>
      </c>
      <c r="P3401" t="s">
        <v>32</v>
      </c>
      <c r="Q3401" t="s">
        <v>8</v>
      </c>
      <c r="R3401" t="s">
        <v>27</v>
      </c>
      <c r="S3401" t="s">
        <v>33</v>
      </c>
      <c r="T3401">
        <v>2015</v>
      </c>
      <c r="U3401">
        <v>9</v>
      </c>
      <c r="V3401" s="51">
        <v>42248</v>
      </c>
      <c r="W3401" s="4">
        <v>3251.5999999999995</v>
      </c>
      <c r="X3401" s="52">
        <v>3695</v>
      </c>
    </row>
    <row r="3402" spans="2:24" x14ac:dyDescent="0.35">
      <c r="B3402" s="6" t="s">
        <v>12</v>
      </c>
      <c r="C3402" s="6" t="s">
        <v>34</v>
      </c>
      <c r="D3402" s="6" t="s">
        <v>35</v>
      </c>
      <c r="E3402" s="6" t="s">
        <v>23</v>
      </c>
      <c r="F3402" s="6" t="s">
        <v>36</v>
      </c>
      <c r="G3402" s="6">
        <v>2015</v>
      </c>
      <c r="H3402" s="6">
        <v>9</v>
      </c>
      <c r="I3402" s="10">
        <v>42248</v>
      </c>
      <c r="J3402" s="6">
        <v>2616</v>
      </c>
      <c r="K3402" s="51"/>
      <c r="O3402" t="s">
        <v>12</v>
      </c>
      <c r="P3402" t="s">
        <v>34</v>
      </c>
      <c r="Q3402" t="s">
        <v>35</v>
      </c>
      <c r="R3402" t="s">
        <v>23</v>
      </c>
      <c r="S3402" t="s">
        <v>36</v>
      </c>
      <c r="T3402">
        <v>2015</v>
      </c>
      <c r="U3402">
        <v>9</v>
      </c>
      <c r="V3402" s="51">
        <v>42248</v>
      </c>
      <c r="W3402" s="4">
        <v>2459.04</v>
      </c>
      <c r="X3402" s="52">
        <v>2616</v>
      </c>
    </row>
    <row r="3403" spans="2:24" x14ac:dyDescent="0.35">
      <c r="B3403" s="6" t="s">
        <v>14</v>
      </c>
      <c r="C3403" s="6" t="s">
        <v>37</v>
      </c>
      <c r="D3403" s="6" t="s">
        <v>38</v>
      </c>
      <c r="E3403" s="6" t="s">
        <v>23</v>
      </c>
      <c r="F3403" s="6" t="s">
        <v>24</v>
      </c>
      <c r="G3403" s="6">
        <v>2015</v>
      </c>
      <c r="H3403" s="6">
        <v>9</v>
      </c>
      <c r="I3403" s="10">
        <v>42248</v>
      </c>
      <c r="J3403" s="6">
        <v>1990</v>
      </c>
      <c r="K3403" s="51"/>
      <c r="O3403" t="s">
        <v>14</v>
      </c>
      <c r="P3403" t="s">
        <v>37</v>
      </c>
      <c r="Q3403" t="s">
        <v>38</v>
      </c>
      <c r="R3403" t="s">
        <v>23</v>
      </c>
      <c r="S3403" t="s">
        <v>24</v>
      </c>
      <c r="T3403">
        <v>2015</v>
      </c>
      <c r="U3403">
        <v>9</v>
      </c>
      <c r="V3403" s="51">
        <v>42248</v>
      </c>
      <c r="W3403" s="4">
        <v>1731.3000000000002</v>
      </c>
      <c r="X3403" s="52">
        <v>1990</v>
      </c>
    </row>
    <row r="3404" spans="2:24" x14ac:dyDescent="0.35">
      <c r="B3404" s="6" t="s">
        <v>3</v>
      </c>
      <c r="C3404" s="6" t="s">
        <v>25</v>
      </c>
      <c r="D3404" s="6" t="s">
        <v>4</v>
      </c>
      <c r="E3404" s="6" t="s">
        <v>23</v>
      </c>
      <c r="F3404" s="6" t="s">
        <v>39</v>
      </c>
      <c r="G3404" s="6">
        <v>2015</v>
      </c>
      <c r="H3404" s="6">
        <v>9</v>
      </c>
      <c r="I3404" s="10">
        <v>42248</v>
      </c>
      <c r="J3404" s="6">
        <v>1326</v>
      </c>
      <c r="K3404" s="51"/>
      <c r="O3404" t="s">
        <v>3</v>
      </c>
      <c r="P3404" t="s">
        <v>25</v>
      </c>
      <c r="Q3404" t="s">
        <v>4</v>
      </c>
      <c r="R3404" t="s">
        <v>23</v>
      </c>
      <c r="S3404" t="s">
        <v>39</v>
      </c>
      <c r="T3404">
        <v>2015</v>
      </c>
      <c r="U3404">
        <v>9</v>
      </c>
      <c r="V3404" s="51">
        <v>42248</v>
      </c>
      <c r="W3404" s="4">
        <v>1153.6200000000001</v>
      </c>
      <c r="X3404" s="52">
        <v>1326</v>
      </c>
    </row>
    <row r="3405" spans="2:24" x14ac:dyDescent="0.35">
      <c r="B3405" s="6" t="s">
        <v>6</v>
      </c>
      <c r="C3405" s="6" t="s">
        <v>40</v>
      </c>
      <c r="D3405" s="6" t="s">
        <v>41</v>
      </c>
      <c r="E3405" s="6" t="s">
        <v>0</v>
      </c>
      <c r="F3405" s="6" t="s">
        <v>42</v>
      </c>
      <c r="G3405" s="6">
        <v>2015</v>
      </c>
      <c r="H3405" s="6">
        <v>9</v>
      </c>
      <c r="I3405" s="10">
        <v>42248</v>
      </c>
      <c r="J3405" s="6">
        <v>4144</v>
      </c>
      <c r="K3405" s="51"/>
      <c r="O3405" t="s">
        <v>6</v>
      </c>
      <c r="P3405" t="s">
        <v>40</v>
      </c>
      <c r="Q3405" t="s">
        <v>41</v>
      </c>
      <c r="R3405" t="s">
        <v>0</v>
      </c>
      <c r="S3405" t="s">
        <v>42</v>
      </c>
      <c r="T3405">
        <v>2015</v>
      </c>
      <c r="U3405">
        <v>9</v>
      </c>
      <c r="V3405" s="51">
        <v>42248</v>
      </c>
      <c r="W3405" s="4">
        <v>3729.5999999999995</v>
      </c>
      <c r="X3405" s="52">
        <v>4144</v>
      </c>
    </row>
    <row r="3406" spans="2:24" x14ac:dyDescent="0.35">
      <c r="B3406" s="6" t="s">
        <v>7</v>
      </c>
      <c r="C3406" s="6" t="s">
        <v>43</v>
      </c>
      <c r="D3406" s="6" t="s">
        <v>10</v>
      </c>
      <c r="E3406" s="6" t="s">
        <v>0</v>
      </c>
      <c r="F3406" s="6" t="s">
        <v>26</v>
      </c>
      <c r="G3406" s="6">
        <v>2015</v>
      </c>
      <c r="H3406" s="6">
        <v>9</v>
      </c>
      <c r="I3406" s="10">
        <v>42248</v>
      </c>
      <c r="J3406" s="6">
        <v>4505</v>
      </c>
      <c r="K3406" s="51"/>
      <c r="O3406" t="s">
        <v>7</v>
      </c>
      <c r="P3406" t="s">
        <v>43</v>
      </c>
      <c r="Q3406" t="s">
        <v>10</v>
      </c>
      <c r="R3406" t="s">
        <v>0</v>
      </c>
      <c r="S3406" t="s">
        <v>26</v>
      </c>
      <c r="T3406">
        <v>2015</v>
      </c>
      <c r="U3406">
        <v>9</v>
      </c>
      <c r="V3406" s="51">
        <v>42248</v>
      </c>
      <c r="W3406" s="4">
        <v>4234.7</v>
      </c>
      <c r="X3406" s="52">
        <v>4505</v>
      </c>
    </row>
    <row r="3407" spans="2:24" x14ac:dyDescent="0.35">
      <c r="B3407" s="6" t="s">
        <v>12</v>
      </c>
      <c r="C3407" s="6" t="s">
        <v>44</v>
      </c>
      <c r="D3407" s="6" t="s">
        <v>13</v>
      </c>
      <c r="E3407" s="6" t="s">
        <v>0</v>
      </c>
      <c r="F3407" s="6" t="s">
        <v>45</v>
      </c>
      <c r="G3407" s="6">
        <v>2015</v>
      </c>
      <c r="H3407" s="6">
        <v>9</v>
      </c>
      <c r="I3407" s="10">
        <v>42248</v>
      </c>
      <c r="J3407" s="6">
        <v>4817</v>
      </c>
      <c r="K3407" s="51"/>
      <c r="O3407" t="s">
        <v>12</v>
      </c>
      <c r="P3407" t="s">
        <v>44</v>
      </c>
      <c r="Q3407" t="s">
        <v>13</v>
      </c>
      <c r="R3407" t="s">
        <v>0</v>
      </c>
      <c r="S3407" t="s">
        <v>45</v>
      </c>
      <c r="T3407">
        <v>2015</v>
      </c>
      <c r="U3407">
        <v>9</v>
      </c>
      <c r="V3407" s="51">
        <v>42248</v>
      </c>
      <c r="W3407" s="4">
        <v>4094.4500000000003</v>
      </c>
      <c r="X3407" s="52">
        <v>4817</v>
      </c>
    </row>
    <row r="3408" spans="2:24" x14ac:dyDescent="0.35">
      <c r="B3408" s="6" t="s">
        <v>14</v>
      </c>
      <c r="C3408" s="6" t="s">
        <v>46</v>
      </c>
      <c r="D3408" s="6" t="s">
        <v>47</v>
      </c>
      <c r="E3408" s="6" t="s">
        <v>27</v>
      </c>
      <c r="F3408" s="6" t="s">
        <v>28</v>
      </c>
      <c r="G3408" s="6">
        <v>2015</v>
      </c>
      <c r="H3408" s="6">
        <v>9</v>
      </c>
      <c r="I3408" s="10">
        <v>42248</v>
      </c>
      <c r="J3408" s="6">
        <v>3288</v>
      </c>
      <c r="K3408" s="51"/>
      <c r="O3408" t="s">
        <v>14</v>
      </c>
      <c r="P3408" t="s">
        <v>46</v>
      </c>
      <c r="Q3408" t="s">
        <v>47</v>
      </c>
      <c r="R3408" t="s">
        <v>27</v>
      </c>
      <c r="S3408" t="s">
        <v>28</v>
      </c>
      <c r="T3408">
        <v>2015</v>
      </c>
      <c r="U3408">
        <v>9</v>
      </c>
      <c r="V3408" s="51">
        <v>42248</v>
      </c>
      <c r="W3408" s="4">
        <v>2860.5600000000004</v>
      </c>
      <c r="X3408" s="52">
        <v>3288</v>
      </c>
    </row>
    <row r="3409" spans="2:24" x14ac:dyDescent="0.35">
      <c r="B3409" s="6" t="s">
        <v>3</v>
      </c>
      <c r="C3409" s="6" t="s">
        <v>22</v>
      </c>
      <c r="D3409" s="6" t="s">
        <v>5</v>
      </c>
      <c r="E3409" s="6" t="s">
        <v>27</v>
      </c>
      <c r="F3409" s="6" t="s">
        <v>31</v>
      </c>
      <c r="G3409" s="6">
        <v>2015</v>
      </c>
      <c r="H3409" s="6">
        <v>9</v>
      </c>
      <c r="I3409" s="10">
        <v>42248</v>
      </c>
      <c r="J3409" s="6">
        <v>3440</v>
      </c>
      <c r="K3409" s="51"/>
      <c r="O3409" t="s">
        <v>3</v>
      </c>
      <c r="P3409" t="s">
        <v>22</v>
      </c>
      <c r="Q3409" t="s">
        <v>5</v>
      </c>
      <c r="R3409" t="s">
        <v>27</v>
      </c>
      <c r="S3409" t="s">
        <v>31</v>
      </c>
      <c r="T3409">
        <v>2015</v>
      </c>
      <c r="U3409">
        <v>9</v>
      </c>
      <c r="V3409" s="51">
        <v>42248</v>
      </c>
      <c r="W3409" s="4">
        <v>2992.8</v>
      </c>
      <c r="X3409" s="52">
        <v>3440</v>
      </c>
    </row>
    <row r="3410" spans="2:24" x14ac:dyDescent="0.35">
      <c r="B3410" s="6" t="s">
        <v>6</v>
      </c>
      <c r="C3410" s="6" t="s">
        <v>29</v>
      </c>
      <c r="D3410" s="6" t="s">
        <v>30</v>
      </c>
      <c r="E3410" s="6" t="s">
        <v>27</v>
      </c>
      <c r="F3410" s="6" t="s">
        <v>33</v>
      </c>
      <c r="G3410" s="6">
        <v>2015</v>
      </c>
      <c r="H3410" s="6">
        <v>9</v>
      </c>
      <c r="I3410" s="10">
        <v>42248</v>
      </c>
      <c r="J3410" s="6">
        <v>3481</v>
      </c>
      <c r="K3410" s="51"/>
      <c r="O3410" t="s">
        <v>6</v>
      </c>
      <c r="P3410" t="s">
        <v>29</v>
      </c>
      <c r="Q3410" t="s">
        <v>30</v>
      </c>
      <c r="R3410" t="s">
        <v>27</v>
      </c>
      <c r="S3410" t="s">
        <v>33</v>
      </c>
      <c r="T3410">
        <v>2015</v>
      </c>
      <c r="U3410">
        <v>9</v>
      </c>
      <c r="V3410" s="51">
        <v>42248</v>
      </c>
      <c r="W3410" s="4">
        <v>2958.8500000000004</v>
      </c>
      <c r="X3410" s="52">
        <v>3481</v>
      </c>
    </row>
    <row r="3411" spans="2:24" x14ac:dyDescent="0.35">
      <c r="B3411" s="6" t="s">
        <v>7</v>
      </c>
      <c r="C3411" s="6" t="s">
        <v>32</v>
      </c>
      <c r="D3411" s="6" t="s">
        <v>8</v>
      </c>
      <c r="E3411" s="6" t="s">
        <v>23</v>
      </c>
      <c r="F3411" s="6" t="s">
        <v>36</v>
      </c>
      <c r="G3411" s="6">
        <v>2015</v>
      </c>
      <c r="H3411" s="6">
        <v>9</v>
      </c>
      <c r="I3411" s="10">
        <v>42248</v>
      </c>
      <c r="J3411" s="6">
        <v>1655</v>
      </c>
      <c r="K3411" s="51"/>
      <c r="O3411" t="s">
        <v>7</v>
      </c>
      <c r="P3411" t="s">
        <v>32</v>
      </c>
      <c r="Q3411" t="s">
        <v>8</v>
      </c>
      <c r="R3411" t="s">
        <v>23</v>
      </c>
      <c r="S3411" t="s">
        <v>36</v>
      </c>
      <c r="T3411">
        <v>2015</v>
      </c>
      <c r="U3411">
        <v>9</v>
      </c>
      <c r="V3411" s="51">
        <v>42248</v>
      </c>
      <c r="W3411" s="4">
        <v>1423.3000000000002</v>
      </c>
      <c r="X3411" s="52">
        <v>1655</v>
      </c>
    </row>
    <row r="3412" spans="2:24" x14ac:dyDescent="0.35">
      <c r="B3412" s="6" t="s">
        <v>12</v>
      </c>
      <c r="C3412" s="6" t="s">
        <v>34</v>
      </c>
      <c r="D3412" s="6" t="s">
        <v>35</v>
      </c>
      <c r="E3412" s="6" t="s">
        <v>23</v>
      </c>
      <c r="F3412" s="6" t="s">
        <v>24</v>
      </c>
      <c r="G3412" s="6">
        <v>2015</v>
      </c>
      <c r="H3412" s="6">
        <v>9</v>
      </c>
      <c r="I3412" s="10">
        <v>42248</v>
      </c>
      <c r="J3412" s="6">
        <v>2688</v>
      </c>
      <c r="K3412" s="51"/>
      <c r="O3412" t="s">
        <v>12</v>
      </c>
      <c r="P3412" t="s">
        <v>34</v>
      </c>
      <c r="Q3412" t="s">
        <v>35</v>
      </c>
      <c r="R3412" t="s">
        <v>23</v>
      </c>
      <c r="S3412" t="s">
        <v>24</v>
      </c>
      <c r="T3412">
        <v>2015</v>
      </c>
      <c r="U3412">
        <v>9</v>
      </c>
      <c r="V3412" s="51">
        <v>42248</v>
      </c>
      <c r="W3412" s="4">
        <v>2311.6800000000003</v>
      </c>
      <c r="X3412" s="52">
        <v>2688</v>
      </c>
    </row>
    <row r="3413" spans="2:24" x14ac:dyDescent="0.35">
      <c r="B3413" s="6" t="s">
        <v>14</v>
      </c>
      <c r="C3413" s="6" t="s">
        <v>37</v>
      </c>
      <c r="D3413" s="6" t="s">
        <v>38</v>
      </c>
      <c r="E3413" s="6" t="s">
        <v>23</v>
      </c>
      <c r="F3413" s="6" t="s">
        <v>39</v>
      </c>
      <c r="G3413" s="6">
        <v>2015</v>
      </c>
      <c r="H3413" s="6">
        <v>9</v>
      </c>
      <c r="I3413" s="10">
        <v>42248</v>
      </c>
      <c r="J3413" s="6">
        <v>2520</v>
      </c>
      <c r="K3413" s="51"/>
      <c r="O3413" t="s">
        <v>14</v>
      </c>
      <c r="P3413" t="s">
        <v>37</v>
      </c>
      <c r="Q3413" t="s">
        <v>38</v>
      </c>
      <c r="R3413" t="s">
        <v>23</v>
      </c>
      <c r="S3413" t="s">
        <v>39</v>
      </c>
      <c r="T3413">
        <v>2015</v>
      </c>
      <c r="U3413">
        <v>9</v>
      </c>
      <c r="V3413" s="51">
        <v>42248</v>
      </c>
      <c r="W3413" s="4">
        <v>2217.6</v>
      </c>
      <c r="X3413" s="52">
        <v>2520</v>
      </c>
    </row>
    <row r="3414" spans="2:24" x14ac:dyDescent="0.35">
      <c r="B3414" s="6" t="s">
        <v>3</v>
      </c>
      <c r="C3414" s="6" t="s">
        <v>25</v>
      </c>
      <c r="D3414" s="6" t="s">
        <v>4</v>
      </c>
      <c r="E3414" s="6" t="s">
        <v>0</v>
      </c>
      <c r="F3414" s="6" t="s">
        <v>42</v>
      </c>
      <c r="G3414" s="6">
        <v>2015</v>
      </c>
      <c r="H3414" s="6">
        <v>9</v>
      </c>
      <c r="I3414" s="10">
        <v>42248</v>
      </c>
      <c r="J3414" s="6">
        <v>4893</v>
      </c>
      <c r="K3414" s="51"/>
      <c r="O3414" t="s">
        <v>3</v>
      </c>
      <c r="P3414" t="s">
        <v>25</v>
      </c>
      <c r="Q3414" t="s">
        <v>4</v>
      </c>
      <c r="R3414" t="s">
        <v>0</v>
      </c>
      <c r="S3414" t="s">
        <v>42</v>
      </c>
      <c r="T3414">
        <v>2015</v>
      </c>
      <c r="U3414">
        <v>9</v>
      </c>
      <c r="V3414" s="51">
        <v>42248</v>
      </c>
      <c r="W3414" s="4">
        <v>4501.5599999999995</v>
      </c>
      <c r="X3414" s="52">
        <v>4893</v>
      </c>
    </row>
    <row r="3415" spans="2:24" x14ac:dyDescent="0.35">
      <c r="B3415" s="6" t="s">
        <v>6</v>
      </c>
      <c r="C3415" s="6" t="s">
        <v>40</v>
      </c>
      <c r="D3415" s="6" t="s">
        <v>41</v>
      </c>
      <c r="E3415" s="6" t="s">
        <v>0</v>
      </c>
      <c r="F3415" s="6" t="s">
        <v>26</v>
      </c>
      <c r="G3415" s="6">
        <v>2015</v>
      </c>
      <c r="H3415" s="6">
        <v>9</v>
      </c>
      <c r="I3415" s="10">
        <v>42248</v>
      </c>
      <c r="J3415" s="6">
        <v>4334</v>
      </c>
      <c r="K3415" s="51"/>
      <c r="O3415" t="s">
        <v>6</v>
      </c>
      <c r="P3415" t="s">
        <v>40</v>
      </c>
      <c r="Q3415" t="s">
        <v>41</v>
      </c>
      <c r="R3415" t="s">
        <v>0</v>
      </c>
      <c r="S3415" t="s">
        <v>26</v>
      </c>
      <c r="T3415">
        <v>2015</v>
      </c>
      <c r="U3415">
        <v>9</v>
      </c>
      <c r="V3415" s="51">
        <v>42248</v>
      </c>
      <c r="W3415" s="4">
        <v>3943.9399999999996</v>
      </c>
      <c r="X3415" s="52">
        <v>4334</v>
      </c>
    </row>
    <row r="3416" spans="2:24" x14ac:dyDescent="0.35">
      <c r="B3416" s="6" t="s">
        <v>7</v>
      </c>
      <c r="C3416" s="6" t="s">
        <v>43</v>
      </c>
      <c r="D3416" s="6" t="s">
        <v>10</v>
      </c>
      <c r="E3416" s="6" t="s">
        <v>0</v>
      </c>
      <c r="F3416" s="6" t="s">
        <v>45</v>
      </c>
      <c r="G3416" s="6">
        <v>2015</v>
      </c>
      <c r="H3416" s="6">
        <v>9</v>
      </c>
      <c r="I3416" s="10">
        <v>42248</v>
      </c>
      <c r="J3416" s="6">
        <v>4305</v>
      </c>
      <c r="K3416" s="51"/>
      <c r="O3416" t="s">
        <v>7</v>
      </c>
      <c r="P3416" t="s">
        <v>43</v>
      </c>
      <c r="Q3416" t="s">
        <v>10</v>
      </c>
      <c r="R3416" t="s">
        <v>0</v>
      </c>
      <c r="S3416" t="s">
        <v>45</v>
      </c>
      <c r="T3416">
        <v>2015</v>
      </c>
      <c r="U3416">
        <v>9</v>
      </c>
      <c r="V3416" s="51">
        <v>42248</v>
      </c>
      <c r="W3416" s="4">
        <v>3788.3999999999996</v>
      </c>
      <c r="X3416" s="52">
        <v>4305</v>
      </c>
    </row>
    <row r="3417" spans="2:24" x14ac:dyDescent="0.35">
      <c r="B3417" s="6" t="s">
        <v>12</v>
      </c>
      <c r="C3417" s="6" t="s">
        <v>44</v>
      </c>
      <c r="D3417" s="6" t="s">
        <v>13</v>
      </c>
      <c r="E3417" s="6" t="s">
        <v>27</v>
      </c>
      <c r="F3417" s="6" t="s">
        <v>28</v>
      </c>
      <c r="G3417" s="6">
        <v>2015</v>
      </c>
      <c r="H3417" s="6">
        <v>9</v>
      </c>
      <c r="I3417" s="10">
        <v>42248</v>
      </c>
      <c r="J3417" s="6">
        <v>3800</v>
      </c>
      <c r="K3417" s="51"/>
      <c r="O3417" t="s">
        <v>12</v>
      </c>
      <c r="P3417" t="s">
        <v>44</v>
      </c>
      <c r="Q3417" t="s">
        <v>13</v>
      </c>
      <c r="R3417" t="s">
        <v>27</v>
      </c>
      <c r="S3417" t="s">
        <v>28</v>
      </c>
      <c r="T3417">
        <v>2015</v>
      </c>
      <c r="U3417">
        <v>9</v>
      </c>
      <c r="V3417" s="51">
        <v>42248</v>
      </c>
      <c r="W3417" s="4">
        <v>3495.9999999999995</v>
      </c>
      <c r="X3417" s="52">
        <v>3800</v>
      </c>
    </row>
    <row r="3418" spans="2:24" x14ac:dyDescent="0.35">
      <c r="B3418" s="6" t="s">
        <v>14</v>
      </c>
      <c r="C3418" s="6" t="s">
        <v>46</v>
      </c>
      <c r="D3418" s="6" t="s">
        <v>47</v>
      </c>
      <c r="E3418" s="6" t="s">
        <v>27</v>
      </c>
      <c r="F3418" s="6" t="s">
        <v>31</v>
      </c>
      <c r="G3418" s="6">
        <v>2015</v>
      </c>
      <c r="H3418" s="6">
        <v>9</v>
      </c>
      <c r="I3418" s="10">
        <v>42248</v>
      </c>
      <c r="J3418" s="6">
        <v>4275</v>
      </c>
      <c r="K3418" s="51"/>
      <c r="O3418" t="s">
        <v>14</v>
      </c>
      <c r="P3418" t="s">
        <v>46</v>
      </c>
      <c r="Q3418" t="s">
        <v>47</v>
      </c>
      <c r="R3418" t="s">
        <v>27</v>
      </c>
      <c r="S3418" t="s">
        <v>31</v>
      </c>
      <c r="T3418">
        <v>2015</v>
      </c>
      <c r="U3418">
        <v>9</v>
      </c>
      <c r="V3418" s="51">
        <v>42248</v>
      </c>
      <c r="W3418" s="4">
        <v>3890.2499999999995</v>
      </c>
      <c r="X3418" s="52">
        <v>4275</v>
      </c>
    </row>
    <row r="3419" spans="2:24" x14ac:dyDescent="0.35">
      <c r="B3419" s="6" t="s">
        <v>3</v>
      </c>
      <c r="C3419" s="6" t="s">
        <v>22</v>
      </c>
      <c r="D3419" s="6" t="s">
        <v>5</v>
      </c>
      <c r="E3419" s="6" t="s">
        <v>27</v>
      </c>
      <c r="F3419" s="6" t="s">
        <v>33</v>
      </c>
      <c r="G3419" s="6">
        <v>2015</v>
      </c>
      <c r="H3419" s="6">
        <v>9</v>
      </c>
      <c r="I3419" s="10">
        <v>42248</v>
      </c>
      <c r="J3419" s="6">
        <v>4000</v>
      </c>
      <c r="K3419" s="51"/>
      <c r="O3419" t="s">
        <v>3</v>
      </c>
      <c r="P3419" t="s">
        <v>22</v>
      </c>
      <c r="Q3419" t="s">
        <v>5</v>
      </c>
      <c r="R3419" t="s">
        <v>27</v>
      </c>
      <c r="S3419" t="s">
        <v>33</v>
      </c>
      <c r="T3419">
        <v>2015</v>
      </c>
      <c r="U3419">
        <v>9</v>
      </c>
      <c r="V3419" s="51">
        <v>42248</v>
      </c>
      <c r="W3419" s="4">
        <v>3760</v>
      </c>
      <c r="X3419" s="52">
        <v>4000</v>
      </c>
    </row>
    <row r="3420" spans="2:24" x14ac:dyDescent="0.35">
      <c r="B3420" s="6" t="s">
        <v>6</v>
      </c>
      <c r="C3420" s="6" t="s">
        <v>29</v>
      </c>
      <c r="D3420" s="6" t="s">
        <v>30</v>
      </c>
      <c r="E3420" s="6" t="s">
        <v>23</v>
      </c>
      <c r="F3420" s="6" t="s">
        <v>36</v>
      </c>
      <c r="G3420" s="6">
        <v>2015</v>
      </c>
      <c r="H3420" s="6">
        <v>9</v>
      </c>
      <c r="I3420" s="10">
        <v>42248</v>
      </c>
      <c r="J3420" s="6">
        <v>1921</v>
      </c>
      <c r="K3420" s="51"/>
      <c r="O3420" t="s">
        <v>6</v>
      </c>
      <c r="P3420" t="s">
        <v>29</v>
      </c>
      <c r="Q3420" t="s">
        <v>30</v>
      </c>
      <c r="R3420" t="s">
        <v>23</v>
      </c>
      <c r="S3420" t="s">
        <v>36</v>
      </c>
      <c r="T3420">
        <v>2015</v>
      </c>
      <c r="U3420">
        <v>9</v>
      </c>
      <c r="V3420" s="51">
        <v>42248</v>
      </c>
      <c r="W3420" s="4">
        <v>1748.11</v>
      </c>
      <c r="X3420" s="52">
        <v>1921</v>
      </c>
    </row>
    <row r="3421" spans="2:24" x14ac:dyDescent="0.35">
      <c r="B3421" s="6" t="s">
        <v>7</v>
      </c>
      <c r="C3421" s="6" t="s">
        <v>32</v>
      </c>
      <c r="D3421" s="6" t="s">
        <v>8</v>
      </c>
      <c r="E3421" s="6" t="s">
        <v>23</v>
      </c>
      <c r="F3421" s="6" t="s">
        <v>24</v>
      </c>
      <c r="G3421" s="6">
        <v>2015</v>
      </c>
      <c r="H3421" s="6">
        <v>9</v>
      </c>
      <c r="I3421" s="10">
        <v>42248</v>
      </c>
      <c r="J3421" s="6">
        <v>2996</v>
      </c>
      <c r="K3421" s="51"/>
      <c r="O3421" t="s">
        <v>7</v>
      </c>
      <c r="P3421" t="s">
        <v>32</v>
      </c>
      <c r="Q3421" t="s">
        <v>8</v>
      </c>
      <c r="R3421" t="s">
        <v>23</v>
      </c>
      <c r="S3421" t="s">
        <v>24</v>
      </c>
      <c r="T3421">
        <v>2015</v>
      </c>
      <c r="U3421">
        <v>9</v>
      </c>
      <c r="V3421" s="51">
        <v>42248</v>
      </c>
      <c r="W3421" s="4">
        <v>2636.4799999999996</v>
      </c>
      <c r="X3421" s="52">
        <v>2996</v>
      </c>
    </row>
    <row r="3422" spans="2:24" x14ac:dyDescent="0.35">
      <c r="B3422" s="6" t="s">
        <v>12</v>
      </c>
      <c r="C3422" s="6" t="s">
        <v>34</v>
      </c>
      <c r="D3422" s="6" t="s">
        <v>35</v>
      </c>
      <c r="E3422" s="6" t="s">
        <v>23</v>
      </c>
      <c r="F3422" s="6" t="s">
        <v>39</v>
      </c>
      <c r="G3422" s="6">
        <v>2015</v>
      </c>
      <c r="H3422" s="6">
        <v>9</v>
      </c>
      <c r="I3422" s="10">
        <v>42248</v>
      </c>
      <c r="J3422" s="6">
        <v>1836</v>
      </c>
      <c r="K3422" s="51"/>
      <c r="O3422" t="s">
        <v>12</v>
      </c>
      <c r="P3422" t="s">
        <v>34</v>
      </c>
      <c r="Q3422" t="s">
        <v>35</v>
      </c>
      <c r="R3422" t="s">
        <v>23</v>
      </c>
      <c r="S3422" t="s">
        <v>39</v>
      </c>
      <c r="T3422">
        <v>2015</v>
      </c>
      <c r="U3422">
        <v>9</v>
      </c>
      <c r="V3422" s="51">
        <v>42248</v>
      </c>
      <c r="W3422" s="4">
        <v>1707.4799999999998</v>
      </c>
      <c r="X3422" s="52">
        <v>1836</v>
      </c>
    </row>
    <row r="3423" spans="2:24" x14ac:dyDescent="0.35">
      <c r="B3423" s="6" t="s">
        <v>14</v>
      </c>
      <c r="C3423" s="6" t="s">
        <v>37</v>
      </c>
      <c r="D3423" s="6" t="s">
        <v>38</v>
      </c>
      <c r="E3423" s="6" t="s">
        <v>0</v>
      </c>
      <c r="F3423" s="6" t="s">
        <v>42</v>
      </c>
      <c r="G3423" s="6">
        <v>2015</v>
      </c>
      <c r="H3423" s="6">
        <v>9</v>
      </c>
      <c r="I3423" s="10">
        <v>42248</v>
      </c>
      <c r="J3423" s="6">
        <v>6708</v>
      </c>
      <c r="K3423" s="51"/>
      <c r="O3423" t="s">
        <v>14</v>
      </c>
      <c r="P3423" t="s">
        <v>37</v>
      </c>
      <c r="Q3423" t="s">
        <v>38</v>
      </c>
      <c r="R3423" t="s">
        <v>0</v>
      </c>
      <c r="S3423" t="s">
        <v>42</v>
      </c>
      <c r="T3423">
        <v>2015</v>
      </c>
      <c r="U3423">
        <v>9</v>
      </c>
      <c r="V3423" s="51">
        <v>42248</v>
      </c>
      <c r="W3423" s="4">
        <v>6171.36</v>
      </c>
      <c r="X3423" s="52">
        <v>6708</v>
      </c>
    </row>
    <row r="3424" spans="2:24" x14ac:dyDescent="0.35">
      <c r="B3424" s="6" t="s">
        <v>6</v>
      </c>
      <c r="C3424" s="6" t="s">
        <v>29</v>
      </c>
      <c r="D3424" s="6" t="s">
        <v>30</v>
      </c>
      <c r="E3424" s="6" t="s">
        <v>0</v>
      </c>
      <c r="F3424" s="6" t="s">
        <v>45</v>
      </c>
      <c r="G3424" s="6">
        <v>2015</v>
      </c>
      <c r="H3424" s="6">
        <v>9</v>
      </c>
      <c r="I3424" s="10">
        <v>42248</v>
      </c>
      <c r="J3424" s="6">
        <v>2565</v>
      </c>
      <c r="K3424" s="51"/>
      <c r="O3424" t="s">
        <v>6</v>
      </c>
      <c r="P3424" t="s">
        <v>29</v>
      </c>
      <c r="Q3424" t="s">
        <v>30</v>
      </c>
      <c r="R3424" t="s">
        <v>0</v>
      </c>
      <c r="S3424" t="s">
        <v>45</v>
      </c>
      <c r="T3424">
        <v>2015</v>
      </c>
      <c r="U3424">
        <v>9</v>
      </c>
      <c r="V3424" s="51">
        <v>42248</v>
      </c>
      <c r="W3424" s="4">
        <v>2282.85</v>
      </c>
      <c r="X3424" s="52">
        <v>2565</v>
      </c>
    </row>
    <row r="3425" spans="2:24" x14ac:dyDescent="0.35">
      <c r="B3425" s="6" t="s">
        <v>7</v>
      </c>
      <c r="C3425" s="6" t="s">
        <v>43</v>
      </c>
      <c r="D3425" s="6" t="s">
        <v>10</v>
      </c>
      <c r="E3425" s="6" t="s">
        <v>27</v>
      </c>
      <c r="F3425" s="6" t="s">
        <v>28</v>
      </c>
      <c r="G3425" s="6">
        <v>2015</v>
      </c>
      <c r="H3425" s="6">
        <v>9</v>
      </c>
      <c r="I3425" s="10">
        <v>42248</v>
      </c>
      <c r="J3425" s="6">
        <v>3396</v>
      </c>
      <c r="K3425" s="51"/>
      <c r="O3425" t="s">
        <v>7</v>
      </c>
      <c r="P3425" t="s">
        <v>43</v>
      </c>
      <c r="Q3425" t="s">
        <v>10</v>
      </c>
      <c r="R3425" t="s">
        <v>27</v>
      </c>
      <c r="S3425" t="s">
        <v>28</v>
      </c>
      <c r="T3425">
        <v>2015</v>
      </c>
      <c r="U3425">
        <v>9</v>
      </c>
      <c r="V3425" s="51">
        <v>42248</v>
      </c>
      <c r="W3425" s="4">
        <v>3124.3199999999997</v>
      </c>
      <c r="X3425" s="52">
        <v>3396</v>
      </c>
    </row>
    <row r="3426" spans="2:24" x14ac:dyDescent="0.35">
      <c r="B3426" s="6" t="s">
        <v>12</v>
      </c>
      <c r="C3426" s="6" t="s">
        <v>44</v>
      </c>
      <c r="D3426" s="6" t="s">
        <v>13</v>
      </c>
      <c r="E3426" s="6" t="s">
        <v>27</v>
      </c>
      <c r="F3426" s="6" t="s">
        <v>31</v>
      </c>
      <c r="G3426" s="6">
        <v>2015</v>
      </c>
      <c r="H3426" s="6">
        <v>9</v>
      </c>
      <c r="I3426" s="10">
        <v>42248</v>
      </c>
      <c r="J3426" s="6">
        <v>5533</v>
      </c>
      <c r="K3426" s="51"/>
      <c r="O3426" t="s">
        <v>12</v>
      </c>
      <c r="P3426" t="s">
        <v>44</v>
      </c>
      <c r="Q3426" t="s">
        <v>13</v>
      </c>
      <c r="R3426" t="s">
        <v>27</v>
      </c>
      <c r="S3426" t="s">
        <v>31</v>
      </c>
      <c r="T3426">
        <v>2015</v>
      </c>
      <c r="U3426">
        <v>9</v>
      </c>
      <c r="V3426" s="51">
        <v>42248</v>
      </c>
      <c r="W3426" s="4">
        <v>5201.0199999999995</v>
      </c>
      <c r="X3426" s="52">
        <v>5533</v>
      </c>
    </row>
    <row r="3427" spans="2:24" x14ac:dyDescent="0.35">
      <c r="B3427" s="6" t="s">
        <v>14</v>
      </c>
      <c r="C3427" s="6" t="s">
        <v>46</v>
      </c>
      <c r="D3427" s="6" t="s">
        <v>47</v>
      </c>
      <c r="E3427" s="6" t="s">
        <v>27</v>
      </c>
      <c r="F3427" s="6" t="s">
        <v>33</v>
      </c>
      <c r="G3427" s="6">
        <v>2015</v>
      </c>
      <c r="H3427" s="6">
        <v>9</v>
      </c>
      <c r="I3427" s="10">
        <v>42248</v>
      </c>
      <c r="J3427" s="6">
        <v>3262</v>
      </c>
      <c r="K3427" s="51"/>
      <c r="O3427" t="s">
        <v>14</v>
      </c>
      <c r="P3427" t="s">
        <v>46</v>
      </c>
      <c r="Q3427" t="s">
        <v>47</v>
      </c>
      <c r="R3427" t="s">
        <v>27</v>
      </c>
      <c r="S3427" t="s">
        <v>33</v>
      </c>
      <c r="T3427">
        <v>2015</v>
      </c>
      <c r="U3427">
        <v>9</v>
      </c>
      <c r="V3427" s="51">
        <v>42248</v>
      </c>
      <c r="W3427" s="4">
        <v>2870.5599999999995</v>
      </c>
      <c r="X3427" s="52">
        <v>3262</v>
      </c>
    </row>
    <row r="3428" spans="2:24" x14ac:dyDescent="0.35">
      <c r="B3428" s="6" t="s">
        <v>3</v>
      </c>
      <c r="C3428" s="6" t="s">
        <v>22</v>
      </c>
      <c r="D3428" s="6" t="s">
        <v>5</v>
      </c>
      <c r="E3428" s="6" t="s">
        <v>23</v>
      </c>
      <c r="F3428" s="6" t="s">
        <v>36</v>
      </c>
      <c r="G3428" s="6">
        <v>2015</v>
      </c>
      <c r="H3428" s="6">
        <v>9</v>
      </c>
      <c r="I3428" s="10">
        <v>42248</v>
      </c>
      <c r="J3428" s="6">
        <v>2959</v>
      </c>
      <c r="K3428" s="51"/>
      <c r="O3428" t="s">
        <v>3</v>
      </c>
      <c r="P3428" t="s">
        <v>22</v>
      </c>
      <c r="Q3428" t="s">
        <v>5</v>
      </c>
      <c r="R3428" t="s">
        <v>23</v>
      </c>
      <c r="S3428" t="s">
        <v>36</v>
      </c>
      <c r="T3428">
        <v>2015</v>
      </c>
      <c r="U3428">
        <v>9</v>
      </c>
      <c r="V3428" s="51">
        <v>42248</v>
      </c>
      <c r="W3428" s="4">
        <v>2692.6899999999996</v>
      </c>
      <c r="X3428" s="52">
        <v>2959</v>
      </c>
    </row>
    <row r="3429" spans="2:24" x14ac:dyDescent="0.35">
      <c r="B3429" s="6" t="s">
        <v>6</v>
      </c>
      <c r="C3429" s="6" t="s">
        <v>40</v>
      </c>
      <c r="D3429" s="6" t="s">
        <v>41</v>
      </c>
      <c r="E3429" s="6" t="s">
        <v>23</v>
      </c>
      <c r="F3429" s="6" t="s">
        <v>24</v>
      </c>
      <c r="G3429" s="6">
        <v>2015</v>
      </c>
      <c r="H3429" s="6">
        <v>9</v>
      </c>
      <c r="I3429" s="10">
        <v>42248</v>
      </c>
      <c r="J3429" s="6">
        <v>1575</v>
      </c>
      <c r="K3429" s="51"/>
      <c r="O3429" t="s">
        <v>6</v>
      </c>
      <c r="P3429" t="s">
        <v>40</v>
      </c>
      <c r="Q3429" t="s">
        <v>41</v>
      </c>
      <c r="R3429" t="s">
        <v>23</v>
      </c>
      <c r="S3429" t="s">
        <v>24</v>
      </c>
      <c r="T3429">
        <v>2015</v>
      </c>
      <c r="U3429">
        <v>9</v>
      </c>
      <c r="V3429" s="51">
        <v>42248</v>
      </c>
      <c r="W3429" s="4">
        <v>1480.5</v>
      </c>
      <c r="X3429" s="52">
        <v>1575</v>
      </c>
    </row>
    <row r="3430" spans="2:24" x14ac:dyDescent="0.35">
      <c r="B3430" s="6" t="s">
        <v>7</v>
      </c>
      <c r="C3430" s="6" t="s">
        <v>32</v>
      </c>
      <c r="D3430" s="6" t="s">
        <v>8</v>
      </c>
      <c r="E3430" s="6" t="s">
        <v>23</v>
      </c>
      <c r="F3430" s="6" t="s">
        <v>39</v>
      </c>
      <c r="G3430" s="6">
        <v>2015</v>
      </c>
      <c r="H3430" s="6">
        <v>9</v>
      </c>
      <c r="I3430" s="10">
        <v>42248</v>
      </c>
      <c r="J3430" s="6">
        <v>1898</v>
      </c>
      <c r="K3430" s="51"/>
      <c r="O3430" t="s">
        <v>7</v>
      </c>
      <c r="P3430" t="s">
        <v>32</v>
      </c>
      <c r="Q3430" t="s">
        <v>8</v>
      </c>
      <c r="R3430" t="s">
        <v>23</v>
      </c>
      <c r="S3430" t="s">
        <v>39</v>
      </c>
      <c r="T3430">
        <v>2015</v>
      </c>
      <c r="U3430">
        <v>9</v>
      </c>
      <c r="V3430" s="51">
        <v>42248</v>
      </c>
      <c r="W3430" s="4">
        <v>1727.1799999999998</v>
      </c>
      <c r="X3430" s="52">
        <v>1898</v>
      </c>
    </row>
    <row r="3431" spans="2:24" x14ac:dyDescent="0.35">
      <c r="B3431" s="6" t="s">
        <v>12</v>
      </c>
      <c r="C3431" s="6" t="s">
        <v>34</v>
      </c>
      <c r="D3431" s="6" t="s">
        <v>35</v>
      </c>
      <c r="E3431" s="6" t="s">
        <v>0</v>
      </c>
      <c r="F3431" s="6" t="s">
        <v>42</v>
      </c>
      <c r="G3431" s="6">
        <v>2015</v>
      </c>
      <c r="H3431" s="6">
        <v>9</v>
      </c>
      <c r="I3431" s="10">
        <v>42248</v>
      </c>
      <c r="J3431" s="6">
        <v>4767</v>
      </c>
      <c r="K3431" s="51"/>
      <c r="O3431" t="s">
        <v>12</v>
      </c>
      <c r="P3431" t="s">
        <v>34</v>
      </c>
      <c r="Q3431" t="s">
        <v>35</v>
      </c>
      <c r="R3431" t="s">
        <v>0</v>
      </c>
      <c r="S3431" t="s">
        <v>42</v>
      </c>
      <c r="T3431">
        <v>2015</v>
      </c>
      <c r="U3431">
        <v>9</v>
      </c>
      <c r="V3431" s="51">
        <v>42248</v>
      </c>
      <c r="W3431" s="4">
        <v>4290.2999999999993</v>
      </c>
      <c r="X3431" s="52">
        <v>4767</v>
      </c>
    </row>
    <row r="3432" spans="2:24" x14ac:dyDescent="0.35">
      <c r="B3432" s="6" t="s">
        <v>14</v>
      </c>
      <c r="C3432" s="6" t="s">
        <v>37</v>
      </c>
      <c r="D3432" s="6" t="s">
        <v>38</v>
      </c>
      <c r="E3432" s="6" t="s">
        <v>0</v>
      </c>
      <c r="F3432" s="6" t="s">
        <v>26</v>
      </c>
      <c r="G3432" s="6">
        <v>2015</v>
      </c>
      <c r="H3432" s="6">
        <v>9</v>
      </c>
      <c r="I3432" s="10">
        <v>42248</v>
      </c>
      <c r="J3432" s="6">
        <v>5537</v>
      </c>
      <c r="K3432" s="51"/>
      <c r="O3432" t="s">
        <v>14</v>
      </c>
      <c r="P3432" t="s">
        <v>37</v>
      </c>
      <c r="Q3432" t="s">
        <v>38</v>
      </c>
      <c r="R3432" t="s">
        <v>0</v>
      </c>
      <c r="S3432" t="s">
        <v>26</v>
      </c>
      <c r="T3432">
        <v>2015</v>
      </c>
      <c r="U3432">
        <v>9</v>
      </c>
      <c r="V3432" s="51">
        <v>42248</v>
      </c>
      <c r="W3432" s="4">
        <v>4761.8200000000006</v>
      </c>
      <c r="X3432" s="52">
        <v>5537</v>
      </c>
    </row>
    <row r="3433" spans="2:24" x14ac:dyDescent="0.35">
      <c r="B3433" s="6" t="s">
        <v>3</v>
      </c>
      <c r="C3433" s="6" t="s">
        <v>25</v>
      </c>
      <c r="D3433" s="6" t="s">
        <v>4</v>
      </c>
      <c r="E3433" s="6" t="s">
        <v>0</v>
      </c>
      <c r="F3433" s="6" t="s">
        <v>45</v>
      </c>
      <c r="G3433" s="6">
        <v>2015</v>
      </c>
      <c r="H3433" s="6">
        <v>9</v>
      </c>
      <c r="I3433" s="10">
        <v>42248</v>
      </c>
      <c r="J3433" s="6">
        <v>3144</v>
      </c>
      <c r="K3433" s="51"/>
      <c r="O3433" t="s">
        <v>3</v>
      </c>
      <c r="P3433" t="s">
        <v>25</v>
      </c>
      <c r="Q3433" t="s">
        <v>4</v>
      </c>
      <c r="R3433" t="s">
        <v>0</v>
      </c>
      <c r="S3433" t="s">
        <v>45</v>
      </c>
      <c r="T3433">
        <v>2015</v>
      </c>
      <c r="U3433">
        <v>9</v>
      </c>
      <c r="V3433" s="51">
        <v>42248</v>
      </c>
      <c r="W3433" s="4">
        <v>2798.16</v>
      </c>
      <c r="X3433" s="52">
        <v>3144</v>
      </c>
    </row>
    <row r="3434" spans="2:24" x14ac:dyDescent="0.35">
      <c r="B3434" s="6" t="s">
        <v>6</v>
      </c>
      <c r="C3434" s="6" t="s">
        <v>29</v>
      </c>
      <c r="D3434" s="6" t="s">
        <v>30</v>
      </c>
      <c r="E3434" s="6" t="s">
        <v>27</v>
      </c>
      <c r="F3434" s="6" t="s">
        <v>28</v>
      </c>
      <c r="G3434" s="6">
        <v>2015</v>
      </c>
      <c r="H3434" s="6">
        <v>9</v>
      </c>
      <c r="I3434" s="10">
        <v>42248</v>
      </c>
      <c r="J3434" s="6">
        <v>4412</v>
      </c>
      <c r="K3434" s="51"/>
      <c r="O3434" t="s">
        <v>6</v>
      </c>
      <c r="P3434" t="s">
        <v>29</v>
      </c>
      <c r="Q3434" t="s">
        <v>30</v>
      </c>
      <c r="R3434" t="s">
        <v>27</v>
      </c>
      <c r="S3434" t="s">
        <v>28</v>
      </c>
      <c r="T3434">
        <v>2015</v>
      </c>
      <c r="U3434">
        <v>9</v>
      </c>
      <c r="V3434" s="51">
        <v>42248</v>
      </c>
      <c r="W3434" s="4">
        <v>4103.16</v>
      </c>
      <c r="X3434" s="52">
        <v>4412</v>
      </c>
    </row>
    <row r="3435" spans="2:24" x14ac:dyDescent="0.35">
      <c r="B3435" s="6" t="s">
        <v>7</v>
      </c>
      <c r="C3435" s="6" t="s">
        <v>43</v>
      </c>
      <c r="D3435" s="6" t="s">
        <v>10</v>
      </c>
      <c r="E3435" s="6" t="s">
        <v>27</v>
      </c>
      <c r="F3435" s="6" t="s">
        <v>31</v>
      </c>
      <c r="G3435" s="6">
        <v>2015</v>
      </c>
      <c r="H3435" s="6">
        <v>9</v>
      </c>
      <c r="I3435" s="10">
        <v>42248</v>
      </c>
      <c r="J3435" s="6">
        <v>4817</v>
      </c>
      <c r="K3435" s="51"/>
      <c r="O3435" t="s">
        <v>7</v>
      </c>
      <c r="P3435" t="s">
        <v>43</v>
      </c>
      <c r="Q3435" t="s">
        <v>10</v>
      </c>
      <c r="R3435" t="s">
        <v>27</v>
      </c>
      <c r="S3435" t="s">
        <v>31</v>
      </c>
      <c r="T3435">
        <v>2015</v>
      </c>
      <c r="U3435">
        <v>9</v>
      </c>
      <c r="V3435" s="51">
        <v>42248</v>
      </c>
      <c r="W3435" s="4">
        <v>4190.7900000000009</v>
      </c>
      <c r="X3435" s="52">
        <v>4817</v>
      </c>
    </row>
    <row r="3436" spans="2:24" x14ac:dyDescent="0.35">
      <c r="B3436" s="6" t="s">
        <v>12</v>
      </c>
      <c r="C3436" s="6" t="s">
        <v>44</v>
      </c>
      <c r="D3436" s="6" t="s">
        <v>13</v>
      </c>
      <c r="E3436" s="6" t="s">
        <v>27</v>
      </c>
      <c r="F3436" s="6" t="s">
        <v>33</v>
      </c>
      <c r="G3436" s="6">
        <v>2015</v>
      </c>
      <c r="H3436" s="6">
        <v>9</v>
      </c>
      <c r="I3436" s="10">
        <v>42248</v>
      </c>
      <c r="J3436" s="6">
        <v>3067</v>
      </c>
      <c r="K3436" s="51"/>
      <c r="O3436" t="s">
        <v>12</v>
      </c>
      <c r="P3436" t="s">
        <v>44</v>
      </c>
      <c r="Q3436" t="s">
        <v>13</v>
      </c>
      <c r="R3436" t="s">
        <v>27</v>
      </c>
      <c r="S3436" t="s">
        <v>33</v>
      </c>
      <c r="T3436">
        <v>2015</v>
      </c>
      <c r="U3436">
        <v>9</v>
      </c>
      <c r="V3436" s="51">
        <v>42248</v>
      </c>
      <c r="W3436" s="4">
        <v>2760.2999999999997</v>
      </c>
      <c r="X3436" s="52">
        <v>3067</v>
      </c>
    </row>
    <row r="3437" spans="2:24" x14ac:dyDescent="0.35">
      <c r="B3437" s="6" t="s">
        <v>14</v>
      </c>
      <c r="C3437" s="6" t="s">
        <v>46</v>
      </c>
      <c r="D3437" s="6" t="s">
        <v>47</v>
      </c>
      <c r="E3437" s="6" t="s">
        <v>23</v>
      </c>
      <c r="F3437" s="6" t="s">
        <v>36</v>
      </c>
      <c r="G3437" s="6">
        <v>2015</v>
      </c>
      <c r="H3437" s="6">
        <v>9</v>
      </c>
      <c r="I3437" s="10">
        <v>42248</v>
      </c>
      <c r="J3437" s="6">
        <v>2278</v>
      </c>
      <c r="K3437" s="51"/>
      <c r="O3437" t="s">
        <v>14</v>
      </c>
      <c r="P3437" t="s">
        <v>46</v>
      </c>
      <c r="Q3437" t="s">
        <v>47</v>
      </c>
      <c r="R3437" t="s">
        <v>23</v>
      </c>
      <c r="S3437" t="s">
        <v>36</v>
      </c>
      <c r="T3437">
        <v>2015</v>
      </c>
      <c r="U3437">
        <v>9</v>
      </c>
      <c r="V3437" s="51">
        <v>42248</v>
      </c>
      <c r="W3437" s="4">
        <v>2050.1999999999998</v>
      </c>
      <c r="X3437" s="52">
        <v>2278</v>
      </c>
    </row>
    <row r="3438" spans="2:24" x14ac:dyDescent="0.35">
      <c r="B3438" s="6" t="s">
        <v>6</v>
      </c>
      <c r="C3438" s="6" t="s">
        <v>29</v>
      </c>
      <c r="D3438" s="6" t="s">
        <v>30</v>
      </c>
      <c r="E3438" s="6" t="s">
        <v>23</v>
      </c>
      <c r="F3438" s="6" t="s">
        <v>39</v>
      </c>
      <c r="G3438" s="6">
        <v>2015</v>
      </c>
      <c r="H3438" s="6">
        <v>9</v>
      </c>
      <c r="I3438" s="10">
        <v>42248</v>
      </c>
      <c r="J3438" s="6">
        <v>1207</v>
      </c>
      <c r="K3438" s="51"/>
      <c r="O3438" t="s">
        <v>6</v>
      </c>
      <c r="P3438" t="s">
        <v>29</v>
      </c>
      <c r="Q3438" t="s">
        <v>30</v>
      </c>
      <c r="R3438" t="s">
        <v>23</v>
      </c>
      <c r="S3438" t="s">
        <v>39</v>
      </c>
      <c r="T3438">
        <v>2015</v>
      </c>
      <c r="U3438">
        <v>9</v>
      </c>
      <c r="V3438" s="51">
        <v>42248</v>
      </c>
      <c r="W3438" s="4">
        <v>1038.0200000000002</v>
      </c>
      <c r="X3438" s="52">
        <v>1207</v>
      </c>
    </row>
    <row r="3439" spans="2:24" x14ac:dyDescent="0.35">
      <c r="B3439" s="6" t="s">
        <v>7</v>
      </c>
      <c r="C3439" s="6" t="s">
        <v>32</v>
      </c>
      <c r="D3439" s="6" t="s">
        <v>8</v>
      </c>
      <c r="E3439" s="6" t="s">
        <v>0</v>
      </c>
      <c r="F3439" s="6" t="s">
        <v>42</v>
      </c>
      <c r="G3439" s="6">
        <v>2015</v>
      </c>
      <c r="H3439" s="6">
        <v>9</v>
      </c>
      <c r="I3439" s="10">
        <v>42248</v>
      </c>
      <c r="J3439" s="6">
        <v>4429</v>
      </c>
      <c r="K3439" s="51"/>
      <c r="O3439" t="s">
        <v>7</v>
      </c>
      <c r="P3439" t="s">
        <v>32</v>
      </c>
      <c r="Q3439" t="s">
        <v>8</v>
      </c>
      <c r="R3439" t="s">
        <v>0</v>
      </c>
      <c r="S3439" t="s">
        <v>42</v>
      </c>
      <c r="T3439">
        <v>2015</v>
      </c>
      <c r="U3439">
        <v>9</v>
      </c>
      <c r="V3439" s="51">
        <v>42248</v>
      </c>
      <c r="W3439" s="4">
        <v>3808.9400000000005</v>
      </c>
      <c r="X3439" s="52">
        <v>4429</v>
      </c>
    </row>
    <row r="3440" spans="2:24" x14ac:dyDescent="0.35">
      <c r="B3440" s="6" t="s">
        <v>12</v>
      </c>
      <c r="C3440" s="6" t="s">
        <v>44</v>
      </c>
      <c r="D3440" s="6" t="s">
        <v>13</v>
      </c>
      <c r="E3440" s="6" t="s">
        <v>0</v>
      </c>
      <c r="F3440" s="6" t="s">
        <v>26</v>
      </c>
      <c r="G3440" s="6">
        <v>2015</v>
      </c>
      <c r="H3440" s="6">
        <v>9</v>
      </c>
      <c r="I3440" s="10">
        <v>42248</v>
      </c>
      <c r="J3440" s="6">
        <v>4922</v>
      </c>
      <c r="K3440" s="51"/>
      <c r="O3440" t="s">
        <v>12</v>
      </c>
      <c r="P3440" t="s">
        <v>44</v>
      </c>
      <c r="Q3440" t="s">
        <v>13</v>
      </c>
      <c r="R3440" t="s">
        <v>0</v>
      </c>
      <c r="S3440" t="s">
        <v>26</v>
      </c>
      <c r="T3440">
        <v>2015</v>
      </c>
      <c r="U3440">
        <v>9</v>
      </c>
      <c r="V3440" s="51">
        <v>42248</v>
      </c>
      <c r="W3440" s="4">
        <v>4380.58</v>
      </c>
      <c r="X3440" s="52">
        <v>4922</v>
      </c>
    </row>
    <row r="3441" spans="2:24" x14ac:dyDescent="0.35">
      <c r="B3441" s="6" t="s">
        <v>14</v>
      </c>
      <c r="C3441" s="6" t="s">
        <v>37</v>
      </c>
      <c r="D3441" s="6" t="s">
        <v>38</v>
      </c>
      <c r="E3441" s="6" t="s">
        <v>0</v>
      </c>
      <c r="F3441" s="6" t="s">
        <v>45</v>
      </c>
      <c r="G3441" s="6">
        <v>2015</v>
      </c>
      <c r="H3441" s="6">
        <v>9</v>
      </c>
      <c r="I3441" s="10">
        <v>42248</v>
      </c>
      <c r="J3441" s="6">
        <v>4301</v>
      </c>
      <c r="K3441" s="51"/>
      <c r="O3441" t="s">
        <v>14</v>
      </c>
      <c r="P3441" t="s">
        <v>37</v>
      </c>
      <c r="Q3441" t="s">
        <v>38</v>
      </c>
      <c r="R3441" t="s">
        <v>0</v>
      </c>
      <c r="S3441" t="s">
        <v>45</v>
      </c>
      <c r="T3441">
        <v>2015</v>
      </c>
      <c r="U3441">
        <v>9</v>
      </c>
      <c r="V3441" s="51">
        <v>42248</v>
      </c>
      <c r="W3441" s="4">
        <v>4042.9399999999996</v>
      </c>
      <c r="X3441" s="52">
        <v>4301</v>
      </c>
    </row>
    <row r="3442" spans="2:24" x14ac:dyDescent="0.35">
      <c r="B3442" s="6" t="s">
        <v>3</v>
      </c>
      <c r="C3442" s="6" t="s">
        <v>25</v>
      </c>
      <c r="D3442" s="6" t="s">
        <v>4</v>
      </c>
      <c r="E3442" s="6" t="s">
        <v>27</v>
      </c>
      <c r="F3442" s="6" t="s">
        <v>28</v>
      </c>
      <c r="G3442" s="6">
        <v>2015</v>
      </c>
      <c r="H3442" s="6">
        <v>9</v>
      </c>
      <c r="I3442" s="10">
        <v>42248</v>
      </c>
      <c r="J3442" s="6">
        <v>4857</v>
      </c>
      <c r="K3442" s="51"/>
      <c r="O3442" t="s">
        <v>3</v>
      </c>
      <c r="P3442" t="s">
        <v>25</v>
      </c>
      <c r="Q3442" t="s">
        <v>4</v>
      </c>
      <c r="R3442" t="s">
        <v>27</v>
      </c>
      <c r="S3442" t="s">
        <v>28</v>
      </c>
      <c r="T3442">
        <v>2015</v>
      </c>
      <c r="U3442">
        <v>9</v>
      </c>
      <c r="V3442" s="51">
        <v>42248</v>
      </c>
      <c r="W3442" s="4">
        <v>4419.87</v>
      </c>
      <c r="X3442" s="52">
        <v>4857</v>
      </c>
    </row>
    <row r="3443" spans="2:24" x14ac:dyDescent="0.35">
      <c r="B3443" s="6" t="s">
        <v>3</v>
      </c>
      <c r="C3443" s="6" t="s">
        <v>25</v>
      </c>
      <c r="D3443" s="6" t="s">
        <v>4</v>
      </c>
      <c r="E3443" s="6" t="s">
        <v>27</v>
      </c>
      <c r="F3443" s="6" t="s">
        <v>31</v>
      </c>
      <c r="G3443" s="6">
        <v>2015</v>
      </c>
      <c r="H3443" s="6">
        <v>9</v>
      </c>
      <c r="I3443" s="10">
        <v>42248</v>
      </c>
      <c r="J3443" s="6">
        <v>3122</v>
      </c>
      <c r="K3443" s="51"/>
      <c r="O3443" t="s">
        <v>3</v>
      </c>
      <c r="P3443" t="s">
        <v>25</v>
      </c>
      <c r="Q3443" t="s">
        <v>4</v>
      </c>
      <c r="R3443" t="s">
        <v>27</v>
      </c>
      <c r="S3443" t="s">
        <v>31</v>
      </c>
      <c r="T3443">
        <v>2015</v>
      </c>
      <c r="U3443">
        <v>9</v>
      </c>
      <c r="V3443" s="51">
        <v>42248</v>
      </c>
      <c r="W3443" s="4">
        <v>2716.1400000000003</v>
      </c>
      <c r="X3443" s="52">
        <v>3122</v>
      </c>
    </row>
    <row r="3444" spans="2:24" x14ac:dyDescent="0.35">
      <c r="B3444" s="6" t="s">
        <v>6</v>
      </c>
      <c r="C3444" s="6" t="s">
        <v>40</v>
      </c>
      <c r="D3444" s="6" t="s">
        <v>41</v>
      </c>
      <c r="E3444" s="6" t="s">
        <v>27</v>
      </c>
      <c r="F3444" s="6" t="s">
        <v>33</v>
      </c>
      <c r="G3444" s="6">
        <v>2015</v>
      </c>
      <c r="H3444" s="6">
        <v>9</v>
      </c>
      <c r="I3444" s="10">
        <v>42248</v>
      </c>
      <c r="J3444" s="6">
        <v>3097</v>
      </c>
      <c r="K3444" s="51"/>
      <c r="O3444" t="s">
        <v>6</v>
      </c>
      <c r="P3444" t="s">
        <v>40</v>
      </c>
      <c r="Q3444" t="s">
        <v>41</v>
      </c>
      <c r="R3444" t="s">
        <v>27</v>
      </c>
      <c r="S3444" t="s">
        <v>33</v>
      </c>
      <c r="T3444">
        <v>2015</v>
      </c>
      <c r="U3444">
        <v>9</v>
      </c>
      <c r="V3444" s="51">
        <v>42248</v>
      </c>
      <c r="W3444" s="4">
        <v>2694.3900000000003</v>
      </c>
      <c r="X3444" s="52">
        <v>3097</v>
      </c>
    </row>
    <row r="3445" spans="2:24" x14ac:dyDescent="0.35">
      <c r="B3445" s="6" t="s">
        <v>6</v>
      </c>
      <c r="C3445" s="6" t="s">
        <v>40</v>
      </c>
      <c r="D3445" s="6" t="s">
        <v>41</v>
      </c>
      <c r="E3445" s="6" t="s">
        <v>23</v>
      </c>
      <c r="F3445" s="6" t="s">
        <v>36</v>
      </c>
      <c r="G3445" s="6">
        <v>2015</v>
      </c>
      <c r="H3445" s="6">
        <v>9</v>
      </c>
      <c r="I3445" s="10">
        <v>42248</v>
      </c>
      <c r="J3445" s="6">
        <v>2760</v>
      </c>
      <c r="K3445" s="51"/>
      <c r="O3445" t="s">
        <v>6</v>
      </c>
      <c r="P3445" t="s">
        <v>40</v>
      </c>
      <c r="Q3445" t="s">
        <v>41</v>
      </c>
      <c r="R3445" t="s">
        <v>23</v>
      </c>
      <c r="S3445" t="s">
        <v>36</v>
      </c>
      <c r="T3445">
        <v>2015</v>
      </c>
      <c r="U3445">
        <v>9</v>
      </c>
      <c r="V3445" s="51">
        <v>42248</v>
      </c>
      <c r="W3445" s="4">
        <v>2401.2000000000003</v>
      </c>
      <c r="X3445" s="52">
        <v>2760</v>
      </c>
    </row>
    <row r="3446" spans="2:24" x14ac:dyDescent="0.35">
      <c r="B3446" s="6" t="s">
        <v>7</v>
      </c>
      <c r="C3446" s="6" t="s">
        <v>43</v>
      </c>
      <c r="D3446" s="6" t="s">
        <v>10</v>
      </c>
      <c r="E3446" s="6" t="s">
        <v>23</v>
      </c>
      <c r="F3446" s="6" t="s">
        <v>24</v>
      </c>
      <c r="G3446" s="6">
        <v>2015</v>
      </c>
      <c r="H3446" s="6">
        <v>9</v>
      </c>
      <c r="I3446" s="10">
        <v>42248</v>
      </c>
      <c r="J3446" s="6">
        <v>2547</v>
      </c>
      <c r="K3446" s="51"/>
      <c r="O3446" t="s">
        <v>7</v>
      </c>
      <c r="P3446" t="s">
        <v>43</v>
      </c>
      <c r="Q3446" t="s">
        <v>10</v>
      </c>
      <c r="R3446" t="s">
        <v>23</v>
      </c>
      <c r="S3446" t="s">
        <v>24</v>
      </c>
      <c r="T3446">
        <v>2015</v>
      </c>
      <c r="U3446">
        <v>9</v>
      </c>
      <c r="V3446" s="51">
        <v>42248</v>
      </c>
      <c r="W3446" s="4">
        <v>2317.77</v>
      </c>
      <c r="X3446" s="52">
        <v>2547</v>
      </c>
    </row>
    <row r="3447" spans="2:24" x14ac:dyDescent="0.35">
      <c r="B3447" s="6" t="s">
        <v>7</v>
      </c>
      <c r="C3447" s="6" t="s">
        <v>43</v>
      </c>
      <c r="D3447" s="6" t="s">
        <v>10</v>
      </c>
      <c r="E3447" s="6" t="s">
        <v>23</v>
      </c>
      <c r="F3447" s="6" t="s">
        <v>39</v>
      </c>
      <c r="G3447" s="6">
        <v>2015</v>
      </c>
      <c r="H3447" s="6">
        <v>9</v>
      </c>
      <c r="I3447" s="10">
        <v>42248</v>
      </c>
      <c r="J3447" s="6">
        <v>1920</v>
      </c>
      <c r="K3447" s="51"/>
      <c r="O3447" t="s">
        <v>7</v>
      </c>
      <c r="P3447" t="s">
        <v>43</v>
      </c>
      <c r="Q3447" t="s">
        <v>10</v>
      </c>
      <c r="R3447" t="s">
        <v>23</v>
      </c>
      <c r="S3447" t="s">
        <v>39</v>
      </c>
      <c r="T3447">
        <v>2015</v>
      </c>
      <c r="U3447">
        <v>9</v>
      </c>
      <c r="V3447" s="51">
        <v>42248</v>
      </c>
      <c r="W3447" s="4">
        <v>1747.1999999999998</v>
      </c>
      <c r="X3447" s="52">
        <v>1920</v>
      </c>
    </row>
    <row r="3448" spans="2:24" x14ac:dyDescent="0.35">
      <c r="B3448" s="6" t="s">
        <v>7</v>
      </c>
      <c r="C3448" s="6" t="s">
        <v>32</v>
      </c>
      <c r="D3448" s="6" t="s">
        <v>8</v>
      </c>
      <c r="E3448" s="6" t="s">
        <v>0</v>
      </c>
      <c r="F3448" s="6" t="s">
        <v>26</v>
      </c>
      <c r="G3448" s="6">
        <v>2015</v>
      </c>
      <c r="H3448" s="6">
        <v>9</v>
      </c>
      <c r="I3448" s="10">
        <v>42248</v>
      </c>
      <c r="J3448" s="6">
        <v>3264</v>
      </c>
      <c r="K3448" s="51"/>
      <c r="O3448" t="s">
        <v>7</v>
      </c>
      <c r="P3448" t="s">
        <v>32</v>
      </c>
      <c r="Q3448" t="s">
        <v>8</v>
      </c>
      <c r="R3448" t="s">
        <v>0</v>
      </c>
      <c r="S3448" t="s">
        <v>26</v>
      </c>
      <c r="T3448">
        <v>2015</v>
      </c>
      <c r="U3448">
        <v>9</v>
      </c>
      <c r="V3448" s="51">
        <v>42248</v>
      </c>
      <c r="W3448" s="4">
        <v>3035.52</v>
      </c>
      <c r="X3448" s="52">
        <v>3264</v>
      </c>
    </row>
    <row r="3449" spans="2:24" x14ac:dyDescent="0.35">
      <c r="B3449" s="6" t="s">
        <v>3</v>
      </c>
      <c r="C3449" s="6" t="s">
        <v>22</v>
      </c>
      <c r="D3449" s="6" t="s">
        <v>5</v>
      </c>
      <c r="E3449" s="6" t="s">
        <v>0</v>
      </c>
      <c r="F3449" s="6" t="s">
        <v>45</v>
      </c>
      <c r="G3449" s="6">
        <v>2015</v>
      </c>
      <c r="H3449" s="6">
        <v>9</v>
      </c>
      <c r="I3449" s="10">
        <v>42248</v>
      </c>
      <c r="J3449" s="6">
        <v>4988</v>
      </c>
      <c r="K3449" s="51"/>
      <c r="O3449" t="s">
        <v>3</v>
      </c>
      <c r="P3449" t="s">
        <v>22</v>
      </c>
      <c r="Q3449" t="s">
        <v>5</v>
      </c>
      <c r="R3449" t="s">
        <v>0</v>
      </c>
      <c r="S3449" t="s">
        <v>45</v>
      </c>
      <c r="T3449">
        <v>2015</v>
      </c>
      <c r="U3449">
        <v>9</v>
      </c>
      <c r="V3449" s="51">
        <v>42248</v>
      </c>
      <c r="W3449" s="4">
        <v>4539.08</v>
      </c>
      <c r="X3449" s="52">
        <v>4988</v>
      </c>
    </row>
    <row r="3450" spans="2:24" x14ac:dyDescent="0.35">
      <c r="B3450" s="6" t="s">
        <v>7</v>
      </c>
      <c r="C3450" s="6" t="s">
        <v>48</v>
      </c>
      <c r="D3450" s="6" t="s">
        <v>9</v>
      </c>
      <c r="E3450" s="6" t="s">
        <v>23</v>
      </c>
      <c r="F3450" s="6" t="s">
        <v>36</v>
      </c>
      <c r="G3450" s="6">
        <v>2015</v>
      </c>
      <c r="H3450" s="6">
        <v>9</v>
      </c>
      <c r="I3450" s="10">
        <v>42248</v>
      </c>
      <c r="J3450" s="6">
        <v>2623</v>
      </c>
      <c r="K3450" s="51"/>
      <c r="O3450" t="s">
        <v>7</v>
      </c>
      <c r="P3450" t="s">
        <v>48</v>
      </c>
      <c r="Q3450" t="s">
        <v>9</v>
      </c>
      <c r="R3450" t="s">
        <v>23</v>
      </c>
      <c r="S3450" t="s">
        <v>36</v>
      </c>
      <c r="T3450">
        <v>2015</v>
      </c>
      <c r="U3450">
        <v>9</v>
      </c>
      <c r="V3450" s="51">
        <v>42248</v>
      </c>
      <c r="W3450" s="4">
        <v>2413.16</v>
      </c>
      <c r="X3450" s="52">
        <v>2623</v>
      </c>
    </row>
    <row r="3451" spans="2:24" x14ac:dyDescent="0.35">
      <c r="B3451" s="6" t="s">
        <v>7</v>
      </c>
      <c r="C3451" s="6" t="s">
        <v>48</v>
      </c>
      <c r="D3451" s="6" t="s">
        <v>9</v>
      </c>
      <c r="E3451" s="6" t="s">
        <v>23</v>
      </c>
      <c r="F3451" s="6" t="s">
        <v>24</v>
      </c>
      <c r="G3451" s="6">
        <v>2015</v>
      </c>
      <c r="H3451" s="6">
        <v>9</v>
      </c>
      <c r="I3451" s="10">
        <v>42248</v>
      </c>
      <c r="J3451" s="6">
        <v>2941</v>
      </c>
      <c r="K3451" s="51"/>
      <c r="O3451" t="s">
        <v>7</v>
      </c>
      <c r="P3451" t="s">
        <v>48</v>
      </c>
      <c r="Q3451" t="s">
        <v>9</v>
      </c>
      <c r="R3451" t="s">
        <v>23</v>
      </c>
      <c r="S3451" t="s">
        <v>24</v>
      </c>
      <c r="T3451">
        <v>2015</v>
      </c>
      <c r="U3451">
        <v>9</v>
      </c>
      <c r="V3451" s="51">
        <v>42248</v>
      </c>
      <c r="W3451" s="4">
        <v>2735.1299999999997</v>
      </c>
      <c r="X3451" s="52">
        <v>2941</v>
      </c>
    </row>
    <row r="3452" spans="2:24" x14ac:dyDescent="0.35">
      <c r="B3452" s="6" t="s">
        <v>7</v>
      </c>
      <c r="C3452" s="6" t="s">
        <v>49</v>
      </c>
      <c r="D3452" s="6" t="s">
        <v>11</v>
      </c>
      <c r="E3452" s="6" t="s">
        <v>23</v>
      </c>
      <c r="F3452" s="6" t="s">
        <v>39</v>
      </c>
      <c r="G3452" s="6">
        <v>2015</v>
      </c>
      <c r="H3452" s="6">
        <v>9</v>
      </c>
      <c r="I3452" s="10">
        <v>42248</v>
      </c>
      <c r="J3452" s="6">
        <v>1939</v>
      </c>
      <c r="K3452" s="51"/>
      <c r="O3452" t="s">
        <v>7</v>
      </c>
      <c r="P3452" t="s">
        <v>49</v>
      </c>
      <c r="Q3452" t="s">
        <v>11</v>
      </c>
      <c r="R3452" t="s">
        <v>23</v>
      </c>
      <c r="S3452" t="s">
        <v>39</v>
      </c>
      <c r="T3452">
        <v>2015</v>
      </c>
      <c r="U3452">
        <v>9</v>
      </c>
      <c r="V3452" s="51">
        <v>42248</v>
      </c>
      <c r="W3452" s="4">
        <v>1764.4899999999998</v>
      </c>
      <c r="X3452" s="52">
        <v>1939</v>
      </c>
    </row>
    <row r="3453" spans="2:24" x14ac:dyDescent="0.35">
      <c r="B3453" s="6" t="s">
        <v>7</v>
      </c>
      <c r="C3453" s="6" t="s">
        <v>49</v>
      </c>
      <c r="D3453" s="6" t="s">
        <v>11</v>
      </c>
      <c r="E3453" s="6" t="s">
        <v>0</v>
      </c>
      <c r="F3453" s="6" t="s">
        <v>42</v>
      </c>
      <c r="G3453" s="6">
        <v>2015</v>
      </c>
      <c r="H3453" s="6">
        <v>9</v>
      </c>
      <c r="I3453" s="10">
        <v>42248</v>
      </c>
      <c r="J3453" s="6">
        <v>5398</v>
      </c>
      <c r="K3453" s="51"/>
      <c r="O3453" t="s">
        <v>7</v>
      </c>
      <c r="P3453" t="s">
        <v>49</v>
      </c>
      <c r="Q3453" t="s">
        <v>11</v>
      </c>
      <c r="R3453" t="s">
        <v>0</v>
      </c>
      <c r="S3453" t="s">
        <v>42</v>
      </c>
      <c r="T3453">
        <v>2015</v>
      </c>
      <c r="U3453">
        <v>9</v>
      </c>
      <c r="V3453" s="51">
        <v>42248</v>
      </c>
      <c r="W3453" s="4">
        <v>4804.2199999999993</v>
      </c>
      <c r="X3453" s="52">
        <v>5398</v>
      </c>
    </row>
    <row r="3454" spans="2:24" x14ac:dyDescent="0.35">
      <c r="B3454" s="6" t="s">
        <v>12</v>
      </c>
      <c r="C3454" s="6" t="s">
        <v>34</v>
      </c>
      <c r="D3454" s="6" t="s">
        <v>35</v>
      </c>
      <c r="E3454" s="6" t="s">
        <v>0</v>
      </c>
      <c r="F3454" s="6" t="s">
        <v>26</v>
      </c>
      <c r="G3454" s="6">
        <v>2015</v>
      </c>
      <c r="H3454" s="6">
        <v>9</v>
      </c>
      <c r="I3454" s="10">
        <v>42248</v>
      </c>
      <c r="J3454" s="6">
        <v>3010</v>
      </c>
      <c r="K3454" s="51"/>
      <c r="O3454" t="s">
        <v>12</v>
      </c>
      <c r="P3454" t="s">
        <v>34</v>
      </c>
      <c r="Q3454" t="s">
        <v>35</v>
      </c>
      <c r="R3454" t="s">
        <v>0</v>
      </c>
      <c r="S3454" t="s">
        <v>26</v>
      </c>
      <c r="T3454">
        <v>2015</v>
      </c>
      <c r="U3454">
        <v>9</v>
      </c>
      <c r="V3454" s="51">
        <v>42248</v>
      </c>
      <c r="W3454" s="4">
        <v>2708.9999999999995</v>
      </c>
      <c r="X3454" s="52">
        <v>3010</v>
      </c>
    </row>
    <row r="3455" spans="2:24" x14ac:dyDescent="0.35">
      <c r="B3455" s="6" t="s">
        <v>12</v>
      </c>
      <c r="C3455" s="6" t="s">
        <v>34</v>
      </c>
      <c r="D3455" s="6" t="s">
        <v>35</v>
      </c>
      <c r="E3455" s="6" t="s">
        <v>0</v>
      </c>
      <c r="F3455" s="6" t="s">
        <v>45</v>
      </c>
      <c r="G3455" s="6">
        <v>2015</v>
      </c>
      <c r="H3455" s="6">
        <v>9</v>
      </c>
      <c r="I3455" s="10">
        <v>42248</v>
      </c>
      <c r="J3455" s="6">
        <v>3912</v>
      </c>
      <c r="K3455" s="51"/>
      <c r="O3455" t="s">
        <v>12</v>
      </c>
      <c r="P3455" t="s">
        <v>34</v>
      </c>
      <c r="Q3455" t="s">
        <v>35</v>
      </c>
      <c r="R3455" t="s">
        <v>0</v>
      </c>
      <c r="S3455" t="s">
        <v>45</v>
      </c>
      <c r="T3455">
        <v>2015</v>
      </c>
      <c r="U3455">
        <v>9</v>
      </c>
      <c r="V3455" s="51">
        <v>42248</v>
      </c>
      <c r="W3455" s="4">
        <v>3325.2000000000003</v>
      </c>
      <c r="X3455" s="52">
        <v>3912</v>
      </c>
    </row>
    <row r="3456" spans="2:24" x14ac:dyDescent="0.35">
      <c r="B3456" s="6" t="s">
        <v>14</v>
      </c>
      <c r="C3456" s="6" t="s">
        <v>37</v>
      </c>
      <c r="D3456" s="6" t="s">
        <v>38</v>
      </c>
      <c r="E3456" s="6" t="s">
        <v>27</v>
      </c>
      <c r="F3456" s="6" t="s">
        <v>28</v>
      </c>
      <c r="G3456" s="6">
        <v>2015</v>
      </c>
      <c r="H3456" s="6">
        <v>9</v>
      </c>
      <c r="I3456" s="10">
        <v>42248</v>
      </c>
      <c r="J3456" s="6">
        <v>3247</v>
      </c>
      <c r="K3456" s="51"/>
      <c r="O3456" t="s">
        <v>14</v>
      </c>
      <c r="P3456" t="s">
        <v>37</v>
      </c>
      <c r="Q3456" t="s">
        <v>38</v>
      </c>
      <c r="R3456" t="s">
        <v>27</v>
      </c>
      <c r="S3456" t="s">
        <v>28</v>
      </c>
      <c r="T3456">
        <v>2015</v>
      </c>
      <c r="U3456">
        <v>9</v>
      </c>
      <c r="V3456" s="51">
        <v>42248</v>
      </c>
      <c r="W3456" s="4">
        <v>3019.71</v>
      </c>
      <c r="X3456" s="52">
        <v>3247</v>
      </c>
    </row>
    <row r="3457" spans="2:24" x14ac:dyDescent="0.35">
      <c r="B3457" s="6" t="s">
        <v>14</v>
      </c>
      <c r="C3457" s="6" t="s">
        <v>37</v>
      </c>
      <c r="D3457" s="6" t="s">
        <v>38</v>
      </c>
      <c r="E3457" s="6" t="s">
        <v>27</v>
      </c>
      <c r="F3457" s="6" t="s">
        <v>31</v>
      </c>
      <c r="G3457" s="6">
        <v>2015</v>
      </c>
      <c r="H3457" s="6">
        <v>9</v>
      </c>
      <c r="I3457" s="10">
        <v>42248</v>
      </c>
      <c r="J3457" s="6">
        <v>4241</v>
      </c>
      <c r="K3457" s="51"/>
      <c r="O3457" t="s">
        <v>14</v>
      </c>
      <c r="P3457" t="s">
        <v>37</v>
      </c>
      <c r="Q3457" t="s">
        <v>38</v>
      </c>
      <c r="R3457" t="s">
        <v>27</v>
      </c>
      <c r="S3457" t="s">
        <v>31</v>
      </c>
      <c r="T3457">
        <v>2015</v>
      </c>
      <c r="U3457">
        <v>9</v>
      </c>
      <c r="V3457" s="51">
        <v>42248</v>
      </c>
      <c r="W3457" s="4">
        <v>3859.3099999999995</v>
      </c>
      <c r="X3457" s="52">
        <v>4241</v>
      </c>
    </row>
    <row r="3458" spans="2:24" x14ac:dyDescent="0.35">
      <c r="B3458" s="6" t="s">
        <v>12</v>
      </c>
      <c r="C3458" s="6" t="s">
        <v>44</v>
      </c>
      <c r="D3458" s="6" t="s">
        <v>13</v>
      </c>
      <c r="E3458" s="6" t="s">
        <v>23</v>
      </c>
      <c r="F3458" s="6" t="s">
        <v>36</v>
      </c>
      <c r="G3458" s="6">
        <v>2015</v>
      </c>
      <c r="H3458" s="6">
        <v>9</v>
      </c>
      <c r="I3458" s="10">
        <v>42248</v>
      </c>
      <c r="J3458" s="6">
        <v>2836</v>
      </c>
      <c r="K3458" s="51"/>
      <c r="O3458" t="s">
        <v>12</v>
      </c>
      <c r="P3458" t="s">
        <v>44</v>
      </c>
      <c r="Q3458" t="s">
        <v>13</v>
      </c>
      <c r="R3458" t="s">
        <v>23</v>
      </c>
      <c r="S3458" t="s">
        <v>36</v>
      </c>
      <c r="T3458">
        <v>2015</v>
      </c>
      <c r="U3458">
        <v>9</v>
      </c>
      <c r="V3458" s="51">
        <v>42248</v>
      </c>
      <c r="W3458" s="4">
        <v>2580.7599999999998</v>
      </c>
      <c r="X3458" s="52">
        <v>2836</v>
      </c>
    </row>
    <row r="3459" spans="2:24" x14ac:dyDescent="0.35">
      <c r="B3459" s="6" t="s">
        <v>14</v>
      </c>
      <c r="C3459" s="6" t="s">
        <v>46</v>
      </c>
      <c r="D3459" s="6" t="s">
        <v>47</v>
      </c>
      <c r="E3459" s="6" t="s">
        <v>23</v>
      </c>
      <c r="F3459" s="6" t="s">
        <v>24</v>
      </c>
      <c r="G3459" s="6">
        <v>2015</v>
      </c>
      <c r="H3459" s="6">
        <v>9</v>
      </c>
      <c r="I3459" s="10">
        <v>42248</v>
      </c>
      <c r="J3459" s="6">
        <v>2963</v>
      </c>
      <c r="K3459" s="51"/>
      <c r="O3459" t="s">
        <v>14</v>
      </c>
      <c r="P3459" t="s">
        <v>46</v>
      </c>
      <c r="Q3459" t="s">
        <v>47</v>
      </c>
      <c r="R3459" t="s">
        <v>23</v>
      </c>
      <c r="S3459" t="s">
        <v>24</v>
      </c>
      <c r="T3459">
        <v>2015</v>
      </c>
      <c r="U3459">
        <v>9</v>
      </c>
      <c r="V3459" s="51">
        <v>42248</v>
      </c>
      <c r="W3459" s="4">
        <v>2637.0699999999997</v>
      </c>
      <c r="X3459" s="52">
        <v>2963</v>
      </c>
    </row>
    <row r="3460" spans="2:24" x14ac:dyDescent="0.35">
      <c r="B3460" s="6" t="s">
        <v>14</v>
      </c>
      <c r="C3460" s="6" t="s">
        <v>46</v>
      </c>
      <c r="D3460" s="6" t="s">
        <v>47</v>
      </c>
      <c r="E3460" s="6" t="s">
        <v>23</v>
      </c>
      <c r="F3460" s="6" t="s">
        <v>39</v>
      </c>
      <c r="G3460" s="6">
        <v>2015</v>
      </c>
      <c r="H3460" s="6">
        <v>9</v>
      </c>
      <c r="I3460" s="10">
        <v>42248</v>
      </c>
      <c r="J3460" s="6">
        <v>2095</v>
      </c>
      <c r="K3460" s="51"/>
      <c r="O3460" t="s">
        <v>14</v>
      </c>
      <c r="P3460" t="s">
        <v>46</v>
      </c>
      <c r="Q3460" t="s">
        <v>47</v>
      </c>
      <c r="R3460" t="s">
        <v>23</v>
      </c>
      <c r="S3460" t="s">
        <v>39</v>
      </c>
      <c r="T3460">
        <v>2015</v>
      </c>
      <c r="U3460">
        <v>9</v>
      </c>
      <c r="V3460" s="51">
        <v>42248</v>
      </c>
      <c r="W3460" s="4">
        <v>1948.35</v>
      </c>
      <c r="X3460" s="52">
        <v>2095</v>
      </c>
    </row>
    <row r="3461" spans="2:24" x14ac:dyDescent="0.35">
      <c r="B3461" s="6" t="s">
        <v>7</v>
      </c>
      <c r="C3461" s="6" t="s">
        <v>43</v>
      </c>
      <c r="D3461" s="6" t="s">
        <v>10</v>
      </c>
      <c r="E3461" s="6" t="s">
        <v>0</v>
      </c>
      <c r="F3461" s="6" t="s">
        <v>42</v>
      </c>
      <c r="G3461" s="6">
        <v>2015</v>
      </c>
      <c r="H3461" s="6">
        <v>9</v>
      </c>
      <c r="I3461" s="10">
        <v>42248</v>
      </c>
      <c r="J3461" s="6">
        <v>6458</v>
      </c>
      <c r="K3461" s="51"/>
      <c r="O3461" t="s">
        <v>7</v>
      </c>
      <c r="P3461" t="s">
        <v>43</v>
      </c>
      <c r="Q3461" t="s">
        <v>10</v>
      </c>
      <c r="R3461" t="s">
        <v>0</v>
      </c>
      <c r="S3461" t="s">
        <v>42</v>
      </c>
      <c r="T3461">
        <v>2015</v>
      </c>
      <c r="U3461">
        <v>9</v>
      </c>
      <c r="V3461" s="51">
        <v>42248</v>
      </c>
      <c r="W3461" s="4">
        <v>5489.3</v>
      </c>
      <c r="X3461" s="52">
        <v>6458</v>
      </c>
    </row>
    <row r="3462" spans="2:24" x14ac:dyDescent="0.35">
      <c r="B3462" s="6" t="s">
        <v>6</v>
      </c>
      <c r="C3462" s="6" t="s">
        <v>40</v>
      </c>
      <c r="D3462" s="6" t="s">
        <v>41</v>
      </c>
      <c r="E3462" s="6" t="s">
        <v>27</v>
      </c>
      <c r="F3462" s="6" t="s">
        <v>31</v>
      </c>
      <c r="G3462" s="6">
        <v>2015</v>
      </c>
      <c r="H3462" s="6">
        <v>9</v>
      </c>
      <c r="I3462" s="10">
        <v>42248</v>
      </c>
      <c r="J3462" s="6">
        <v>2859</v>
      </c>
      <c r="K3462" s="51"/>
      <c r="O3462" t="s">
        <v>6</v>
      </c>
      <c r="P3462" t="s">
        <v>40</v>
      </c>
      <c r="Q3462" t="s">
        <v>41</v>
      </c>
      <c r="R3462" t="s">
        <v>27</v>
      </c>
      <c r="S3462" t="s">
        <v>31</v>
      </c>
      <c r="T3462">
        <v>2015</v>
      </c>
      <c r="U3462">
        <v>9</v>
      </c>
      <c r="V3462" s="51">
        <v>42248</v>
      </c>
      <c r="W3462" s="4">
        <v>2687.46</v>
      </c>
      <c r="X3462" s="52">
        <v>2859</v>
      </c>
    </row>
    <row r="3463" spans="2:24" x14ac:dyDescent="0.35">
      <c r="B3463" s="6" t="s">
        <v>3</v>
      </c>
      <c r="C3463" s="6" t="s">
        <v>22</v>
      </c>
      <c r="D3463" s="6" t="s">
        <v>5</v>
      </c>
      <c r="E3463" s="6" t="s">
        <v>23</v>
      </c>
      <c r="F3463" s="6" t="s">
        <v>39</v>
      </c>
      <c r="G3463" s="6">
        <v>2015</v>
      </c>
      <c r="H3463" s="6">
        <v>9</v>
      </c>
      <c r="I3463" s="10">
        <v>42248</v>
      </c>
      <c r="J3463" s="6">
        <v>2020</v>
      </c>
      <c r="K3463" s="51"/>
      <c r="O3463" t="s">
        <v>3</v>
      </c>
      <c r="P3463" t="s">
        <v>22</v>
      </c>
      <c r="Q3463" t="s">
        <v>5</v>
      </c>
      <c r="R3463" t="s">
        <v>23</v>
      </c>
      <c r="S3463" t="s">
        <v>39</v>
      </c>
      <c r="T3463">
        <v>2015</v>
      </c>
      <c r="U3463">
        <v>9</v>
      </c>
      <c r="V3463" s="51">
        <v>42248</v>
      </c>
      <c r="W3463" s="4">
        <v>1858.3999999999999</v>
      </c>
      <c r="X3463" s="52">
        <v>2020</v>
      </c>
    </row>
    <row r="3464" spans="2:24" x14ac:dyDescent="0.35">
      <c r="B3464" s="6" t="s">
        <v>3</v>
      </c>
      <c r="C3464" s="6" t="s">
        <v>22</v>
      </c>
      <c r="D3464" s="6" t="s">
        <v>5</v>
      </c>
      <c r="E3464" s="6" t="s">
        <v>0</v>
      </c>
      <c r="F3464" s="6" t="s">
        <v>42</v>
      </c>
      <c r="G3464" s="6">
        <v>2015</v>
      </c>
      <c r="H3464" s="6">
        <v>9</v>
      </c>
      <c r="I3464" s="10">
        <v>42248</v>
      </c>
      <c r="J3464" s="6">
        <v>6213</v>
      </c>
      <c r="K3464" s="51"/>
      <c r="O3464" t="s">
        <v>3</v>
      </c>
      <c r="P3464" t="s">
        <v>22</v>
      </c>
      <c r="Q3464" t="s">
        <v>5</v>
      </c>
      <c r="R3464" t="s">
        <v>0</v>
      </c>
      <c r="S3464" t="s">
        <v>42</v>
      </c>
      <c r="T3464">
        <v>2015</v>
      </c>
      <c r="U3464">
        <v>9</v>
      </c>
      <c r="V3464" s="51">
        <v>42248</v>
      </c>
      <c r="W3464" s="4">
        <v>5405.31</v>
      </c>
      <c r="X3464" s="52">
        <v>6213</v>
      </c>
    </row>
    <row r="3465" spans="2:24" x14ac:dyDescent="0.35">
      <c r="B3465" s="6" t="s">
        <v>6</v>
      </c>
      <c r="C3465" s="6" t="s">
        <v>29</v>
      </c>
      <c r="D3465" s="6" t="s">
        <v>30</v>
      </c>
      <c r="E3465" s="6" t="s">
        <v>0</v>
      </c>
      <c r="F3465" s="6" t="s">
        <v>26</v>
      </c>
      <c r="G3465" s="6">
        <v>2015</v>
      </c>
      <c r="H3465" s="6">
        <v>9</v>
      </c>
      <c r="I3465" s="10">
        <v>42248</v>
      </c>
      <c r="J3465" s="6">
        <v>3149</v>
      </c>
      <c r="K3465" s="51"/>
      <c r="O3465" t="s">
        <v>6</v>
      </c>
      <c r="P3465" t="s">
        <v>29</v>
      </c>
      <c r="Q3465" t="s">
        <v>30</v>
      </c>
      <c r="R3465" t="s">
        <v>0</v>
      </c>
      <c r="S3465" t="s">
        <v>26</v>
      </c>
      <c r="T3465">
        <v>2015</v>
      </c>
      <c r="U3465">
        <v>9</v>
      </c>
      <c r="V3465" s="51">
        <v>42248</v>
      </c>
      <c r="W3465" s="4">
        <v>2802.6099999999997</v>
      </c>
      <c r="X3465" s="52">
        <v>3149</v>
      </c>
    </row>
    <row r="3466" spans="2:24" x14ac:dyDescent="0.35">
      <c r="B3466" s="6" t="s">
        <v>7</v>
      </c>
      <c r="C3466" s="6" t="s">
        <v>48</v>
      </c>
      <c r="D3466" s="6" t="s">
        <v>9</v>
      </c>
      <c r="E3466" s="6" t="s">
        <v>27</v>
      </c>
      <c r="F3466" s="6" t="s">
        <v>28</v>
      </c>
      <c r="G3466" s="6">
        <v>2015</v>
      </c>
      <c r="H3466" s="6">
        <v>9</v>
      </c>
      <c r="I3466" s="10">
        <v>42248</v>
      </c>
      <c r="J3466" s="6">
        <v>4001</v>
      </c>
      <c r="K3466" s="51"/>
      <c r="O3466" t="s">
        <v>7</v>
      </c>
      <c r="P3466" t="s">
        <v>48</v>
      </c>
      <c r="Q3466" t="s">
        <v>9</v>
      </c>
      <c r="R3466" t="s">
        <v>27</v>
      </c>
      <c r="S3466" t="s">
        <v>28</v>
      </c>
      <c r="T3466">
        <v>2015</v>
      </c>
      <c r="U3466">
        <v>9</v>
      </c>
      <c r="V3466" s="51">
        <v>42248</v>
      </c>
      <c r="W3466" s="4">
        <v>3400.8500000000004</v>
      </c>
      <c r="X3466" s="52">
        <v>4001</v>
      </c>
    </row>
    <row r="3467" spans="2:24" x14ac:dyDescent="0.35">
      <c r="B3467" s="6" t="s">
        <v>7</v>
      </c>
      <c r="C3467" s="6" t="s">
        <v>48</v>
      </c>
      <c r="D3467" s="6" t="s">
        <v>9</v>
      </c>
      <c r="E3467" s="6" t="s">
        <v>27</v>
      </c>
      <c r="F3467" s="6" t="s">
        <v>31</v>
      </c>
      <c r="G3467" s="6">
        <v>2015</v>
      </c>
      <c r="H3467" s="6">
        <v>9</v>
      </c>
      <c r="I3467" s="10">
        <v>42248</v>
      </c>
      <c r="J3467" s="6">
        <v>5127</v>
      </c>
      <c r="K3467" s="51"/>
      <c r="O3467" t="s">
        <v>7</v>
      </c>
      <c r="P3467" t="s">
        <v>48</v>
      </c>
      <c r="Q3467" t="s">
        <v>9</v>
      </c>
      <c r="R3467" t="s">
        <v>27</v>
      </c>
      <c r="S3467" t="s">
        <v>31</v>
      </c>
      <c r="T3467">
        <v>2015</v>
      </c>
      <c r="U3467">
        <v>9</v>
      </c>
      <c r="V3467" s="51">
        <v>42248</v>
      </c>
      <c r="W3467" s="4">
        <v>4460.4900000000007</v>
      </c>
      <c r="X3467" s="52">
        <v>5127</v>
      </c>
    </row>
    <row r="3468" spans="2:24" x14ac:dyDescent="0.35">
      <c r="B3468" s="6" t="s">
        <v>7</v>
      </c>
      <c r="C3468" s="6" t="s">
        <v>49</v>
      </c>
      <c r="D3468" s="6" t="s">
        <v>11</v>
      </c>
      <c r="E3468" s="6" t="s">
        <v>27</v>
      </c>
      <c r="F3468" s="6" t="s">
        <v>33</v>
      </c>
      <c r="G3468" s="6">
        <v>2015</v>
      </c>
      <c r="H3468" s="6">
        <v>9</v>
      </c>
      <c r="I3468" s="10">
        <v>42248</v>
      </c>
      <c r="J3468" s="6">
        <v>2850</v>
      </c>
      <c r="K3468" s="51"/>
      <c r="O3468" t="s">
        <v>7</v>
      </c>
      <c r="P3468" t="s">
        <v>49</v>
      </c>
      <c r="Q3468" t="s">
        <v>11</v>
      </c>
      <c r="R3468" t="s">
        <v>27</v>
      </c>
      <c r="S3468" t="s">
        <v>33</v>
      </c>
      <c r="T3468">
        <v>2015</v>
      </c>
      <c r="U3468">
        <v>9</v>
      </c>
      <c r="V3468" s="51">
        <v>42248</v>
      </c>
      <c r="W3468" s="4">
        <v>2565</v>
      </c>
      <c r="X3468" s="52">
        <v>2850</v>
      </c>
    </row>
    <row r="3469" spans="2:24" x14ac:dyDescent="0.35">
      <c r="B3469" s="6" t="s">
        <v>7</v>
      </c>
      <c r="C3469" s="6" t="s">
        <v>49</v>
      </c>
      <c r="D3469" s="6" t="s">
        <v>11</v>
      </c>
      <c r="E3469" s="6" t="s">
        <v>23</v>
      </c>
      <c r="F3469" s="6" t="s">
        <v>36</v>
      </c>
      <c r="G3469" s="6">
        <v>2015</v>
      </c>
      <c r="H3469" s="6">
        <v>9</v>
      </c>
      <c r="I3469" s="10">
        <v>42248</v>
      </c>
      <c r="J3469" s="6">
        <v>2615</v>
      </c>
      <c r="K3469" s="51"/>
      <c r="O3469" t="s">
        <v>7</v>
      </c>
      <c r="P3469" t="s">
        <v>49</v>
      </c>
      <c r="Q3469" t="s">
        <v>11</v>
      </c>
      <c r="R3469" t="s">
        <v>23</v>
      </c>
      <c r="S3469" t="s">
        <v>36</v>
      </c>
      <c r="T3469">
        <v>2015</v>
      </c>
      <c r="U3469">
        <v>9</v>
      </c>
      <c r="V3469" s="51">
        <v>42248</v>
      </c>
      <c r="W3469" s="4">
        <v>2458.1</v>
      </c>
      <c r="X3469" s="52">
        <v>2615</v>
      </c>
    </row>
    <row r="3470" spans="2:24" x14ac:dyDescent="0.35">
      <c r="B3470" s="6" t="s">
        <v>7</v>
      </c>
      <c r="C3470" s="6" t="s">
        <v>43</v>
      </c>
      <c r="D3470" s="6" t="s">
        <v>10</v>
      </c>
      <c r="E3470" s="6" t="s">
        <v>23</v>
      </c>
      <c r="F3470" s="6" t="s">
        <v>36</v>
      </c>
      <c r="G3470" s="6">
        <v>2015</v>
      </c>
      <c r="H3470" s="6">
        <v>9</v>
      </c>
      <c r="I3470" s="10">
        <v>42248</v>
      </c>
      <c r="J3470" s="6">
        <v>1639</v>
      </c>
      <c r="K3470" s="51"/>
      <c r="O3470" t="s">
        <v>7</v>
      </c>
      <c r="P3470" t="s">
        <v>43</v>
      </c>
      <c r="Q3470" t="s">
        <v>10</v>
      </c>
      <c r="R3470" t="s">
        <v>23</v>
      </c>
      <c r="S3470" t="s">
        <v>36</v>
      </c>
      <c r="T3470">
        <v>2015</v>
      </c>
      <c r="U3470">
        <v>9</v>
      </c>
      <c r="V3470" s="51">
        <v>42248</v>
      </c>
      <c r="W3470" s="4">
        <v>1524.27</v>
      </c>
      <c r="X3470" s="52">
        <v>1639</v>
      </c>
    </row>
    <row r="3471" spans="2:24" x14ac:dyDescent="0.35">
      <c r="B3471" s="6" t="s">
        <v>6</v>
      </c>
      <c r="C3471" s="6" t="s">
        <v>40</v>
      </c>
      <c r="D3471" s="6" t="s">
        <v>41</v>
      </c>
      <c r="E3471" s="6" t="s">
        <v>0</v>
      </c>
      <c r="F3471" s="6" t="s">
        <v>45</v>
      </c>
      <c r="G3471" s="6">
        <v>2015</v>
      </c>
      <c r="H3471" s="6">
        <v>9</v>
      </c>
      <c r="I3471" s="10">
        <v>42248</v>
      </c>
      <c r="J3471" s="6">
        <v>3348</v>
      </c>
      <c r="K3471" s="51"/>
      <c r="O3471" t="s">
        <v>6</v>
      </c>
      <c r="P3471" t="s">
        <v>40</v>
      </c>
      <c r="Q3471" t="s">
        <v>41</v>
      </c>
      <c r="R3471" t="s">
        <v>0</v>
      </c>
      <c r="S3471" t="s">
        <v>45</v>
      </c>
      <c r="T3471">
        <v>2015</v>
      </c>
      <c r="U3471">
        <v>9</v>
      </c>
      <c r="V3471" s="51">
        <v>42248</v>
      </c>
      <c r="W3471" s="4">
        <v>3147.12</v>
      </c>
      <c r="X3471" s="52">
        <v>3348</v>
      </c>
    </row>
    <row r="3472" spans="2:24" x14ac:dyDescent="0.35">
      <c r="B3472" s="6" t="s">
        <v>7</v>
      </c>
      <c r="C3472" s="6" t="s">
        <v>32</v>
      </c>
      <c r="D3472" s="6" t="s">
        <v>8</v>
      </c>
      <c r="E3472" s="6" t="s">
        <v>27</v>
      </c>
      <c r="F3472" s="6" t="s">
        <v>28</v>
      </c>
      <c r="G3472" s="6">
        <v>2015</v>
      </c>
      <c r="H3472" s="6">
        <v>9</v>
      </c>
      <c r="I3472" s="10">
        <v>42248</v>
      </c>
      <c r="J3472" s="6">
        <v>4858</v>
      </c>
      <c r="K3472" s="51"/>
      <c r="O3472" t="s">
        <v>7</v>
      </c>
      <c r="P3472" t="s">
        <v>32</v>
      </c>
      <c r="Q3472" t="s">
        <v>8</v>
      </c>
      <c r="R3472" t="s">
        <v>27</v>
      </c>
      <c r="S3472" t="s">
        <v>28</v>
      </c>
      <c r="T3472">
        <v>2015</v>
      </c>
      <c r="U3472">
        <v>9</v>
      </c>
      <c r="V3472" s="51">
        <v>42248</v>
      </c>
      <c r="W3472" s="4">
        <v>4517.9399999999996</v>
      </c>
      <c r="X3472" s="52">
        <v>4858</v>
      </c>
    </row>
    <row r="3473" spans="2:24" x14ac:dyDescent="0.35">
      <c r="B3473" s="6" t="s">
        <v>7</v>
      </c>
      <c r="C3473" s="6" t="s">
        <v>32</v>
      </c>
      <c r="D3473" s="6" t="s">
        <v>8</v>
      </c>
      <c r="E3473" s="6" t="s">
        <v>27</v>
      </c>
      <c r="F3473" s="6" t="s">
        <v>31</v>
      </c>
      <c r="G3473" s="6">
        <v>2015</v>
      </c>
      <c r="H3473" s="6">
        <v>9</v>
      </c>
      <c r="I3473" s="10">
        <v>42248</v>
      </c>
      <c r="J3473" s="6">
        <v>5148</v>
      </c>
      <c r="K3473" s="51"/>
      <c r="O3473" t="s">
        <v>7</v>
      </c>
      <c r="P3473" t="s">
        <v>32</v>
      </c>
      <c r="Q3473" t="s">
        <v>8</v>
      </c>
      <c r="R3473" t="s">
        <v>27</v>
      </c>
      <c r="S3473" t="s">
        <v>31</v>
      </c>
      <c r="T3473">
        <v>2015</v>
      </c>
      <c r="U3473">
        <v>9</v>
      </c>
      <c r="V3473" s="51">
        <v>42248</v>
      </c>
      <c r="W3473" s="4">
        <v>4478.76</v>
      </c>
      <c r="X3473" s="52">
        <v>5148</v>
      </c>
    </row>
    <row r="3474" spans="2:24" x14ac:dyDescent="0.35">
      <c r="B3474" s="6" t="s">
        <v>6</v>
      </c>
      <c r="C3474" s="6" t="s">
        <v>29</v>
      </c>
      <c r="D3474" s="6" t="s">
        <v>30</v>
      </c>
      <c r="E3474" s="6" t="s">
        <v>23</v>
      </c>
      <c r="F3474" s="6" t="s">
        <v>24</v>
      </c>
      <c r="G3474" s="6">
        <v>2015</v>
      </c>
      <c r="H3474" s="6">
        <v>9</v>
      </c>
      <c r="I3474" s="10">
        <v>42248</v>
      </c>
      <c r="J3474" s="6">
        <v>2080</v>
      </c>
      <c r="K3474" s="51"/>
      <c r="O3474" t="s">
        <v>6</v>
      </c>
      <c r="P3474" t="s">
        <v>29</v>
      </c>
      <c r="Q3474" t="s">
        <v>30</v>
      </c>
      <c r="R3474" t="s">
        <v>23</v>
      </c>
      <c r="S3474" t="s">
        <v>24</v>
      </c>
      <c r="T3474">
        <v>2015</v>
      </c>
      <c r="U3474">
        <v>9</v>
      </c>
      <c r="V3474" s="51">
        <v>42248</v>
      </c>
      <c r="W3474" s="4">
        <v>1788.8000000000002</v>
      </c>
      <c r="X3474" s="52">
        <v>2080</v>
      </c>
    </row>
    <row r="3475" spans="2:24" x14ac:dyDescent="0.35">
      <c r="B3475" s="6" t="s">
        <v>7</v>
      </c>
      <c r="C3475" s="6" t="s">
        <v>48</v>
      </c>
      <c r="D3475" s="6" t="s">
        <v>9</v>
      </c>
      <c r="E3475" s="6" t="s">
        <v>0</v>
      </c>
      <c r="F3475" s="6" t="s">
        <v>42</v>
      </c>
      <c r="G3475" s="6">
        <v>2015</v>
      </c>
      <c r="H3475" s="6">
        <v>9</v>
      </c>
      <c r="I3475" s="10">
        <v>42248</v>
      </c>
      <c r="J3475" s="6">
        <v>5840</v>
      </c>
      <c r="K3475" s="51"/>
      <c r="O3475" t="s">
        <v>7</v>
      </c>
      <c r="P3475" t="s">
        <v>48</v>
      </c>
      <c r="Q3475" t="s">
        <v>9</v>
      </c>
      <c r="R3475" t="s">
        <v>0</v>
      </c>
      <c r="S3475" t="s">
        <v>42</v>
      </c>
      <c r="T3475">
        <v>2015</v>
      </c>
      <c r="U3475">
        <v>9</v>
      </c>
      <c r="V3475" s="51">
        <v>42248</v>
      </c>
      <c r="W3475" s="4">
        <v>5022.4000000000005</v>
      </c>
      <c r="X3475" s="52">
        <v>5840</v>
      </c>
    </row>
    <row r="3476" spans="2:24" x14ac:dyDescent="0.35">
      <c r="B3476" s="6" t="s">
        <v>7</v>
      </c>
      <c r="C3476" s="6" t="s">
        <v>48</v>
      </c>
      <c r="D3476" s="6" t="s">
        <v>9</v>
      </c>
      <c r="E3476" s="6" t="s">
        <v>0</v>
      </c>
      <c r="F3476" s="6" t="s">
        <v>26</v>
      </c>
      <c r="G3476" s="6">
        <v>2015</v>
      </c>
      <c r="H3476" s="6">
        <v>9</v>
      </c>
      <c r="I3476" s="10">
        <v>42248</v>
      </c>
      <c r="J3476" s="6">
        <v>2935</v>
      </c>
      <c r="K3476" s="51"/>
      <c r="O3476" t="s">
        <v>7</v>
      </c>
      <c r="P3476" t="s">
        <v>48</v>
      </c>
      <c r="Q3476" t="s">
        <v>9</v>
      </c>
      <c r="R3476" t="s">
        <v>0</v>
      </c>
      <c r="S3476" t="s">
        <v>26</v>
      </c>
      <c r="T3476">
        <v>2015</v>
      </c>
      <c r="U3476">
        <v>9</v>
      </c>
      <c r="V3476" s="51">
        <v>42248</v>
      </c>
      <c r="W3476" s="4">
        <v>2758.8999999999996</v>
      </c>
      <c r="X3476" s="52">
        <v>2935</v>
      </c>
    </row>
    <row r="3477" spans="2:24" x14ac:dyDescent="0.35">
      <c r="B3477" s="6" t="s">
        <v>7</v>
      </c>
      <c r="C3477" s="6" t="s">
        <v>49</v>
      </c>
      <c r="D3477" s="6" t="s">
        <v>11</v>
      </c>
      <c r="E3477" s="6" t="s">
        <v>0</v>
      </c>
      <c r="F3477" s="6" t="s">
        <v>45</v>
      </c>
      <c r="G3477" s="6">
        <v>2015</v>
      </c>
      <c r="H3477" s="6">
        <v>9</v>
      </c>
      <c r="I3477" s="10">
        <v>42248</v>
      </c>
      <c r="J3477" s="6">
        <v>4800</v>
      </c>
      <c r="K3477" s="51"/>
      <c r="O3477" t="s">
        <v>7</v>
      </c>
      <c r="P3477" t="s">
        <v>49</v>
      </c>
      <c r="Q3477" t="s">
        <v>11</v>
      </c>
      <c r="R3477" t="s">
        <v>0</v>
      </c>
      <c r="S3477" t="s">
        <v>45</v>
      </c>
      <c r="T3477">
        <v>2015</v>
      </c>
      <c r="U3477">
        <v>9</v>
      </c>
      <c r="V3477" s="51">
        <v>42248</v>
      </c>
      <c r="W3477" s="4">
        <v>4272</v>
      </c>
      <c r="X3477" s="52">
        <v>4800</v>
      </c>
    </row>
    <row r="3478" spans="2:24" x14ac:dyDescent="0.35">
      <c r="B3478" s="6" t="s">
        <v>7</v>
      </c>
      <c r="C3478" s="6" t="s">
        <v>49</v>
      </c>
      <c r="D3478" s="6" t="s">
        <v>11</v>
      </c>
      <c r="E3478" s="6" t="s">
        <v>27</v>
      </c>
      <c r="F3478" s="6" t="s">
        <v>28</v>
      </c>
      <c r="G3478" s="6">
        <v>2015</v>
      </c>
      <c r="H3478" s="6">
        <v>9</v>
      </c>
      <c r="I3478" s="10">
        <v>42248</v>
      </c>
      <c r="J3478" s="6">
        <v>4634</v>
      </c>
      <c r="K3478" s="51"/>
      <c r="O3478" t="s">
        <v>7</v>
      </c>
      <c r="P3478" t="s">
        <v>49</v>
      </c>
      <c r="Q3478" t="s">
        <v>11</v>
      </c>
      <c r="R3478" t="s">
        <v>27</v>
      </c>
      <c r="S3478" t="s">
        <v>28</v>
      </c>
      <c r="T3478">
        <v>2015</v>
      </c>
      <c r="U3478">
        <v>9</v>
      </c>
      <c r="V3478" s="51">
        <v>42248</v>
      </c>
      <c r="W3478" s="4">
        <v>4077.9199999999996</v>
      </c>
      <c r="X3478" s="52">
        <v>4634</v>
      </c>
    </row>
    <row r="3479" spans="2:24" x14ac:dyDescent="0.35">
      <c r="B3479" s="6" t="s">
        <v>12</v>
      </c>
      <c r="C3479" s="6" t="s">
        <v>34</v>
      </c>
      <c r="D3479" s="6" t="s">
        <v>35</v>
      </c>
      <c r="E3479" s="6" t="s">
        <v>27</v>
      </c>
      <c r="F3479" s="6" t="s">
        <v>31</v>
      </c>
      <c r="G3479" s="6">
        <v>2015</v>
      </c>
      <c r="H3479" s="6">
        <v>9</v>
      </c>
      <c r="I3479" s="10">
        <v>42248</v>
      </c>
      <c r="J3479" s="6">
        <v>2676</v>
      </c>
      <c r="K3479" s="51"/>
      <c r="O3479" t="s">
        <v>12</v>
      </c>
      <c r="P3479" t="s">
        <v>34</v>
      </c>
      <c r="Q3479" t="s">
        <v>35</v>
      </c>
      <c r="R3479" t="s">
        <v>27</v>
      </c>
      <c r="S3479" t="s">
        <v>31</v>
      </c>
      <c r="T3479">
        <v>2015</v>
      </c>
      <c r="U3479">
        <v>9</v>
      </c>
      <c r="V3479" s="51">
        <v>42248</v>
      </c>
      <c r="W3479" s="4">
        <v>2488.6799999999998</v>
      </c>
      <c r="X3479" s="52">
        <v>2676</v>
      </c>
    </row>
    <row r="3480" spans="2:24" x14ac:dyDescent="0.35">
      <c r="B3480" s="6" t="s">
        <v>12</v>
      </c>
      <c r="C3480" s="6" t="s">
        <v>34</v>
      </c>
      <c r="D3480" s="6" t="s">
        <v>35</v>
      </c>
      <c r="E3480" s="6" t="s">
        <v>27</v>
      </c>
      <c r="F3480" s="6" t="s">
        <v>33</v>
      </c>
      <c r="G3480" s="6">
        <v>2015</v>
      </c>
      <c r="H3480" s="6">
        <v>9</v>
      </c>
      <c r="I3480" s="10">
        <v>42248</v>
      </c>
      <c r="J3480" s="6">
        <v>3028</v>
      </c>
      <c r="K3480" s="51"/>
      <c r="O3480" t="s">
        <v>12</v>
      </c>
      <c r="P3480" t="s">
        <v>34</v>
      </c>
      <c r="Q3480" t="s">
        <v>35</v>
      </c>
      <c r="R3480" t="s">
        <v>27</v>
      </c>
      <c r="S3480" t="s">
        <v>33</v>
      </c>
      <c r="T3480">
        <v>2015</v>
      </c>
      <c r="U3480">
        <v>9</v>
      </c>
      <c r="V3480" s="51">
        <v>42248</v>
      </c>
      <c r="W3480" s="4">
        <v>2785.7599999999998</v>
      </c>
      <c r="X3480" s="52">
        <v>3028</v>
      </c>
    </row>
    <row r="3481" spans="2:24" x14ac:dyDescent="0.35">
      <c r="B3481" s="6" t="s">
        <v>14</v>
      </c>
      <c r="C3481" s="6" t="s">
        <v>37</v>
      </c>
      <c r="D3481" s="6" t="s">
        <v>38</v>
      </c>
      <c r="E3481" s="6" t="s">
        <v>23</v>
      </c>
      <c r="F3481" s="6" t="s">
        <v>36</v>
      </c>
      <c r="G3481" s="6">
        <v>2015</v>
      </c>
      <c r="H3481" s="6">
        <v>9</v>
      </c>
      <c r="I3481" s="10">
        <v>42248</v>
      </c>
      <c r="J3481" s="6">
        <v>2484</v>
      </c>
      <c r="K3481" s="51"/>
      <c r="O3481" t="s">
        <v>14</v>
      </c>
      <c r="P3481" t="s">
        <v>37</v>
      </c>
      <c r="Q3481" t="s">
        <v>38</v>
      </c>
      <c r="R3481" t="s">
        <v>23</v>
      </c>
      <c r="S3481" t="s">
        <v>36</v>
      </c>
      <c r="T3481">
        <v>2015</v>
      </c>
      <c r="U3481">
        <v>9</v>
      </c>
      <c r="V3481" s="51">
        <v>42248</v>
      </c>
      <c r="W3481" s="4">
        <v>2161.0800000000004</v>
      </c>
      <c r="X3481" s="52">
        <v>2484</v>
      </c>
    </row>
    <row r="3482" spans="2:24" x14ac:dyDescent="0.35">
      <c r="B3482" s="6" t="s">
        <v>12</v>
      </c>
      <c r="C3482" s="6" t="s">
        <v>44</v>
      </c>
      <c r="D3482" s="6" t="s">
        <v>13</v>
      </c>
      <c r="E3482" s="6" t="s">
        <v>23</v>
      </c>
      <c r="F3482" s="6" t="s">
        <v>39</v>
      </c>
      <c r="G3482" s="6">
        <v>2015</v>
      </c>
      <c r="H3482" s="6">
        <v>9</v>
      </c>
      <c r="I3482" s="10">
        <v>42248</v>
      </c>
      <c r="J3482" s="6">
        <v>2096</v>
      </c>
      <c r="K3482" s="51"/>
      <c r="O3482" t="s">
        <v>12</v>
      </c>
      <c r="P3482" t="s">
        <v>44</v>
      </c>
      <c r="Q3482" t="s">
        <v>13</v>
      </c>
      <c r="R3482" t="s">
        <v>23</v>
      </c>
      <c r="S3482" t="s">
        <v>39</v>
      </c>
      <c r="T3482">
        <v>2015</v>
      </c>
      <c r="U3482">
        <v>9</v>
      </c>
      <c r="V3482" s="51">
        <v>42248</v>
      </c>
      <c r="W3482" s="4">
        <v>1865.4399999999998</v>
      </c>
      <c r="X3482" s="52">
        <v>2096</v>
      </c>
    </row>
    <row r="3483" spans="2:24" x14ac:dyDescent="0.35">
      <c r="B3483" s="6" t="s">
        <v>12</v>
      </c>
      <c r="C3483" s="6" t="s">
        <v>44</v>
      </c>
      <c r="D3483" s="6" t="s">
        <v>13</v>
      </c>
      <c r="E3483" s="6" t="s">
        <v>0</v>
      </c>
      <c r="F3483" s="6" t="s">
        <v>42</v>
      </c>
      <c r="G3483" s="6">
        <v>2015</v>
      </c>
      <c r="H3483" s="6">
        <v>9</v>
      </c>
      <c r="I3483" s="10">
        <v>42248</v>
      </c>
      <c r="J3483" s="6">
        <v>4464</v>
      </c>
      <c r="K3483" s="51"/>
      <c r="O3483" t="s">
        <v>12</v>
      </c>
      <c r="P3483" t="s">
        <v>44</v>
      </c>
      <c r="Q3483" t="s">
        <v>13</v>
      </c>
      <c r="R3483" t="s">
        <v>0</v>
      </c>
      <c r="S3483" t="s">
        <v>42</v>
      </c>
      <c r="T3483">
        <v>2015</v>
      </c>
      <c r="U3483">
        <v>9</v>
      </c>
      <c r="V3483" s="51">
        <v>42248</v>
      </c>
      <c r="W3483" s="4">
        <v>4106.8799999999992</v>
      </c>
      <c r="X3483" s="52">
        <v>4464</v>
      </c>
    </row>
    <row r="3484" spans="2:24" x14ac:dyDescent="0.35">
      <c r="B3484" s="6" t="s">
        <v>14</v>
      </c>
      <c r="C3484" s="6" t="s">
        <v>46</v>
      </c>
      <c r="D3484" s="6" t="s">
        <v>47</v>
      </c>
      <c r="E3484" s="6" t="s">
        <v>0</v>
      </c>
      <c r="F3484" s="6" t="s">
        <v>26</v>
      </c>
      <c r="G3484" s="6">
        <v>2015</v>
      </c>
      <c r="H3484" s="6">
        <v>9</v>
      </c>
      <c r="I3484" s="10">
        <v>42248</v>
      </c>
      <c r="J3484" s="6">
        <v>4065</v>
      </c>
      <c r="K3484" s="51"/>
      <c r="O3484" t="s">
        <v>14</v>
      </c>
      <c r="P3484" t="s">
        <v>46</v>
      </c>
      <c r="Q3484" t="s">
        <v>47</v>
      </c>
      <c r="R3484" t="s">
        <v>0</v>
      </c>
      <c r="S3484" t="s">
        <v>26</v>
      </c>
      <c r="T3484">
        <v>2015</v>
      </c>
      <c r="U3484">
        <v>9</v>
      </c>
      <c r="V3484" s="51">
        <v>42248</v>
      </c>
      <c r="W3484" s="4">
        <v>3577.2</v>
      </c>
      <c r="X3484" s="52">
        <v>4065</v>
      </c>
    </row>
    <row r="3485" spans="2:24" x14ac:dyDescent="0.35">
      <c r="B3485" s="6" t="s">
        <v>14</v>
      </c>
      <c r="C3485" s="6" t="s">
        <v>46</v>
      </c>
      <c r="D3485" s="6" t="s">
        <v>47</v>
      </c>
      <c r="E3485" s="6" t="s">
        <v>0</v>
      </c>
      <c r="F3485" s="6" t="s">
        <v>45</v>
      </c>
      <c r="G3485" s="6">
        <v>2015</v>
      </c>
      <c r="H3485" s="6">
        <v>9</v>
      </c>
      <c r="I3485" s="10">
        <v>42248</v>
      </c>
      <c r="J3485" s="6">
        <v>2372</v>
      </c>
      <c r="K3485" s="51"/>
      <c r="O3485" t="s">
        <v>14</v>
      </c>
      <c r="P3485" t="s">
        <v>46</v>
      </c>
      <c r="Q3485" t="s">
        <v>47</v>
      </c>
      <c r="R3485" t="s">
        <v>0</v>
      </c>
      <c r="S3485" t="s">
        <v>45</v>
      </c>
      <c r="T3485">
        <v>2015</v>
      </c>
      <c r="U3485">
        <v>9</v>
      </c>
      <c r="V3485" s="51">
        <v>42248</v>
      </c>
      <c r="W3485" s="4">
        <v>2063.6400000000003</v>
      </c>
      <c r="X3485" s="52">
        <v>2372</v>
      </c>
    </row>
    <row r="3486" spans="2:24" x14ac:dyDescent="0.35">
      <c r="B3486" s="6" t="s">
        <v>3</v>
      </c>
      <c r="C3486" s="6" t="s">
        <v>25</v>
      </c>
      <c r="D3486" s="6" t="s">
        <v>4</v>
      </c>
      <c r="E3486" s="6" t="s">
        <v>27</v>
      </c>
      <c r="F3486" s="6" t="s">
        <v>33</v>
      </c>
      <c r="G3486" s="6">
        <v>2015</v>
      </c>
      <c r="H3486" s="6">
        <v>9</v>
      </c>
      <c r="I3486" s="10">
        <v>42248</v>
      </c>
      <c r="J3486" s="6">
        <v>2880</v>
      </c>
      <c r="K3486" s="51"/>
      <c r="O3486" t="s">
        <v>3</v>
      </c>
      <c r="P3486" t="s">
        <v>25</v>
      </c>
      <c r="Q3486" t="s">
        <v>4</v>
      </c>
      <c r="R3486" t="s">
        <v>27</v>
      </c>
      <c r="S3486" t="s">
        <v>33</v>
      </c>
      <c r="T3486">
        <v>2015</v>
      </c>
      <c r="U3486">
        <v>9</v>
      </c>
      <c r="V3486" s="51">
        <v>42248</v>
      </c>
      <c r="W3486" s="4">
        <v>2476.8000000000002</v>
      </c>
      <c r="X3486" s="52">
        <v>2880</v>
      </c>
    </row>
    <row r="3487" spans="2:24" x14ac:dyDescent="0.35">
      <c r="B3487" s="6" t="s">
        <v>3</v>
      </c>
      <c r="C3487" s="6" t="s">
        <v>25</v>
      </c>
      <c r="D3487" s="6" t="s">
        <v>4</v>
      </c>
      <c r="E3487" s="6" t="s">
        <v>23</v>
      </c>
      <c r="F3487" s="6" t="s">
        <v>36</v>
      </c>
      <c r="G3487" s="6">
        <v>2015</v>
      </c>
      <c r="H3487" s="6">
        <v>9</v>
      </c>
      <c r="I3487" s="10">
        <v>42248</v>
      </c>
      <c r="J3487" s="6">
        <v>2268</v>
      </c>
      <c r="K3487" s="51"/>
      <c r="O3487" t="s">
        <v>3</v>
      </c>
      <c r="P3487" t="s">
        <v>25</v>
      </c>
      <c r="Q3487" t="s">
        <v>4</v>
      </c>
      <c r="R3487" t="s">
        <v>23</v>
      </c>
      <c r="S3487" t="s">
        <v>36</v>
      </c>
      <c r="T3487">
        <v>2015</v>
      </c>
      <c r="U3487">
        <v>9</v>
      </c>
      <c r="V3487" s="51">
        <v>42248</v>
      </c>
      <c r="W3487" s="4">
        <v>2041.1999999999998</v>
      </c>
      <c r="X3487" s="52">
        <v>2268</v>
      </c>
    </row>
    <row r="3488" spans="2:24" x14ac:dyDescent="0.35">
      <c r="B3488" s="6" t="s">
        <v>6</v>
      </c>
      <c r="C3488" s="6" t="s">
        <v>40</v>
      </c>
      <c r="D3488" s="6" t="s">
        <v>41</v>
      </c>
      <c r="E3488" s="6" t="s">
        <v>23</v>
      </c>
      <c r="F3488" s="6" t="s">
        <v>39</v>
      </c>
      <c r="G3488" s="6">
        <v>2015</v>
      </c>
      <c r="H3488" s="6">
        <v>9</v>
      </c>
      <c r="I3488" s="10">
        <v>42248</v>
      </c>
      <c r="J3488" s="6">
        <v>1852</v>
      </c>
      <c r="K3488" s="51"/>
      <c r="O3488" t="s">
        <v>6</v>
      </c>
      <c r="P3488" t="s">
        <v>40</v>
      </c>
      <c r="Q3488" t="s">
        <v>41</v>
      </c>
      <c r="R3488" t="s">
        <v>23</v>
      </c>
      <c r="S3488" t="s">
        <v>39</v>
      </c>
      <c r="T3488">
        <v>2015</v>
      </c>
      <c r="U3488">
        <v>9</v>
      </c>
      <c r="V3488" s="51">
        <v>42248</v>
      </c>
      <c r="W3488" s="4">
        <v>1574.2000000000003</v>
      </c>
      <c r="X3488" s="52">
        <v>1852</v>
      </c>
    </row>
    <row r="3489" spans="2:24" x14ac:dyDescent="0.35">
      <c r="B3489" s="6" t="s">
        <v>7</v>
      </c>
      <c r="C3489" s="6" t="s">
        <v>48</v>
      </c>
      <c r="D3489" s="6" t="s">
        <v>9</v>
      </c>
      <c r="E3489" s="6" t="s">
        <v>0</v>
      </c>
      <c r="F3489" s="6" t="s">
        <v>45</v>
      </c>
      <c r="G3489" s="6">
        <v>2015</v>
      </c>
      <c r="H3489" s="6">
        <v>9</v>
      </c>
      <c r="I3489" s="10">
        <v>42248</v>
      </c>
      <c r="J3489" s="6">
        <v>2716</v>
      </c>
      <c r="K3489" s="51"/>
      <c r="O3489" t="s">
        <v>7</v>
      </c>
      <c r="P3489" t="s">
        <v>48</v>
      </c>
      <c r="Q3489" t="s">
        <v>9</v>
      </c>
      <c r="R3489" t="s">
        <v>0</v>
      </c>
      <c r="S3489" t="s">
        <v>45</v>
      </c>
      <c r="T3489">
        <v>2015</v>
      </c>
      <c r="U3489">
        <v>9</v>
      </c>
      <c r="V3489" s="51">
        <v>42248</v>
      </c>
      <c r="W3489" s="4">
        <v>2444.3999999999996</v>
      </c>
      <c r="X3489" s="52">
        <v>2716</v>
      </c>
    </row>
    <row r="3490" spans="2:24" x14ac:dyDescent="0.35">
      <c r="B3490" s="6" t="s">
        <v>7</v>
      </c>
      <c r="C3490" s="6" t="s">
        <v>49</v>
      </c>
      <c r="D3490" s="6" t="s">
        <v>11</v>
      </c>
      <c r="E3490" s="6" t="s">
        <v>27</v>
      </c>
      <c r="F3490" s="6" t="s">
        <v>31</v>
      </c>
      <c r="G3490" s="6">
        <v>2015</v>
      </c>
      <c r="H3490" s="6">
        <v>9</v>
      </c>
      <c r="I3490" s="10">
        <v>42248</v>
      </c>
      <c r="J3490" s="6">
        <v>5031</v>
      </c>
      <c r="K3490" s="51"/>
      <c r="O3490" t="s">
        <v>7</v>
      </c>
      <c r="P3490" t="s">
        <v>49</v>
      </c>
      <c r="Q3490" t="s">
        <v>11</v>
      </c>
      <c r="R3490" t="s">
        <v>27</v>
      </c>
      <c r="S3490" t="s">
        <v>31</v>
      </c>
      <c r="T3490">
        <v>2015</v>
      </c>
      <c r="U3490">
        <v>9</v>
      </c>
      <c r="V3490" s="51">
        <v>42248</v>
      </c>
      <c r="W3490" s="4">
        <v>4729.1399999999994</v>
      </c>
      <c r="X3490" s="52">
        <v>5031</v>
      </c>
    </row>
    <row r="3491" spans="2:24" x14ac:dyDescent="0.35">
      <c r="B3491" s="6" t="s">
        <v>7</v>
      </c>
      <c r="C3491" s="6" t="s">
        <v>43</v>
      </c>
      <c r="D3491" s="6" t="s">
        <v>10</v>
      </c>
      <c r="E3491" s="6" t="s">
        <v>27</v>
      </c>
      <c r="F3491" s="6" t="s">
        <v>33</v>
      </c>
      <c r="G3491" s="6">
        <v>2015</v>
      </c>
      <c r="H3491" s="6">
        <v>9</v>
      </c>
      <c r="I3491" s="10">
        <v>42248</v>
      </c>
      <c r="J3491" s="6">
        <v>3008</v>
      </c>
      <c r="K3491" s="51"/>
      <c r="O3491" t="s">
        <v>7</v>
      </c>
      <c r="P3491" t="s">
        <v>43</v>
      </c>
      <c r="Q3491" t="s">
        <v>10</v>
      </c>
      <c r="R3491" t="s">
        <v>27</v>
      </c>
      <c r="S3491" t="s">
        <v>33</v>
      </c>
      <c r="T3491">
        <v>2015</v>
      </c>
      <c r="U3491">
        <v>9</v>
      </c>
      <c r="V3491" s="51">
        <v>42248</v>
      </c>
      <c r="W3491" s="4">
        <v>2737.2799999999997</v>
      </c>
      <c r="X3491" s="52">
        <v>3008</v>
      </c>
    </row>
    <row r="3492" spans="2:24" x14ac:dyDescent="0.35">
      <c r="B3492" s="6" t="s">
        <v>7</v>
      </c>
      <c r="C3492" s="6" t="s">
        <v>32</v>
      </c>
      <c r="D3492" s="6" t="s">
        <v>8</v>
      </c>
      <c r="E3492" s="6" t="s">
        <v>0</v>
      </c>
      <c r="F3492" s="6" t="s">
        <v>45</v>
      </c>
      <c r="G3492" s="6">
        <v>2015</v>
      </c>
      <c r="H3492" s="6">
        <v>9</v>
      </c>
      <c r="I3492" s="10">
        <v>42248</v>
      </c>
      <c r="J3492" s="6">
        <v>2432</v>
      </c>
      <c r="K3492" s="51"/>
      <c r="O3492" t="s">
        <v>7</v>
      </c>
      <c r="P3492" t="s">
        <v>32</v>
      </c>
      <c r="Q3492" t="s">
        <v>8</v>
      </c>
      <c r="R3492" t="s">
        <v>0</v>
      </c>
      <c r="S3492" t="s">
        <v>45</v>
      </c>
      <c r="T3492">
        <v>2015</v>
      </c>
      <c r="U3492">
        <v>9</v>
      </c>
      <c r="V3492" s="51">
        <v>42248</v>
      </c>
      <c r="W3492" s="4">
        <v>2067.2000000000003</v>
      </c>
      <c r="X3492" s="52">
        <v>2432</v>
      </c>
    </row>
    <row r="3493" spans="2:24" x14ac:dyDescent="0.35">
      <c r="B3493" s="6" t="s">
        <v>7</v>
      </c>
      <c r="C3493" s="6" t="s">
        <v>48</v>
      </c>
      <c r="D3493" s="6" t="s">
        <v>9</v>
      </c>
      <c r="E3493" s="6" t="s">
        <v>23</v>
      </c>
      <c r="F3493" s="6" t="s">
        <v>39</v>
      </c>
      <c r="G3493" s="6">
        <v>2015</v>
      </c>
      <c r="H3493" s="6">
        <v>9</v>
      </c>
      <c r="I3493" s="10">
        <v>42248</v>
      </c>
      <c r="J3493" s="6">
        <v>2252</v>
      </c>
      <c r="K3493" s="51"/>
      <c r="O3493" t="s">
        <v>7</v>
      </c>
      <c r="P3493" t="s">
        <v>48</v>
      </c>
      <c r="Q3493" t="s">
        <v>9</v>
      </c>
      <c r="R3493" t="s">
        <v>23</v>
      </c>
      <c r="S3493" t="s">
        <v>39</v>
      </c>
      <c r="T3493">
        <v>2015</v>
      </c>
      <c r="U3493">
        <v>9</v>
      </c>
      <c r="V3493" s="51">
        <v>42248</v>
      </c>
      <c r="W3493" s="4">
        <v>2094.3599999999997</v>
      </c>
      <c r="X3493" s="52">
        <v>2252</v>
      </c>
    </row>
    <row r="3494" spans="2:24" x14ac:dyDescent="0.35">
      <c r="B3494" s="6" t="s">
        <v>7</v>
      </c>
      <c r="C3494" s="6" t="s">
        <v>49</v>
      </c>
      <c r="D3494" s="6" t="s">
        <v>11</v>
      </c>
      <c r="E3494" s="6" t="s">
        <v>0</v>
      </c>
      <c r="F3494" s="6" t="s">
        <v>26</v>
      </c>
      <c r="G3494" s="6">
        <v>2015</v>
      </c>
      <c r="H3494" s="6">
        <v>9</v>
      </c>
      <c r="I3494" s="10">
        <v>42248</v>
      </c>
      <c r="J3494" s="6">
        <v>3860</v>
      </c>
      <c r="K3494" s="51"/>
      <c r="O3494" t="s">
        <v>7</v>
      </c>
      <c r="P3494" t="s">
        <v>49</v>
      </c>
      <c r="Q3494" t="s">
        <v>11</v>
      </c>
      <c r="R3494" t="s">
        <v>0</v>
      </c>
      <c r="S3494" t="s">
        <v>26</v>
      </c>
      <c r="T3494">
        <v>2015</v>
      </c>
      <c r="U3494">
        <v>9</v>
      </c>
      <c r="V3494" s="51">
        <v>42248</v>
      </c>
      <c r="W3494" s="4">
        <v>3589.7999999999997</v>
      </c>
      <c r="X3494" s="52">
        <v>3860</v>
      </c>
    </row>
    <row r="3495" spans="2:24" x14ac:dyDescent="0.35">
      <c r="B3495" s="6" t="s">
        <v>12</v>
      </c>
      <c r="C3495" s="6" t="s">
        <v>34</v>
      </c>
      <c r="D3495" s="6" t="s">
        <v>35</v>
      </c>
      <c r="E3495" s="6" t="s">
        <v>27</v>
      </c>
      <c r="F3495" s="6" t="s">
        <v>28</v>
      </c>
      <c r="G3495" s="6">
        <v>2015</v>
      </c>
      <c r="H3495" s="6">
        <v>9</v>
      </c>
      <c r="I3495" s="10">
        <v>42248</v>
      </c>
      <c r="J3495" s="6">
        <v>3912</v>
      </c>
      <c r="K3495" s="51"/>
      <c r="O3495" t="s">
        <v>12</v>
      </c>
      <c r="P3495" t="s">
        <v>34</v>
      </c>
      <c r="Q3495" t="s">
        <v>35</v>
      </c>
      <c r="R3495" t="s">
        <v>27</v>
      </c>
      <c r="S3495" t="s">
        <v>28</v>
      </c>
      <c r="T3495">
        <v>2015</v>
      </c>
      <c r="U3495">
        <v>9</v>
      </c>
      <c r="V3495" s="51">
        <v>42248</v>
      </c>
      <c r="W3495" s="4">
        <v>3520.7999999999997</v>
      </c>
      <c r="X3495" s="52">
        <v>3912</v>
      </c>
    </row>
    <row r="3496" spans="2:24" x14ac:dyDescent="0.35">
      <c r="B3496" s="6" t="s">
        <v>14</v>
      </c>
      <c r="C3496" s="6" t="s">
        <v>37</v>
      </c>
      <c r="D3496" s="6" t="s">
        <v>38</v>
      </c>
      <c r="E3496" s="6" t="s">
        <v>27</v>
      </c>
      <c r="F3496" s="6" t="s">
        <v>33</v>
      </c>
      <c r="G3496" s="6">
        <v>2015</v>
      </c>
      <c r="H3496" s="6">
        <v>9</v>
      </c>
      <c r="I3496" s="10">
        <v>42248</v>
      </c>
      <c r="J3496" s="6">
        <v>3366</v>
      </c>
      <c r="K3496" s="51"/>
      <c r="O3496" t="s">
        <v>14</v>
      </c>
      <c r="P3496" t="s">
        <v>37</v>
      </c>
      <c r="Q3496" t="s">
        <v>38</v>
      </c>
      <c r="R3496" t="s">
        <v>27</v>
      </c>
      <c r="S3496" t="s">
        <v>33</v>
      </c>
      <c r="T3496">
        <v>2015</v>
      </c>
      <c r="U3496">
        <v>9</v>
      </c>
      <c r="V3496" s="51">
        <v>42248</v>
      </c>
      <c r="W3496" s="4">
        <v>2894.76</v>
      </c>
      <c r="X3496" s="52">
        <v>3366</v>
      </c>
    </row>
    <row r="3497" spans="2:24" x14ac:dyDescent="0.35">
      <c r="B3497" s="6" t="s">
        <v>12</v>
      </c>
      <c r="C3497" s="6" t="s">
        <v>44</v>
      </c>
      <c r="D3497" s="6" t="s">
        <v>13</v>
      </c>
      <c r="E3497" s="6" t="s">
        <v>23</v>
      </c>
      <c r="F3497" s="6" t="s">
        <v>24</v>
      </c>
      <c r="G3497" s="6">
        <v>2015</v>
      </c>
      <c r="H3497" s="6">
        <v>9</v>
      </c>
      <c r="I3497" s="10">
        <v>42248</v>
      </c>
      <c r="J3497" s="6">
        <v>3065</v>
      </c>
      <c r="K3497" s="51"/>
      <c r="O3497" t="s">
        <v>12</v>
      </c>
      <c r="P3497" t="s">
        <v>44</v>
      </c>
      <c r="Q3497" t="s">
        <v>13</v>
      </c>
      <c r="R3497" t="s">
        <v>23</v>
      </c>
      <c r="S3497" t="s">
        <v>24</v>
      </c>
      <c r="T3497">
        <v>2015</v>
      </c>
      <c r="U3497">
        <v>9</v>
      </c>
      <c r="V3497" s="51">
        <v>42248</v>
      </c>
      <c r="W3497" s="4">
        <v>2881.1</v>
      </c>
      <c r="X3497" s="52">
        <v>3065</v>
      </c>
    </row>
    <row r="3498" spans="2:24" x14ac:dyDescent="0.35">
      <c r="B3498" s="6" t="s">
        <v>14</v>
      </c>
      <c r="C3498" s="6" t="s">
        <v>46</v>
      </c>
      <c r="D3498" s="6" t="s">
        <v>47</v>
      </c>
      <c r="E3498" s="6" t="s">
        <v>0</v>
      </c>
      <c r="F3498" s="6" t="s">
        <v>42</v>
      </c>
      <c r="G3498" s="6">
        <v>2015</v>
      </c>
      <c r="H3498" s="6">
        <v>9</v>
      </c>
      <c r="I3498" s="10">
        <v>42248</v>
      </c>
      <c r="J3498" s="6">
        <v>6296</v>
      </c>
      <c r="K3498" s="51"/>
      <c r="O3498" t="s">
        <v>14</v>
      </c>
      <c r="P3498" t="s">
        <v>46</v>
      </c>
      <c r="Q3498" t="s">
        <v>47</v>
      </c>
      <c r="R3498" t="s">
        <v>0</v>
      </c>
      <c r="S3498" t="s">
        <v>42</v>
      </c>
      <c r="T3498">
        <v>2015</v>
      </c>
      <c r="U3498">
        <v>9</v>
      </c>
      <c r="V3498" s="51">
        <v>42248</v>
      </c>
      <c r="W3498" s="4">
        <v>5477.52</v>
      </c>
      <c r="X3498" s="52">
        <v>6296</v>
      </c>
    </row>
    <row r="3499" spans="2:24" x14ac:dyDescent="0.35">
      <c r="B3499" s="6" t="s">
        <v>7</v>
      </c>
      <c r="C3499" s="6" t="s">
        <v>48</v>
      </c>
      <c r="D3499" s="6" t="s">
        <v>9</v>
      </c>
      <c r="E3499" s="6" t="s">
        <v>27</v>
      </c>
      <c r="F3499" s="6" t="s">
        <v>33</v>
      </c>
      <c r="G3499" s="6">
        <v>2015</v>
      </c>
      <c r="H3499" s="6">
        <v>9</v>
      </c>
      <c r="I3499" s="10">
        <v>42248</v>
      </c>
      <c r="J3499" s="6">
        <v>3401</v>
      </c>
      <c r="K3499" s="51"/>
      <c r="O3499" t="s">
        <v>7</v>
      </c>
      <c r="P3499" t="s">
        <v>48</v>
      </c>
      <c r="Q3499" t="s">
        <v>9</v>
      </c>
      <c r="R3499" t="s">
        <v>27</v>
      </c>
      <c r="S3499" t="s">
        <v>33</v>
      </c>
      <c r="T3499">
        <v>2015</v>
      </c>
      <c r="U3499">
        <v>9</v>
      </c>
      <c r="V3499" s="51">
        <v>42248</v>
      </c>
      <c r="W3499" s="4">
        <v>2992.8799999999997</v>
      </c>
      <c r="X3499" s="52">
        <v>3401</v>
      </c>
    </row>
    <row r="3500" spans="2:24" x14ac:dyDescent="0.35">
      <c r="B3500" s="6" t="s">
        <v>7</v>
      </c>
      <c r="C3500" s="6" t="s">
        <v>49</v>
      </c>
      <c r="D3500" s="6" t="s">
        <v>11</v>
      </c>
      <c r="E3500" s="6" t="s">
        <v>23</v>
      </c>
      <c r="F3500" s="6" t="s">
        <v>24</v>
      </c>
      <c r="G3500" s="6">
        <v>2015</v>
      </c>
      <c r="H3500" s="6">
        <v>9</v>
      </c>
      <c r="I3500" s="10">
        <v>42248</v>
      </c>
      <c r="J3500" s="6">
        <v>1657</v>
      </c>
      <c r="K3500" s="51"/>
      <c r="O3500" t="s">
        <v>7</v>
      </c>
      <c r="P3500" t="s">
        <v>49</v>
      </c>
      <c r="Q3500" t="s">
        <v>11</v>
      </c>
      <c r="R3500" t="s">
        <v>23</v>
      </c>
      <c r="S3500" t="s">
        <v>24</v>
      </c>
      <c r="T3500">
        <v>2015</v>
      </c>
      <c r="U3500">
        <v>9</v>
      </c>
      <c r="V3500" s="51">
        <v>42248</v>
      </c>
      <c r="W3500" s="4">
        <v>1408.4500000000003</v>
      </c>
      <c r="X3500" s="52">
        <v>1657</v>
      </c>
    </row>
    <row r="3501" spans="2:24" x14ac:dyDescent="0.35">
      <c r="B3501" s="6" t="s">
        <v>3</v>
      </c>
      <c r="C3501" s="6" t="s">
        <v>22</v>
      </c>
      <c r="D3501" s="6" t="s">
        <v>5</v>
      </c>
      <c r="E3501" s="6" t="s">
        <v>23</v>
      </c>
      <c r="F3501" s="6" t="s">
        <v>24</v>
      </c>
      <c r="G3501" s="6">
        <v>2015</v>
      </c>
      <c r="H3501" s="6">
        <v>10</v>
      </c>
      <c r="I3501" s="10">
        <v>42278</v>
      </c>
      <c r="J3501" s="6">
        <v>3212</v>
      </c>
      <c r="K3501" s="51"/>
      <c r="O3501" t="s">
        <v>3</v>
      </c>
      <c r="P3501" t="s">
        <v>22</v>
      </c>
      <c r="Q3501" t="s">
        <v>5</v>
      </c>
      <c r="R3501" t="s">
        <v>23</v>
      </c>
      <c r="S3501" t="s">
        <v>24</v>
      </c>
      <c r="T3501">
        <v>2015</v>
      </c>
      <c r="U3501">
        <v>10</v>
      </c>
      <c r="V3501" s="51">
        <v>42278</v>
      </c>
      <c r="W3501" s="4">
        <v>2794.4400000000005</v>
      </c>
      <c r="X3501" s="52">
        <v>3212</v>
      </c>
    </row>
    <row r="3502" spans="2:24" x14ac:dyDescent="0.35">
      <c r="B3502" s="6" t="s">
        <v>3</v>
      </c>
      <c r="C3502" s="6" t="s">
        <v>25</v>
      </c>
      <c r="D3502" s="6" t="s">
        <v>4</v>
      </c>
      <c r="E3502" s="6" t="s">
        <v>23</v>
      </c>
      <c r="F3502" s="6" t="s">
        <v>24</v>
      </c>
      <c r="G3502" s="6">
        <v>2015</v>
      </c>
      <c r="H3502" s="6">
        <v>10</v>
      </c>
      <c r="I3502" s="10">
        <v>42278</v>
      </c>
      <c r="J3502" s="6">
        <v>1851</v>
      </c>
      <c r="K3502" s="51"/>
      <c r="O3502" t="s">
        <v>3</v>
      </c>
      <c r="P3502" t="s">
        <v>25</v>
      </c>
      <c r="Q3502" t="s">
        <v>4</v>
      </c>
      <c r="R3502" t="s">
        <v>23</v>
      </c>
      <c r="S3502" t="s">
        <v>24</v>
      </c>
      <c r="T3502">
        <v>2015</v>
      </c>
      <c r="U3502">
        <v>10</v>
      </c>
      <c r="V3502" s="51">
        <v>42278</v>
      </c>
      <c r="W3502" s="4">
        <v>1573.3500000000001</v>
      </c>
      <c r="X3502" s="52">
        <v>1851</v>
      </c>
    </row>
    <row r="3503" spans="2:24" x14ac:dyDescent="0.35">
      <c r="B3503" s="6" t="s">
        <v>3</v>
      </c>
      <c r="C3503" s="6" t="s">
        <v>25</v>
      </c>
      <c r="D3503" s="6" t="s">
        <v>4</v>
      </c>
      <c r="E3503" s="6" t="s">
        <v>0</v>
      </c>
      <c r="F3503" s="6" t="s">
        <v>26</v>
      </c>
      <c r="G3503" s="6">
        <v>2015</v>
      </c>
      <c r="H3503" s="6">
        <v>10</v>
      </c>
      <c r="I3503" s="10">
        <v>42278</v>
      </c>
      <c r="J3503" s="6">
        <v>3672</v>
      </c>
      <c r="K3503" s="51"/>
      <c r="O3503" t="s">
        <v>3</v>
      </c>
      <c r="P3503" t="s">
        <v>25</v>
      </c>
      <c r="Q3503" t="s">
        <v>4</v>
      </c>
      <c r="R3503" t="s">
        <v>0</v>
      </c>
      <c r="S3503" t="s">
        <v>26</v>
      </c>
      <c r="T3503">
        <v>2015</v>
      </c>
      <c r="U3503">
        <v>10</v>
      </c>
      <c r="V3503" s="51">
        <v>42278</v>
      </c>
      <c r="W3503" s="4">
        <v>3231.3599999999997</v>
      </c>
      <c r="X3503" s="52">
        <v>3672</v>
      </c>
    </row>
    <row r="3504" spans="2:24" x14ac:dyDescent="0.35">
      <c r="B3504" s="6" t="s">
        <v>3</v>
      </c>
      <c r="C3504" s="6" t="s">
        <v>22</v>
      </c>
      <c r="D3504" s="6" t="s">
        <v>5</v>
      </c>
      <c r="E3504" s="6" t="s">
        <v>0</v>
      </c>
      <c r="F3504" s="6" t="s">
        <v>26</v>
      </c>
      <c r="G3504" s="6">
        <v>2015</v>
      </c>
      <c r="H3504" s="6">
        <v>10</v>
      </c>
      <c r="I3504" s="10">
        <v>42278</v>
      </c>
      <c r="J3504" s="6">
        <v>3524</v>
      </c>
      <c r="K3504" s="51"/>
      <c r="O3504" t="s">
        <v>3</v>
      </c>
      <c r="P3504" t="s">
        <v>22</v>
      </c>
      <c r="Q3504" t="s">
        <v>5</v>
      </c>
      <c r="R3504" t="s">
        <v>0</v>
      </c>
      <c r="S3504" t="s">
        <v>26</v>
      </c>
      <c r="T3504">
        <v>2015</v>
      </c>
      <c r="U3504">
        <v>10</v>
      </c>
      <c r="V3504" s="51">
        <v>42278</v>
      </c>
      <c r="W3504" s="4">
        <v>3171.5999999999995</v>
      </c>
      <c r="X3504" s="52">
        <v>3524</v>
      </c>
    </row>
    <row r="3505" spans="2:24" x14ac:dyDescent="0.35">
      <c r="B3505" s="6" t="s">
        <v>3</v>
      </c>
      <c r="C3505" s="6" t="s">
        <v>22</v>
      </c>
      <c r="D3505" s="6" t="s">
        <v>5</v>
      </c>
      <c r="E3505" s="6" t="s">
        <v>27</v>
      </c>
      <c r="F3505" s="6" t="s">
        <v>28</v>
      </c>
      <c r="G3505" s="6">
        <v>2015</v>
      </c>
      <c r="H3505" s="6">
        <v>10</v>
      </c>
      <c r="I3505" s="10">
        <v>42278</v>
      </c>
      <c r="J3505" s="6">
        <v>4346</v>
      </c>
      <c r="K3505" s="51"/>
      <c r="O3505" t="s">
        <v>3</v>
      </c>
      <c r="P3505" t="s">
        <v>22</v>
      </c>
      <c r="Q3505" t="s">
        <v>5</v>
      </c>
      <c r="R3505" t="s">
        <v>27</v>
      </c>
      <c r="S3505" t="s">
        <v>28</v>
      </c>
      <c r="T3505">
        <v>2015</v>
      </c>
      <c r="U3505">
        <v>10</v>
      </c>
      <c r="V3505" s="51">
        <v>42278</v>
      </c>
      <c r="W3505" s="4">
        <v>3954.8599999999997</v>
      </c>
      <c r="X3505" s="52">
        <v>4346</v>
      </c>
    </row>
    <row r="3506" spans="2:24" x14ac:dyDescent="0.35">
      <c r="B3506" s="6" t="s">
        <v>6</v>
      </c>
      <c r="C3506" s="6" t="s">
        <v>29</v>
      </c>
      <c r="D3506" s="6" t="s">
        <v>30</v>
      </c>
      <c r="E3506" s="6" t="s">
        <v>27</v>
      </c>
      <c r="F3506" s="6" t="s">
        <v>31</v>
      </c>
      <c r="G3506" s="6">
        <v>2015</v>
      </c>
      <c r="H3506" s="6">
        <v>10</v>
      </c>
      <c r="I3506" s="10">
        <v>42278</v>
      </c>
      <c r="J3506" s="6">
        <v>4927</v>
      </c>
      <c r="K3506" s="51"/>
      <c r="O3506" t="s">
        <v>6</v>
      </c>
      <c r="P3506" t="s">
        <v>29</v>
      </c>
      <c r="Q3506" t="s">
        <v>30</v>
      </c>
      <c r="R3506" t="s">
        <v>27</v>
      </c>
      <c r="S3506" t="s">
        <v>31</v>
      </c>
      <c r="T3506">
        <v>2015</v>
      </c>
      <c r="U3506">
        <v>10</v>
      </c>
      <c r="V3506" s="51">
        <v>42278</v>
      </c>
      <c r="W3506" s="4">
        <v>4631.38</v>
      </c>
      <c r="X3506" s="52">
        <v>4927</v>
      </c>
    </row>
    <row r="3507" spans="2:24" x14ac:dyDescent="0.35">
      <c r="B3507" s="6" t="s">
        <v>7</v>
      </c>
      <c r="C3507" s="6" t="s">
        <v>32</v>
      </c>
      <c r="D3507" s="6" t="s">
        <v>8</v>
      </c>
      <c r="E3507" s="6" t="s">
        <v>27</v>
      </c>
      <c r="F3507" s="6" t="s">
        <v>33</v>
      </c>
      <c r="G3507" s="6">
        <v>2015</v>
      </c>
      <c r="H3507" s="6">
        <v>10</v>
      </c>
      <c r="I3507" s="10">
        <v>42278</v>
      </c>
      <c r="J3507" s="6">
        <v>3424</v>
      </c>
      <c r="K3507" s="51"/>
      <c r="O3507" t="s">
        <v>7</v>
      </c>
      <c r="P3507" t="s">
        <v>32</v>
      </c>
      <c r="Q3507" t="s">
        <v>8</v>
      </c>
      <c r="R3507" t="s">
        <v>27</v>
      </c>
      <c r="S3507" t="s">
        <v>33</v>
      </c>
      <c r="T3507">
        <v>2015</v>
      </c>
      <c r="U3507">
        <v>10</v>
      </c>
      <c r="V3507" s="51">
        <v>42278</v>
      </c>
      <c r="W3507" s="4">
        <v>2910.4000000000005</v>
      </c>
      <c r="X3507" s="52">
        <v>3424</v>
      </c>
    </row>
    <row r="3508" spans="2:24" x14ac:dyDescent="0.35">
      <c r="B3508" s="6" t="s">
        <v>12</v>
      </c>
      <c r="C3508" s="6" t="s">
        <v>34</v>
      </c>
      <c r="D3508" s="6" t="s">
        <v>35</v>
      </c>
      <c r="E3508" s="6" t="s">
        <v>23</v>
      </c>
      <c r="F3508" s="6" t="s">
        <v>36</v>
      </c>
      <c r="G3508" s="6">
        <v>2015</v>
      </c>
      <c r="H3508" s="6">
        <v>10</v>
      </c>
      <c r="I3508" s="10">
        <v>42278</v>
      </c>
      <c r="J3508" s="6">
        <v>2425</v>
      </c>
      <c r="K3508" s="51"/>
      <c r="O3508" t="s">
        <v>12</v>
      </c>
      <c r="P3508" t="s">
        <v>34</v>
      </c>
      <c r="Q3508" t="s">
        <v>35</v>
      </c>
      <c r="R3508" t="s">
        <v>23</v>
      </c>
      <c r="S3508" t="s">
        <v>36</v>
      </c>
      <c r="T3508">
        <v>2015</v>
      </c>
      <c r="U3508">
        <v>10</v>
      </c>
      <c r="V3508" s="51">
        <v>42278</v>
      </c>
      <c r="W3508" s="4">
        <v>2182.5</v>
      </c>
      <c r="X3508" s="52">
        <v>2425</v>
      </c>
    </row>
    <row r="3509" spans="2:24" x14ac:dyDescent="0.35">
      <c r="B3509" s="6" t="s">
        <v>14</v>
      </c>
      <c r="C3509" s="6" t="s">
        <v>37</v>
      </c>
      <c r="D3509" s="6" t="s">
        <v>38</v>
      </c>
      <c r="E3509" s="6" t="s">
        <v>23</v>
      </c>
      <c r="F3509" s="6" t="s">
        <v>24</v>
      </c>
      <c r="G3509" s="6">
        <v>2015</v>
      </c>
      <c r="H3509" s="6">
        <v>10</v>
      </c>
      <c r="I3509" s="10">
        <v>42278</v>
      </c>
      <c r="J3509" s="6">
        <v>1601</v>
      </c>
      <c r="K3509" s="51"/>
      <c r="O3509" t="s">
        <v>14</v>
      </c>
      <c r="P3509" t="s">
        <v>37</v>
      </c>
      <c r="Q3509" t="s">
        <v>38</v>
      </c>
      <c r="R3509" t="s">
        <v>23</v>
      </c>
      <c r="S3509" t="s">
        <v>24</v>
      </c>
      <c r="T3509">
        <v>2015</v>
      </c>
      <c r="U3509">
        <v>10</v>
      </c>
      <c r="V3509" s="51">
        <v>42278</v>
      </c>
      <c r="W3509" s="4">
        <v>1392.8700000000001</v>
      </c>
      <c r="X3509" s="52">
        <v>1601</v>
      </c>
    </row>
    <row r="3510" spans="2:24" x14ac:dyDescent="0.35">
      <c r="B3510" s="6" t="s">
        <v>3</v>
      </c>
      <c r="C3510" s="6" t="s">
        <v>25</v>
      </c>
      <c r="D3510" s="6" t="s">
        <v>4</v>
      </c>
      <c r="E3510" s="6" t="s">
        <v>23</v>
      </c>
      <c r="F3510" s="6" t="s">
        <v>39</v>
      </c>
      <c r="G3510" s="6">
        <v>2015</v>
      </c>
      <c r="H3510" s="6">
        <v>10</v>
      </c>
      <c r="I3510" s="10">
        <v>42278</v>
      </c>
      <c r="J3510" s="6">
        <v>2744</v>
      </c>
      <c r="K3510" s="51"/>
      <c r="O3510" t="s">
        <v>3</v>
      </c>
      <c r="P3510" t="s">
        <v>25</v>
      </c>
      <c r="Q3510" t="s">
        <v>4</v>
      </c>
      <c r="R3510" t="s">
        <v>23</v>
      </c>
      <c r="S3510" t="s">
        <v>39</v>
      </c>
      <c r="T3510">
        <v>2015</v>
      </c>
      <c r="U3510">
        <v>10</v>
      </c>
      <c r="V3510" s="51">
        <v>42278</v>
      </c>
      <c r="W3510" s="4">
        <v>2551.9199999999996</v>
      </c>
      <c r="X3510" s="52">
        <v>2744</v>
      </c>
    </row>
    <row r="3511" spans="2:24" x14ac:dyDescent="0.35">
      <c r="B3511" s="6" t="s">
        <v>6</v>
      </c>
      <c r="C3511" s="6" t="s">
        <v>40</v>
      </c>
      <c r="D3511" s="6" t="s">
        <v>41</v>
      </c>
      <c r="E3511" s="6" t="s">
        <v>0</v>
      </c>
      <c r="F3511" s="6" t="s">
        <v>42</v>
      </c>
      <c r="G3511" s="6">
        <v>2015</v>
      </c>
      <c r="H3511" s="6">
        <v>10</v>
      </c>
      <c r="I3511" s="10">
        <v>42278</v>
      </c>
      <c r="J3511" s="6">
        <v>6531</v>
      </c>
      <c r="K3511" s="51"/>
      <c r="O3511" t="s">
        <v>6</v>
      </c>
      <c r="P3511" t="s">
        <v>40</v>
      </c>
      <c r="Q3511" t="s">
        <v>41</v>
      </c>
      <c r="R3511" t="s">
        <v>0</v>
      </c>
      <c r="S3511" t="s">
        <v>42</v>
      </c>
      <c r="T3511">
        <v>2015</v>
      </c>
      <c r="U3511">
        <v>10</v>
      </c>
      <c r="V3511" s="51">
        <v>42278</v>
      </c>
      <c r="W3511" s="4">
        <v>5551.35</v>
      </c>
      <c r="X3511" s="52">
        <v>6531</v>
      </c>
    </row>
    <row r="3512" spans="2:24" x14ac:dyDescent="0.35">
      <c r="B3512" s="6" t="s">
        <v>7</v>
      </c>
      <c r="C3512" s="6" t="s">
        <v>43</v>
      </c>
      <c r="D3512" s="6" t="s">
        <v>10</v>
      </c>
      <c r="E3512" s="6" t="s">
        <v>0</v>
      </c>
      <c r="F3512" s="6" t="s">
        <v>26</v>
      </c>
      <c r="G3512" s="6">
        <v>2015</v>
      </c>
      <c r="H3512" s="6">
        <v>10</v>
      </c>
      <c r="I3512" s="10">
        <v>42278</v>
      </c>
      <c r="J3512" s="6">
        <v>3501</v>
      </c>
      <c r="K3512" s="51"/>
      <c r="O3512" t="s">
        <v>7</v>
      </c>
      <c r="P3512" t="s">
        <v>43</v>
      </c>
      <c r="Q3512" t="s">
        <v>10</v>
      </c>
      <c r="R3512" t="s">
        <v>0</v>
      </c>
      <c r="S3512" t="s">
        <v>26</v>
      </c>
      <c r="T3512">
        <v>2015</v>
      </c>
      <c r="U3512">
        <v>10</v>
      </c>
      <c r="V3512" s="51">
        <v>42278</v>
      </c>
      <c r="W3512" s="4">
        <v>2975.8500000000004</v>
      </c>
      <c r="X3512" s="52">
        <v>3501</v>
      </c>
    </row>
    <row r="3513" spans="2:24" x14ac:dyDescent="0.35">
      <c r="B3513" s="6" t="s">
        <v>12</v>
      </c>
      <c r="C3513" s="6" t="s">
        <v>44</v>
      </c>
      <c r="D3513" s="6" t="s">
        <v>13</v>
      </c>
      <c r="E3513" s="6" t="s">
        <v>0</v>
      </c>
      <c r="F3513" s="6" t="s">
        <v>45</v>
      </c>
      <c r="G3513" s="6">
        <v>2015</v>
      </c>
      <c r="H3513" s="6">
        <v>10</v>
      </c>
      <c r="I3513" s="10">
        <v>42278</v>
      </c>
      <c r="J3513" s="6">
        <v>2046</v>
      </c>
      <c r="K3513" s="51"/>
      <c r="O3513" t="s">
        <v>12</v>
      </c>
      <c r="P3513" t="s">
        <v>44</v>
      </c>
      <c r="Q3513" t="s">
        <v>13</v>
      </c>
      <c r="R3513" t="s">
        <v>0</v>
      </c>
      <c r="S3513" t="s">
        <v>45</v>
      </c>
      <c r="T3513">
        <v>2015</v>
      </c>
      <c r="U3513">
        <v>10</v>
      </c>
      <c r="V3513" s="51">
        <v>42278</v>
      </c>
      <c r="W3513" s="4">
        <v>1902.7799999999997</v>
      </c>
      <c r="X3513" s="52">
        <v>2046</v>
      </c>
    </row>
    <row r="3514" spans="2:24" x14ac:dyDescent="0.35">
      <c r="B3514" s="6" t="s">
        <v>14</v>
      </c>
      <c r="C3514" s="6" t="s">
        <v>46</v>
      </c>
      <c r="D3514" s="6" t="s">
        <v>47</v>
      </c>
      <c r="E3514" s="6" t="s">
        <v>27</v>
      </c>
      <c r="F3514" s="6" t="s">
        <v>28</v>
      </c>
      <c r="G3514" s="6">
        <v>2015</v>
      </c>
      <c r="H3514" s="6">
        <v>10</v>
      </c>
      <c r="I3514" s="10">
        <v>42278</v>
      </c>
      <c r="J3514" s="6">
        <v>3513</v>
      </c>
      <c r="K3514" s="51"/>
      <c r="O3514" t="s">
        <v>14</v>
      </c>
      <c r="P3514" t="s">
        <v>46</v>
      </c>
      <c r="Q3514" t="s">
        <v>47</v>
      </c>
      <c r="R3514" t="s">
        <v>27</v>
      </c>
      <c r="S3514" t="s">
        <v>28</v>
      </c>
      <c r="T3514">
        <v>2015</v>
      </c>
      <c r="U3514">
        <v>10</v>
      </c>
      <c r="V3514" s="51">
        <v>42278</v>
      </c>
      <c r="W3514" s="4">
        <v>3091.4399999999996</v>
      </c>
      <c r="X3514" s="52">
        <v>3513</v>
      </c>
    </row>
    <row r="3515" spans="2:24" x14ac:dyDescent="0.35">
      <c r="B3515" s="6" t="s">
        <v>3</v>
      </c>
      <c r="C3515" s="6" t="s">
        <v>22</v>
      </c>
      <c r="D3515" s="6" t="s">
        <v>5</v>
      </c>
      <c r="E3515" s="6" t="s">
        <v>27</v>
      </c>
      <c r="F3515" s="6" t="s">
        <v>31</v>
      </c>
      <c r="G3515" s="6">
        <v>2015</v>
      </c>
      <c r="H3515" s="6">
        <v>10</v>
      </c>
      <c r="I3515" s="10">
        <v>42278</v>
      </c>
      <c r="J3515" s="6">
        <v>2947</v>
      </c>
      <c r="K3515" s="51"/>
      <c r="O3515" t="s">
        <v>3</v>
      </c>
      <c r="P3515" t="s">
        <v>22</v>
      </c>
      <c r="Q3515" t="s">
        <v>5</v>
      </c>
      <c r="R3515" t="s">
        <v>27</v>
      </c>
      <c r="S3515" t="s">
        <v>31</v>
      </c>
      <c r="T3515">
        <v>2015</v>
      </c>
      <c r="U3515">
        <v>10</v>
      </c>
      <c r="V3515" s="51">
        <v>42278</v>
      </c>
      <c r="W3515" s="4">
        <v>2534.42</v>
      </c>
      <c r="X3515" s="52">
        <v>2947</v>
      </c>
    </row>
    <row r="3516" spans="2:24" x14ac:dyDescent="0.35">
      <c r="B3516" s="6" t="s">
        <v>6</v>
      </c>
      <c r="C3516" s="6" t="s">
        <v>29</v>
      </c>
      <c r="D3516" s="6" t="s">
        <v>30</v>
      </c>
      <c r="E3516" s="6" t="s">
        <v>27</v>
      </c>
      <c r="F3516" s="6" t="s">
        <v>33</v>
      </c>
      <c r="G3516" s="6">
        <v>2015</v>
      </c>
      <c r="H3516" s="6">
        <v>10</v>
      </c>
      <c r="I3516" s="10">
        <v>42278</v>
      </c>
      <c r="J3516" s="6">
        <v>3983</v>
      </c>
      <c r="K3516" s="51"/>
      <c r="O3516" t="s">
        <v>6</v>
      </c>
      <c r="P3516" t="s">
        <v>29</v>
      </c>
      <c r="Q3516" t="s">
        <v>30</v>
      </c>
      <c r="R3516" t="s">
        <v>27</v>
      </c>
      <c r="S3516" t="s">
        <v>33</v>
      </c>
      <c r="T3516">
        <v>2015</v>
      </c>
      <c r="U3516">
        <v>10</v>
      </c>
      <c r="V3516" s="51">
        <v>42278</v>
      </c>
      <c r="W3516" s="4">
        <v>3744.02</v>
      </c>
      <c r="X3516" s="52">
        <v>3983</v>
      </c>
    </row>
    <row r="3517" spans="2:24" x14ac:dyDescent="0.35">
      <c r="B3517" s="6" t="s">
        <v>7</v>
      </c>
      <c r="C3517" s="6" t="s">
        <v>32</v>
      </c>
      <c r="D3517" s="6" t="s">
        <v>8</v>
      </c>
      <c r="E3517" s="6" t="s">
        <v>23</v>
      </c>
      <c r="F3517" s="6" t="s">
        <v>36</v>
      </c>
      <c r="G3517" s="6">
        <v>2015</v>
      </c>
      <c r="H3517" s="6">
        <v>10</v>
      </c>
      <c r="I3517" s="10">
        <v>42278</v>
      </c>
      <c r="J3517" s="6">
        <v>2992</v>
      </c>
      <c r="K3517" s="51"/>
      <c r="O3517" t="s">
        <v>7</v>
      </c>
      <c r="P3517" t="s">
        <v>32</v>
      </c>
      <c r="Q3517" t="s">
        <v>8</v>
      </c>
      <c r="R3517" t="s">
        <v>23</v>
      </c>
      <c r="S3517" t="s">
        <v>36</v>
      </c>
      <c r="T3517">
        <v>2015</v>
      </c>
      <c r="U3517">
        <v>10</v>
      </c>
      <c r="V3517" s="51">
        <v>42278</v>
      </c>
      <c r="W3517" s="4">
        <v>2692.7999999999997</v>
      </c>
      <c r="X3517" s="52">
        <v>2992</v>
      </c>
    </row>
    <row r="3518" spans="2:24" x14ac:dyDescent="0.35">
      <c r="B3518" s="6" t="s">
        <v>12</v>
      </c>
      <c r="C3518" s="6" t="s">
        <v>34</v>
      </c>
      <c r="D3518" s="6" t="s">
        <v>35</v>
      </c>
      <c r="E3518" s="6" t="s">
        <v>23</v>
      </c>
      <c r="F3518" s="6" t="s">
        <v>24</v>
      </c>
      <c r="G3518" s="6">
        <v>2015</v>
      </c>
      <c r="H3518" s="6">
        <v>10</v>
      </c>
      <c r="I3518" s="10">
        <v>42278</v>
      </c>
      <c r="J3518" s="6">
        <v>2007</v>
      </c>
      <c r="K3518" s="51"/>
      <c r="O3518" t="s">
        <v>12</v>
      </c>
      <c r="P3518" t="s">
        <v>34</v>
      </c>
      <c r="Q3518" t="s">
        <v>35</v>
      </c>
      <c r="R3518" t="s">
        <v>23</v>
      </c>
      <c r="S3518" t="s">
        <v>24</v>
      </c>
      <c r="T3518">
        <v>2015</v>
      </c>
      <c r="U3518">
        <v>10</v>
      </c>
      <c r="V3518" s="51">
        <v>42278</v>
      </c>
      <c r="W3518" s="4">
        <v>1886.58</v>
      </c>
      <c r="X3518" s="52">
        <v>2007</v>
      </c>
    </row>
    <row r="3519" spans="2:24" x14ac:dyDescent="0.35">
      <c r="B3519" s="6" t="s">
        <v>14</v>
      </c>
      <c r="C3519" s="6" t="s">
        <v>37</v>
      </c>
      <c r="D3519" s="6" t="s">
        <v>38</v>
      </c>
      <c r="E3519" s="6" t="s">
        <v>23</v>
      </c>
      <c r="F3519" s="6" t="s">
        <v>39</v>
      </c>
      <c r="G3519" s="6">
        <v>2015</v>
      </c>
      <c r="H3519" s="6">
        <v>10</v>
      </c>
      <c r="I3519" s="10">
        <v>42278</v>
      </c>
      <c r="J3519" s="6">
        <v>1864</v>
      </c>
      <c r="K3519" s="51"/>
      <c r="O3519" t="s">
        <v>14</v>
      </c>
      <c r="P3519" t="s">
        <v>37</v>
      </c>
      <c r="Q3519" t="s">
        <v>38</v>
      </c>
      <c r="R3519" t="s">
        <v>23</v>
      </c>
      <c r="S3519" t="s">
        <v>39</v>
      </c>
      <c r="T3519">
        <v>2015</v>
      </c>
      <c r="U3519">
        <v>10</v>
      </c>
      <c r="V3519" s="51">
        <v>42278</v>
      </c>
      <c r="W3519" s="4">
        <v>1640.3199999999997</v>
      </c>
      <c r="X3519" s="52">
        <v>1864</v>
      </c>
    </row>
    <row r="3520" spans="2:24" x14ac:dyDescent="0.35">
      <c r="B3520" s="6" t="s">
        <v>3</v>
      </c>
      <c r="C3520" s="6" t="s">
        <v>25</v>
      </c>
      <c r="D3520" s="6" t="s">
        <v>4</v>
      </c>
      <c r="E3520" s="6" t="s">
        <v>0</v>
      </c>
      <c r="F3520" s="6" t="s">
        <v>42</v>
      </c>
      <c r="G3520" s="6">
        <v>2015</v>
      </c>
      <c r="H3520" s="6">
        <v>10</v>
      </c>
      <c r="I3520" s="10">
        <v>42278</v>
      </c>
      <c r="J3520" s="6">
        <v>6896</v>
      </c>
      <c r="K3520" s="51"/>
      <c r="O3520" t="s">
        <v>3</v>
      </c>
      <c r="P3520" t="s">
        <v>25</v>
      </c>
      <c r="Q3520" t="s">
        <v>4</v>
      </c>
      <c r="R3520" t="s">
        <v>0</v>
      </c>
      <c r="S3520" t="s">
        <v>42</v>
      </c>
      <c r="T3520">
        <v>2015</v>
      </c>
      <c r="U3520">
        <v>10</v>
      </c>
      <c r="V3520" s="51">
        <v>42278</v>
      </c>
      <c r="W3520" s="4">
        <v>5999.52</v>
      </c>
      <c r="X3520" s="52">
        <v>6896</v>
      </c>
    </row>
    <row r="3521" spans="2:24" x14ac:dyDescent="0.35">
      <c r="B3521" s="6" t="s">
        <v>6</v>
      </c>
      <c r="C3521" s="6" t="s">
        <v>40</v>
      </c>
      <c r="D3521" s="6" t="s">
        <v>41</v>
      </c>
      <c r="E3521" s="6" t="s">
        <v>0</v>
      </c>
      <c r="F3521" s="6" t="s">
        <v>26</v>
      </c>
      <c r="G3521" s="6">
        <v>2015</v>
      </c>
      <c r="H3521" s="6">
        <v>10</v>
      </c>
      <c r="I3521" s="10">
        <v>42278</v>
      </c>
      <c r="J3521" s="6">
        <v>3595</v>
      </c>
      <c r="K3521" s="51"/>
      <c r="O3521" t="s">
        <v>6</v>
      </c>
      <c r="P3521" t="s">
        <v>40</v>
      </c>
      <c r="Q3521" t="s">
        <v>41</v>
      </c>
      <c r="R3521" t="s">
        <v>0</v>
      </c>
      <c r="S3521" t="s">
        <v>26</v>
      </c>
      <c r="T3521">
        <v>2015</v>
      </c>
      <c r="U3521">
        <v>10</v>
      </c>
      <c r="V3521" s="51">
        <v>42278</v>
      </c>
      <c r="W3521" s="4">
        <v>3091.7000000000003</v>
      </c>
      <c r="X3521" s="52">
        <v>3595</v>
      </c>
    </row>
    <row r="3522" spans="2:24" x14ac:dyDescent="0.35">
      <c r="B3522" s="6" t="s">
        <v>7</v>
      </c>
      <c r="C3522" s="6" t="s">
        <v>43</v>
      </c>
      <c r="D3522" s="6" t="s">
        <v>10</v>
      </c>
      <c r="E3522" s="6" t="s">
        <v>0</v>
      </c>
      <c r="F3522" s="6" t="s">
        <v>45</v>
      </c>
      <c r="G3522" s="6">
        <v>2015</v>
      </c>
      <c r="H3522" s="6">
        <v>10</v>
      </c>
      <c r="I3522" s="10">
        <v>42278</v>
      </c>
      <c r="J3522" s="6">
        <v>3350</v>
      </c>
      <c r="K3522" s="51"/>
      <c r="O3522" t="s">
        <v>7</v>
      </c>
      <c r="P3522" t="s">
        <v>43</v>
      </c>
      <c r="Q3522" t="s">
        <v>10</v>
      </c>
      <c r="R3522" t="s">
        <v>0</v>
      </c>
      <c r="S3522" t="s">
        <v>45</v>
      </c>
      <c r="T3522">
        <v>2015</v>
      </c>
      <c r="U3522">
        <v>10</v>
      </c>
      <c r="V3522" s="51">
        <v>42278</v>
      </c>
      <c r="W3522" s="4">
        <v>3048.4999999999995</v>
      </c>
      <c r="X3522" s="52">
        <v>3350</v>
      </c>
    </row>
    <row r="3523" spans="2:24" x14ac:dyDescent="0.35">
      <c r="B3523" s="6" t="s">
        <v>12</v>
      </c>
      <c r="C3523" s="6" t="s">
        <v>44</v>
      </c>
      <c r="D3523" s="6" t="s">
        <v>13</v>
      </c>
      <c r="E3523" s="6" t="s">
        <v>27</v>
      </c>
      <c r="F3523" s="6" t="s">
        <v>28</v>
      </c>
      <c r="G3523" s="6">
        <v>2015</v>
      </c>
      <c r="H3523" s="6">
        <v>10</v>
      </c>
      <c r="I3523" s="10">
        <v>42278</v>
      </c>
      <c r="J3523" s="6">
        <v>4493</v>
      </c>
      <c r="K3523" s="51"/>
      <c r="O3523" t="s">
        <v>12</v>
      </c>
      <c r="P3523" t="s">
        <v>44</v>
      </c>
      <c r="Q3523" t="s">
        <v>13</v>
      </c>
      <c r="R3523" t="s">
        <v>27</v>
      </c>
      <c r="S3523" t="s">
        <v>28</v>
      </c>
      <c r="T3523">
        <v>2015</v>
      </c>
      <c r="U3523">
        <v>10</v>
      </c>
      <c r="V3523" s="51">
        <v>42278</v>
      </c>
      <c r="W3523" s="4">
        <v>4088.6299999999997</v>
      </c>
      <c r="X3523" s="52">
        <v>4493</v>
      </c>
    </row>
    <row r="3524" spans="2:24" x14ac:dyDescent="0.35">
      <c r="B3524" s="6" t="s">
        <v>14</v>
      </c>
      <c r="C3524" s="6" t="s">
        <v>46</v>
      </c>
      <c r="D3524" s="6" t="s">
        <v>47</v>
      </c>
      <c r="E3524" s="6" t="s">
        <v>27</v>
      </c>
      <c r="F3524" s="6" t="s">
        <v>31</v>
      </c>
      <c r="G3524" s="6">
        <v>2015</v>
      </c>
      <c r="H3524" s="6">
        <v>10</v>
      </c>
      <c r="I3524" s="10">
        <v>42278</v>
      </c>
      <c r="J3524" s="6">
        <v>4469</v>
      </c>
      <c r="K3524" s="51"/>
      <c r="O3524" t="s">
        <v>14</v>
      </c>
      <c r="P3524" t="s">
        <v>46</v>
      </c>
      <c r="Q3524" t="s">
        <v>47</v>
      </c>
      <c r="R3524" t="s">
        <v>27</v>
      </c>
      <c r="S3524" t="s">
        <v>31</v>
      </c>
      <c r="T3524">
        <v>2015</v>
      </c>
      <c r="U3524">
        <v>10</v>
      </c>
      <c r="V3524" s="51">
        <v>42278</v>
      </c>
      <c r="W3524" s="4">
        <v>4200.8599999999997</v>
      </c>
      <c r="X3524" s="52">
        <v>4469</v>
      </c>
    </row>
    <row r="3525" spans="2:24" x14ac:dyDescent="0.35">
      <c r="B3525" s="6" t="s">
        <v>3</v>
      </c>
      <c r="C3525" s="6" t="s">
        <v>22</v>
      </c>
      <c r="D3525" s="6" t="s">
        <v>5</v>
      </c>
      <c r="E3525" s="6" t="s">
        <v>27</v>
      </c>
      <c r="F3525" s="6" t="s">
        <v>33</v>
      </c>
      <c r="G3525" s="6">
        <v>2015</v>
      </c>
      <c r="H3525" s="6">
        <v>10</v>
      </c>
      <c r="I3525" s="10">
        <v>42278</v>
      </c>
      <c r="J3525" s="6">
        <v>3373</v>
      </c>
      <c r="K3525" s="51"/>
      <c r="O3525" t="s">
        <v>3</v>
      </c>
      <c r="P3525" t="s">
        <v>22</v>
      </c>
      <c r="Q3525" t="s">
        <v>5</v>
      </c>
      <c r="R3525" t="s">
        <v>27</v>
      </c>
      <c r="S3525" t="s">
        <v>33</v>
      </c>
      <c r="T3525">
        <v>2015</v>
      </c>
      <c r="U3525">
        <v>10</v>
      </c>
      <c r="V3525" s="51">
        <v>42278</v>
      </c>
      <c r="W3525" s="4">
        <v>3069.43</v>
      </c>
      <c r="X3525" s="52">
        <v>3373</v>
      </c>
    </row>
    <row r="3526" spans="2:24" x14ac:dyDescent="0.35">
      <c r="B3526" s="6" t="s">
        <v>6</v>
      </c>
      <c r="C3526" s="6" t="s">
        <v>29</v>
      </c>
      <c r="D3526" s="6" t="s">
        <v>30</v>
      </c>
      <c r="E3526" s="6" t="s">
        <v>23</v>
      </c>
      <c r="F3526" s="6" t="s">
        <v>36</v>
      </c>
      <c r="G3526" s="6">
        <v>2015</v>
      </c>
      <c r="H3526" s="6">
        <v>10</v>
      </c>
      <c r="I3526" s="10">
        <v>42278</v>
      </c>
      <c r="J3526" s="6">
        <v>1741</v>
      </c>
      <c r="K3526" s="51"/>
      <c r="O3526" t="s">
        <v>6</v>
      </c>
      <c r="P3526" t="s">
        <v>29</v>
      </c>
      <c r="Q3526" t="s">
        <v>30</v>
      </c>
      <c r="R3526" t="s">
        <v>23</v>
      </c>
      <c r="S3526" t="s">
        <v>36</v>
      </c>
      <c r="T3526">
        <v>2015</v>
      </c>
      <c r="U3526">
        <v>10</v>
      </c>
      <c r="V3526" s="51">
        <v>42278</v>
      </c>
      <c r="W3526" s="4">
        <v>1549.4899999999998</v>
      </c>
      <c r="X3526" s="52">
        <v>1741</v>
      </c>
    </row>
    <row r="3527" spans="2:24" x14ac:dyDescent="0.35">
      <c r="B3527" s="6" t="s">
        <v>7</v>
      </c>
      <c r="C3527" s="6" t="s">
        <v>32</v>
      </c>
      <c r="D3527" s="6" t="s">
        <v>8</v>
      </c>
      <c r="E3527" s="6" t="s">
        <v>23</v>
      </c>
      <c r="F3527" s="6" t="s">
        <v>24</v>
      </c>
      <c r="G3527" s="6">
        <v>2015</v>
      </c>
      <c r="H3527" s="6">
        <v>10</v>
      </c>
      <c r="I3527" s="10">
        <v>42278</v>
      </c>
      <c r="J3527" s="6">
        <v>2333</v>
      </c>
      <c r="K3527" s="51"/>
      <c r="O3527" t="s">
        <v>7</v>
      </c>
      <c r="P3527" t="s">
        <v>32</v>
      </c>
      <c r="Q3527" t="s">
        <v>8</v>
      </c>
      <c r="R3527" t="s">
        <v>23</v>
      </c>
      <c r="S3527" t="s">
        <v>24</v>
      </c>
      <c r="T3527">
        <v>2015</v>
      </c>
      <c r="U3527">
        <v>10</v>
      </c>
      <c r="V3527" s="51">
        <v>42278</v>
      </c>
      <c r="W3527" s="4">
        <v>2006.38</v>
      </c>
      <c r="X3527" s="52">
        <v>2333</v>
      </c>
    </row>
    <row r="3528" spans="2:24" x14ac:dyDescent="0.35">
      <c r="B3528" s="6" t="s">
        <v>12</v>
      </c>
      <c r="C3528" s="6" t="s">
        <v>34</v>
      </c>
      <c r="D3528" s="6" t="s">
        <v>35</v>
      </c>
      <c r="E3528" s="6" t="s">
        <v>23</v>
      </c>
      <c r="F3528" s="6" t="s">
        <v>39</v>
      </c>
      <c r="G3528" s="6">
        <v>2015</v>
      </c>
      <c r="H3528" s="6">
        <v>10</v>
      </c>
      <c r="I3528" s="10">
        <v>42278</v>
      </c>
      <c r="J3528" s="6">
        <v>1203</v>
      </c>
      <c r="K3528" s="51"/>
      <c r="O3528" t="s">
        <v>12</v>
      </c>
      <c r="P3528" t="s">
        <v>34</v>
      </c>
      <c r="Q3528" t="s">
        <v>35</v>
      </c>
      <c r="R3528" t="s">
        <v>23</v>
      </c>
      <c r="S3528" t="s">
        <v>39</v>
      </c>
      <c r="T3528">
        <v>2015</v>
      </c>
      <c r="U3528">
        <v>10</v>
      </c>
      <c r="V3528" s="51">
        <v>42278</v>
      </c>
      <c r="W3528" s="4">
        <v>1130.82</v>
      </c>
      <c r="X3528" s="52">
        <v>1203</v>
      </c>
    </row>
    <row r="3529" spans="2:24" x14ac:dyDescent="0.35">
      <c r="B3529" s="6" t="s">
        <v>14</v>
      </c>
      <c r="C3529" s="6" t="s">
        <v>37</v>
      </c>
      <c r="D3529" s="6" t="s">
        <v>38</v>
      </c>
      <c r="E3529" s="6" t="s">
        <v>0</v>
      </c>
      <c r="F3529" s="6" t="s">
        <v>42</v>
      </c>
      <c r="G3529" s="6">
        <v>2015</v>
      </c>
      <c r="H3529" s="6">
        <v>10</v>
      </c>
      <c r="I3529" s="10">
        <v>42278</v>
      </c>
      <c r="J3529" s="6">
        <v>6782</v>
      </c>
      <c r="K3529" s="51"/>
      <c r="O3529" t="s">
        <v>14</v>
      </c>
      <c r="P3529" t="s">
        <v>37</v>
      </c>
      <c r="Q3529" t="s">
        <v>38</v>
      </c>
      <c r="R3529" t="s">
        <v>0</v>
      </c>
      <c r="S3529" t="s">
        <v>42</v>
      </c>
      <c r="T3529">
        <v>2015</v>
      </c>
      <c r="U3529">
        <v>10</v>
      </c>
      <c r="V3529" s="51">
        <v>42278</v>
      </c>
      <c r="W3529" s="4">
        <v>5968.1599999999989</v>
      </c>
      <c r="X3529" s="52">
        <v>6782</v>
      </c>
    </row>
    <row r="3530" spans="2:24" x14ac:dyDescent="0.35">
      <c r="B3530" s="6" t="s">
        <v>6</v>
      </c>
      <c r="C3530" s="6" t="s">
        <v>29</v>
      </c>
      <c r="D3530" s="6" t="s">
        <v>30</v>
      </c>
      <c r="E3530" s="6" t="s">
        <v>0</v>
      </c>
      <c r="F3530" s="6" t="s">
        <v>45</v>
      </c>
      <c r="G3530" s="6">
        <v>2015</v>
      </c>
      <c r="H3530" s="6">
        <v>10</v>
      </c>
      <c r="I3530" s="10">
        <v>42278</v>
      </c>
      <c r="J3530" s="6">
        <v>4106</v>
      </c>
      <c r="K3530" s="51"/>
      <c r="O3530" t="s">
        <v>6</v>
      </c>
      <c r="P3530" t="s">
        <v>29</v>
      </c>
      <c r="Q3530" t="s">
        <v>30</v>
      </c>
      <c r="R3530" t="s">
        <v>0</v>
      </c>
      <c r="S3530" t="s">
        <v>45</v>
      </c>
      <c r="T3530">
        <v>2015</v>
      </c>
      <c r="U3530">
        <v>10</v>
      </c>
      <c r="V3530" s="51">
        <v>42278</v>
      </c>
      <c r="W3530" s="4">
        <v>3654.3399999999997</v>
      </c>
      <c r="X3530" s="52">
        <v>4106</v>
      </c>
    </row>
    <row r="3531" spans="2:24" x14ac:dyDescent="0.35">
      <c r="B3531" s="6" t="s">
        <v>7</v>
      </c>
      <c r="C3531" s="6" t="s">
        <v>43</v>
      </c>
      <c r="D3531" s="6" t="s">
        <v>10</v>
      </c>
      <c r="E3531" s="6" t="s">
        <v>27</v>
      </c>
      <c r="F3531" s="6" t="s">
        <v>28</v>
      </c>
      <c r="G3531" s="6">
        <v>2015</v>
      </c>
      <c r="H3531" s="6">
        <v>10</v>
      </c>
      <c r="I3531" s="10">
        <v>42278</v>
      </c>
      <c r="J3531" s="6">
        <v>4233</v>
      </c>
      <c r="K3531" s="51"/>
      <c r="O3531" t="s">
        <v>7</v>
      </c>
      <c r="P3531" t="s">
        <v>43</v>
      </c>
      <c r="Q3531" t="s">
        <v>10</v>
      </c>
      <c r="R3531" t="s">
        <v>27</v>
      </c>
      <c r="S3531" t="s">
        <v>28</v>
      </c>
      <c r="T3531">
        <v>2015</v>
      </c>
      <c r="U3531">
        <v>10</v>
      </c>
      <c r="V3531" s="51">
        <v>42278</v>
      </c>
      <c r="W3531" s="4">
        <v>3598.05</v>
      </c>
      <c r="X3531" s="52">
        <v>4233</v>
      </c>
    </row>
    <row r="3532" spans="2:24" x14ac:dyDescent="0.35">
      <c r="B3532" s="6" t="s">
        <v>12</v>
      </c>
      <c r="C3532" s="6" t="s">
        <v>44</v>
      </c>
      <c r="D3532" s="6" t="s">
        <v>13</v>
      </c>
      <c r="E3532" s="6" t="s">
        <v>27</v>
      </c>
      <c r="F3532" s="6" t="s">
        <v>31</v>
      </c>
      <c r="G3532" s="6">
        <v>2015</v>
      </c>
      <c r="H3532" s="6">
        <v>10</v>
      </c>
      <c r="I3532" s="10">
        <v>42278</v>
      </c>
      <c r="J3532" s="6">
        <v>3157</v>
      </c>
      <c r="K3532" s="51"/>
      <c r="O3532" t="s">
        <v>12</v>
      </c>
      <c r="P3532" t="s">
        <v>44</v>
      </c>
      <c r="Q3532" t="s">
        <v>13</v>
      </c>
      <c r="R3532" t="s">
        <v>27</v>
      </c>
      <c r="S3532" t="s">
        <v>31</v>
      </c>
      <c r="T3532">
        <v>2015</v>
      </c>
      <c r="U3532">
        <v>10</v>
      </c>
      <c r="V3532" s="51">
        <v>42278</v>
      </c>
      <c r="W3532" s="4">
        <v>2872.87</v>
      </c>
      <c r="X3532" s="52">
        <v>3157</v>
      </c>
    </row>
    <row r="3533" spans="2:24" x14ac:dyDescent="0.35">
      <c r="B3533" s="6" t="s">
        <v>14</v>
      </c>
      <c r="C3533" s="6" t="s">
        <v>46</v>
      </c>
      <c r="D3533" s="6" t="s">
        <v>47</v>
      </c>
      <c r="E3533" s="6" t="s">
        <v>27</v>
      </c>
      <c r="F3533" s="6" t="s">
        <v>33</v>
      </c>
      <c r="G3533" s="6">
        <v>2015</v>
      </c>
      <c r="H3533" s="6">
        <v>10</v>
      </c>
      <c r="I3533" s="10">
        <v>42278</v>
      </c>
      <c r="J3533" s="6">
        <v>2974</v>
      </c>
      <c r="K3533" s="51"/>
      <c r="O3533" t="s">
        <v>14</v>
      </c>
      <c r="P3533" t="s">
        <v>46</v>
      </c>
      <c r="Q3533" t="s">
        <v>47</v>
      </c>
      <c r="R3533" t="s">
        <v>27</v>
      </c>
      <c r="S3533" t="s">
        <v>33</v>
      </c>
      <c r="T3533">
        <v>2015</v>
      </c>
      <c r="U3533">
        <v>10</v>
      </c>
      <c r="V3533" s="51">
        <v>42278</v>
      </c>
      <c r="W3533" s="4">
        <v>2795.56</v>
      </c>
      <c r="X3533" s="52">
        <v>2974</v>
      </c>
    </row>
    <row r="3534" spans="2:24" x14ac:dyDescent="0.35">
      <c r="B3534" s="6" t="s">
        <v>3</v>
      </c>
      <c r="C3534" s="6" t="s">
        <v>22</v>
      </c>
      <c r="D3534" s="6" t="s">
        <v>5</v>
      </c>
      <c r="E3534" s="6" t="s">
        <v>23</v>
      </c>
      <c r="F3534" s="6" t="s">
        <v>36</v>
      </c>
      <c r="G3534" s="6">
        <v>2015</v>
      </c>
      <c r="H3534" s="6">
        <v>10</v>
      </c>
      <c r="I3534" s="10">
        <v>42278</v>
      </c>
      <c r="J3534" s="6">
        <v>1752</v>
      </c>
      <c r="K3534" s="51"/>
      <c r="O3534" t="s">
        <v>3</v>
      </c>
      <c r="P3534" t="s">
        <v>22</v>
      </c>
      <c r="Q3534" t="s">
        <v>5</v>
      </c>
      <c r="R3534" t="s">
        <v>23</v>
      </c>
      <c r="S3534" t="s">
        <v>36</v>
      </c>
      <c r="T3534">
        <v>2015</v>
      </c>
      <c r="U3534">
        <v>10</v>
      </c>
      <c r="V3534" s="51">
        <v>42278</v>
      </c>
      <c r="W3534" s="4">
        <v>1576.7999999999997</v>
      </c>
      <c r="X3534" s="52">
        <v>1752</v>
      </c>
    </row>
    <row r="3535" spans="2:24" x14ac:dyDescent="0.35">
      <c r="B3535" s="6" t="s">
        <v>6</v>
      </c>
      <c r="C3535" s="6" t="s">
        <v>40</v>
      </c>
      <c r="D3535" s="6" t="s">
        <v>41</v>
      </c>
      <c r="E3535" s="6" t="s">
        <v>23</v>
      </c>
      <c r="F3535" s="6" t="s">
        <v>24</v>
      </c>
      <c r="G3535" s="6">
        <v>2015</v>
      </c>
      <c r="H3535" s="6">
        <v>10</v>
      </c>
      <c r="I3535" s="10">
        <v>42278</v>
      </c>
      <c r="J3535" s="6">
        <v>1593</v>
      </c>
      <c r="K3535" s="51"/>
      <c r="O3535" t="s">
        <v>6</v>
      </c>
      <c r="P3535" t="s">
        <v>40</v>
      </c>
      <c r="Q3535" t="s">
        <v>41</v>
      </c>
      <c r="R3535" t="s">
        <v>23</v>
      </c>
      <c r="S3535" t="s">
        <v>24</v>
      </c>
      <c r="T3535">
        <v>2015</v>
      </c>
      <c r="U3535">
        <v>10</v>
      </c>
      <c r="V3535" s="51">
        <v>42278</v>
      </c>
      <c r="W3535" s="4">
        <v>1417.7699999999998</v>
      </c>
      <c r="X3535" s="52">
        <v>1593</v>
      </c>
    </row>
    <row r="3536" spans="2:24" x14ac:dyDescent="0.35">
      <c r="B3536" s="6" t="s">
        <v>7</v>
      </c>
      <c r="C3536" s="6" t="s">
        <v>32</v>
      </c>
      <c r="D3536" s="6" t="s">
        <v>8</v>
      </c>
      <c r="E3536" s="6" t="s">
        <v>23</v>
      </c>
      <c r="F3536" s="6" t="s">
        <v>39</v>
      </c>
      <c r="G3536" s="6">
        <v>2015</v>
      </c>
      <c r="H3536" s="6">
        <v>10</v>
      </c>
      <c r="I3536" s="10">
        <v>42278</v>
      </c>
      <c r="J3536" s="6">
        <v>2610</v>
      </c>
      <c r="K3536" s="51"/>
      <c r="O3536" t="s">
        <v>7</v>
      </c>
      <c r="P3536" t="s">
        <v>32</v>
      </c>
      <c r="Q3536" t="s">
        <v>8</v>
      </c>
      <c r="R3536" t="s">
        <v>23</v>
      </c>
      <c r="S3536" t="s">
        <v>39</v>
      </c>
      <c r="T3536">
        <v>2015</v>
      </c>
      <c r="U3536">
        <v>10</v>
      </c>
      <c r="V3536" s="51">
        <v>42278</v>
      </c>
      <c r="W3536" s="4">
        <v>2427.2999999999997</v>
      </c>
      <c r="X3536" s="52">
        <v>2610</v>
      </c>
    </row>
    <row r="3537" spans="2:24" x14ac:dyDescent="0.35">
      <c r="B3537" s="6" t="s">
        <v>12</v>
      </c>
      <c r="C3537" s="6" t="s">
        <v>34</v>
      </c>
      <c r="D3537" s="6" t="s">
        <v>35</v>
      </c>
      <c r="E3537" s="6" t="s">
        <v>0</v>
      </c>
      <c r="F3537" s="6" t="s">
        <v>42</v>
      </c>
      <c r="G3537" s="6">
        <v>2015</v>
      </c>
      <c r="H3537" s="6">
        <v>10</v>
      </c>
      <c r="I3537" s="10">
        <v>42278</v>
      </c>
      <c r="J3537" s="6">
        <v>4415</v>
      </c>
      <c r="K3537" s="51"/>
      <c r="O3537" t="s">
        <v>12</v>
      </c>
      <c r="P3537" t="s">
        <v>34</v>
      </c>
      <c r="Q3537" t="s">
        <v>35</v>
      </c>
      <c r="R3537" t="s">
        <v>0</v>
      </c>
      <c r="S3537" t="s">
        <v>42</v>
      </c>
      <c r="T3537">
        <v>2015</v>
      </c>
      <c r="U3537">
        <v>10</v>
      </c>
      <c r="V3537" s="51">
        <v>42278</v>
      </c>
      <c r="W3537" s="4">
        <v>3929.3499999999995</v>
      </c>
      <c r="X3537" s="52">
        <v>4415</v>
      </c>
    </row>
    <row r="3538" spans="2:24" x14ac:dyDescent="0.35">
      <c r="B3538" s="6" t="s">
        <v>14</v>
      </c>
      <c r="C3538" s="6" t="s">
        <v>37</v>
      </c>
      <c r="D3538" s="6" t="s">
        <v>38</v>
      </c>
      <c r="E3538" s="6" t="s">
        <v>0</v>
      </c>
      <c r="F3538" s="6" t="s">
        <v>26</v>
      </c>
      <c r="G3538" s="6">
        <v>2015</v>
      </c>
      <c r="H3538" s="6">
        <v>10</v>
      </c>
      <c r="I3538" s="10">
        <v>42278</v>
      </c>
      <c r="J3538" s="6">
        <v>4394</v>
      </c>
      <c r="K3538" s="51"/>
      <c r="O3538" t="s">
        <v>14</v>
      </c>
      <c r="P3538" t="s">
        <v>37</v>
      </c>
      <c r="Q3538" t="s">
        <v>38</v>
      </c>
      <c r="R3538" t="s">
        <v>0</v>
      </c>
      <c r="S3538" t="s">
        <v>26</v>
      </c>
      <c r="T3538">
        <v>2015</v>
      </c>
      <c r="U3538">
        <v>10</v>
      </c>
      <c r="V3538" s="51">
        <v>42278</v>
      </c>
      <c r="W3538" s="4">
        <v>4042.4799999999996</v>
      </c>
      <c r="X3538" s="52">
        <v>4394</v>
      </c>
    </row>
    <row r="3539" spans="2:24" x14ac:dyDescent="0.35">
      <c r="B3539" s="6" t="s">
        <v>3</v>
      </c>
      <c r="C3539" s="6" t="s">
        <v>25</v>
      </c>
      <c r="D3539" s="6" t="s">
        <v>4</v>
      </c>
      <c r="E3539" s="6" t="s">
        <v>0</v>
      </c>
      <c r="F3539" s="6" t="s">
        <v>45</v>
      </c>
      <c r="G3539" s="6">
        <v>2015</v>
      </c>
      <c r="H3539" s="6">
        <v>10</v>
      </c>
      <c r="I3539" s="10">
        <v>42278</v>
      </c>
      <c r="J3539" s="6">
        <v>2108</v>
      </c>
      <c r="K3539" s="51"/>
      <c r="O3539" t="s">
        <v>3</v>
      </c>
      <c r="P3539" t="s">
        <v>25</v>
      </c>
      <c r="Q3539" t="s">
        <v>4</v>
      </c>
      <c r="R3539" t="s">
        <v>0</v>
      </c>
      <c r="S3539" t="s">
        <v>45</v>
      </c>
      <c r="T3539">
        <v>2015</v>
      </c>
      <c r="U3539">
        <v>10</v>
      </c>
      <c r="V3539" s="51">
        <v>42278</v>
      </c>
      <c r="W3539" s="4">
        <v>1897.1999999999998</v>
      </c>
      <c r="X3539" s="52">
        <v>2108</v>
      </c>
    </row>
    <row r="3540" spans="2:24" x14ac:dyDescent="0.35">
      <c r="B3540" s="6" t="s">
        <v>6</v>
      </c>
      <c r="C3540" s="6" t="s">
        <v>29</v>
      </c>
      <c r="D3540" s="6" t="s">
        <v>30</v>
      </c>
      <c r="E3540" s="6" t="s">
        <v>27</v>
      </c>
      <c r="F3540" s="6" t="s">
        <v>28</v>
      </c>
      <c r="G3540" s="6">
        <v>2015</v>
      </c>
      <c r="H3540" s="6">
        <v>10</v>
      </c>
      <c r="I3540" s="10">
        <v>42278</v>
      </c>
      <c r="J3540" s="6">
        <v>4265</v>
      </c>
      <c r="K3540" s="51"/>
      <c r="O3540" t="s">
        <v>6</v>
      </c>
      <c r="P3540" t="s">
        <v>29</v>
      </c>
      <c r="Q3540" t="s">
        <v>30</v>
      </c>
      <c r="R3540" t="s">
        <v>27</v>
      </c>
      <c r="S3540" t="s">
        <v>28</v>
      </c>
      <c r="T3540">
        <v>2015</v>
      </c>
      <c r="U3540">
        <v>10</v>
      </c>
      <c r="V3540" s="51">
        <v>42278</v>
      </c>
      <c r="W3540" s="4">
        <v>3710.55</v>
      </c>
      <c r="X3540" s="52">
        <v>4265</v>
      </c>
    </row>
    <row r="3541" spans="2:24" x14ac:dyDescent="0.35">
      <c r="B3541" s="6" t="s">
        <v>7</v>
      </c>
      <c r="C3541" s="6" t="s">
        <v>43</v>
      </c>
      <c r="D3541" s="6" t="s">
        <v>10</v>
      </c>
      <c r="E3541" s="6" t="s">
        <v>27</v>
      </c>
      <c r="F3541" s="6" t="s">
        <v>31</v>
      </c>
      <c r="G3541" s="6">
        <v>2015</v>
      </c>
      <c r="H3541" s="6">
        <v>10</v>
      </c>
      <c r="I3541" s="10">
        <v>42278</v>
      </c>
      <c r="J3541" s="6">
        <v>2946</v>
      </c>
      <c r="K3541" s="51"/>
      <c r="O3541" t="s">
        <v>7</v>
      </c>
      <c r="P3541" t="s">
        <v>43</v>
      </c>
      <c r="Q3541" t="s">
        <v>10</v>
      </c>
      <c r="R3541" t="s">
        <v>27</v>
      </c>
      <c r="S3541" t="s">
        <v>31</v>
      </c>
      <c r="T3541">
        <v>2015</v>
      </c>
      <c r="U3541">
        <v>10</v>
      </c>
      <c r="V3541" s="51">
        <v>42278</v>
      </c>
      <c r="W3541" s="4">
        <v>2621.9399999999996</v>
      </c>
      <c r="X3541" s="52">
        <v>2946</v>
      </c>
    </row>
    <row r="3542" spans="2:24" x14ac:dyDescent="0.35">
      <c r="B3542" s="6" t="s">
        <v>12</v>
      </c>
      <c r="C3542" s="6" t="s">
        <v>44</v>
      </c>
      <c r="D3542" s="6" t="s">
        <v>13</v>
      </c>
      <c r="E3542" s="6" t="s">
        <v>27</v>
      </c>
      <c r="F3542" s="6" t="s">
        <v>33</v>
      </c>
      <c r="G3542" s="6">
        <v>2015</v>
      </c>
      <c r="H3542" s="6">
        <v>10</v>
      </c>
      <c r="I3542" s="10">
        <v>42278</v>
      </c>
      <c r="J3542" s="6">
        <v>3190</v>
      </c>
      <c r="K3542" s="51"/>
      <c r="O3542" t="s">
        <v>12</v>
      </c>
      <c r="P3542" t="s">
        <v>44</v>
      </c>
      <c r="Q3542" t="s">
        <v>13</v>
      </c>
      <c r="R3542" t="s">
        <v>27</v>
      </c>
      <c r="S3542" t="s">
        <v>33</v>
      </c>
      <c r="T3542">
        <v>2015</v>
      </c>
      <c r="U3542">
        <v>10</v>
      </c>
      <c r="V3542" s="51">
        <v>42278</v>
      </c>
      <c r="W3542" s="4">
        <v>2870.9999999999995</v>
      </c>
      <c r="X3542" s="52">
        <v>3190</v>
      </c>
    </row>
    <row r="3543" spans="2:24" x14ac:dyDescent="0.35">
      <c r="B3543" s="6" t="s">
        <v>14</v>
      </c>
      <c r="C3543" s="6" t="s">
        <v>46</v>
      </c>
      <c r="D3543" s="6" t="s">
        <v>47</v>
      </c>
      <c r="E3543" s="6" t="s">
        <v>23</v>
      </c>
      <c r="F3543" s="6" t="s">
        <v>36</v>
      </c>
      <c r="G3543" s="6">
        <v>2015</v>
      </c>
      <c r="H3543" s="6">
        <v>10</v>
      </c>
      <c r="I3543" s="10">
        <v>42278</v>
      </c>
      <c r="J3543" s="6">
        <v>1640</v>
      </c>
      <c r="K3543" s="51"/>
      <c r="O3543" t="s">
        <v>14</v>
      </c>
      <c r="P3543" t="s">
        <v>46</v>
      </c>
      <c r="Q3543" t="s">
        <v>47</v>
      </c>
      <c r="R3543" t="s">
        <v>23</v>
      </c>
      <c r="S3543" t="s">
        <v>36</v>
      </c>
      <c r="T3543">
        <v>2015</v>
      </c>
      <c r="U3543">
        <v>10</v>
      </c>
      <c r="V3543" s="51">
        <v>42278</v>
      </c>
      <c r="W3543" s="4">
        <v>1443.1999999999998</v>
      </c>
      <c r="X3543" s="52">
        <v>1640</v>
      </c>
    </row>
    <row r="3544" spans="2:24" x14ac:dyDescent="0.35">
      <c r="B3544" s="6" t="s">
        <v>6</v>
      </c>
      <c r="C3544" s="6" t="s">
        <v>29</v>
      </c>
      <c r="D3544" s="6" t="s">
        <v>30</v>
      </c>
      <c r="E3544" s="6" t="s">
        <v>23</v>
      </c>
      <c r="F3544" s="6" t="s">
        <v>39</v>
      </c>
      <c r="G3544" s="6">
        <v>2015</v>
      </c>
      <c r="H3544" s="6">
        <v>10</v>
      </c>
      <c r="I3544" s="10">
        <v>42278</v>
      </c>
      <c r="J3544" s="6">
        <v>2783</v>
      </c>
      <c r="K3544" s="51"/>
      <c r="O3544" t="s">
        <v>6</v>
      </c>
      <c r="P3544" t="s">
        <v>29</v>
      </c>
      <c r="Q3544" t="s">
        <v>30</v>
      </c>
      <c r="R3544" t="s">
        <v>23</v>
      </c>
      <c r="S3544" t="s">
        <v>39</v>
      </c>
      <c r="T3544">
        <v>2015</v>
      </c>
      <c r="U3544">
        <v>10</v>
      </c>
      <c r="V3544" s="51">
        <v>42278</v>
      </c>
      <c r="W3544" s="4">
        <v>2532.5299999999997</v>
      </c>
      <c r="X3544" s="52">
        <v>2783</v>
      </c>
    </row>
    <row r="3545" spans="2:24" x14ac:dyDescent="0.35">
      <c r="B3545" s="6" t="s">
        <v>7</v>
      </c>
      <c r="C3545" s="6" t="s">
        <v>32</v>
      </c>
      <c r="D3545" s="6" t="s">
        <v>8</v>
      </c>
      <c r="E3545" s="6" t="s">
        <v>0</v>
      </c>
      <c r="F3545" s="6" t="s">
        <v>42</v>
      </c>
      <c r="G3545" s="6">
        <v>2015</v>
      </c>
      <c r="H3545" s="6">
        <v>10</v>
      </c>
      <c r="I3545" s="10">
        <v>42278</v>
      </c>
      <c r="J3545" s="6">
        <v>6934</v>
      </c>
      <c r="K3545" s="51"/>
      <c r="O3545" t="s">
        <v>7</v>
      </c>
      <c r="P3545" t="s">
        <v>32</v>
      </c>
      <c r="Q3545" t="s">
        <v>8</v>
      </c>
      <c r="R3545" t="s">
        <v>0</v>
      </c>
      <c r="S3545" t="s">
        <v>42</v>
      </c>
      <c r="T3545">
        <v>2015</v>
      </c>
      <c r="U3545">
        <v>10</v>
      </c>
      <c r="V3545" s="51">
        <v>42278</v>
      </c>
      <c r="W3545" s="4">
        <v>6309.94</v>
      </c>
      <c r="X3545" s="52">
        <v>6934</v>
      </c>
    </row>
    <row r="3546" spans="2:24" x14ac:dyDescent="0.35">
      <c r="B3546" s="6" t="s">
        <v>12</v>
      </c>
      <c r="C3546" s="6" t="s">
        <v>44</v>
      </c>
      <c r="D3546" s="6" t="s">
        <v>13</v>
      </c>
      <c r="E3546" s="6" t="s">
        <v>0</v>
      </c>
      <c r="F3546" s="6" t="s">
        <v>26</v>
      </c>
      <c r="G3546" s="6">
        <v>2015</v>
      </c>
      <c r="H3546" s="6">
        <v>10</v>
      </c>
      <c r="I3546" s="10">
        <v>42278</v>
      </c>
      <c r="J3546" s="6">
        <v>3876</v>
      </c>
      <c r="K3546" s="51"/>
      <c r="O3546" t="s">
        <v>12</v>
      </c>
      <c r="P3546" t="s">
        <v>44</v>
      </c>
      <c r="Q3546" t="s">
        <v>13</v>
      </c>
      <c r="R3546" t="s">
        <v>0</v>
      </c>
      <c r="S3546" t="s">
        <v>26</v>
      </c>
      <c r="T3546">
        <v>2015</v>
      </c>
      <c r="U3546">
        <v>10</v>
      </c>
      <c r="V3546" s="51">
        <v>42278</v>
      </c>
      <c r="W3546" s="4">
        <v>3643.4399999999996</v>
      </c>
      <c r="X3546" s="52">
        <v>3876</v>
      </c>
    </row>
    <row r="3547" spans="2:24" x14ac:dyDescent="0.35">
      <c r="B3547" s="6" t="s">
        <v>14</v>
      </c>
      <c r="C3547" s="6" t="s">
        <v>37</v>
      </c>
      <c r="D3547" s="6" t="s">
        <v>38</v>
      </c>
      <c r="E3547" s="6" t="s">
        <v>0</v>
      </c>
      <c r="F3547" s="6" t="s">
        <v>45</v>
      </c>
      <c r="G3547" s="6">
        <v>2015</v>
      </c>
      <c r="H3547" s="6">
        <v>10</v>
      </c>
      <c r="I3547" s="10">
        <v>42278</v>
      </c>
      <c r="J3547" s="6">
        <v>4408</v>
      </c>
      <c r="K3547" s="51"/>
      <c r="O3547" t="s">
        <v>14</v>
      </c>
      <c r="P3547" t="s">
        <v>37</v>
      </c>
      <c r="Q3547" t="s">
        <v>38</v>
      </c>
      <c r="R3547" t="s">
        <v>0</v>
      </c>
      <c r="S3547" t="s">
        <v>45</v>
      </c>
      <c r="T3547">
        <v>2015</v>
      </c>
      <c r="U3547">
        <v>10</v>
      </c>
      <c r="V3547" s="51">
        <v>42278</v>
      </c>
      <c r="W3547" s="4">
        <v>4011.2799999999997</v>
      </c>
      <c r="X3547" s="52">
        <v>4408</v>
      </c>
    </row>
    <row r="3548" spans="2:24" x14ac:dyDescent="0.35">
      <c r="B3548" s="6" t="s">
        <v>3</v>
      </c>
      <c r="C3548" s="6" t="s">
        <v>25</v>
      </c>
      <c r="D3548" s="6" t="s">
        <v>4</v>
      </c>
      <c r="E3548" s="6" t="s">
        <v>27</v>
      </c>
      <c r="F3548" s="6" t="s">
        <v>28</v>
      </c>
      <c r="G3548" s="6">
        <v>2015</v>
      </c>
      <c r="H3548" s="6">
        <v>10</v>
      </c>
      <c r="I3548" s="10">
        <v>42278</v>
      </c>
      <c r="J3548" s="6">
        <v>3303</v>
      </c>
      <c r="K3548" s="51"/>
      <c r="O3548" t="s">
        <v>3</v>
      </c>
      <c r="P3548" t="s">
        <v>25</v>
      </c>
      <c r="Q3548" t="s">
        <v>4</v>
      </c>
      <c r="R3548" t="s">
        <v>27</v>
      </c>
      <c r="S3548" t="s">
        <v>28</v>
      </c>
      <c r="T3548">
        <v>2015</v>
      </c>
      <c r="U3548">
        <v>10</v>
      </c>
      <c r="V3548" s="51">
        <v>42278</v>
      </c>
      <c r="W3548" s="4">
        <v>2972.7</v>
      </c>
      <c r="X3548" s="52">
        <v>3303</v>
      </c>
    </row>
    <row r="3549" spans="2:24" x14ac:dyDescent="0.35">
      <c r="B3549" s="6" t="s">
        <v>3</v>
      </c>
      <c r="C3549" s="6" t="s">
        <v>25</v>
      </c>
      <c r="D3549" s="6" t="s">
        <v>4</v>
      </c>
      <c r="E3549" s="6" t="s">
        <v>27</v>
      </c>
      <c r="F3549" s="6" t="s">
        <v>31</v>
      </c>
      <c r="G3549" s="6">
        <v>2015</v>
      </c>
      <c r="H3549" s="6">
        <v>10</v>
      </c>
      <c r="I3549" s="10">
        <v>42278</v>
      </c>
      <c r="J3549" s="6">
        <v>4272</v>
      </c>
      <c r="K3549" s="51"/>
      <c r="O3549" t="s">
        <v>3</v>
      </c>
      <c r="P3549" t="s">
        <v>25</v>
      </c>
      <c r="Q3549" t="s">
        <v>4</v>
      </c>
      <c r="R3549" t="s">
        <v>27</v>
      </c>
      <c r="S3549" t="s">
        <v>31</v>
      </c>
      <c r="T3549">
        <v>2015</v>
      </c>
      <c r="U3549">
        <v>10</v>
      </c>
      <c r="V3549" s="51">
        <v>42278</v>
      </c>
      <c r="W3549" s="4">
        <v>3887.5199999999995</v>
      </c>
      <c r="X3549" s="52">
        <v>4272</v>
      </c>
    </row>
    <row r="3550" spans="2:24" x14ac:dyDescent="0.35">
      <c r="B3550" s="6" t="s">
        <v>6</v>
      </c>
      <c r="C3550" s="6" t="s">
        <v>40</v>
      </c>
      <c r="D3550" s="6" t="s">
        <v>41</v>
      </c>
      <c r="E3550" s="6" t="s">
        <v>27</v>
      </c>
      <c r="F3550" s="6" t="s">
        <v>33</v>
      </c>
      <c r="G3550" s="6">
        <v>2015</v>
      </c>
      <c r="H3550" s="6">
        <v>10</v>
      </c>
      <c r="I3550" s="10">
        <v>42278</v>
      </c>
      <c r="J3550" s="6">
        <v>3285</v>
      </c>
      <c r="K3550" s="51"/>
      <c r="O3550" t="s">
        <v>6</v>
      </c>
      <c r="P3550" t="s">
        <v>40</v>
      </c>
      <c r="Q3550" t="s">
        <v>41</v>
      </c>
      <c r="R3550" t="s">
        <v>27</v>
      </c>
      <c r="S3550" t="s">
        <v>33</v>
      </c>
      <c r="T3550">
        <v>2015</v>
      </c>
      <c r="U3550">
        <v>10</v>
      </c>
      <c r="V3550" s="51">
        <v>42278</v>
      </c>
      <c r="W3550" s="4">
        <v>2923.6499999999996</v>
      </c>
      <c r="X3550" s="52">
        <v>3285</v>
      </c>
    </row>
    <row r="3551" spans="2:24" x14ac:dyDescent="0.35">
      <c r="B3551" s="6" t="s">
        <v>6</v>
      </c>
      <c r="C3551" s="6" t="s">
        <v>40</v>
      </c>
      <c r="D3551" s="6" t="s">
        <v>41</v>
      </c>
      <c r="E3551" s="6" t="s">
        <v>23</v>
      </c>
      <c r="F3551" s="6" t="s">
        <v>36</v>
      </c>
      <c r="G3551" s="6">
        <v>2015</v>
      </c>
      <c r="H3551" s="6">
        <v>10</v>
      </c>
      <c r="I3551" s="10">
        <v>42278</v>
      </c>
      <c r="J3551" s="6">
        <v>2420</v>
      </c>
      <c r="K3551" s="51"/>
      <c r="O3551" t="s">
        <v>6</v>
      </c>
      <c r="P3551" t="s">
        <v>40</v>
      </c>
      <c r="Q3551" t="s">
        <v>41</v>
      </c>
      <c r="R3551" t="s">
        <v>23</v>
      </c>
      <c r="S3551" t="s">
        <v>36</v>
      </c>
      <c r="T3551">
        <v>2015</v>
      </c>
      <c r="U3551">
        <v>10</v>
      </c>
      <c r="V3551" s="51">
        <v>42278</v>
      </c>
      <c r="W3551" s="4">
        <v>2057</v>
      </c>
      <c r="X3551" s="52">
        <v>2420</v>
      </c>
    </row>
    <row r="3552" spans="2:24" x14ac:dyDescent="0.35">
      <c r="B3552" s="6" t="s">
        <v>7</v>
      </c>
      <c r="C3552" s="6" t="s">
        <v>43</v>
      </c>
      <c r="D3552" s="6" t="s">
        <v>10</v>
      </c>
      <c r="E3552" s="6" t="s">
        <v>23</v>
      </c>
      <c r="F3552" s="6" t="s">
        <v>24</v>
      </c>
      <c r="G3552" s="6">
        <v>2015</v>
      </c>
      <c r="H3552" s="6">
        <v>10</v>
      </c>
      <c r="I3552" s="10">
        <v>42278</v>
      </c>
      <c r="J3552" s="6">
        <v>1510</v>
      </c>
      <c r="K3552" s="51"/>
      <c r="O3552" t="s">
        <v>7</v>
      </c>
      <c r="P3552" t="s">
        <v>43</v>
      </c>
      <c r="Q3552" t="s">
        <v>10</v>
      </c>
      <c r="R3552" t="s">
        <v>23</v>
      </c>
      <c r="S3552" t="s">
        <v>24</v>
      </c>
      <c r="T3552">
        <v>2015</v>
      </c>
      <c r="U3552">
        <v>10</v>
      </c>
      <c r="V3552" s="51">
        <v>42278</v>
      </c>
      <c r="W3552" s="4">
        <v>1298.6000000000001</v>
      </c>
      <c r="X3552" s="52">
        <v>1510</v>
      </c>
    </row>
    <row r="3553" spans="2:24" x14ac:dyDescent="0.35">
      <c r="B3553" s="6" t="s">
        <v>7</v>
      </c>
      <c r="C3553" s="6" t="s">
        <v>43</v>
      </c>
      <c r="D3553" s="6" t="s">
        <v>10</v>
      </c>
      <c r="E3553" s="6" t="s">
        <v>23</v>
      </c>
      <c r="F3553" s="6" t="s">
        <v>39</v>
      </c>
      <c r="G3553" s="6">
        <v>2015</v>
      </c>
      <c r="H3553" s="6">
        <v>10</v>
      </c>
      <c r="I3553" s="10">
        <v>42278</v>
      </c>
      <c r="J3553" s="6">
        <v>1384</v>
      </c>
      <c r="K3553" s="51"/>
      <c r="O3553" t="s">
        <v>7</v>
      </c>
      <c r="P3553" t="s">
        <v>43</v>
      </c>
      <c r="Q3553" t="s">
        <v>10</v>
      </c>
      <c r="R3553" t="s">
        <v>23</v>
      </c>
      <c r="S3553" t="s">
        <v>39</v>
      </c>
      <c r="T3553">
        <v>2015</v>
      </c>
      <c r="U3553">
        <v>10</v>
      </c>
      <c r="V3553" s="51">
        <v>42278</v>
      </c>
      <c r="W3553" s="4">
        <v>1259.4399999999998</v>
      </c>
      <c r="X3553" s="52">
        <v>1384</v>
      </c>
    </row>
    <row r="3554" spans="2:24" x14ac:dyDescent="0.35">
      <c r="B3554" s="6" t="s">
        <v>7</v>
      </c>
      <c r="C3554" s="6" t="s">
        <v>32</v>
      </c>
      <c r="D3554" s="6" t="s">
        <v>8</v>
      </c>
      <c r="E3554" s="6" t="s">
        <v>0</v>
      </c>
      <c r="F3554" s="6" t="s">
        <v>26</v>
      </c>
      <c r="G3554" s="6">
        <v>2015</v>
      </c>
      <c r="H3554" s="6">
        <v>10</v>
      </c>
      <c r="I3554" s="10">
        <v>42278</v>
      </c>
      <c r="J3554" s="6">
        <v>4609</v>
      </c>
      <c r="K3554" s="51"/>
      <c r="O3554" t="s">
        <v>7</v>
      </c>
      <c r="P3554" t="s">
        <v>32</v>
      </c>
      <c r="Q3554" t="s">
        <v>8</v>
      </c>
      <c r="R3554" t="s">
        <v>0</v>
      </c>
      <c r="S3554" t="s">
        <v>26</v>
      </c>
      <c r="T3554">
        <v>2015</v>
      </c>
      <c r="U3554">
        <v>10</v>
      </c>
      <c r="V3554" s="51">
        <v>42278</v>
      </c>
      <c r="W3554" s="4">
        <v>3917.6500000000005</v>
      </c>
      <c r="X3554" s="52">
        <v>4609</v>
      </c>
    </row>
    <row r="3555" spans="2:24" x14ac:dyDescent="0.35">
      <c r="B3555" s="6" t="s">
        <v>3</v>
      </c>
      <c r="C3555" s="6" t="s">
        <v>22</v>
      </c>
      <c r="D3555" s="6" t="s">
        <v>5</v>
      </c>
      <c r="E3555" s="6" t="s">
        <v>0</v>
      </c>
      <c r="F3555" s="6" t="s">
        <v>45</v>
      </c>
      <c r="G3555" s="6">
        <v>2015</v>
      </c>
      <c r="H3555" s="6">
        <v>10</v>
      </c>
      <c r="I3555" s="10">
        <v>42278</v>
      </c>
      <c r="J3555" s="6">
        <v>4779</v>
      </c>
      <c r="K3555" s="51"/>
      <c r="O3555" t="s">
        <v>3</v>
      </c>
      <c r="P3555" t="s">
        <v>22</v>
      </c>
      <c r="Q3555" t="s">
        <v>5</v>
      </c>
      <c r="R3555" t="s">
        <v>0</v>
      </c>
      <c r="S3555" t="s">
        <v>45</v>
      </c>
      <c r="T3555">
        <v>2015</v>
      </c>
      <c r="U3555">
        <v>10</v>
      </c>
      <c r="V3555" s="51">
        <v>42278</v>
      </c>
      <c r="W3555" s="4">
        <v>4348.8899999999994</v>
      </c>
      <c r="X3555" s="52">
        <v>4779</v>
      </c>
    </row>
    <row r="3556" spans="2:24" x14ac:dyDescent="0.35">
      <c r="B3556" s="6" t="s">
        <v>7</v>
      </c>
      <c r="C3556" s="6" t="s">
        <v>48</v>
      </c>
      <c r="D3556" s="6" t="s">
        <v>9</v>
      </c>
      <c r="E3556" s="6" t="s">
        <v>23</v>
      </c>
      <c r="F3556" s="6" t="s">
        <v>36</v>
      </c>
      <c r="G3556" s="6">
        <v>2015</v>
      </c>
      <c r="H3556" s="6">
        <v>10</v>
      </c>
      <c r="I3556" s="10">
        <v>42278</v>
      </c>
      <c r="J3556" s="6">
        <v>1659</v>
      </c>
      <c r="K3556" s="51"/>
      <c r="O3556" t="s">
        <v>7</v>
      </c>
      <c r="P3556" t="s">
        <v>48</v>
      </c>
      <c r="Q3556" t="s">
        <v>9</v>
      </c>
      <c r="R3556" t="s">
        <v>23</v>
      </c>
      <c r="S3556" t="s">
        <v>36</v>
      </c>
      <c r="T3556">
        <v>2015</v>
      </c>
      <c r="U3556">
        <v>10</v>
      </c>
      <c r="V3556" s="51">
        <v>42278</v>
      </c>
      <c r="W3556" s="4">
        <v>1410.15</v>
      </c>
      <c r="X3556" s="52">
        <v>1659</v>
      </c>
    </row>
    <row r="3557" spans="2:24" x14ac:dyDescent="0.35">
      <c r="B3557" s="6" t="s">
        <v>7</v>
      </c>
      <c r="C3557" s="6" t="s">
        <v>48</v>
      </c>
      <c r="D3557" s="6" t="s">
        <v>9</v>
      </c>
      <c r="E3557" s="6" t="s">
        <v>23</v>
      </c>
      <c r="F3557" s="6" t="s">
        <v>24</v>
      </c>
      <c r="G3557" s="6">
        <v>2015</v>
      </c>
      <c r="H3557" s="6">
        <v>10</v>
      </c>
      <c r="I3557" s="10">
        <v>42278</v>
      </c>
      <c r="J3557" s="6">
        <v>2689</v>
      </c>
      <c r="K3557" s="51"/>
      <c r="O3557" t="s">
        <v>7</v>
      </c>
      <c r="P3557" t="s">
        <v>48</v>
      </c>
      <c r="Q3557" t="s">
        <v>9</v>
      </c>
      <c r="R3557" t="s">
        <v>23</v>
      </c>
      <c r="S3557" t="s">
        <v>24</v>
      </c>
      <c r="T3557">
        <v>2015</v>
      </c>
      <c r="U3557">
        <v>10</v>
      </c>
      <c r="V3557" s="51">
        <v>42278</v>
      </c>
      <c r="W3557" s="4">
        <v>2339.4300000000003</v>
      </c>
      <c r="X3557" s="52">
        <v>2689</v>
      </c>
    </row>
    <row r="3558" spans="2:24" x14ac:dyDescent="0.35">
      <c r="B3558" s="6" t="s">
        <v>7</v>
      </c>
      <c r="C3558" s="6" t="s">
        <v>49</v>
      </c>
      <c r="D3558" s="6" t="s">
        <v>11</v>
      </c>
      <c r="E3558" s="6" t="s">
        <v>23</v>
      </c>
      <c r="F3558" s="6" t="s">
        <v>39</v>
      </c>
      <c r="G3558" s="6">
        <v>2015</v>
      </c>
      <c r="H3558" s="6">
        <v>10</v>
      </c>
      <c r="I3558" s="10">
        <v>42278</v>
      </c>
      <c r="J3558" s="6">
        <v>2888</v>
      </c>
      <c r="K3558" s="51"/>
      <c r="O3558" t="s">
        <v>7</v>
      </c>
      <c r="P3558" t="s">
        <v>49</v>
      </c>
      <c r="Q3558" t="s">
        <v>11</v>
      </c>
      <c r="R3558" t="s">
        <v>23</v>
      </c>
      <c r="S3558" t="s">
        <v>39</v>
      </c>
      <c r="T3558">
        <v>2015</v>
      </c>
      <c r="U3558">
        <v>10</v>
      </c>
      <c r="V3558" s="51">
        <v>42278</v>
      </c>
      <c r="W3558" s="4">
        <v>2454.8000000000002</v>
      </c>
      <c r="X3558" s="52">
        <v>2888</v>
      </c>
    </row>
    <row r="3559" spans="2:24" x14ac:dyDescent="0.35">
      <c r="B3559" s="6" t="s">
        <v>7</v>
      </c>
      <c r="C3559" s="6" t="s">
        <v>49</v>
      </c>
      <c r="D3559" s="6" t="s">
        <v>11</v>
      </c>
      <c r="E3559" s="6" t="s">
        <v>0</v>
      </c>
      <c r="F3559" s="6" t="s">
        <v>42</v>
      </c>
      <c r="G3559" s="6">
        <v>2015</v>
      </c>
      <c r="H3559" s="6">
        <v>10</v>
      </c>
      <c r="I3559" s="10">
        <v>42278</v>
      </c>
      <c r="J3559" s="6">
        <v>6920</v>
      </c>
      <c r="K3559" s="51"/>
      <c r="O3559" t="s">
        <v>7</v>
      </c>
      <c r="P3559" t="s">
        <v>49</v>
      </c>
      <c r="Q3559" t="s">
        <v>11</v>
      </c>
      <c r="R3559" t="s">
        <v>0</v>
      </c>
      <c r="S3559" t="s">
        <v>42</v>
      </c>
      <c r="T3559">
        <v>2015</v>
      </c>
      <c r="U3559">
        <v>10</v>
      </c>
      <c r="V3559" s="51">
        <v>42278</v>
      </c>
      <c r="W3559" s="4">
        <v>5882.0000000000009</v>
      </c>
      <c r="X3559" s="52">
        <v>6920</v>
      </c>
    </row>
    <row r="3560" spans="2:24" x14ac:dyDescent="0.35">
      <c r="B3560" s="6" t="s">
        <v>12</v>
      </c>
      <c r="C3560" s="6" t="s">
        <v>34</v>
      </c>
      <c r="D3560" s="6" t="s">
        <v>35</v>
      </c>
      <c r="E3560" s="6" t="s">
        <v>0</v>
      </c>
      <c r="F3560" s="6" t="s">
        <v>26</v>
      </c>
      <c r="G3560" s="6">
        <v>2015</v>
      </c>
      <c r="H3560" s="6">
        <v>10</v>
      </c>
      <c r="I3560" s="10">
        <v>42278</v>
      </c>
      <c r="J3560" s="6">
        <v>3732</v>
      </c>
      <c r="K3560" s="51"/>
      <c r="O3560" t="s">
        <v>12</v>
      </c>
      <c r="P3560" t="s">
        <v>34</v>
      </c>
      <c r="Q3560" t="s">
        <v>35</v>
      </c>
      <c r="R3560" t="s">
        <v>0</v>
      </c>
      <c r="S3560" t="s">
        <v>26</v>
      </c>
      <c r="T3560">
        <v>2015</v>
      </c>
      <c r="U3560">
        <v>10</v>
      </c>
      <c r="V3560" s="51">
        <v>42278</v>
      </c>
      <c r="W3560" s="4">
        <v>3246.84</v>
      </c>
      <c r="X3560" s="52">
        <v>3732</v>
      </c>
    </row>
    <row r="3561" spans="2:24" x14ac:dyDescent="0.35">
      <c r="B3561" s="6" t="s">
        <v>12</v>
      </c>
      <c r="C3561" s="6" t="s">
        <v>34</v>
      </c>
      <c r="D3561" s="6" t="s">
        <v>35</v>
      </c>
      <c r="E3561" s="6" t="s">
        <v>0</v>
      </c>
      <c r="F3561" s="6" t="s">
        <v>45</v>
      </c>
      <c r="G3561" s="6">
        <v>2015</v>
      </c>
      <c r="H3561" s="6">
        <v>10</v>
      </c>
      <c r="I3561" s="10">
        <v>42278</v>
      </c>
      <c r="J3561" s="6">
        <v>2037</v>
      </c>
      <c r="K3561" s="51"/>
      <c r="O3561" t="s">
        <v>12</v>
      </c>
      <c r="P3561" t="s">
        <v>34</v>
      </c>
      <c r="Q3561" t="s">
        <v>35</v>
      </c>
      <c r="R3561" t="s">
        <v>0</v>
      </c>
      <c r="S3561" t="s">
        <v>45</v>
      </c>
      <c r="T3561">
        <v>2015</v>
      </c>
      <c r="U3561">
        <v>10</v>
      </c>
      <c r="V3561" s="51">
        <v>42278</v>
      </c>
      <c r="W3561" s="4">
        <v>1853.6699999999998</v>
      </c>
      <c r="X3561" s="52">
        <v>2037</v>
      </c>
    </row>
    <row r="3562" spans="2:24" x14ac:dyDescent="0.35">
      <c r="B3562" s="6" t="s">
        <v>14</v>
      </c>
      <c r="C3562" s="6" t="s">
        <v>37</v>
      </c>
      <c r="D3562" s="6" t="s">
        <v>38</v>
      </c>
      <c r="E3562" s="6" t="s">
        <v>27</v>
      </c>
      <c r="F3562" s="6" t="s">
        <v>28</v>
      </c>
      <c r="G3562" s="6">
        <v>2015</v>
      </c>
      <c r="H3562" s="6">
        <v>10</v>
      </c>
      <c r="I3562" s="10">
        <v>42278</v>
      </c>
      <c r="J3562" s="6">
        <v>4728</v>
      </c>
      <c r="K3562" s="51"/>
      <c r="O3562" t="s">
        <v>14</v>
      </c>
      <c r="P3562" t="s">
        <v>37</v>
      </c>
      <c r="Q3562" t="s">
        <v>38</v>
      </c>
      <c r="R3562" t="s">
        <v>27</v>
      </c>
      <c r="S3562" t="s">
        <v>28</v>
      </c>
      <c r="T3562">
        <v>2015</v>
      </c>
      <c r="U3562">
        <v>10</v>
      </c>
      <c r="V3562" s="51">
        <v>42278</v>
      </c>
      <c r="W3562" s="4">
        <v>4444.32</v>
      </c>
      <c r="X3562" s="52">
        <v>4728</v>
      </c>
    </row>
    <row r="3563" spans="2:24" x14ac:dyDescent="0.35">
      <c r="B3563" s="6" t="s">
        <v>14</v>
      </c>
      <c r="C3563" s="6" t="s">
        <v>37</v>
      </c>
      <c r="D3563" s="6" t="s">
        <v>38</v>
      </c>
      <c r="E3563" s="6" t="s">
        <v>27</v>
      </c>
      <c r="F3563" s="6" t="s">
        <v>31</v>
      </c>
      <c r="G3563" s="6">
        <v>2015</v>
      </c>
      <c r="H3563" s="6">
        <v>10</v>
      </c>
      <c r="I3563" s="10">
        <v>42278</v>
      </c>
      <c r="J3563" s="6">
        <v>4669</v>
      </c>
      <c r="K3563" s="51"/>
      <c r="O3563" t="s">
        <v>14</v>
      </c>
      <c r="P3563" t="s">
        <v>37</v>
      </c>
      <c r="Q3563" t="s">
        <v>38</v>
      </c>
      <c r="R3563" t="s">
        <v>27</v>
      </c>
      <c r="S3563" t="s">
        <v>31</v>
      </c>
      <c r="T3563">
        <v>2015</v>
      </c>
      <c r="U3563">
        <v>10</v>
      </c>
      <c r="V3563" s="51">
        <v>42278</v>
      </c>
      <c r="W3563" s="4">
        <v>4155.41</v>
      </c>
      <c r="X3563" s="52">
        <v>4669</v>
      </c>
    </row>
    <row r="3564" spans="2:24" x14ac:dyDescent="0.35">
      <c r="B3564" s="6" t="s">
        <v>12</v>
      </c>
      <c r="C3564" s="6" t="s">
        <v>44</v>
      </c>
      <c r="D3564" s="6" t="s">
        <v>13</v>
      </c>
      <c r="E3564" s="6" t="s">
        <v>23</v>
      </c>
      <c r="F3564" s="6" t="s">
        <v>36</v>
      </c>
      <c r="G3564" s="6">
        <v>2015</v>
      </c>
      <c r="H3564" s="6">
        <v>10</v>
      </c>
      <c r="I3564" s="10">
        <v>42278</v>
      </c>
      <c r="J3564" s="6">
        <v>1684</v>
      </c>
      <c r="K3564" s="51"/>
      <c r="O3564" t="s">
        <v>12</v>
      </c>
      <c r="P3564" t="s">
        <v>44</v>
      </c>
      <c r="Q3564" t="s">
        <v>13</v>
      </c>
      <c r="R3564" t="s">
        <v>23</v>
      </c>
      <c r="S3564" t="s">
        <v>36</v>
      </c>
      <c r="T3564">
        <v>2015</v>
      </c>
      <c r="U3564">
        <v>10</v>
      </c>
      <c r="V3564" s="51">
        <v>42278</v>
      </c>
      <c r="W3564" s="4">
        <v>1532.4399999999998</v>
      </c>
      <c r="X3564" s="52">
        <v>1684</v>
      </c>
    </row>
    <row r="3565" spans="2:24" x14ac:dyDescent="0.35">
      <c r="B3565" s="6" t="s">
        <v>14</v>
      </c>
      <c r="C3565" s="6" t="s">
        <v>46</v>
      </c>
      <c r="D3565" s="6" t="s">
        <v>47</v>
      </c>
      <c r="E3565" s="6" t="s">
        <v>23</v>
      </c>
      <c r="F3565" s="6" t="s">
        <v>24</v>
      </c>
      <c r="G3565" s="6">
        <v>2015</v>
      </c>
      <c r="H3565" s="6">
        <v>10</v>
      </c>
      <c r="I3565" s="10">
        <v>42278</v>
      </c>
      <c r="J3565" s="6">
        <v>1812</v>
      </c>
      <c r="K3565" s="51"/>
      <c r="O3565" t="s">
        <v>14</v>
      </c>
      <c r="P3565" t="s">
        <v>46</v>
      </c>
      <c r="Q3565" t="s">
        <v>47</v>
      </c>
      <c r="R3565" t="s">
        <v>23</v>
      </c>
      <c r="S3565" t="s">
        <v>24</v>
      </c>
      <c r="T3565">
        <v>2015</v>
      </c>
      <c r="U3565">
        <v>10</v>
      </c>
      <c r="V3565" s="51">
        <v>42278</v>
      </c>
      <c r="W3565" s="4">
        <v>1648.9199999999998</v>
      </c>
      <c r="X3565" s="52">
        <v>1812</v>
      </c>
    </row>
    <row r="3566" spans="2:24" x14ac:dyDescent="0.35">
      <c r="B3566" s="6" t="s">
        <v>14</v>
      </c>
      <c r="C3566" s="6" t="s">
        <v>46</v>
      </c>
      <c r="D3566" s="6" t="s">
        <v>47</v>
      </c>
      <c r="E3566" s="6" t="s">
        <v>23</v>
      </c>
      <c r="F3566" s="6" t="s">
        <v>39</v>
      </c>
      <c r="G3566" s="6">
        <v>2015</v>
      </c>
      <c r="H3566" s="6">
        <v>10</v>
      </c>
      <c r="I3566" s="10">
        <v>42278</v>
      </c>
      <c r="J3566" s="6">
        <v>2312</v>
      </c>
      <c r="K3566" s="51"/>
      <c r="O3566" t="s">
        <v>14</v>
      </c>
      <c r="P3566" t="s">
        <v>46</v>
      </c>
      <c r="Q3566" t="s">
        <v>47</v>
      </c>
      <c r="R3566" t="s">
        <v>23</v>
      </c>
      <c r="S3566" t="s">
        <v>39</v>
      </c>
      <c r="T3566">
        <v>2015</v>
      </c>
      <c r="U3566">
        <v>10</v>
      </c>
      <c r="V3566" s="51">
        <v>42278</v>
      </c>
      <c r="W3566" s="4">
        <v>1988.3200000000002</v>
      </c>
      <c r="X3566" s="52">
        <v>2312</v>
      </c>
    </row>
    <row r="3567" spans="2:24" x14ac:dyDescent="0.35">
      <c r="B3567" s="6" t="s">
        <v>7</v>
      </c>
      <c r="C3567" s="6" t="s">
        <v>43</v>
      </c>
      <c r="D3567" s="6" t="s">
        <v>10</v>
      </c>
      <c r="E3567" s="6" t="s">
        <v>0</v>
      </c>
      <c r="F3567" s="6" t="s">
        <v>42</v>
      </c>
      <c r="G3567" s="6">
        <v>2015</v>
      </c>
      <c r="H3567" s="6">
        <v>10</v>
      </c>
      <c r="I3567" s="10">
        <v>42278</v>
      </c>
      <c r="J3567" s="6">
        <v>5828</v>
      </c>
      <c r="K3567" s="51"/>
      <c r="O3567" t="s">
        <v>7</v>
      </c>
      <c r="P3567" t="s">
        <v>43</v>
      </c>
      <c r="Q3567" t="s">
        <v>10</v>
      </c>
      <c r="R3567" t="s">
        <v>0</v>
      </c>
      <c r="S3567" t="s">
        <v>42</v>
      </c>
      <c r="T3567">
        <v>2015</v>
      </c>
      <c r="U3567">
        <v>10</v>
      </c>
      <c r="V3567" s="51">
        <v>42278</v>
      </c>
      <c r="W3567" s="4">
        <v>5420.04</v>
      </c>
      <c r="X3567" s="52">
        <v>5828</v>
      </c>
    </row>
    <row r="3568" spans="2:24" x14ac:dyDescent="0.35">
      <c r="B3568" s="6" t="s">
        <v>6</v>
      </c>
      <c r="C3568" s="6" t="s">
        <v>40</v>
      </c>
      <c r="D3568" s="6" t="s">
        <v>41</v>
      </c>
      <c r="E3568" s="6" t="s">
        <v>27</v>
      </c>
      <c r="F3568" s="6" t="s">
        <v>31</v>
      </c>
      <c r="G3568" s="6">
        <v>2015</v>
      </c>
      <c r="H3568" s="6">
        <v>10</v>
      </c>
      <c r="I3568" s="10">
        <v>42278</v>
      </c>
      <c r="J3568" s="6">
        <v>4413</v>
      </c>
      <c r="K3568" s="51"/>
      <c r="O3568" t="s">
        <v>6</v>
      </c>
      <c r="P3568" t="s">
        <v>40</v>
      </c>
      <c r="Q3568" t="s">
        <v>41</v>
      </c>
      <c r="R3568" t="s">
        <v>27</v>
      </c>
      <c r="S3568" t="s">
        <v>31</v>
      </c>
      <c r="T3568">
        <v>2015</v>
      </c>
      <c r="U3568">
        <v>10</v>
      </c>
      <c r="V3568" s="51">
        <v>42278</v>
      </c>
      <c r="W3568" s="4">
        <v>4148.2199999999993</v>
      </c>
      <c r="X3568" s="52">
        <v>4413</v>
      </c>
    </row>
    <row r="3569" spans="2:24" x14ac:dyDescent="0.35">
      <c r="B3569" s="6" t="s">
        <v>3</v>
      </c>
      <c r="C3569" s="6" t="s">
        <v>22</v>
      </c>
      <c r="D3569" s="6" t="s">
        <v>5</v>
      </c>
      <c r="E3569" s="6" t="s">
        <v>23</v>
      </c>
      <c r="F3569" s="6" t="s">
        <v>39</v>
      </c>
      <c r="G3569" s="6">
        <v>2015</v>
      </c>
      <c r="H3569" s="6">
        <v>10</v>
      </c>
      <c r="I3569" s="10">
        <v>42278</v>
      </c>
      <c r="J3569" s="6">
        <v>1317</v>
      </c>
      <c r="K3569" s="51"/>
      <c r="O3569" t="s">
        <v>3</v>
      </c>
      <c r="P3569" t="s">
        <v>22</v>
      </c>
      <c r="Q3569" t="s">
        <v>5</v>
      </c>
      <c r="R3569" t="s">
        <v>23</v>
      </c>
      <c r="S3569" t="s">
        <v>39</v>
      </c>
      <c r="T3569">
        <v>2015</v>
      </c>
      <c r="U3569">
        <v>10</v>
      </c>
      <c r="V3569" s="51">
        <v>42278</v>
      </c>
      <c r="W3569" s="4">
        <v>1185.3</v>
      </c>
      <c r="X3569" s="52">
        <v>1317</v>
      </c>
    </row>
    <row r="3570" spans="2:24" x14ac:dyDescent="0.35">
      <c r="B3570" s="6" t="s">
        <v>3</v>
      </c>
      <c r="C3570" s="6" t="s">
        <v>22</v>
      </c>
      <c r="D3570" s="6" t="s">
        <v>5</v>
      </c>
      <c r="E3570" s="6" t="s">
        <v>0</v>
      </c>
      <c r="F3570" s="6" t="s">
        <v>42</v>
      </c>
      <c r="G3570" s="6">
        <v>2015</v>
      </c>
      <c r="H3570" s="6">
        <v>10</v>
      </c>
      <c r="I3570" s="10">
        <v>42278</v>
      </c>
      <c r="J3570" s="6">
        <v>4864</v>
      </c>
      <c r="K3570" s="51"/>
      <c r="O3570" t="s">
        <v>3</v>
      </c>
      <c r="P3570" t="s">
        <v>22</v>
      </c>
      <c r="Q3570" t="s">
        <v>5</v>
      </c>
      <c r="R3570" t="s">
        <v>0</v>
      </c>
      <c r="S3570" t="s">
        <v>42</v>
      </c>
      <c r="T3570">
        <v>2015</v>
      </c>
      <c r="U3570">
        <v>10</v>
      </c>
      <c r="V3570" s="51">
        <v>42278</v>
      </c>
      <c r="W3570" s="4">
        <v>4134.4000000000005</v>
      </c>
      <c r="X3570" s="52">
        <v>4864</v>
      </c>
    </row>
    <row r="3571" spans="2:24" x14ac:dyDescent="0.35">
      <c r="B3571" s="6" t="s">
        <v>6</v>
      </c>
      <c r="C3571" s="6" t="s">
        <v>29</v>
      </c>
      <c r="D3571" s="6" t="s">
        <v>30</v>
      </c>
      <c r="E3571" s="6" t="s">
        <v>0</v>
      </c>
      <c r="F3571" s="6" t="s">
        <v>26</v>
      </c>
      <c r="G3571" s="6">
        <v>2015</v>
      </c>
      <c r="H3571" s="6">
        <v>10</v>
      </c>
      <c r="I3571" s="10">
        <v>42278</v>
      </c>
      <c r="J3571" s="6">
        <v>3407</v>
      </c>
      <c r="K3571" s="51"/>
      <c r="O3571" t="s">
        <v>6</v>
      </c>
      <c r="P3571" t="s">
        <v>29</v>
      </c>
      <c r="Q3571" t="s">
        <v>30</v>
      </c>
      <c r="R3571" t="s">
        <v>0</v>
      </c>
      <c r="S3571" t="s">
        <v>26</v>
      </c>
      <c r="T3571">
        <v>2015</v>
      </c>
      <c r="U3571">
        <v>10</v>
      </c>
      <c r="V3571" s="51">
        <v>42278</v>
      </c>
      <c r="W3571" s="4">
        <v>2895.9500000000003</v>
      </c>
      <c r="X3571" s="52">
        <v>3407</v>
      </c>
    </row>
    <row r="3572" spans="2:24" x14ac:dyDescent="0.35">
      <c r="B3572" s="6" t="s">
        <v>7</v>
      </c>
      <c r="C3572" s="6" t="s">
        <v>48</v>
      </c>
      <c r="D3572" s="6" t="s">
        <v>9</v>
      </c>
      <c r="E3572" s="6" t="s">
        <v>27</v>
      </c>
      <c r="F3572" s="6" t="s">
        <v>28</v>
      </c>
      <c r="G3572" s="6">
        <v>2015</v>
      </c>
      <c r="H3572" s="6">
        <v>10</v>
      </c>
      <c r="I3572" s="10">
        <v>42278</v>
      </c>
      <c r="J3572" s="6">
        <v>3950</v>
      </c>
      <c r="K3572" s="51"/>
      <c r="O3572" t="s">
        <v>7</v>
      </c>
      <c r="P3572" t="s">
        <v>48</v>
      </c>
      <c r="Q3572" t="s">
        <v>9</v>
      </c>
      <c r="R3572" t="s">
        <v>27</v>
      </c>
      <c r="S3572" t="s">
        <v>28</v>
      </c>
      <c r="T3572">
        <v>2015</v>
      </c>
      <c r="U3572">
        <v>10</v>
      </c>
      <c r="V3572" s="51">
        <v>42278</v>
      </c>
      <c r="W3572" s="4">
        <v>3515.4999999999995</v>
      </c>
      <c r="X3572" s="52">
        <v>3950</v>
      </c>
    </row>
    <row r="3573" spans="2:24" x14ac:dyDescent="0.35">
      <c r="B3573" s="6" t="s">
        <v>7</v>
      </c>
      <c r="C3573" s="6" t="s">
        <v>48</v>
      </c>
      <c r="D3573" s="6" t="s">
        <v>9</v>
      </c>
      <c r="E3573" s="6" t="s">
        <v>27</v>
      </c>
      <c r="F3573" s="6" t="s">
        <v>31</v>
      </c>
      <c r="G3573" s="6">
        <v>2015</v>
      </c>
      <c r="H3573" s="6">
        <v>10</v>
      </c>
      <c r="I3573" s="10">
        <v>42278</v>
      </c>
      <c r="J3573" s="6">
        <v>5526</v>
      </c>
      <c r="K3573" s="51"/>
      <c r="O3573" t="s">
        <v>7</v>
      </c>
      <c r="P3573" t="s">
        <v>48</v>
      </c>
      <c r="Q3573" t="s">
        <v>9</v>
      </c>
      <c r="R3573" t="s">
        <v>27</v>
      </c>
      <c r="S3573" t="s">
        <v>31</v>
      </c>
      <c r="T3573">
        <v>2015</v>
      </c>
      <c r="U3573">
        <v>10</v>
      </c>
      <c r="V3573" s="51">
        <v>42278</v>
      </c>
      <c r="W3573" s="4">
        <v>5139.1799999999994</v>
      </c>
      <c r="X3573" s="52">
        <v>5526</v>
      </c>
    </row>
    <row r="3574" spans="2:24" x14ac:dyDescent="0.35">
      <c r="B3574" s="6" t="s">
        <v>7</v>
      </c>
      <c r="C3574" s="6" t="s">
        <v>49</v>
      </c>
      <c r="D3574" s="6" t="s">
        <v>11</v>
      </c>
      <c r="E3574" s="6" t="s">
        <v>27</v>
      </c>
      <c r="F3574" s="6" t="s">
        <v>33</v>
      </c>
      <c r="G3574" s="6">
        <v>2015</v>
      </c>
      <c r="H3574" s="6">
        <v>10</v>
      </c>
      <c r="I3574" s="10">
        <v>42278</v>
      </c>
      <c r="J3574" s="6">
        <v>2856</v>
      </c>
      <c r="K3574" s="51"/>
      <c r="O3574" t="s">
        <v>7</v>
      </c>
      <c r="P3574" t="s">
        <v>49</v>
      </c>
      <c r="Q3574" t="s">
        <v>11</v>
      </c>
      <c r="R3574" t="s">
        <v>27</v>
      </c>
      <c r="S3574" t="s">
        <v>33</v>
      </c>
      <c r="T3574">
        <v>2015</v>
      </c>
      <c r="U3574">
        <v>10</v>
      </c>
      <c r="V3574" s="51">
        <v>42278</v>
      </c>
      <c r="W3574" s="4">
        <v>2541.8399999999997</v>
      </c>
      <c r="X3574" s="52">
        <v>2856</v>
      </c>
    </row>
    <row r="3575" spans="2:24" x14ac:dyDescent="0.35">
      <c r="B3575" s="6" t="s">
        <v>7</v>
      </c>
      <c r="C3575" s="6" t="s">
        <v>49</v>
      </c>
      <c r="D3575" s="6" t="s">
        <v>11</v>
      </c>
      <c r="E3575" s="6" t="s">
        <v>23</v>
      </c>
      <c r="F3575" s="6" t="s">
        <v>36</v>
      </c>
      <c r="G3575" s="6">
        <v>2015</v>
      </c>
      <c r="H3575" s="6">
        <v>10</v>
      </c>
      <c r="I3575" s="10">
        <v>42278</v>
      </c>
      <c r="J3575" s="6">
        <v>2124</v>
      </c>
      <c r="K3575" s="51"/>
      <c r="O3575" t="s">
        <v>7</v>
      </c>
      <c r="P3575" t="s">
        <v>49</v>
      </c>
      <c r="Q3575" t="s">
        <v>11</v>
      </c>
      <c r="R3575" t="s">
        <v>23</v>
      </c>
      <c r="S3575" t="s">
        <v>36</v>
      </c>
      <c r="T3575">
        <v>2015</v>
      </c>
      <c r="U3575">
        <v>10</v>
      </c>
      <c r="V3575" s="51">
        <v>42278</v>
      </c>
      <c r="W3575" s="4">
        <v>1805.4</v>
      </c>
      <c r="X3575" s="52">
        <v>2124</v>
      </c>
    </row>
    <row r="3576" spans="2:24" x14ac:dyDescent="0.35">
      <c r="B3576" s="6" t="s">
        <v>7</v>
      </c>
      <c r="C3576" s="6" t="s">
        <v>43</v>
      </c>
      <c r="D3576" s="6" t="s">
        <v>10</v>
      </c>
      <c r="E3576" s="6" t="s">
        <v>23</v>
      </c>
      <c r="F3576" s="6" t="s">
        <v>36</v>
      </c>
      <c r="G3576" s="6">
        <v>2015</v>
      </c>
      <c r="H3576" s="6">
        <v>10</v>
      </c>
      <c r="I3576" s="10">
        <v>42278</v>
      </c>
      <c r="J3576" s="6">
        <v>2552</v>
      </c>
      <c r="K3576" s="51"/>
      <c r="O3576" t="s">
        <v>7</v>
      </c>
      <c r="P3576" t="s">
        <v>43</v>
      </c>
      <c r="Q3576" t="s">
        <v>10</v>
      </c>
      <c r="R3576" t="s">
        <v>23</v>
      </c>
      <c r="S3576" t="s">
        <v>36</v>
      </c>
      <c r="T3576">
        <v>2015</v>
      </c>
      <c r="U3576">
        <v>10</v>
      </c>
      <c r="V3576" s="51">
        <v>42278</v>
      </c>
      <c r="W3576" s="4">
        <v>2373.3599999999997</v>
      </c>
      <c r="X3576" s="52">
        <v>2552</v>
      </c>
    </row>
    <row r="3577" spans="2:24" x14ac:dyDescent="0.35">
      <c r="B3577" s="6" t="s">
        <v>6</v>
      </c>
      <c r="C3577" s="6" t="s">
        <v>40</v>
      </c>
      <c r="D3577" s="6" t="s">
        <v>41</v>
      </c>
      <c r="E3577" s="6" t="s">
        <v>0</v>
      </c>
      <c r="F3577" s="6" t="s">
        <v>45</v>
      </c>
      <c r="G3577" s="6">
        <v>2015</v>
      </c>
      <c r="H3577" s="6">
        <v>10</v>
      </c>
      <c r="I3577" s="10">
        <v>42278</v>
      </c>
      <c r="J3577" s="6">
        <v>3202</v>
      </c>
      <c r="K3577" s="51"/>
      <c r="O3577" t="s">
        <v>6</v>
      </c>
      <c r="P3577" t="s">
        <v>40</v>
      </c>
      <c r="Q3577" t="s">
        <v>41</v>
      </c>
      <c r="R3577" t="s">
        <v>0</v>
      </c>
      <c r="S3577" t="s">
        <v>45</v>
      </c>
      <c r="T3577">
        <v>2015</v>
      </c>
      <c r="U3577">
        <v>10</v>
      </c>
      <c r="V3577" s="51">
        <v>42278</v>
      </c>
      <c r="W3577" s="4">
        <v>2753.7200000000003</v>
      </c>
      <c r="X3577" s="52">
        <v>3202</v>
      </c>
    </row>
    <row r="3578" spans="2:24" x14ac:dyDescent="0.35">
      <c r="B3578" s="6" t="s">
        <v>7</v>
      </c>
      <c r="C3578" s="6" t="s">
        <v>32</v>
      </c>
      <c r="D3578" s="6" t="s">
        <v>8</v>
      </c>
      <c r="E3578" s="6" t="s">
        <v>27</v>
      </c>
      <c r="F3578" s="6" t="s">
        <v>28</v>
      </c>
      <c r="G3578" s="6">
        <v>2015</v>
      </c>
      <c r="H3578" s="6">
        <v>10</v>
      </c>
      <c r="I3578" s="10">
        <v>42278</v>
      </c>
      <c r="J3578" s="6">
        <v>3441</v>
      </c>
      <c r="K3578" s="51"/>
      <c r="O3578" t="s">
        <v>7</v>
      </c>
      <c r="P3578" t="s">
        <v>32</v>
      </c>
      <c r="Q3578" t="s">
        <v>8</v>
      </c>
      <c r="R3578" t="s">
        <v>27</v>
      </c>
      <c r="S3578" t="s">
        <v>28</v>
      </c>
      <c r="T3578">
        <v>2015</v>
      </c>
      <c r="U3578">
        <v>10</v>
      </c>
      <c r="V3578" s="51">
        <v>42278</v>
      </c>
      <c r="W3578" s="4">
        <v>3096.8999999999996</v>
      </c>
      <c r="X3578" s="52">
        <v>3441</v>
      </c>
    </row>
    <row r="3579" spans="2:24" x14ac:dyDescent="0.35">
      <c r="B3579" s="6" t="s">
        <v>7</v>
      </c>
      <c r="C3579" s="6" t="s">
        <v>32</v>
      </c>
      <c r="D3579" s="6" t="s">
        <v>8</v>
      </c>
      <c r="E3579" s="6" t="s">
        <v>27</v>
      </c>
      <c r="F3579" s="6" t="s">
        <v>31</v>
      </c>
      <c r="G3579" s="6">
        <v>2015</v>
      </c>
      <c r="H3579" s="6">
        <v>10</v>
      </c>
      <c r="I3579" s="10">
        <v>42278</v>
      </c>
      <c r="J3579" s="6">
        <v>4437</v>
      </c>
      <c r="K3579" s="51"/>
      <c r="O3579" t="s">
        <v>7</v>
      </c>
      <c r="P3579" t="s">
        <v>32</v>
      </c>
      <c r="Q3579" t="s">
        <v>8</v>
      </c>
      <c r="R3579" t="s">
        <v>27</v>
      </c>
      <c r="S3579" t="s">
        <v>31</v>
      </c>
      <c r="T3579">
        <v>2015</v>
      </c>
      <c r="U3579">
        <v>10</v>
      </c>
      <c r="V3579" s="51">
        <v>42278</v>
      </c>
      <c r="W3579" s="4">
        <v>3815.8200000000006</v>
      </c>
      <c r="X3579" s="52">
        <v>4437</v>
      </c>
    </row>
    <row r="3580" spans="2:24" x14ac:dyDescent="0.35">
      <c r="B3580" s="6" t="s">
        <v>6</v>
      </c>
      <c r="C3580" s="6" t="s">
        <v>29</v>
      </c>
      <c r="D3580" s="6" t="s">
        <v>30</v>
      </c>
      <c r="E3580" s="6" t="s">
        <v>23</v>
      </c>
      <c r="F3580" s="6" t="s">
        <v>24</v>
      </c>
      <c r="G3580" s="6">
        <v>2015</v>
      </c>
      <c r="H3580" s="6">
        <v>10</v>
      </c>
      <c r="I3580" s="10">
        <v>42278</v>
      </c>
      <c r="J3580" s="6">
        <v>2183</v>
      </c>
      <c r="K3580" s="51"/>
      <c r="O3580" t="s">
        <v>6</v>
      </c>
      <c r="P3580" t="s">
        <v>29</v>
      </c>
      <c r="Q3580" t="s">
        <v>30</v>
      </c>
      <c r="R3580" t="s">
        <v>23</v>
      </c>
      <c r="S3580" t="s">
        <v>24</v>
      </c>
      <c r="T3580">
        <v>2015</v>
      </c>
      <c r="U3580">
        <v>10</v>
      </c>
      <c r="V3580" s="51">
        <v>42278</v>
      </c>
      <c r="W3580" s="4">
        <v>2008.36</v>
      </c>
      <c r="X3580" s="52">
        <v>2183</v>
      </c>
    </row>
    <row r="3581" spans="2:24" x14ac:dyDescent="0.35">
      <c r="B3581" s="6" t="s">
        <v>7</v>
      </c>
      <c r="C3581" s="6" t="s">
        <v>48</v>
      </c>
      <c r="D3581" s="6" t="s">
        <v>9</v>
      </c>
      <c r="E3581" s="6" t="s">
        <v>0</v>
      </c>
      <c r="F3581" s="6" t="s">
        <v>42</v>
      </c>
      <c r="G3581" s="6">
        <v>2015</v>
      </c>
      <c r="H3581" s="6">
        <v>10</v>
      </c>
      <c r="I3581" s="10">
        <v>42278</v>
      </c>
      <c r="J3581" s="6">
        <v>4760</v>
      </c>
      <c r="K3581" s="51"/>
      <c r="O3581" t="s">
        <v>7</v>
      </c>
      <c r="P3581" t="s">
        <v>48</v>
      </c>
      <c r="Q3581" t="s">
        <v>9</v>
      </c>
      <c r="R3581" t="s">
        <v>0</v>
      </c>
      <c r="S3581" t="s">
        <v>42</v>
      </c>
      <c r="T3581">
        <v>2015</v>
      </c>
      <c r="U3581">
        <v>10</v>
      </c>
      <c r="V3581" s="51">
        <v>42278</v>
      </c>
      <c r="W3581" s="4">
        <v>4379.2</v>
      </c>
      <c r="X3581" s="52">
        <v>4760</v>
      </c>
    </row>
    <row r="3582" spans="2:24" x14ac:dyDescent="0.35">
      <c r="B3582" s="6" t="s">
        <v>7</v>
      </c>
      <c r="C3582" s="6" t="s">
        <v>48</v>
      </c>
      <c r="D3582" s="6" t="s">
        <v>9</v>
      </c>
      <c r="E3582" s="6" t="s">
        <v>0</v>
      </c>
      <c r="F3582" s="6" t="s">
        <v>26</v>
      </c>
      <c r="G3582" s="6">
        <v>2015</v>
      </c>
      <c r="H3582" s="6">
        <v>10</v>
      </c>
      <c r="I3582" s="10">
        <v>42278</v>
      </c>
      <c r="J3582" s="6">
        <v>3044</v>
      </c>
      <c r="K3582" s="51"/>
      <c r="O3582" t="s">
        <v>7</v>
      </c>
      <c r="P3582" t="s">
        <v>48</v>
      </c>
      <c r="Q3582" t="s">
        <v>9</v>
      </c>
      <c r="R3582" t="s">
        <v>0</v>
      </c>
      <c r="S3582" t="s">
        <v>26</v>
      </c>
      <c r="T3582">
        <v>2015</v>
      </c>
      <c r="U3582">
        <v>10</v>
      </c>
      <c r="V3582" s="51">
        <v>42278</v>
      </c>
      <c r="W3582" s="4">
        <v>2709.16</v>
      </c>
      <c r="X3582" s="52">
        <v>3044</v>
      </c>
    </row>
    <row r="3583" spans="2:24" x14ac:dyDescent="0.35">
      <c r="B3583" s="6" t="s">
        <v>7</v>
      </c>
      <c r="C3583" s="6" t="s">
        <v>49</v>
      </c>
      <c r="D3583" s="6" t="s">
        <v>11</v>
      </c>
      <c r="E3583" s="6" t="s">
        <v>0</v>
      </c>
      <c r="F3583" s="6" t="s">
        <v>45</v>
      </c>
      <c r="G3583" s="6">
        <v>2015</v>
      </c>
      <c r="H3583" s="6">
        <v>10</v>
      </c>
      <c r="I3583" s="10">
        <v>42278</v>
      </c>
      <c r="J3583" s="6">
        <v>4647</v>
      </c>
      <c r="K3583" s="51"/>
      <c r="O3583" t="s">
        <v>7</v>
      </c>
      <c r="P3583" t="s">
        <v>49</v>
      </c>
      <c r="Q3583" t="s">
        <v>11</v>
      </c>
      <c r="R3583" t="s">
        <v>0</v>
      </c>
      <c r="S3583" t="s">
        <v>45</v>
      </c>
      <c r="T3583">
        <v>2015</v>
      </c>
      <c r="U3583">
        <v>10</v>
      </c>
      <c r="V3583" s="51">
        <v>42278</v>
      </c>
      <c r="W3583" s="4">
        <v>4042.8900000000003</v>
      </c>
      <c r="X3583" s="52">
        <v>4647</v>
      </c>
    </row>
    <row r="3584" spans="2:24" x14ac:dyDescent="0.35">
      <c r="B3584" s="6" t="s">
        <v>7</v>
      </c>
      <c r="C3584" s="6" t="s">
        <v>49</v>
      </c>
      <c r="D3584" s="6" t="s">
        <v>11</v>
      </c>
      <c r="E3584" s="6" t="s">
        <v>27</v>
      </c>
      <c r="F3584" s="6" t="s">
        <v>28</v>
      </c>
      <c r="G3584" s="6">
        <v>2015</v>
      </c>
      <c r="H3584" s="6">
        <v>10</v>
      </c>
      <c r="I3584" s="10">
        <v>42278</v>
      </c>
      <c r="J3584" s="6">
        <v>4610</v>
      </c>
      <c r="K3584" s="51"/>
      <c r="O3584" t="s">
        <v>7</v>
      </c>
      <c r="P3584" t="s">
        <v>49</v>
      </c>
      <c r="Q3584" t="s">
        <v>11</v>
      </c>
      <c r="R3584" t="s">
        <v>27</v>
      </c>
      <c r="S3584" t="s">
        <v>28</v>
      </c>
      <c r="T3584">
        <v>2015</v>
      </c>
      <c r="U3584">
        <v>10</v>
      </c>
      <c r="V3584" s="51">
        <v>42278</v>
      </c>
      <c r="W3584" s="4">
        <v>4287.2999999999993</v>
      </c>
      <c r="X3584" s="52">
        <v>4610</v>
      </c>
    </row>
    <row r="3585" spans="2:24" x14ac:dyDescent="0.35">
      <c r="B3585" s="6" t="s">
        <v>12</v>
      </c>
      <c r="C3585" s="6" t="s">
        <v>34</v>
      </c>
      <c r="D3585" s="6" t="s">
        <v>35</v>
      </c>
      <c r="E3585" s="6" t="s">
        <v>27</v>
      </c>
      <c r="F3585" s="6" t="s">
        <v>31</v>
      </c>
      <c r="G3585" s="6">
        <v>2015</v>
      </c>
      <c r="H3585" s="6">
        <v>10</v>
      </c>
      <c r="I3585" s="10">
        <v>42278</v>
      </c>
      <c r="J3585" s="6">
        <v>3547</v>
      </c>
      <c r="K3585" s="51"/>
      <c r="O3585" t="s">
        <v>12</v>
      </c>
      <c r="P3585" t="s">
        <v>34</v>
      </c>
      <c r="Q3585" t="s">
        <v>35</v>
      </c>
      <c r="R3585" t="s">
        <v>27</v>
      </c>
      <c r="S3585" t="s">
        <v>31</v>
      </c>
      <c r="T3585">
        <v>2015</v>
      </c>
      <c r="U3585">
        <v>10</v>
      </c>
      <c r="V3585" s="51">
        <v>42278</v>
      </c>
      <c r="W3585" s="4">
        <v>3298.7099999999996</v>
      </c>
      <c r="X3585" s="52">
        <v>3547</v>
      </c>
    </row>
    <row r="3586" spans="2:24" x14ac:dyDescent="0.35">
      <c r="B3586" s="6" t="s">
        <v>12</v>
      </c>
      <c r="C3586" s="6" t="s">
        <v>34</v>
      </c>
      <c r="D3586" s="6" t="s">
        <v>35</v>
      </c>
      <c r="E3586" s="6" t="s">
        <v>27</v>
      </c>
      <c r="F3586" s="6" t="s">
        <v>33</v>
      </c>
      <c r="G3586" s="6">
        <v>2015</v>
      </c>
      <c r="H3586" s="6">
        <v>10</v>
      </c>
      <c r="I3586" s="10">
        <v>42278</v>
      </c>
      <c r="J3586" s="6">
        <v>3577</v>
      </c>
      <c r="K3586" s="51"/>
      <c r="O3586" t="s">
        <v>12</v>
      </c>
      <c r="P3586" t="s">
        <v>34</v>
      </c>
      <c r="Q3586" t="s">
        <v>35</v>
      </c>
      <c r="R3586" t="s">
        <v>27</v>
      </c>
      <c r="S3586" t="s">
        <v>33</v>
      </c>
      <c r="T3586">
        <v>2015</v>
      </c>
      <c r="U3586">
        <v>10</v>
      </c>
      <c r="V3586" s="51">
        <v>42278</v>
      </c>
      <c r="W3586" s="4">
        <v>3326.6099999999997</v>
      </c>
      <c r="X3586" s="52">
        <v>3577</v>
      </c>
    </row>
    <row r="3587" spans="2:24" x14ac:dyDescent="0.35">
      <c r="B3587" s="6" t="s">
        <v>14</v>
      </c>
      <c r="C3587" s="6" t="s">
        <v>37</v>
      </c>
      <c r="D3587" s="6" t="s">
        <v>38</v>
      </c>
      <c r="E3587" s="6" t="s">
        <v>23</v>
      </c>
      <c r="F3587" s="6" t="s">
        <v>36</v>
      </c>
      <c r="G3587" s="6">
        <v>2015</v>
      </c>
      <c r="H3587" s="6">
        <v>10</v>
      </c>
      <c r="I3587" s="10">
        <v>42278</v>
      </c>
      <c r="J3587" s="6">
        <v>2769</v>
      </c>
      <c r="K3587" s="51"/>
      <c r="O3587" t="s">
        <v>14</v>
      </c>
      <c r="P3587" t="s">
        <v>37</v>
      </c>
      <c r="Q3587" t="s">
        <v>38</v>
      </c>
      <c r="R3587" t="s">
        <v>23</v>
      </c>
      <c r="S3587" t="s">
        <v>36</v>
      </c>
      <c r="T3587">
        <v>2015</v>
      </c>
      <c r="U3587">
        <v>10</v>
      </c>
      <c r="V3587" s="51">
        <v>42278</v>
      </c>
      <c r="W3587" s="4">
        <v>2464.41</v>
      </c>
      <c r="X3587" s="52">
        <v>2769</v>
      </c>
    </row>
    <row r="3588" spans="2:24" x14ac:dyDescent="0.35">
      <c r="B3588" s="6" t="s">
        <v>12</v>
      </c>
      <c r="C3588" s="6" t="s">
        <v>44</v>
      </c>
      <c r="D3588" s="6" t="s">
        <v>13</v>
      </c>
      <c r="E3588" s="6" t="s">
        <v>23</v>
      </c>
      <c r="F3588" s="6" t="s">
        <v>39</v>
      </c>
      <c r="G3588" s="6">
        <v>2015</v>
      </c>
      <c r="H3588" s="6">
        <v>10</v>
      </c>
      <c r="I3588" s="10">
        <v>42278</v>
      </c>
      <c r="J3588" s="6">
        <v>1833</v>
      </c>
      <c r="K3588" s="51"/>
      <c r="O3588" t="s">
        <v>12</v>
      </c>
      <c r="P3588" t="s">
        <v>44</v>
      </c>
      <c r="Q3588" t="s">
        <v>13</v>
      </c>
      <c r="R3588" t="s">
        <v>23</v>
      </c>
      <c r="S3588" t="s">
        <v>39</v>
      </c>
      <c r="T3588">
        <v>2015</v>
      </c>
      <c r="U3588">
        <v>10</v>
      </c>
      <c r="V3588" s="51">
        <v>42278</v>
      </c>
      <c r="W3588" s="4">
        <v>1686.36</v>
      </c>
      <c r="X3588" s="52">
        <v>1833</v>
      </c>
    </row>
    <row r="3589" spans="2:24" x14ac:dyDescent="0.35">
      <c r="B3589" s="6" t="s">
        <v>12</v>
      </c>
      <c r="C3589" s="6" t="s">
        <v>44</v>
      </c>
      <c r="D3589" s="6" t="s">
        <v>13</v>
      </c>
      <c r="E3589" s="6" t="s">
        <v>0</v>
      </c>
      <c r="F3589" s="6" t="s">
        <v>42</v>
      </c>
      <c r="G3589" s="6">
        <v>2015</v>
      </c>
      <c r="H3589" s="6">
        <v>10</v>
      </c>
      <c r="I3589" s="10">
        <v>42278</v>
      </c>
      <c r="J3589" s="6">
        <v>5743</v>
      </c>
      <c r="K3589" s="51"/>
      <c r="O3589" t="s">
        <v>12</v>
      </c>
      <c r="P3589" t="s">
        <v>44</v>
      </c>
      <c r="Q3589" t="s">
        <v>13</v>
      </c>
      <c r="R3589" t="s">
        <v>0</v>
      </c>
      <c r="S3589" t="s">
        <v>42</v>
      </c>
      <c r="T3589">
        <v>2015</v>
      </c>
      <c r="U3589">
        <v>10</v>
      </c>
      <c r="V3589" s="51">
        <v>42278</v>
      </c>
      <c r="W3589" s="4">
        <v>4881.55</v>
      </c>
      <c r="X3589" s="52">
        <v>5743</v>
      </c>
    </row>
    <row r="3590" spans="2:24" x14ac:dyDescent="0.35">
      <c r="B3590" s="6" t="s">
        <v>14</v>
      </c>
      <c r="C3590" s="6" t="s">
        <v>46</v>
      </c>
      <c r="D3590" s="6" t="s">
        <v>47</v>
      </c>
      <c r="E3590" s="6" t="s">
        <v>0</v>
      </c>
      <c r="F3590" s="6" t="s">
        <v>26</v>
      </c>
      <c r="G3590" s="6">
        <v>2015</v>
      </c>
      <c r="H3590" s="6">
        <v>10</v>
      </c>
      <c r="I3590" s="10">
        <v>42278</v>
      </c>
      <c r="J3590" s="6">
        <v>4868</v>
      </c>
      <c r="K3590" s="51"/>
      <c r="O3590" t="s">
        <v>14</v>
      </c>
      <c r="P3590" t="s">
        <v>46</v>
      </c>
      <c r="Q3590" t="s">
        <v>47</v>
      </c>
      <c r="R3590" t="s">
        <v>0</v>
      </c>
      <c r="S3590" t="s">
        <v>26</v>
      </c>
      <c r="T3590">
        <v>2015</v>
      </c>
      <c r="U3590">
        <v>10</v>
      </c>
      <c r="V3590" s="51">
        <v>42278</v>
      </c>
      <c r="W3590" s="4">
        <v>4381.2</v>
      </c>
      <c r="X3590" s="52">
        <v>4868</v>
      </c>
    </row>
    <row r="3591" spans="2:24" x14ac:dyDescent="0.35">
      <c r="B3591" s="6" t="s">
        <v>14</v>
      </c>
      <c r="C3591" s="6" t="s">
        <v>46</v>
      </c>
      <c r="D3591" s="6" t="s">
        <v>47</v>
      </c>
      <c r="E3591" s="6" t="s">
        <v>0</v>
      </c>
      <c r="F3591" s="6" t="s">
        <v>45</v>
      </c>
      <c r="G3591" s="6">
        <v>2015</v>
      </c>
      <c r="H3591" s="6">
        <v>10</v>
      </c>
      <c r="I3591" s="10">
        <v>42278</v>
      </c>
      <c r="J3591" s="6">
        <v>2358</v>
      </c>
      <c r="K3591" s="51"/>
      <c r="O3591" t="s">
        <v>14</v>
      </c>
      <c r="P3591" t="s">
        <v>46</v>
      </c>
      <c r="Q3591" t="s">
        <v>47</v>
      </c>
      <c r="R3591" t="s">
        <v>0</v>
      </c>
      <c r="S3591" t="s">
        <v>45</v>
      </c>
      <c r="T3591">
        <v>2015</v>
      </c>
      <c r="U3591">
        <v>10</v>
      </c>
      <c r="V3591" s="51">
        <v>42278</v>
      </c>
      <c r="W3591" s="4">
        <v>2075.04</v>
      </c>
      <c r="X3591" s="52">
        <v>2358</v>
      </c>
    </row>
    <row r="3592" spans="2:24" x14ac:dyDescent="0.35">
      <c r="B3592" s="6" t="s">
        <v>3</v>
      </c>
      <c r="C3592" s="6" t="s">
        <v>25</v>
      </c>
      <c r="D3592" s="6" t="s">
        <v>4</v>
      </c>
      <c r="E3592" s="6" t="s">
        <v>27</v>
      </c>
      <c r="F3592" s="6" t="s">
        <v>33</v>
      </c>
      <c r="G3592" s="6">
        <v>2015</v>
      </c>
      <c r="H3592" s="6">
        <v>10</v>
      </c>
      <c r="I3592" s="10">
        <v>42278</v>
      </c>
      <c r="J3592" s="6">
        <v>2864</v>
      </c>
      <c r="K3592" s="51"/>
      <c r="O3592" t="s">
        <v>3</v>
      </c>
      <c r="P3592" t="s">
        <v>25</v>
      </c>
      <c r="Q3592" t="s">
        <v>4</v>
      </c>
      <c r="R3592" t="s">
        <v>27</v>
      </c>
      <c r="S3592" t="s">
        <v>33</v>
      </c>
      <c r="T3592">
        <v>2015</v>
      </c>
      <c r="U3592">
        <v>10</v>
      </c>
      <c r="V3592" s="51">
        <v>42278</v>
      </c>
      <c r="W3592" s="4">
        <v>2692.16</v>
      </c>
      <c r="X3592" s="52">
        <v>2864</v>
      </c>
    </row>
    <row r="3593" spans="2:24" x14ac:dyDescent="0.35">
      <c r="B3593" s="6" t="s">
        <v>3</v>
      </c>
      <c r="C3593" s="6" t="s">
        <v>25</v>
      </c>
      <c r="D3593" s="6" t="s">
        <v>4</v>
      </c>
      <c r="E3593" s="6" t="s">
        <v>23</v>
      </c>
      <c r="F3593" s="6" t="s">
        <v>36</v>
      </c>
      <c r="G3593" s="6">
        <v>2015</v>
      </c>
      <c r="H3593" s="6">
        <v>10</v>
      </c>
      <c r="I3593" s="10">
        <v>42278</v>
      </c>
      <c r="J3593" s="6">
        <v>1925</v>
      </c>
      <c r="K3593" s="51"/>
      <c r="O3593" t="s">
        <v>3</v>
      </c>
      <c r="P3593" t="s">
        <v>25</v>
      </c>
      <c r="Q3593" t="s">
        <v>4</v>
      </c>
      <c r="R3593" t="s">
        <v>23</v>
      </c>
      <c r="S3593" t="s">
        <v>36</v>
      </c>
      <c r="T3593">
        <v>2015</v>
      </c>
      <c r="U3593">
        <v>10</v>
      </c>
      <c r="V3593" s="51">
        <v>42278</v>
      </c>
      <c r="W3593" s="4">
        <v>1809.5</v>
      </c>
      <c r="X3593" s="52">
        <v>1925</v>
      </c>
    </row>
    <row r="3594" spans="2:24" x14ac:dyDescent="0.35">
      <c r="B3594" s="6" t="s">
        <v>6</v>
      </c>
      <c r="C3594" s="6" t="s">
        <v>40</v>
      </c>
      <c r="D3594" s="6" t="s">
        <v>41</v>
      </c>
      <c r="E3594" s="6" t="s">
        <v>23</v>
      </c>
      <c r="F3594" s="6" t="s">
        <v>39</v>
      </c>
      <c r="G3594" s="6">
        <v>2015</v>
      </c>
      <c r="H3594" s="6">
        <v>10</v>
      </c>
      <c r="I3594" s="10">
        <v>42278</v>
      </c>
      <c r="J3594" s="6">
        <v>1320</v>
      </c>
      <c r="K3594" s="51"/>
      <c r="O3594" t="s">
        <v>6</v>
      </c>
      <c r="P3594" t="s">
        <v>40</v>
      </c>
      <c r="Q3594" t="s">
        <v>41</v>
      </c>
      <c r="R3594" t="s">
        <v>23</v>
      </c>
      <c r="S3594" t="s">
        <v>39</v>
      </c>
      <c r="T3594">
        <v>2015</v>
      </c>
      <c r="U3594">
        <v>10</v>
      </c>
      <c r="V3594" s="51">
        <v>42278</v>
      </c>
      <c r="W3594" s="4">
        <v>1240.8</v>
      </c>
      <c r="X3594" s="52">
        <v>1320</v>
      </c>
    </row>
    <row r="3595" spans="2:24" x14ac:dyDescent="0.35">
      <c r="B3595" s="6" t="s">
        <v>7</v>
      </c>
      <c r="C3595" s="6" t="s">
        <v>48</v>
      </c>
      <c r="D3595" s="6" t="s">
        <v>9</v>
      </c>
      <c r="E3595" s="6" t="s">
        <v>0</v>
      </c>
      <c r="F3595" s="6" t="s">
        <v>45</v>
      </c>
      <c r="G3595" s="6">
        <v>2015</v>
      </c>
      <c r="H3595" s="6">
        <v>10</v>
      </c>
      <c r="I3595" s="10">
        <v>42278</v>
      </c>
      <c r="J3595" s="6">
        <v>4645</v>
      </c>
      <c r="K3595" s="51"/>
      <c r="O3595" t="s">
        <v>7</v>
      </c>
      <c r="P3595" t="s">
        <v>48</v>
      </c>
      <c r="Q3595" t="s">
        <v>9</v>
      </c>
      <c r="R3595" t="s">
        <v>0</v>
      </c>
      <c r="S3595" t="s">
        <v>45</v>
      </c>
      <c r="T3595">
        <v>2015</v>
      </c>
      <c r="U3595">
        <v>10</v>
      </c>
      <c r="V3595" s="51">
        <v>42278</v>
      </c>
      <c r="W3595" s="4">
        <v>3948.2500000000005</v>
      </c>
      <c r="X3595" s="52">
        <v>4645</v>
      </c>
    </row>
    <row r="3596" spans="2:24" x14ac:dyDescent="0.35">
      <c r="B3596" s="6" t="s">
        <v>7</v>
      </c>
      <c r="C3596" s="6" t="s">
        <v>49</v>
      </c>
      <c r="D3596" s="6" t="s">
        <v>11</v>
      </c>
      <c r="E3596" s="6" t="s">
        <v>27</v>
      </c>
      <c r="F3596" s="6" t="s">
        <v>31</v>
      </c>
      <c r="G3596" s="6">
        <v>2015</v>
      </c>
      <c r="H3596" s="6">
        <v>10</v>
      </c>
      <c r="I3596" s="10">
        <v>42278</v>
      </c>
      <c r="J3596" s="6">
        <v>4234</v>
      </c>
      <c r="K3596" s="51"/>
      <c r="O3596" t="s">
        <v>7</v>
      </c>
      <c r="P3596" t="s">
        <v>49</v>
      </c>
      <c r="Q3596" t="s">
        <v>11</v>
      </c>
      <c r="R3596" t="s">
        <v>27</v>
      </c>
      <c r="S3596" t="s">
        <v>31</v>
      </c>
      <c r="T3596">
        <v>2015</v>
      </c>
      <c r="U3596">
        <v>10</v>
      </c>
      <c r="V3596" s="51">
        <v>42278</v>
      </c>
      <c r="W3596" s="4">
        <v>3810.5999999999995</v>
      </c>
      <c r="X3596" s="52">
        <v>4234</v>
      </c>
    </row>
    <row r="3597" spans="2:24" x14ac:dyDescent="0.35">
      <c r="B3597" s="6" t="s">
        <v>7</v>
      </c>
      <c r="C3597" s="6" t="s">
        <v>43</v>
      </c>
      <c r="D3597" s="6" t="s">
        <v>10</v>
      </c>
      <c r="E3597" s="6" t="s">
        <v>27</v>
      </c>
      <c r="F3597" s="6" t="s">
        <v>33</v>
      </c>
      <c r="G3597" s="6">
        <v>2015</v>
      </c>
      <c r="H3597" s="6">
        <v>10</v>
      </c>
      <c r="I3597" s="10">
        <v>42278</v>
      </c>
      <c r="J3597" s="6">
        <v>3363</v>
      </c>
      <c r="K3597" s="51"/>
      <c r="O3597" t="s">
        <v>7</v>
      </c>
      <c r="P3597" t="s">
        <v>43</v>
      </c>
      <c r="Q3597" t="s">
        <v>10</v>
      </c>
      <c r="R3597" t="s">
        <v>27</v>
      </c>
      <c r="S3597" t="s">
        <v>33</v>
      </c>
      <c r="T3597">
        <v>2015</v>
      </c>
      <c r="U3597">
        <v>10</v>
      </c>
      <c r="V3597" s="51">
        <v>42278</v>
      </c>
      <c r="W3597" s="4">
        <v>2892.1800000000003</v>
      </c>
      <c r="X3597" s="52">
        <v>3363</v>
      </c>
    </row>
    <row r="3598" spans="2:24" x14ac:dyDescent="0.35">
      <c r="B3598" s="6" t="s">
        <v>7</v>
      </c>
      <c r="C3598" s="6" t="s">
        <v>32</v>
      </c>
      <c r="D3598" s="6" t="s">
        <v>8</v>
      </c>
      <c r="E3598" s="6" t="s">
        <v>0</v>
      </c>
      <c r="F3598" s="6" t="s">
        <v>45</v>
      </c>
      <c r="G3598" s="6">
        <v>2015</v>
      </c>
      <c r="H3598" s="6">
        <v>10</v>
      </c>
      <c r="I3598" s="10">
        <v>42278</v>
      </c>
      <c r="J3598" s="6">
        <v>4095</v>
      </c>
      <c r="K3598" s="51"/>
      <c r="O3598" t="s">
        <v>7</v>
      </c>
      <c r="P3598" t="s">
        <v>32</v>
      </c>
      <c r="Q3598" t="s">
        <v>8</v>
      </c>
      <c r="R3598" t="s">
        <v>0</v>
      </c>
      <c r="S3598" t="s">
        <v>45</v>
      </c>
      <c r="T3598">
        <v>2015</v>
      </c>
      <c r="U3598">
        <v>10</v>
      </c>
      <c r="V3598" s="51">
        <v>42278</v>
      </c>
      <c r="W3598" s="4">
        <v>3521.7000000000003</v>
      </c>
      <c r="X3598" s="52">
        <v>4095</v>
      </c>
    </row>
    <row r="3599" spans="2:24" x14ac:dyDescent="0.35">
      <c r="B3599" s="6" t="s">
        <v>7</v>
      </c>
      <c r="C3599" s="6" t="s">
        <v>48</v>
      </c>
      <c r="D3599" s="6" t="s">
        <v>9</v>
      </c>
      <c r="E3599" s="6" t="s">
        <v>23</v>
      </c>
      <c r="F3599" s="6" t="s">
        <v>39</v>
      </c>
      <c r="G3599" s="6">
        <v>2015</v>
      </c>
      <c r="H3599" s="6">
        <v>10</v>
      </c>
      <c r="I3599" s="10">
        <v>42278</v>
      </c>
      <c r="J3599" s="6">
        <v>1428</v>
      </c>
      <c r="K3599" s="51"/>
      <c r="O3599" t="s">
        <v>7</v>
      </c>
      <c r="P3599" t="s">
        <v>48</v>
      </c>
      <c r="Q3599" t="s">
        <v>9</v>
      </c>
      <c r="R3599" t="s">
        <v>23</v>
      </c>
      <c r="S3599" t="s">
        <v>39</v>
      </c>
      <c r="T3599">
        <v>2015</v>
      </c>
      <c r="U3599">
        <v>10</v>
      </c>
      <c r="V3599" s="51">
        <v>42278</v>
      </c>
      <c r="W3599" s="4">
        <v>1270.9199999999998</v>
      </c>
      <c r="X3599" s="52">
        <v>1428</v>
      </c>
    </row>
    <row r="3600" spans="2:24" x14ac:dyDescent="0.35">
      <c r="B3600" s="6" t="s">
        <v>7</v>
      </c>
      <c r="C3600" s="6" t="s">
        <v>49</v>
      </c>
      <c r="D3600" s="6" t="s">
        <v>11</v>
      </c>
      <c r="E3600" s="6" t="s">
        <v>0</v>
      </c>
      <c r="F3600" s="6" t="s">
        <v>26</v>
      </c>
      <c r="G3600" s="6">
        <v>2015</v>
      </c>
      <c r="H3600" s="6">
        <v>10</v>
      </c>
      <c r="I3600" s="10">
        <v>42278</v>
      </c>
      <c r="J3600" s="6">
        <v>3192</v>
      </c>
      <c r="K3600" s="51"/>
      <c r="O3600" t="s">
        <v>7</v>
      </c>
      <c r="P3600" t="s">
        <v>49</v>
      </c>
      <c r="Q3600" t="s">
        <v>11</v>
      </c>
      <c r="R3600" t="s">
        <v>0</v>
      </c>
      <c r="S3600" t="s">
        <v>26</v>
      </c>
      <c r="T3600">
        <v>2015</v>
      </c>
      <c r="U3600">
        <v>10</v>
      </c>
      <c r="V3600" s="51">
        <v>42278</v>
      </c>
      <c r="W3600" s="4">
        <v>2808.9599999999996</v>
      </c>
      <c r="X3600" s="52">
        <v>3192</v>
      </c>
    </row>
    <row r="3601" spans="2:24" x14ac:dyDescent="0.35">
      <c r="B3601" s="6" t="s">
        <v>12</v>
      </c>
      <c r="C3601" s="6" t="s">
        <v>34</v>
      </c>
      <c r="D3601" s="6" t="s">
        <v>35</v>
      </c>
      <c r="E3601" s="6" t="s">
        <v>27</v>
      </c>
      <c r="F3601" s="6" t="s">
        <v>28</v>
      </c>
      <c r="G3601" s="6">
        <v>2015</v>
      </c>
      <c r="H3601" s="6">
        <v>10</v>
      </c>
      <c r="I3601" s="10">
        <v>42278</v>
      </c>
      <c r="J3601" s="6">
        <v>3235</v>
      </c>
      <c r="K3601" s="51"/>
      <c r="O3601" t="s">
        <v>12</v>
      </c>
      <c r="P3601" t="s">
        <v>34</v>
      </c>
      <c r="Q3601" t="s">
        <v>35</v>
      </c>
      <c r="R3601" t="s">
        <v>27</v>
      </c>
      <c r="S3601" t="s">
        <v>28</v>
      </c>
      <c r="T3601">
        <v>2015</v>
      </c>
      <c r="U3601">
        <v>10</v>
      </c>
      <c r="V3601" s="51">
        <v>42278</v>
      </c>
      <c r="W3601" s="4">
        <v>3008.5499999999997</v>
      </c>
      <c r="X3601" s="52">
        <v>3235</v>
      </c>
    </row>
    <row r="3602" spans="2:24" x14ac:dyDescent="0.35">
      <c r="B3602" s="6" t="s">
        <v>14</v>
      </c>
      <c r="C3602" s="6" t="s">
        <v>37</v>
      </c>
      <c r="D3602" s="6" t="s">
        <v>38</v>
      </c>
      <c r="E3602" s="6" t="s">
        <v>27</v>
      </c>
      <c r="F3602" s="6" t="s">
        <v>33</v>
      </c>
      <c r="G3602" s="6">
        <v>2015</v>
      </c>
      <c r="H3602" s="6">
        <v>10</v>
      </c>
      <c r="I3602" s="10">
        <v>42278</v>
      </c>
      <c r="J3602" s="6">
        <v>2833</v>
      </c>
      <c r="K3602" s="51"/>
      <c r="O3602" t="s">
        <v>14</v>
      </c>
      <c r="P3602" t="s">
        <v>37</v>
      </c>
      <c r="Q3602" t="s">
        <v>38</v>
      </c>
      <c r="R3602" t="s">
        <v>27</v>
      </c>
      <c r="S3602" t="s">
        <v>33</v>
      </c>
      <c r="T3602">
        <v>2015</v>
      </c>
      <c r="U3602">
        <v>10</v>
      </c>
      <c r="V3602" s="51">
        <v>42278</v>
      </c>
      <c r="W3602" s="4">
        <v>2493.0399999999995</v>
      </c>
      <c r="X3602" s="52">
        <v>2833</v>
      </c>
    </row>
    <row r="3603" spans="2:24" x14ac:dyDescent="0.35">
      <c r="B3603" s="6" t="s">
        <v>12</v>
      </c>
      <c r="C3603" s="6" t="s">
        <v>44</v>
      </c>
      <c r="D3603" s="6" t="s">
        <v>13</v>
      </c>
      <c r="E3603" s="6" t="s">
        <v>23</v>
      </c>
      <c r="F3603" s="6" t="s">
        <v>24</v>
      </c>
      <c r="G3603" s="6">
        <v>2015</v>
      </c>
      <c r="H3603" s="6">
        <v>10</v>
      </c>
      <c r="I3603" s="10">
        <v>42278</v>
      </c>
      <c r="J3603" s="6">
        <v>2344</v>
      </c>
      <c r="K3603" s="51"/>
      <c r="O3603" t="s">
        <v>12</v>
      </c>
      <c r="P3603" t="s">
        <v>44</v>
      </c>
      <c r="Q3603" t="s">
        <v>13</v>
      </c>
      <c r="R3603" t="s">
        <v>23</v>
      </c>
      <c r="S3603" t="s">
        <v>24</v>
      </c>
      <c r="T3603">
        <v>2015</v>
      </c>
      <c r="U3603">
        <v>10</v>
      </c>
      <c r="V3603" s="51">
        <v>42278</v>
      </c>
      <c r="W3603" s="4">
        <v>2039.2800000000002</v>
      </c>
      <c r="X3603" s="52">
        <v>2344</v>
      </c>
    </row>
    <row r="3604" spans="2:24" x14ac:dyDescent="0.35">
      <c r="B3604" s="6" t="s">
        <v>14</v>
      </c>
      <c r="C3604" s="6" t="s">
        <v>46</v>
      </c>
      <c r="D3604" s="6" t="s">
        <v>47</v>
      </c>
      <c r="E3604" s="6" t="s">
        <v>0</v>
      </c>
      <c r="F3604" s="6" t="s">
        <v>42</v>
      </c>
      <c r="G3604" s="6">
        <v>2015</v>
      </c>
      <c r="H3604" s="6">
        <v>10</v>
      </c>
      <c r="I3604" s="10">
        <v>42278</v>
      </c>
      <c r="J3604" s="6">
        <v>4947</v>
      </c>
      <c r="K3604" s="51"/>
      <c r="O3604" t="s">
        <v>14</v>
      </c>
      <c r="P3604" t="s">
        <v>46</v>
      </c>
      <c r="Q3604" t="s">
        <v>47</v>
      </c>
      <c r="R3604" t="s">
        <v>0</v>
      </c>
      <c r="S3604" t="s">
        <v>42</v>
      </c>
      <c r="T3604">
        <v>2015</v>
      </c>
      <c r="U3604">
        <v>10</v>
      </c>
      <c r="V3604" s="51">
        <v>42278</v>
      </c>
      <c r="W3604" s="4">
        <v>4650.1799999999994</v>
      </c>
      <c r="X3604" s="52">
        <v>4947</v>
      </c>
    </row>
    <row r="3605" spans="2:24" x14ac:dyDescent="0.35">
      <c r="B3605" s="6" t="s">
        <v>7</v>
      </c>
      <c r="C3605" s="6" t="s">
        <v>48</v>
      </c>
      <c r="D3605" s="6" t="s">
        <v>9</v>
      </c>
      <c r="E3605" s="6" t="s">
        <v>27</v>
      </c>
      <c r="F3605" s="6" t="s">
        <v>33</v>
      </c>
      <c r="G3605" s="6">
        <v>2015</v>
      </c>
      <c r="H3605" s="6">
        <v>10</v>
      </c>
      <c r="I3605" s="10">
        <v>42278</v>
      </c>
      <c r="J3605" s="6">
        <v>3630</v>
      </c>
      <c r="K3605" s="51"/>
      <c r="O3605" t="s">
        <v>7</v>
      </c>
      <c r="P3605" t="s">
        <v>48</v>
      </c>
      <c r="Q3605" t="s">
        <v>9</v>
      </c>
      <c r="R3605" t="s">
        <v>27</v>
      </c>
      <c r="S3605" t="s">
        <v>33</v>
      </c>
      <c r="T3605">
        <v>2015</v>
      </c>
      <c r="U3605">
        <v>10</v>
      </c>
      <c r="V3605" s="51">
        <v>42278</v>
      </c>
      <c r="W3605" s="4">
        <v>3194.3999999999996</v>
      </c>
      <c r="X3605" s="52">
        <v>3630</v>
      </c>
    </row>
    <row r="3606" spans="2:24" x14ac:dyDescent="0.35">
      <c r="B3606" s="6" t="s">
        <v>7</v>
      </c>
      <c r="C3606" s="6" t="s">
        <v>49</v>
      </c>
      <c r="D3606" s="6" t="s">
        <v>11</v>
      </c>
      <c r="E3606" s="6" t="s">
        <v>23</v>
      </c>
      <c r="F3606" s="6" t="s">
        <v>24</v>
      </c>
      <c r="G3606" s="6">
        <v>2015</v>
      </c>
      <c r="H3606" s="6">
        <v>10</v>
      </c>
      <c r="I3606" s="10">
        <v>42278</v>
      </c>
      <c r="J3606" s="6">
        <v>2813</v>
      </c>
      <c r="K3606" s="51"/>
      <c r="O3606" t="s">
        <v>7</v>
      </c>
      <c r="P3606" t="s">
        <v>49</v>
      </c>
      <c r="Q3606" t="s">
        <v>11</v>
      </c>
      <c r="R3606" t="s">
        <v>23</v>
      </c>
      <c r="S3606" t="s">
        <v>24</v>
      </c>
      <c r="T3606">
        <v>2015</v>
      </c>
      <c r="U3606">
        <v>10</v>
      </c>
      <c r="V3606" s="51">
        <v>42278</v>
      </c>
      <c r="W3606" s="4">
        <v>2475.4399999999996</v>
      </c>
      <c r="X3606" s="52">
        <v>2813</v>
      </c>
    </row>
    <row r="3607" spans="2:24" x14ac:dyDescent="0.35">
      <c r="B3607" s="6" t="s">
        <v>3</v>
      </c>
      <c r="C3607" s="6" t="s">
        <v>22</v>
      </c>
      <c r="D3607" s="6" t="s">
        <v>5</v>
      </c>
      <c r="E3607" s="6" t="s">
        <v>23</v>
      </c>
      <c r="F3607" s="6" t="s">
        <v>24</v>
      </c>
      <c r="G3607" s="6">
        <v>2015</v>
      </c>
      <c r="H3607" s="6">
        <v>11</v>
      </c>
      <c r="I3607" s="10">
        <v>42309</v>
      </c>
      <c r="J3607" s="6">
        <v>2427</v>
      </c>
      <c r="K3607" s="51"/>
      <c r="O3607" t="s">
        <v>3</v>
      </c>
      <c r="P3607" t="s">
        <v>22</v>
      </c>
      <c r="Q3607" t="s">
        <v>5</v>
      </c>
      <c r="R3607" t="s">
        <v>23</v>
      </c>
      <c r="S3607" t="s">
        <v>24</v>
      </c>
      <c r="T3607">
        <v>2015</v>
      </c>
      <c r="U3607">
        <v>11</v>
      </c>
      <c r="V3607" s="51">
        <v>42309</v>
      </c>
      <c r="W3607" s="4">
        <v>2135.7599999999998</v>
      </c>
      <c r="X3607" s="52">
        <v>2427</v>
      </c>
    </row>
    <row r="3608" spans="2:24" x14ac:dyDescent="0.35">
      <c r="B3608" s="6" t="s">
        <v>3</v>
      </c>
      <c r="C3608" s="6" t="s">
        <v>25</v>
      </c>
      <c r="D3608" s="6" t="s">
        <v>4</v>
      </c>
      <c r="E3608" s="6" t="s">
        <v>23</v>
      </c>
      <c r="F3608" s="6" t="s">
        <v>24</v>
      </c>
      <c r="G3608" s="6">
        <v>2015</v>
      </c>
      <c r="H3608" s="6">
        <v>11</v>
      </c>
      <c r="I3608" s="10">
        <v>42309</v>
      </c>
      <c r="J3608" s="6">
        <v>1673</v>
      </c>
      <c r="K3608" s="51"/>
      <c r="O3608" t="s">
        <v>3</v>
      </c>
      <c r="P3608" t="s">
        <v>25</v>
      </c>
      <c r="Q3608" t="s">
        <v>4</v>
      </c>
      <c r="R3608" t="s">
        <v>23</v>
      </c>
      <c r="S3608" t="s">
        <v>24</v>
      </c>
      <c r="T3608">
        <v>2015</v>
      </c>
      <c r="U3608">
        <v>11</v>
      </c>
      <c r="V3608" s="51">
        <v>42309</v>
      </c>
      <c r="W3608" s="4">
        <v>1522.4299999999998</v>
      </c>
      <c r="X3608" s="52">
        <v>1673</v>
      </c>
    </row>
    <row r="3609" spans="2:24" x14ac:dyDescent="0.35">
      <c r="B3609" s="6" t="s">
        <v>3</v>
      </c>
      <c r="C3609" s="6" t="s">
        <v>25</v>
      </c>
      <c r="D3609" s="6" t="s">
        <v>4</v>
      </c>
      <c r="E3609" s="6" t="s">
        <v>0</v>
      </c>
      <c r="F3609" s="6" t="s">
        <v>26</v>
      </c>
      <c r="G3609" s="6">
        <v>2015</v>
      </c>
      <c r="H3609" s="6">
        <v>11</v>
      </c>
      <c r="I3609" s="10">
        <v>42309</v>
      </c>
      <c r="J3609" s="6">
        <v>5506</v>
      </c>
      <c r="K3609" s="51"/>
      <c r="O3609" t="s">
        <v>3</v>
      </c>
      <c r="P3609" t="s">
        <v>25</v>
      </c>
      <c r="Q3609" t="s">
        <v>4</v>
      </c>
      <c r="R3609" t="s">
        <v>0</v>
      </c>
      <c r="S3609" t="s">
        <v>26</v>
      </c>
      <c r="T3609">
        <v>2015</v>
      </c>
      <c r="U3609">
        <v>11</v>
      </c>
      <c r="V3609" s="51">
        <v>42309</v>
      </c>
      <c r="W3609" s="4">
        <v>5065.5199999999995</v>
      </c>
      <c r="X3609" s="52">
        <v>5506</v>
      </c>
    </row>
    <row r="3610" spans="2:24" x14ac:dyDescent="0.35">
      <c r="B3610" s="6" t="s">
        <v>3</v>
      </c>
      <c r="C3610" s="6" t="s">
        <v>22</v>
      </c>
      <c r="D3610" s="6" t="s">
        <v>5</v>
      </c>
      <c r="E3610" s="6" t="s">
        <v>0</v>
      </c>
      <c r="F3610" s="6" t="s">
        <v>26</v>
      </c>
      <c r="G3610" s="6">
        <v>2015</v>
      </c>
      <c r="H3610" s="6">
        <v>11</v>
      </c>
      <c r="I3610" s="10">
        <v>42309</v>
      </c>
      <c r="J3610" s="6">
        <v>4893</v>
      </c>
      <c r="K3610" s="51"/>
      <c r="O3610" t="s">
        <v>3</v>
      </c>
      <c r="P3610" t="s">
        <v>22</v>
      </c>
      <c r="Q3610" t="s">
        <v>5</v>
      </c>
      <c r="R3610" t="s">
        <v>0</v>
      </c>
      <c r="S3610" t="s">
        <v>26</v>
      </c>
      <c r="T3610">
        <v>2015</v>
      </c>
      <c r="U3610">
        <v>11</v>
      </c>
      <c r="V3610" s="51">
        <v>42309</v>
      </c>
      <c r="W3610" s="4">
        <v>4403.7</v>
      </c>
      <c r="X3610" s="52">
        <v>4893</v>
      </c>
    </row>
    <row r="3611" spans="2:24" x14ac:dyDescent="0.35">
      <c r="B3611" s="6" t="s">
        <v>3</v>
      </c>
      <c r="C3611" s="6" t="s">
        <v>22</v>
      </c>
      <c r="D3611" s="6" t="s">
        <v>5</v>
      </c>
      <c r="E3611" s="6" t="s">
        <v>27</v>
      </c>
      <c r="F3611" s="6" t="s">
        <v>28</v>
      </c>
      <c r="G3611" s="6">
        <v>2015</v>
      </c>
      <c r="H3611" s="6">
        <v>11</v>
      </c>
      <c r="I3611" s="10">
        <v>42309</v>
      </c>
      <c r="J3611" s="6">
        <v>3464</v>
      </c>
      <c r="K3611" s="51"/>
      <c r="O3611" t="s">
        <v>3</v>
      </c>
      <c r="P3611" t="s">
        <v>22</v>
      </c>
      <c r="Q3611" t="s">
        <v>5</v>
      </c>
      <c r="R3611" t="s">
        <v>27</v>
      </c>
      <c r="S3611" t="s">
        <v>28</v>
      </c>
      <c r="T3611">
        <v>2015</v>
      </c>
      <c r="U3611">
        <v>11</v>
      </c>
      <c r="V3611" s="51">
        <v>42309</v>
      </c>
      <c r="W3611" s="4">
        <v>3186.8799999999997</v>
      </c>
      <c r="X3611" s="52">
        <v>3464</v>
      </c>
    </row>
    <row r="3612" spans="2:24" x14ac:dyDescent="0.35">
      <c r="B3612" s="6" t="s">
        <v>6</v>
      </c>
      <c r="C3612" s="6" t="s">
        <v>29</v>
      </c>
      <c r="D3612" s="6" t="s">
        <v>30</v>
      </c>
      <c r="E3612" s="6" t="s">
        <v>27</v>
      </c>
      <c r="F3612" s="6" t="s">
        <v>31</v>
      </c>
      <c r="G3612" s="6">
        <v>2015</v>
      </c>
      <c r="H3612" s="6">
        <v>11</v>
      </c>
      <c r="I3612" s="10">
        <v>42309</v>
      </c>
      <c r="J3612" s="6">
        <v>4096</v>
      </c>
      <c r="K3612" s="51"/>
      <c r="O3612" t="s">
        <v>6</v>
      </c>
      <c r="P3612" t="s">
        <v>29</v>
      </c>
      <c r="Q3612" t="s">
        <v>30</v>
      </c>
      <c r="R3612" t="s">
        <v>27</v>
      </c>
      <c r="S3612" t="s">
        <v>31</v>
      </c>
      <c r="T3612">
        <v>2015</v>
      </c>
      <c r="U3612">
        <v>11</v>
      </c>
      <c r="V3612" s="51">
        <v>42309</v>
      </c>
      <c r="W3612" s="4">
        <v>3850.24</v>
      </c>
      <c r="X3612" s="52">
        <v>4096</v>
      </c>
    </row>
    <row r="3613" spans="2:24" x14ac:dyDescent="0.35">
      <c r="B3613" s="6" t="s">
        <v>7</v>
      </c>
      <c r="C3613" s="6" t="s">
        <v>32</v>
      </c>
      <c r="D3613" s="6" t="s">
        <v>8</v>
      </c>
      <c r="E3613" s="6" t="s">
        <v>27</v>
      </c>
      <c r="F3613" s="6" t="s">
        <v>33</v>
      </c>
      <c r="G3613" s="6">
        <v>2015</v>
      </c>
      <c r="H3613" s="6">
        <v>11</v>
      </c>
      <c r="I3613" s="10">
        <v>42309</v>
      </c>
      <c r="J3613" s="6">
        <v>3592</v>
      </c>
      <c r="K3613" s="51"/>
      <c r="O3613" t="s">
        <v>7</v>
      </c>
      <c r="P3613" t="s">
        <v>32</v>
      </c>
      <c r="Q3613" t="s">
        <v>8</v>
      </c>
      <c r="R3613" t="s">
        <v>27</v>
      </c>
      <c r="S3613" t="s">
        <v>33</v>
      </c>
      <c r="T3613">
        <v>2015</v>
      </c>
      <c r="U3613">
        <v>11</v>
      </c>
      <c r="V3613" s="51">
        <v>42309</v>
      </c>
      <c r="W3613" s="4">
        <v>3232.7999999999997</v>
      </c>
      <c r="X3613" s="52">
        <v>3592</v>
      </c>
    </row>
    <row r="3614" spans="2:24" x14ac:dyDescent="0.35">
      <c r="B3614" s="6" t="s">
        <v>12</v>
      </c>
      <c r="C3614" s="6" t="s">
        <v>34</v>
      </c>
      <c r="D3614" s="6" t="s">
        <v>35</v>
      </c>
      <c r="E3614" s="6" t="s">
        <v>23</v>
      </c>
      <c r="F3614" s="6" t="s">
        <v>36</v>
      </c>
      <c r="G3614" s="6">
        <v>2015</v>
      </c>
      <c r="H3614" s="6">
        <v>11</v>
      </c>
      <c r="I3614" s="10">
        <v>42309</v>
      </c>
      <c r="J3614" s="6">
        <v>2274</v>
      </c>
      <c r="K3614" s="51"/>
      <c r="O3614" t="s">
        <v>12</v>
      </c>
      <c r="P3614" t="s">
        <v>34</v>
      </c>
      <c r="Q3614" t="s">
        <v>35</v>
      </c>
      <c r="R3614" t="s">
        <v>23</v>
      </c>
      <c r="S3614" t="s">
        <v>36</v>
      </c>
      <c r="T3614">
        <v>2015</v>
      </c>
      <c r="U3614">
        <v>11</v>
      </c>
      <c r="V3614" s="51">
        <v>42309</v>
      </c>
      <c r="W3614" s="4">
        <v>2092.08</v>
      </c>
      <c r="X3614" s="52">
        <v>2274</v>
      </c>
    </row>
    <row r="3615" spans="2:24" x14ac:dyDescent="0.35">
      <c r="B3615" s="6" t="s">
        <v>14</v>
      </c>
      <c r="C3615" s="6" t="s">
        <v>37</v>
      </c>
      <c r="D3615" s="6" t="s">
        <v>38</v>
      </c>
      <c r="E3615" s="6" t="s">
        <v>23</v>
      </c>
      <c r="F3615" s="6" t="s">
        <v>24</v>
      </c>
      <c r="G3615" s="6">
        <v>2015</v>
      </c>
      <c r="H3615" s="6">
        <v>11</v>
      </c>
      <c r="I3615" s="10">
        <v>42309</v>
      </c>
      <c r="J3615" s="6">
        <v>2587</v>
      </c>
      <c r="K3615" s="51"/>
      <c r="O3615" t="s">
        <v>14</v>
      </c>
      <c r="P3615" t="s">
        <v>37</v>
      </c>
      <c r="Q3615" t="s">
        <v>38</v>
      </c>
      <c r="R3615" t="s">
        <v>23</v>
      </c>
      <c r="S3615" t="s">
        <v>24</v>
      </c>
      <c r="T3615">
        <v>2015</v>
      </c>
      <c r="U3615">
        <v>11</v>
      </c>
      <c r="V3615" s="51">
        <v>42309</v>
      </c>
      <c r="W3615" s="4">
        <v>2380.04</v>
      </c>
      <c r="X3615" s="52">
        <v>2587</v>
      </c>
    </row>
    <row r="3616" spans="2:24" x14ac:dyDescent="0.35">
      <c r="B3616" s="6" t="s">
        <v>3</v>
      </c>
      <c r="C3616" s="6" t="s">
        <v>25</v>
      </c>
      <c r="D3616" s="6" t="s">
        <v>4</v>
      </c>
      <c r="E3616" s="6" t="s">
        <v>23</v>
      </c>
      <c r="F3616" s="6" t="s">
        <v>39</v>
      </c>
      <c r="G3616" s="6">
        <v>2015</v>
      </c>
      <c r="H3616" s="6">
        <v>11</v>
      </c>
      <c r="I3616" s="10">
        <v>42309</v>
      </c>
      <c r="J3616" s="6">
        <v>1756</v>
      </c>
      <c r="K3616" s="51"/>
      <c r="O3616" t="s">
        <v>3</v>
      </c>
      <c r="P3616" t="s">
        <v>25</v>
      </c>
      <c r="Q3616" t="s">
        <v>4</v>
      </c>
      <c r="R3616" t="s">
        <v>23</v>
      </c>
      <c r="S3616" t="s">
        <v>39</v>
      </c>
      <c r="T3616">
        <v>2015</v>
      </c>
      <c r="U3616">
        <v>11</v>
      </c>
      <c r="V3616" s="51">
        <v>42309</v>
      </c>
      <c r="W3616" s="4">
        <v>1580.3999999999999</v>
      </c>
      <c r="X3616" s="52">
        <v>1756</v>
      </c>
    </row>
    <row r="3617" spans="2:24" x14ac:dyDescent="0.35">
      <c r="B3617" s="6" t="s">
        <v>6</v>
      </c>
      <c r="C3617" s="6" t="s">
        <v>40</v>
      </c>
      <c r="D3617" s="6" t="s">
        <v>41</v>
      </c>
      <c r="E3617" s="6" t="s">
        <v>0</v>
      </c>
      <c r="F3617" s="6" t="s">
        <v>42</v>
      </c>
      <c r="G3617" s="6">
        <v>2015</v>
      </c>
      <c r="H3617" s="6">
        <v>11</v>
      </c>
      <c r="I3617" s="10">
        <v>42309</v>
      </c>
      <c r="J3617" s="6">
        <v>6790</v>
      </c>
      <c r="K3617" s="51"/>
      <c r="O3617" t="s">
        <v>6</v>
      </c>
      <c r="P3617" t="s">
        <v>40</v>
      </c>
      <c r="Q3617" t="s">
        <v>41</v>
      </c>
      <c r="R3617" t="s">
        <v>0</v>
      </c>
      <c r="S3617" t="s">
        <v>42</v>
      </c>
      <c r="T3617">
        <v>2015</v>
      </c>
      <c r="U3617">
        <v>11</v>
      </c>
      <c r="V3617" s="51">
        <v>42309</v>
      </c>
      <c r="W3617" s="4">
        <v>5975.1999999999989</v>
      </c>
      <c r="X3617" s="52">
        <v>6790</v>
      </c>
    </row>
    <row r="3618" spans="2:24" x14ac:dyDescent="0.35">
      <c r="B3618" s="6" t="s">
        <v>7</v>
      </c>
      <c r="C3618" s="6" t="s">
        <v>43</v>
      </c>
      <c r="D3618" s="6" t="s">
        <v>10</v>
      </c>
      <c r="E3618" s="6" t="s">
        <v>0</v>
      </c>
      <c r="F3618" s="6" t="s">
        <v>26</v>
      </c>
      <c r="G3618" s="6">
        <v>2015</v>
      </c>
      <c r="H3618" s="6">
        <v>11</v>
      </c>
      <c r="I3618" s="10">
        <v>42309</v>
      </c>
      <c r="J3618" s="6">
        <v>2676</v>
      </c>
      <c r="K3618" s="51"/>
      <c r="O3618" t="s">
        <v>7</v>
      </c>
      <c r="P3618" t="s">
        <v>43</v>
      </c>
      <c r="Q3618" t="s">
        <v>10</v>
      </c>
      <c r="R3618" t="s">
        <v>0</v>
      </c>
      <c r="S3618" t="s">
        <v>26</v>
      </c>
      <c r="T3618">
        <v>2015</v>
      </c>
      <c r="U3618">
        <v>11</v>
      </c>
      <c r="V3618" s="51">
        <v>42309</v>
      </c>
      <c r="W3618" s="4">
        <v>2408.3999999999996</v>
      </c>
      <c r="X3618" s="52">
        <v>2676</v>
      </c>
    </row>
    <row r="3619" spans="2:24" x14ac:dyDescent="0.35">
      <c r="B3619" s="6" t="s">
        <v>12</v>
      </c>
      <c r="C3619" s="6" t="s">
        <v>44</v>
      </c>
      <c r="D3619" s="6" t="s">
        <v>13</v>
      </c>
      <c r="E3619" s="6" t="s">
        <v>0</v>
      </c>
      <c r="F3619" s="6" t="s">
        <v>45</v>
      </c>
      <c r="G3619" s="6">
        <v>2015</v>
      </c>
      <c r="H3619" s="6">
        <v>11</v>
      </c>
      <c r="I3619" s="10">
        <v>42309</v>
      </c>
      <c r="J3619" s="6">
        <v>2530</v>
      </c>
      <c r="K3619" s="51"/>
      <c r="O3619" t="s">
        <v>12</v>
      </c>
      <c r="P3619" t="s">
        <v>44</v>
      </c>
      <c r="Q3619" t="s">
        <v>13</v>
      </c>
      <c r="R3619" t="s">
        <v>0</v>
      </c>
      <c r="S3619" t="s">
        <v>45</v>
      </c>
      <c r="T3619">
        <v>2015</v>
      </c>
      <c r="U3619">
        <v>11</v>
      </c>
      <c r="V3619" s="51">
        <v>42309</v>
      </c>
      <c r="W3619" s="4">
        <v>2175.8000000000002</v>
      </c>
      <c r="X3619" s="52">
        <v>2530</v>
      </c>
    </row>
    <row r="3620" spans="2:24" x14ac:dyDescent="0.35">
      <c r="B3620" s="6" t="s">
        <v>14</v>
      </c>
      <c r="C3620" s="6" t="s">
        <v>46</v>
      </c>
      <c r="D3620" s="6" t="s">
        <v>47</v>
      </c>
      <c r="E3620" s="6" t="s">
        <v>27</v>
      </c>
      <c r="F3620" s="6" t="s">
        <v>28</v>
      </c>
      <c r="G3620" s="6">
        <v>2015</v>
      </c>
      <c r="H3620" s="6">
        <v>11</v>
      </c>
      <c r="I3620" s="10">
        <v>42309</v>
      </c>
      <c r="J3620" s="6">
        <v>3523</v>
      </c>
      <c r="K3620" s="51"/>
      <c r="O3620" t="s">
        <v>14</v>
      </c>
      <c r="P3620" t="s">
        <v>46</v>
      </c>
      <c r="Q3620" t="s">
        <v>47</v>
      </c>
      <c r="R3620" t="s">
        <v>27</v>
      </c>
      <c r="S3620" t="s">
        <v>28</v>
      </c>
      <c r="T3620">
        <v>2015</v>
      </c>
      <c r="U3620">
        <v>11</v>
      </c>
      <c r="V3620" s="51">
        <v>42309</v>
      </c>
      <c r="W3620" s="4">
        <v>3065.01</v>
      </c>
      <c r="X3620" s="52">
        <v>3523</v>
      </c>
    </row>
    <row r="3621" spans="2:24" x14ac:dyDescent="0.35">
      <c r="B3621" s="6" t="s">
        <v>3</v>
      </c>
      <c r="C3621" s="6" t="s">
        <v>22</v>
      </c>
      <c r="D3621" s="6" t="s">
        <v>5</v>
      </c>
      <c r="E3621" s="6" t="s">
        <v>27</v>
      </c>
      <c r="F3621" s="6" t="s">
        <v>31</v>
      </c>
      <c r="G3621" s="6">
        <v>2015</v>
      </c>
      <c r="H3621" s="6">
        <v>11</v>
      </c>
      <c r="I3621" s="10">
        <v>42309</v>
      </c>
      <c r="J3621" s="6">
        <v>3679</v>
      </c>
      <c r="K3621" s="51"/>
      <c r="O3621" t="s">
        <v>3</v>
      </c>
      <c r="P3621" t="s">
        <v>22</v>
      </c>
      <c r="Q3621" t="s">
        <v>5</v>
      </c>
      <c r="R3621" t="s">
        <v>27</v>
      </c>
      <c r="S3621" t="s">
        <v>31</v>
      </c>
      <c r="T3621">
        <v>2015</v>
      </c>
      <c r="U3621">
        <v>11</v>
      </c>
      <c r="V3621" s="51">
        <v>42309</v>
      </c>
      <c r="W3621" s="4">
        <v>3237.5199999999995</v>
      </c>
      <c r="X3621" s="52">
        <v>3679</v>
      </c>
    </row>
    <row r="3622" spans="2:24" x14ac:dyDescent="0.35">
      <c r="B3622" s="6" t="s">
        <v>6</v>
      </c>
      <c r="C3622" s="6" t="s">
        <v>29</v>
      </c>
      <c r="D3622" s="6" t="s">
        <v>30</v>
      </c>
      <c r="E3622" s="6" t="s">
        <v>27</v>
      </c>
      <c r="F3622" s="6" t="s">
        <v>33</v>
      </c>
      <c r="G3622" s="6">
        <v>2015</v>
      </c>
      <c r="H3622" s="6">
        <v>11</v>
      </c>
      <c r="I3622" s="10">
        <v>42309</v>
      </c>
      <c r="J3622" s="6">
        <v>3982</v>
      </c>
      <c r="K3622" s="51"/>
      <c r="O3622" t="s">
        <v>6</v>
      </c>
      <c r="P3622" t="s">
        <v>29</v>
      </c>
      <c r="Q3622" t="s">
        <v>30</v>
      </c>
      <c r="R3622" t="s">
        <v>27</v>
      </c>
      <c r="S3622" t="s">
        <v>33</v>
      </c>
      <c r="T3622">
        <v>2015</v>
      </c>
      <c r="U3622">
        <v>11</v>
      </c>
      <c r="V3622" s="51">
        <v>42309</v>
      </c>
      <c r="W3622" s="4">
        <v>3464.34</v>
      </c>
      <c r="X3622" s="52">
        <v>3982</v>
      </c>
    </row>
    <row r="3623" spans="2:24" x14ac:dyDescent="0.35">
      <c r="B3623" s="6" t="s">
        <v>7</v>
      </c>
      <c r="C3623" s="6" t="s">
        <v>32</v>
      </c>
      <c r="D3623" s="6" t="s">
        <v>8</v>
      </c>
      <c r="E3623" s="6" t="s">
        <v>23</v>
      </c>
      <c r="F3623" s="6" t="s">
        <v>36</v>
      </c>
      <c r="G3623" s="6">
        <v>2015</v>
      </c>
      <c r="H3623" s="6">
        <v>11</v>
      </c>
      <c r="I3623" s="10">
        <v>42309</v>
      </c>
      <c r="J3623" s="6">
        <v>1800</v>
      </c>
      <c r="K3623" s="51"/>
      <c r="O3623" t="s">
        <v>7</v>
      </c>
      <c r="P3623" t="s">
        <v>32</v>
      </c>
      <c r="Q3623" t="s">
        <v>8</v>
      </c>
      <c r="R3623" t="s">
        <v>23</v>
      </c>
      <c r="S3623" t="s">
        <v>36</v>
      </c>
      <c r="T3623">
        <v>2015</v>
      </c>
      <c r="U3623">
        <v>11</v>
      </c>
      <c r="V3623" s="51">
        <v>42309</v>
      </c>
      <c r="W3623" s="4">
        <v>1637.9999999999998</v>
      </c>
      <c r="X3623" s="52">
        <v>1800</v>
      </c>
    </row>
    <row r="3624" spans="2:24" x14ac:dyDescent="0.35">
      <c r="B3624" s="6" t="s">
        <v>12</v>
      </c>
      <c r="C3624" s="6" t="s">
        <v>34</v>
      </c>
      <c r="D3624" s="6" t="s">
        <v>35</v>
      </c>
      <c r="E3624" s="6" t="s">
        <v>23</v>
      </c>
      <c r="F3624" s="6" t="s">
        <v>24</v>
      </c>
      <c r="G3624" s="6">
        <v>2015</v>
      </c>
      <c r="H3624" s="6">
        <v>11</v>
      </c>
      <c r="I3624" s="10">
        <v>42309</v>
      </c>
      <c r="J3624" s="6">
        <v>2837</v>
      </c>
      <c r="K3624" s="51"/>
      <c r="O3624" t="s">
        <v>12</v>
      </c>
      <c r="P3624" t="s">
        <v>34</v>
      </c>
      <c r="Q3624" t="s">
        <v>35</v>
      </c>
      <c r="R3624" t="s">
        <v>23</v>
      </c>
      <c r="S3624" t="s">
        <v>24</v>
      </c>
      <c r="T3624">
        <v>2015</v>
      </c>
      <c r="U3624">
        <v>11</v>
      </c>
      <c r="V3624" s="51">
        <v>42309</v>
      </c>
      <c r="W3624" s="4">
        <v>2439.8200000000002</v>
      </c>
      <c r="X3624" s="52">
        <v>2837</v>
      </c>
    </row>
    <row r="3625" spans="2:24" x14ac:dyDescent="0.35">
      <c r="B3625" s="6" t="s">
        <v>14</v>
      </c>
      <c r="C3625" s="6" t="s">
        <v>37</v>
      </c>
      <c r="D3625" s="6" t="s">
        <v>38</v>
      </c>
      <c r="E3625" s="6" t="s">
        <v>23</v>
      </c>
      <c r="F3625" s="6" t="s">
        <v>39</v>
      </c>
      <c r="G3625" s="6">
        <v>2015</v>
      </c>
      <c r="H3625" s="6">
        <v>11</v>
      </c>
      <c r="I3625" s="10">
        <v>42309</v>
      </c>
      <c r="J3625" s="6">
        <v>1843</v>
      </c>
      <c r="K3625" s="51"/>
      <c r="O3625" t="s">
        <v>14</v>
      </c>
      <c r="P3625" t="s">
        <v>37</v>
      </c>
      <c r="Q3625" t="s">
        <v>38</v>
      </c>
      <c r="R3625" t="s">
        <v>23</v>
      </c>
      <c r="S3625" t="s">
        <v>39</v>
      </c>
      <c r="T3625">
        <v>2015</v>
      </c>
      <c r="U3625">
        <v>11</v>
      </c>
      <c r="V3625" s="51">
        <v>42309</v>
      </c>
      <c r="W3625" s="4">
        <v>1658.6999999999998</v>
      </c>
      <c r="X3625" s="52">
        <v>1843</v>
      </c>
    </row>
    <row r="3626" spans="2:24" x14ac:dyDescent="0.35">
      <c r="B3626" s="6" t="s">
        <v>3</v>
      </c>
      <c r="C3626" s="6" t="s">
        <v>25</v>
      </c>
      <c r="D3626" s="6" t="s">
        <v>4</v>
      </c>
      <c r="E3626" s="6" t="s">
        <v>0</v>
      </c>
      <c r="F3626" s="6" t="s">
        <v>42</v>
      </c>
      <c r="G3626" s="6">
        <v>2015</v>
      </c>
      <c r="H3626" s="6">
        <v>11</v>
      </c>
      <c r="I3626" s="10">
        <v>42309</v>
      </c>
      <c r="J3626" s="6">
        <v>4936</v>
      </c>
      <c r="K3626" s="51"/>
      <c r="O3626" t="s">
        <v>3</v>
      </c>
      <c r="P3626" t="s">
        <v>25</v>
      </c>
      <c r="Q3626" t="s">
        <v>4</v>
      </c>
      <c r="R3626" t="s">
        <v>0</v>
      </c>
      <c r="S3626" t="s">
        <v>42</v>
      </c>
      <c r="T3626">
        <v>2015</v>
      </c>
      <c r="U3626">
        <v>11</v>
      </c>
      <c r="V3626" s="51">
        <v>42309</v>
      </c>
      <c r="W3626" s="4">
        <v>4195.6000000000004</v>
      </c>
      <c r="X3626" s="52">
        <v>4936</v>
      </c>
    </row>
    <row r="3627" spans="2:24" x14ac:dyDescent="0.35">
      <c r="B3627" s="6" t="s">
        <v>6</v>
      </c>
      <c r="C3627" s="6" t="s">
        <v>40</v>
      </c>
      <c r="D3627" s="6" t="s">
        <v>41</v>
      </c>
      <c r="E3627" s="6" t="s">
        <v>0</v>
      </c>
      <c r="F3627" s="6" t="s">
        <v>26</v>
      </c>
      <c r="G3627" s="6">
        <v>2015</v>
      </c>
      <c r="H3627" s="6">
        <v>11</v>
      </c>
      <c r="I3627" s="10">
        <v>42309</v>
      </c>
      <c r="J3627" s="6">
        <v>3025</v>
      </c>
      <c r="K3627" s="51"/>
      <c r="O3627" t="s">
        <v>6</v>
      </c>
      <c r="P3627" t="s">
        <v>40</v>
      </c>
      <c r="Q3627" t="s">
        <v>41</v>
      </c>
      <c r="R3627" t="s">
        <v>0</v>
      </c>
      <c r="S3627" t="s">
        <v>26</v>
      </c>
      <c r="T3627">
        <v>2015</v>
      </c>
      <c r="U3627">
        <v>11</v>
      </c>
      <c r="V3627" s="51">
        <v>42309</v>
      </c>
      <c r="W3627" s="4">
        <v>2571.2500000000005</v>
      </c>
      <c r="X3627" s="52">
        <v>3025</v>
      </c>
    </row>
    <row r="3628" spans="2:24" x14ac:dyDescent="0.35">
      <c r="B3628" s="6" t="s">
        <v>7</v>
      </c>
      <c r="C3628" s="6" t="s">
        <v>43</v>
      </c>
      <c r="D3628" s="6" t="s">
        <v>10</v>
      </c>
      <c r="E3628" s="6" t="s">
        <v>0</v>
      </c>
      <c r="F3628" s="6" t="s">
        <v>45</v>
      </c>
      <c r="G3628" s="6">
        <v>2015</v>
      </c>
      <c r="H3628" s="6">
        <v>11</v>
      </c>
      <c r="I3628" s="10">
        <v>42309</v>
      </c>
      <c r="J3628" s="6">
        <v>4514</v>
      </c>
      <c r="K3628" s="51"/>
      <c r="O3628" t="s">
        <v>7</v>
      </c>
      <c r="P3628" t="s">
        <v>43</v>
      </c>
      <c r="Q3628" t="s">
        <v>10</v>
      </c>
      <c r="R3628" t="s">
        <v>0</v>
      </c>
      <c r="S3628" t="s">
        <v>45</v>
      </c>
      <c r="T3628">
        <v>2015</v>
      </c>
      <c r="U3628">
        <v>11</v>
      </c>
      <c r="V3628" s="51">
        <v>42309</v>
      </c>
      <c r="W3628" s="4">
        <v>4152.8799999999992</v>
      </c>
      <c r="X3628" s="52">
        <v>4514</v>
      </c>
    </row>
    <row r="3629" spans="2:24" x14ac:dyDescent="0.35">
      <c r="B3629" s="6" t="s">
        <v>12</v>
      </c>
      <c r="C3629" s="6" t="s">
        <v>44</v>
      </c>
      <c r="D3629" s="6" t="s">
        <v>13</v>
      </c>
      <c r="E3629" s="6" t="s">
        <v>27</v>
      </c>
      <c r="F3629" s="6" t="s">
        <v>28</v>
      </c>
      <c r="G3629" s="6">
        <v>2015</v>
      </c>
      <c r="H3629" s="6">
        <v>11</v>
      </c>
      <c r="I3629" s="10">
        <v>42309</v>
      </c>
      <c r="J3629" s="6">
        <v>3703</v>
      </c>
      <c r="K3629" s="51"/>
      <c r="O3629" t="s">
        <v>12</v>
      </c>
      <c r="P3629" t="s">
        <v>44</v>
      </c>
      <c r="Q3629" t="s">
        <v>13</v>
      </c>
      <c r="R3629" t="s">
        <v>27</v>
      </c>
      <c r="S3629" t="s">
        <v>28</v>
      </c>
      <c r="T3629">
        <v>2015</v>
      </c>
      <c r="U3629">
        <v>11</v>
      </c>
      <c r="V3629" s="51">
        <v>42309</v>
      </c>
      <c r="W3629" s="4">
        <v>3480.8199999999997</v>
      </c>
      <c r="X3629" s="52">
        <v>3703</v>
      </c>
    </row>
    <row r="3630" spans="2:24" x14ac:dyDescent="0.35">
      <c r="B3630" s="6" t="s">
        <v>14</v>
      </c>
      <c r="C3630" s="6" t="s">
        <v>46</v>
      </c>
      <c r="D3630" s="6" t="s">
        <v>47</v>
      </c>
      <c r="E3630" s="6" t="s">
        <v>27</v>
      </c>
      <c r="F3630" s="6" t="s">
        <v>31</v>
      </c>
      <c r="G3630" s="6">
        <v>2015</v>
      </c>
      <c r="H3630" s="6">
        <v>11</v>
      </c>
      <c r="I3630" s="10">
        <v>42309</v>
      </c>
      <c r="J3630" s="6">
        <v>5062</v>
      </c>
      <c r="K3630" s="51"/>
      <c r="O3630" t="s">
        <v>14</v>
      </c>
      <c r="P3630" t="s">
        <v>46</v>
      </c>
      <c r="Q3630" t="s">
        <v>47</v>
      </c>
      <c r="R3630" t="s">
        <v>27</v>
      </c>
      <c r="S3630" t="s">
        <v>31</v>
      </c>
      <c r="T3630">
        <v>2015</v>
      </c>
      <c r="U3630">
        <v>11</v>
      </c>
      <c r="V3630" s="51">
        <v>42309</v>
      </c>
      <c r="W3630" s="4">
        <v>4505.1799999999994</v>
      </c>
      <c r="X3630" s="52">
        <v>5062</v>
      </c>
    </row>
    <row r="3631" spans="2:24" x14ac:dyDescent="0.35">
      <c r="B3631" s="6" t="s">
        <v>3</v>
      </c>
      <c r="C3631" s="6" t="s">
        <v>22</v>
      </c>
      <c r="D3631" s="6" t="s">
        <v>5</v>
      </c>
      <c r="E3631" s="6" t="s">
        <v>27</v>
      </c>
      <c r="F3631" s="6" t="s">
        <v>33</v>
      </c>
      <c r="G3631" s="6">
        <v>2015</v>
      </c>
      <c r="H3631" s="6">
        <v>11</v>
      </c>
      <c r="I3631" s="10">
        <v>42309</v>
      </c>
      <c r="J3631" s="6">
        <v>3278</v>
      </c>
      <c r="K3631" s="51"/>
      <c r="O3631" t="s">
        <v>3</v>
      </c>
      <c r="P3631" t="s">
        <v>22</v>
      </c>
      <c r="Q3631" t="s">
        <v>5</v>
      </c>
      <c r="R3631" t="s">
        <v>27</v>
      </c>
      <c r="S3631" t="s">
        <v>33</v>
      </c>
      <c r="T3631">
        <v>2015</v>
      </c>
      <c r="U3631">
        <v>11</v>
      </c>
      <c r="V3631" s="51">
        <v>42309</v>
      </c>
      <c r="W3631" s="4">
        <v>2884.6399999999994</v>
      </c>
      <c r="X3631" s="52">
        <v>3278</v>
      </c>
    </row>
    <row r="3632" spans="2:24" x14ac:dyDescent="0.35">
      <c r="B3632" s="6" t="s">
        <v>6</v>
      </c>
      <c r="C3632" s="6" t="s">
        <v>29</v>
      </c>
      <c r="D3632" s="6" t="s">
        <v>30</v>
      </c>
      <c r="E3632" s="6" t="s">
        <v>23</v>
      </c>
      <c r="F3632" s="6" t="s">
        <v>36</v>
      </c>
      <c r="G3632" s="6">
        <v>2015</v>
      </c>
      <c r="H3632" s="6">
        <v>11</v>
      </c>
      <c r="I3632" s="10">
        <v>42309</v>
      </c>
      <c r="J3632" s="6">
        <v>1581</v>
      </c>
      <c r="K3632" s="51"/>
      <c r="O3632" t="s">
        <v>6</v>
      </c>
      <c r="P3632" t="s">
        <v>29</v>
      </c>
      <c r="Q3632" t="s">
        <v>30</v>
      </c>
      <c r="R3632" t="s">
        <v>23</v>
      </c>
      <c r="S3632" t="s">
        <v>36</v>
      </c>
      <c r="T3632">
        <v>2015</v>
      </c>
      <c r="U3632">
        <v>11</v>
      </c>
      <c r="V3632" s="51">
        <v>42309</v>
      </c>
      <c r="W3632" s="4">
        <v>1422.8999999999999</v>
      </c>
      <c r="X3632" s="52">
        <v>1581</v>
      </c>
    </row>
    <row r="3633" spans="2:24" x14ac:dyDescent="0.35">
      <c r="B3633" s="6" t="s">
        <v>7</v>
      </c>
      <c r="C3633" s="6" t="s">
        <v>32</v>
      </c>
      <c r="D3633" s="6" t="s">
        <v>8</v>
      </c>
      <c r="E3633" s="6" t="s">
        <v>23</v>
      </c>
      <c r="F3633" s="6" t="s">
        <v>24</v>
      </c>
      <c r="G3633" s="6">
        <v>2015</v>
      </c>
      <c r="H3633" s="6">
        <v>11</v>
      </c>
      <c r="I3633" s="10">
        <v>42309</v>
      </c>
      <c r="J3633" s="6">
        <v>1740</v>
      </c>
      <c r="K3633" s="51"/>
      <c r="O3633" t="s">
        <v>7</v>
      </c>
      <c r="P3633" t="s">
        <v>32</v>
      </c>
      <c r="Q3633" t="s">
        <v>8</v>
      </c>
      <c r="R3633" t="s">
        <v>23</v>
      </c>
      <c r="S3633" t="s">
        <v>24</v>
      </c>
      <c r="T3633">
        <v>2015</v>
      </c>
      <c r="U3633">
        <v>11</v>
      </c>
      <c r="V3633" s="51">
        <v>42309</v>
      </c>
      <c r="W3633" s="4">
        <v>1583.3999999999999</v>
      </c>
      <c r="X3633" s="52">
        <v>1740</v>
      </c>
    </row>
    <row r="3634" spans="2:24" x14ac:dyDescent="0.35">
      <c r="B3634" s="6" t="s">
        <v>12</v>
      </c>
      <c r="C3634" s="6" t="s">
        <v>34</v>
      </c>
      <c r="D3634" s="6" t="s">
        <v>35</v>
      </c>
      <c r="E3634" s="6" t="s">
        <v>23</v>
      </c>
      <c r="F3634" s="6" t="s">
        <v>39</v>
      </c>
      <c r="G3634" s="6">
        <v>2015</v>
      </c>
      <c r="H3634" s="6">
        <v>11</v>
      </c>
      <c r="I3634" s="10">
        <v>42309</v>
      </c>
      <c r="J3634" s="6">
        <v>1441</v>
      </c>
      <c r="K3634" s="51"/>
      <c r="O3634" t="s">
        <v>12</v>
      </c>
      <c r="P3634" t="s">
        <v>34</v>
      </c>
      <c r="Q3634" t="s">
        <v>35</v>
      </c>
      <c r="R3634" t="s">
        <v>23</v>
      </c>
      <c r="S3634" t="s">
        <v>39</v>
      </c>
      <c r="T3634">
        <v>2015</v>
      </c>
      <c r="U3634">
        <v>11</v>
      </c>
      <c r="V3634" s="51">
        <v>42309</v>
      </c>
      <c r="W3634" s="4">
        <v>1325.7199999999998</v>
      </c>
      <c r="X3634" s="52">
        <v>1441</v>
      </c>
    </row>
    <row r="3635" spans="2:24" x14ac:dyDescent="0.35">
      <c r="B3635" s="6" t="s">
        <v>14</v>
      </c>
      <c r="C3635" s="6" t="s">
        <v>37</v>
      </c>
      <c r="D3635" s="6" t="s">
        <v>38</v>
      </c>
      <c r="E3635" s="6" t="s">
        <v>0</v>
      </c>
      <c r="F3635" s="6" t="s">
        <v>42</v>
      </c>
      <c r="G3635" s="6">
        <v>2015</v>
      </c>
      <c r="H3635" s="6">
        <v>11</v>
      </c>
      <c r="I3635" s="10">
        <v>42309</v>
      </c>
      <c r="J3635" s="6">
        <v>6725</v>
      </c>
      <c r="K3635" s="51"/>
      <c r="O3635" t="s">
        <v>14</v>
      </c>
      <c r="P3635" t="s">
        <v>37</v>
      </c>
      <c r="Q3635" t="s">
        <v>38</v>
      </c>
      <c r="R3635" t="s">
        <v>0</v>
      </c>
      <c r="S3635" t="s">
        <v>42</v>
      </c>
      <c r="T3635">
        <v>2015</v>
      </c>
      <c r="U3635">
        <v>11</v>
      </c>
      <c r="V3635" s="51">
        <v>42309</v>
      </c>
      <c r="W3635" s="4">
        <v>5783.5000000000009</v>
      </c>
      <c r="X3635" s="52">
        <v>6725</v>
      </c>
    </row>
    <row r="3636" spans="2:24" x14ac:dyDescent="0.35">
      <c r="B3636" s="6" t="s">
        <v>6</v>
      </c>
      <c r="C3636" s="6" t="s">
        <v>29</v>
      </c>
      <c r="D3636" s="6" t="s">
        <v>30</v>
      </c>
      <c r="E3636" s="6" t="s">
        <v>0</v>
      </c>
      <c r="F3636" s="6" t="s">
        <v>45</v>
      </c>
      <c r="G3636" s="6">
        <v>2015</v>
      </c>
      <c r="H3636" s="6">
        <v>11</v>
      </c>
      <c r="I3636" s="10">
        <v>42309</v>
      </c>
      <c r="J3636" s="6">
        <v>2527</v>
      </c>
      <c r="K3636" s="51"/>
      <c r="O3636" t="s">
        <v>6</v>
      </c>
      <c r="P3636" t="s">
        <v>29</v>
      </c>
      <c r="Q3636" t="s">
        <v>30</v>
      </c>
      <c r="R3636" t="s">
        <v>0</v>
      </c>
      <c r="S3636" t="s">
        <v>45</v>
      </c>
      <c r="T3636">
        <v>2015</v>
      </c>
      <c r="U3636">
        <v>11</v>
      </c>
      <c r="V3636" s="51">
        <v>42309</v>
      </c>
      <c r="W3636" s="4">
        <v>2350.1099999999997</v>
      </c>
      <c r="X3636" s="52">
        <v>2527</v>
      </c>
    </row>
    <row r="3637" spans="2:24" x14ac:dyDescent="0.35">
      <c r="B3637" s="6" t="s">
        <v>7</v>
      </c>
      <c r="C3637" s="6" t="s">
        <v>43</v>
      </c>
      <c r="D3637" s="6" t="s">
        <v>10</v>
      </c>
      <c r="E3637" s="6" t="s">
        <v>27</v>
      </c>
      <c r="F3637" s="6" t="s">
        <v>28</v>
      </c>
      <c r="G3637" s="6">
        <v>2015</v>
      </c>
      <c r="H3637" s="6">
        <v>11</v>
      </c>
      <c r="I3637" s="10">
        <v>42309</v>
      </c>
      <c r="J3637" s="6">
        <v>4776</v>
      </c>
      <c r="K3637" s="51"/>
      <c r="O3637" t="s">
        <v>7</v>
      </c>
      <c r="P3637" t="s">
        <v>43</v>
      </c>
      <c r="Q3637" t="s">
        <v>10</v>
      </c>
      <c r="R3637" t="s">
        <v>27</v>
      </c>
      <c r="S3637" t="s">
        <v>28</v>
      </c>
      <c r="T3637">
        <v>2015</v>
      </c>
      <c r="U3637">
        <v>11</v>
      </c>
      <c r="V3637" s="51">
        <v>42309</v>
      </c>
      <c r="W3637" s="4">
        <v>4107.3600000000006</v>
      </c>
      <c r="X3637" s="52">
        <v>4776</v>
      </c>
    </row>
    <row r="3638" spans="2:24" x14ac:dyDescent="0.35">
      <c r="B3638" s="6" t="s">
        <v>12</v>
      </c>
      <c r="C3638" s="6" t="s">
        <v>44</v>
      </c>
      <c r="D3638" s="6" t="s">
        <v>13</v>
      </c>
      <c r="E3638" s="6" t="s">
        <v>27</v>
      </c>
      <c r="F3638" s="6" t="s">
        <v>31</v>
      </c>
      <c r="G3638" s="6">
        <v>2015</v>
      </c>
      <c r="H3638" s="6">
        <v>11</v>
      </c>
      <c r="I3638" s="10">
        <v>42309</v>
      </c>
      <c r="J3638" s="6">
        <v>3209</v>
      </c>
      <c r="K3638" s="51"/>
      <c r="O3638" t="s">
        <v>12</v>
      </c>
      <c r="P3638" t="s">
        <v>44</v>
      </c>
      <c r="Q3638" t="s">
        <v>13</v>
      </c>
      <c r="R3638" t="s">
        <v>27</v>
      </c>
      <c r="S3638" t="s">
        <v>31</v>
      </c>
      <c r="T3638">
        <v>2015</v>
      </c>
      <c r="U3638">
        <v>11</v>
      </c>
      <c r="V3638" s="51">
        <v>42309</v>
      </c>
      <c r="W3638" s="4">
        <v>2727.65</v>
      </c>
      <c r="X3638" s="52">
        <v>3209</v>
      </c>
    </row>
    <row r="3639" spans="2:24" x14ac:dyDescent="0.35">
      <c r="B3639" s="6" t="s">
        <v>14</v>
      </c>
      <c r="C3639" s="6" t="s">
        <v>46</v>
      </c>
      <c r="D3639" s="6" t="s">
        <v>47</v>
      </c>
      <c r="E3639" s="6" t="s">
        <v>27</v>
      </c>
      <c r="F3639" s="6" t="s">
        <v>33</v>
      </c>
      <c r="G3639" s="6">
        <v>2015</v>
      </c>
      <c r="H3639" s="6">
        <v>11</v>
      </c>
      <c r="I3639" s="10">
        <v>42309</v>
      </c>
      <c r="J3639" s="6">
        <v>3733</v>
      </c>
      <c r="K3639" s="51"/>
      <c r="O3639" t="s">
        <v>14</v>
      </c>
      <c r="P3639" t="s">
        <v>46</v>
      </c>
      <c r="Q3639" t="s">
        <v>47</v>
      </c>
      <c r="R3639" t="s">
        <v>27</v>
      </c>
      <c r="S3639" t="s">
        <v>33</v>
      </c>
      <c r="T3639">
        <v>2015</v>
      </c>
      <c r="U3639">
        <v>11</v>
      </c>
      <c r="V3639" s="51">
        <v>42309</v>
      </c>
      <c r="W3639" s="4">
        <v>3210.38</v>
      </c>
      <c r="X3639" s="52">
        <v>3733</v>
      </c>
    </row>
    <row r="3640" spans="2:24" x14ac:dyDescent="0.35">
      <c r="B3640" s="6" t="s">
        <v>3</v>
      </c>
      <c r="C3640" s="6" t="s">
        <v>22</v>
      </c>
      <c r="D3640" s="6" t="s">
        <v>5</v>
      </c>
      <c r="E3640" s="6" t="s">
        <v>23</v>
      </c>
      <c r="F3640" s="6" t="s">
        <v>36</v>
      </c>
      <c r="G3640" s="6">
        <v>2015</v>
      </c>
      <c r="H3640" s="6">
        <v>11</v>
      </c>
      <c r="I3640" s="10">
        <v>42309</v>
      </c>
      <c r="J3640" s="6">
        <v>1861</v>
      </c>
      <c r="K3640" s="51"/>
      <c r="O3640" t="s">
        <v>3</v>
      </c>
      <c r="P3640" t="s">
        <v>22</v>
      </c>
      <c r="Q3640" t="s">
        <v>5</v>
      </c>
      <c r="R3640" t="s">
        <v>23</v>
      </c>
      <c r="S3640" t="s">
        <v>36</v>
      </c>
      <c r="T3640">
        <v>2015</v>
      </c>
      <c r="U3640">
        <v>11</v>
      </c>
      <c r="V3640" s="51">
        <v>42309</v>
      </c>
      <c r="W3640" s="4">
        <v>1730.7299999999998</v>
      </c>
      <c r="X3640" s="52">
        <v>1861</v>
      </c>
    </row>
    <row r="3641" spans="2:24" x14ac:dyDescent="0.35">
      <c r="B3641" s="6" t="s">
        <v>6</v>
      </c>
      <c r="C3641" s="6" t="s">
        <v>40</v>
      </c>
      <c r="D3641" s="6" t="s">
        <v>41</v>
      </c>
      <c r="E3641" s="6" t="s">
        <v>23</v>
      </c>
      <c r="F3641" s="6" t="s">
        <v>24</v>
      </c>
      <c r="G3641" s="6">
        <v>2015</v>
      </c>
      <c r="H3641" s="6">
        <v>11</v>
      </c>
      <c r="I3641" s="10">
        <v>42309</v>
      </c>
      <c r="J3641" s="6">
        <v>1647</v>
      </c>
      <c r="K3641" s="51"/>
      <c r="O3641" t="s">
        <v>6</v>
      </c>
      <c r="P3641" t="s">
        <v>40</v>
      </c>
      <c r="Q3641" t="s">
        <v>41</v>
      </c>
      <c r="R3641" t="s">
        <v>23</v>
      </c>
      <c r="S3641" t="s">
        <v>24</v>
      </c>
      <c r="T3641">
        <v>2015</v>
      </c>
      <c r="U3641">
        <v>11</v>
      </c>
      <c r="V3641" s="51">
        <v>42309</v>
      </c>
      <c r="W3641" s="4">
        <v>1498.77</v>
      </c>
      <c r="X3641" s="52">
        <v>1647</v>
      </c>
    </row>
    <row r="3642" spans="2:24" x14ac:dyDescent="0.35">
      <c r="B3642" s="6" t="s">
        <v>7</v>
      </c>
      <c r="C3642" s="6" t="s">
        <v>32</v>
      </c>
      <c r="D3642" s="6" t="s">
        <v>8</v>
      </c>
      <c r="E3642" s="6" t="s">
        <v>23</v>
      </c>
      <c r="F3642" s="6" t="s">
        <v>39</v>
      </c>
      <c r="G3642" s="6">
        <v>2015</v>
      </c>
      <c r="H3642" s="6">
        <v>11</v>
      </c>
      <c r="I3642" s="10">
        <v>42309</v>
      </c>
      <c r="J3642" s="6">
        <v>1220</v>
      </c>
      <c r="K3642" s="51"/>
      <c r="O3642" t="s">
        <v>7</v>
      </c>
      <c r="P3642" t="s">
        <v>32</v>
      </c>
      <c r="Q3642" t="s">
        <v>8</v>
      </c>
      <c r="R3642" t="s">
        <v>23</v>
      </c>
      <c r="S3642" t="s">
        <v>39</v>
      </c>
      <c r="T3642">
        <v>2015</v>
      </c>
      <c r="U3642">
        <v>11</v>
      </c>
      <c r="V3642" s="51">
        <v>42309</v>
      </c>
      <c r="W3642" s="4">
        <v>1110.1999999999998</v>
      </c>
      <c r="X3642" s="52">
        <v>1220</v>
      </c>
    </row>
    <row r="3643" spans="2:24" x14ac:dyDescent="0.35">
      <c r="B3643" s="6" t="s">
        <v>12</v>
      </c>
      <c r="C3643" s="6" t="s">
        <v>34</v>
      </c>
      <c r="D3643" s="6" t="s">
        <v>35</v>
      </c>
      <c r="E3643" s="6" t="s">
        <v>0</v>
      </c>
      <c r="F3643" s="6" t="s">
        <v>42</v>
      </c>
      <c r="G3643" s="6">
        <v>2015</v>
      </c>
      <c r="H3643" s="6">
        <v>11</v>
      </c>
      <c r="I3643" s="10">
        <v>42309</v>
      </c>
      <c r="J3643" s="6">
        <v>4063</v>
      </c>
      <c r="K3643" s="51"/>
      <c r="O3643" t="s">
        <v>12</v>
      </c>
      <c r="P3643" t="s">
        <v>34</v>
      </c>
      <c r="Q3643" t="s">
        <v>35</v>
      </c>
      <c r="R3643" t="s">
        <v>0</v>
      </c>
      <c r="S3643" t="s">
        <v>42</v>
      </c>
      <c r="T3643">
        <v>2015</v>
      </c>
      <c r="U3643">
        <v>11</v>
      </c>
      <c r="V3643" s="51">
        <v>42309</v>
      </c>
      <c r="W3643" s="4">
        <v>3494.1800000000003</v>
      </c>
      <c r="X3643" s="52">
        <v>4063</v>
      </c>
    </row>
    <row r="3644" spans="2:24" x14ac:dyDescent="0.35">
      <c r="B3644" s="6" t="s">
        <v>14</v>
      </c>
      <c r="C3644" s="6" t="s">
        <v>37</v>
      </c>
      <c r="D3644" s="6" t="s">
        <v>38</v>
      </c>
      <c r="E3644" s="6" t="s">
        <v>0</v>
      </c>
      <c r="F3644" s="6" t="s">
        <v>26</v>
      </c>
      <c r="G3644" s="6">
        <v>2015</v>
      </c>
      <c r="H3644" s="6">
        <v>11</v>
      </c>
      <c r="I3644" s="10">
        <v>42309</v>
      </c>
      <c r="J3644" s="6">
        <v>4716</v>
      </c>
      <c r="K3644" s="51"/>
      <c r="O3644" t="s">
        <v>14</v>
      </c>
      <c r="P3644" t="s">
        <v>37</v>
      </c>
      <c r="Q3644" t="s">
        <v>38</v>
      </c>
      <c r="R3644" t="s">
        <v>0</v>
      </c>
      <c r="S3644" t="s">
        <v>26</v>
      </c>
      <c r="T3644">
        <v>2015</v>
      </c>
      <c r="U3644">
        <v>11</v>
      </c>
      <c r="V3644" s="51">
        <v>42309</v>
      </c>
      <c r="W3644" s="4">
        <v>4291.5599999999995</v>
      </c>
      <c r="X3644" s="52">
        <v>4716</v>
      </c>
    </row>
    <row r="3645" spans="2:24" x14ac:dyDescent="0.35">
      <c r="B3645" s="6" t="s">
        <v>3</v>
      </c>
      <c r="C3645" s="6" t="s">
        <v>25</v>
      </c>
      <c r="D3645" s="6" t="s">
        <v>4</v>
      </c>
      <c r="E3645" s="6" t="s">
        <v>0</v>
      </c>
      <c r="F3645" s="6" t="s">
        <v>45</v>
      </c>
      <c r="G3645" s="6">
        <v>2015</v>
      </c>
      <c r="H3645" s="6">
        <v>11</v>
      </c>
      <c r="I3645" s="10">
        <v>42309</v>
      </c>
      <c r="J3645" s="6">
        <v>2421</v>
      </c>
      <c r="K3645" s="51"/>
      <c r="O3645" t="s">
        <v>3</v>
      </c>
      <c r="P3645" t="s">
        <v>25</v>
      </c>
      <c r="Q3645" t="s">
        <v>4</v>
      </c>
      <c r="R3645" t="s">
        <v>0</v>
      </c>
      <c r="S3645" t="s">
        <v>45</v>
      </c>
      <c r="T3645">
        <v>2015</v>
      </c>
      <c r="U3645">
        <v>11</v>
      </c>
      <c r="V3645" s="51">
        <v>42309</v>
      </c>
      <c r="W3645" s="4">
        <v>2227.3199999999997</v>
      </c>
      <c r="X3645" s="52">
        <v>2421</v>
      </c>
    </row>
    <row r="3646" spans="2:24" x14ac:dyDescent="0.35">
      <c r="B3646" s="6" t="s">
        <v>6</v>
      </c>
      <c r="C3646" s="6" t="s">
        <v>29</v>
      </c>
      <c r="D3646" s="6" t="s">
        <v>30</v>
      </c>
      <c r="E3646" s="6" t="s">
        <v>27</v>
      </c>
      <c r="F3646" s="6" t="s">
        <v>28</v>
      </c>
      <c r="G3646" s="6">
        <v>2015</v>
      </c>
      <c r="H3646" s="6">
        <v>11</v>
      </c>
      <c r="I3646" s="10">
        <v>42309</v>
      </c>
      <c r="J3646" s="6">
        <v>4631</v>
      </c>
      <c r="K3646" s="51"/>
      <c r="O3646" t="s">
        <v>6</v>
      </c>
      <c r="P3646" t="s">
        <v>29</v>
      </c>
      <c r="Q3646" t="s">
        <v>30</v>
      </c>
      <c r="R3646" t="s">
        <v>27</v>
      </c>
      <c r="S3646" t="s">
        <v>28</v>
      </c>
      <c r="T3646">
        <v>2015</v>
      </c>
      <c r="U3646">
        <v>11</v>
      </c>
      <c r="V3646" s="51">
        <v>42309</v>
      </c>
      <c r="W3646" s="4">
        <v>3982.6600000000003</v>
      </c>
      <c r="X3646" s="52">
        <v>4631</v>
      </c>
    </row>
    <row r="3647" spans="2:24" x14ac:dyDescent="0.35">
      <c r="B3647" s="6" t="s">
        <v>7</v>
      </c>
      <c r="C3647" s="6" t="s">
        <v>43</v>
      </c>
      <c r="D3647" s="6" t="s">
        <v>10</v>
      </c>
      <c r="E3647" s="6" t="s">
        <v>27</v>
      </c>
      <c r="F3647" s="6" t="s">
        <v>31</v>
      </c>
      <c r="G3647" s="6">
        <v>2015</v>
      </c>
      <c r="H3647" s="6">
        <v>11</v>
      </c>
      <c r="I3647" s="10">
        <v>42309</v>
      </c>
      <c r="J3647" s="6">
        <v>3997</v>
      </c>
      <c r="K3647" s="51"/>
      <c r="O3647" t="s">
        <v>7</v>
      </c>
      <c r="P3647" t="s">
        <v>43</v>
      </c>
      <c r="Q3647" t="s">
        <v>10</v>
      </c>
      <c r="R3647" t="s">
        <v>27</v>
      </c>
      <c r="S3647" t="s">
        <v>31</v>
      </c>
      <c r="T3647">
        <v>2015</v>
      </c>
      <c r="U3647">
        <v>11</v>
      </c>
      <c r="V3647" s="51">
        <v>42309</v>
      </c>
      <c r="W3647" s="4">
        <v>3477.3900000000003</v>
      </c>
      <c r="X3647" s="52">
        <v>3997</v>
      </c>
    </row>
    <row r="3648" spans="2:24" x14ac:dyDescent="0.35">
      <c r="B3648" s="6" t="s">
        <v>12</v>
      </c>
      <c r="C3648" s="6" t="s">
        <v>44</v>
      </c>
      <c r="D3648" s="6" t="s">
        <v>13</v>
      </c>
      <c r="E3648" s="6" t="s">
        <v>27</v>
      </c>
      <c r="F3648" s="6" t="s">
        <v>33</v>
      </c>
      <c r="G3648" s="6">
        <v>2015</v>
      </c>
      <c r="H3648" s="6">
        <v>11</v>
      </c>
      <c r="I3648" s="10">
        <v>42309</v>
      </c>
      <c r="J3648" s="6">
        <v>2817</v>
      </c>
      <c r="K3648" s="51"/>
      <c r="O3648" t="s">
        <v>12</v>
      </c>
      <c r="P3648" t="s">
        <v>44</v>
      </c>
      <c r="Q3648" t="s">
        <v>13</v>
      </c>
      <c r="R3648" t="s">
        <v>27</v>
      </c>
      <c r="S3648" t="s">
        <v>33</v>
      </c>
      <c r="T3648">
        <v>2015</v>
      </c>
      <c r="U3648">
        <v>11</v>
      </c>
      <c r="V3648" s="51">
        <v>42309</v>
      </c>
      <c r="W3648" s="4">
        <v>2591.64</v>
      </c>
      <c r="X3648" s="52">
        <v>2817</v>
      </c>
    </row>
    <row r="3649" spans="2:24" x14ac:dyDescent="0.35">
      <c r="B3649" s="6" t="s">
        <v>14</v>
      </c>
      <c r="C3649" s="6" t="s">
        <v>46</v>
      </c>
      <c r="D3649" s="6" t="s">
        <v>47</v>
      </c>
      <c r="E3649" s="6" t="s">
        <v>23</v>
      </c>
      <c r="F3649" s="6" t="s">
        <v>36</v>
      </c>
      <c r="G3649" s="6">
        <v>2015</v>
      </c>
      <c r="H3649" s="6">
        <v>11</v>
      </c>
      <c r="I3649" s="10">
        <v>42309</v>
      </c>
      <c r="J3649" s="6">
        <v>2836</v>
      </c>
      <c r="K3649" s="51"/>
      <c r="O3649" t="s">
        <v>14</v>
      </c>
      <c r="P3649" t="s">
        <v>46</v>
      </c>
      <c r="Q3649" t="s">
        <v>47</v>
      </c>
      <c r="R3649" t="s">
        <v>23</v>
      </c>
      <c r="S3649" t="s">
        <v>36</v>
      </c>
      <c r="T3649">
        <v>2015</v>
      </c>
      <c r="U3649">
        <v>11</v>
      </c>
      <c r="V3649" s="51">
        <v>42309</v>
      </c>
      <c r="W3649" s="4">
        <v>2438.96</v>
      </c>
      <c r="X3649" s="52">
        <v>2836</v>
      </c>
    </row>
    <row r="3650" spans="2:24" x14ac:dyDescent="0.35">
      <c r="B3650" s="6" t="s">
        <v>6</v>
      </c>
      <c r="C3650" s="6" t="s">
        <v>29</v>
      </c>
      <c r="D3650" s="6" t="s">
        <v>30</v>
      </c>
      <c r="E3650" s="6" t="s">
        <v>23</v>
      </c>
      <c r="F3650" s="6" t="s">
        <v>39</v>
      </c>
      <c r="G3650" s="6">
        <v>2015</v>
      </c>
      <c r="H3650" s="6">
        <v>11</v>
      </c>
      <c r="I3650" s="10">
        <v>42309</v>
      </c>
      <c r="J3650" s="6">
        <v>1955</v>
      </c>
      <c r="K3650" s="51"/>
      <c r="O3650" t="s">
        <v>6</v>
      </c>
      <c r="P3650" t="s">
        <v>29</v>
      </c>
      <c r="Q3650" t="s">
        <v>30</v>
      </c>
      <c r="R3650" t="s">
        <v>23</v>
      </c>
      <c r="S3650" t="s">
        <v>39</v>
      </c>
      <c r="T3650">
        <v>2015</v>
      </c>
      <c r="U3650">
        <v>11</v>
      </c>
      <c r="V3650" s="51">
        <v>42309</v>
      </c>
      <c r="W3650" s="4">
        <v>1700.8500000000001</v>
      </c>
      <c r="X3650" s="52">
        <v>1955</v>
      </c>
    </row>
    <row r="3651" spans="2:24" x14ac:dyDescent="0.35">
      <c r="B3651" s="6" t="s">
        <v>7</v>
      </c>
      <c r="C3651" s="6" t="s">
        <v>32</v>
      </c>
      <c r="D3651" s="6" t="s">
        <v>8</v>
      </c>
      <c r="E3651" s="6" t="s">
        <v>0</v>
      </c>
      <c r="F3651" s="6" t="s">
        <v>42</v>
      </c>
      <c r="G3651" s="6">
        <v>2015</v>
      </c>
      <c r="H3651" s="6">
        <v>11</v>
      </c>
      <c r="I3651" s="10">
        <v>42309</v>
      </c>
      <c r="J3651" s="6">
        <v>4058</v>
      </c>
      <c r="K3651" s="51"/>
      <c r="O3651" t="s">
        <v>7</v>
      </c>
      <c r="P3651" t="s">
        <v>32</v>
      </c>
      <c r="Q3651" t="s">
        <v>8</v>
      </c>
      <c r="R3651" t="s">
        <v>0</v>
      </c>
      <c r="S3651" t="s">
        <v>42</v>
      </c>
      <c r="T3651">
        <v>2015</v>
      </c>
      <c r="U3651">
        <v>11</v>
      </c>
      <c r="V3651" s="51">
        <v>42309</v>
      </c>
      <c r="W3651" s="4">
        <v>3692.7799999999997</v>
      </c>
      <c r="X3651" s="52">
        <v>4058</v>
      </c>
    </row>
    <row r="3652" spans="2:24" x14ac:dyDescent="0.35">
      <c r="B3652" s="6" t="s">
        <v>12</v>
      </c>
      <c r="C3652" s="6" t="s">
        <v>44</v>
      </c>
      <c r="D3652" s="6" t="s">
        <v>13</v>
      </c>
      <c r="E3652" s="6" t="s">
        <v>0</v>
      </c>
      <c r="F3652" s="6" t="s">
        <v>26</v>
      </c>
      <c r="G3652" s="6">
        <v>2015</v>
      </c>
      <c r="H3652" s="6">
        <v>11</v>
      </c>
      <c r="I3652" s="10">
        <v>42309</v>
      </c>
      <c r="J3652" s="6">
        <v>4322</v>
      </c>
      <c r="K3652" s="51"/>
      <c r="O3652" t="s">
        <v>12</v>
      </c>
      <c r="P3652" t="s">
        <v>44</v>
      </c>
      <c r="Q3652" t="s">
        <v>13</v>
      </c>
      <c r="R3652" t="s">
        <v>0</v>
      </c>
      <c r="S3652" t="s">
        <v>26</v>
      </c>
      <c r="T3652">
        <v>2015</v>
      </c>
      <c r="U3652">
        <v>11</v>
      </c>
      <c r="V3652" s="51">
        <v>42309</v>
      </c>
      <c r="W3652" s="4">
        <v>3673.7000000000003</v>
      </c>
      <c r="X3652" s="52">
        <v>4322</v>
      </c>
    </row>
    <row r="3653" spans="2:24" x14ac:dyDescent="0.35">
      <c r="B3653" s="6" t="s">
        <v>14</v>
      </c>
      <c r="C3653" s="6" t="s">
        <v>37</v>
      </c>
      <c r="D3653" s="6" t="s">
        <v>38</v>
      </c>
      <c r="E3653" s="6" t="s">
        <v>0</v>
      </c>
      <c r="F3653" s="6" t="s">
        <v>45</v>
      </c>
      <c r="G3653" s="6">
        <v>2015</v>
      </c>
      <c r="H3653" s="6">
        <v>11</v>
      </c>
      <c r="I3653" s="10">
        <v>42309</v>
      </c>
      <c r="J3653" s="6">
        <v>2090</v>
      </c>
      <c r="K3653" s="51"/>
      <c r="O3653" t="s">
        <v>14</v>
      </c>
      <c r="P3653" t="s">
        <v>37</v>
      </c>
      <c r="Q3653" t="s">
        <v>38</v>
      </c>
      <c r="R3653" t="s">
        <v>0</v>
      </c>
      <c r="S3653" t="s">
        <v>45</v>
      </c>
      <c r="T3653">
        <v>2015</v>
      </c>
      <c r="U3653">
        <v>11</v>
      </c>
      <c r="V3653" s="51">
        <v>42309</v>
      </c>
      <c r="W3653" s="4">
        <v>1964.6</v>
      </c>
      <c r="X3653" s="52">
        <v>2090</v>
      </c>
    </row>
    <row r="3654" spans="2:24" x14ac:dyDescent="0.35">
      <c r="B3654" s="6" t="s">
        <v>3</v>
      </c>
      <c r="C3654" s="6" t="s">
        <v>25</v>
      </c>
      <c r="D3654" s="6" t="s">
        <v>4</v>
      </c>
      <c r="E3654" s="6" t="s">
        <v>27</v>
      </c>
      <c r="F3654" s="6" t="s">
        <v>28</v>
      </c>
      <c r="G3654" s="6">
        <v>2015</v>
      </c>
      <c r="H3654" s="6">
        <v>11</v>
      </c>
      <c r="I3654" s="10">
        <v>42309</v>
      </c>
      <c r="J3654" s="6">
        <v>4284</v>
      </c>
      <c r="K3654" s="51"/>
      <c r="O3654" t="s">
        <v>3</v>
      </c>
      <c r="P3654" t="s">
        <v>25</v>
      </c>
      <c r="Q3654" t="s">
        <v>4</v>
      </c>
      <c r="R3654" t="s">
        <v>27</v>
      </c>
      <c r="S3654" t="s">
        <v>28</v>
      </c>
      <c r="T3654">
        <v>2015</v>
      </c>
      <c r="U3654">
        <v>11</v>
      </c>
      <c r="V3654" s="51">
        <v>42309</v>
      </c>
      <c r="W3654" s="4">
        <v>3684.2400000000007</v>
      </c>
      <c r="X3654" s="52">
        <v>4284</v>
      </c>
    </row>
    <row r="3655" spans="2:24" x14ac:dyDescent="0.35">
      <c r="B3655" s="6" t="s">
        <v>3</v>
      </c>
      <c r="C3655" s="6" t="s">
        <v>25</v>
      </c>
      <c r="D3655" s="6" t="s">
        <v>4</v>
      </c>
      <c r="E3655" s="6" t="s">
        <v>27</v>
      </c>
      <c r="F3655" s="6" t="s">
        <v>31</v>
      </c>
      <c r="G3655" s="6">
        <v>2015</v>
      </c>
      <c r="H3655" s="6">
        <v>11</v>
      </c>
      <c r="I3655" s="10">
        <v>42309</v>
      </c>
      <c r="J3655" s="6">
        <v>4396</v>
      </c>
      <c r="K3655" s="51"/>
      <c r="O3655" t="s">
        <v>3</v>
      </c>
      <c r="P3655" t="s">
        <v>25</v>
      </c>
      <c r="Q3655" t="s">
        <v>4</v>
      </c>
      <c r="R3655" t="s">
        <v>27</v>
      </c>
      <c r="S3655" t="s">
        <v>31</v>
      </c>
      <c r="T3655">
        <v>2015</v>
      </c>
      <c r="U3655">
        <v>11</v>
      </c>
      <c r="V3655" s="51">
        <v>42309</v>
      </c>
      <c r="W3655" s="4">
        <v>4132.24</v>
      </c>
      <c r="X3655" s="52">
        <v>4396</v>
      </c>
    </row>
    <row r="3656" spans="2:24" x14ac:dyDescent="0.35">
      <c r="B3656" s="6" t="s">
        <v>6</v>
      </c>
      <c r="C3656" s="6" t="s">
        <v>40</v>
      </c>
      <c r="D3656" s="6" t="s">
        <v>41</v>
      </c>
      <c r="E3656" s="6" t="s">
        <v>27</v>
      </c>
      <c r="F3656" s="6" t="s">
        <v>33</v>
      </c>
      <c r="G3656" s="6">
        <v>2015</v>
      </c>
      <c r="H3656" s="6">
        <v>11</v>
      </c>
      <c r="I3656" s="10">
        <v>42309</v>
      </c>
      <c r="J3656" s="6">
        <v>4032</v>
      </c>
      <c r="K3656" s="51"/>
      <c r="O3656" t="s">
        <v>6</v>
      </c>
      <c r="P3656" t="s">
        <v>40</v>
      </c>
      <c r="Q3656" t="s">
        <v>41</v>
      </c>
      <c r="R3656" t="s">
        <v>27</v>
      </c>
      <c r="S3656" t="s">
        <v>33</v>
      </c>
      <c r="T3656">
        <v>2015</v>
      </c>
      <c r="U3656">
        <v>11</v>
      </c>
      <c r="V3656" s="51">
        <v>42309</v>
      </c>
      <c r="W3656" s="4">
        <v>3588.4799999999996</v>
      </c>
      <c r="X3656" s="52">
        <v>4032</v>
      </c>
    </row>
    <row r="3657" spans="2:24" x14ac:dyDescent="0.35">
      <c r="B3657" s="6" t="s">
        <v>6</v>
      </c>
      <c r="C3657" s="6" t="s">
        <v>40</v>
      </c>
      <c r="D3657" s="6" t="s">
        <v>41</v>
      </c>
      <c r="E3657" s="6" t="s">
        <v>23</v>
      </c>
      <c r="F3657" s="6" t="s">
        <v>36</v>
      </c>
      <c r="G3657" s="6">
        <v>2015</v>
      </c>
      <c r="H3657" s="6">
        <v>11</v>
      </c>
      <c r="I3657" s="10">
        <v>42309</v>
      </c>
      <c r="J3657" s="6">
        <v>2505</v>
      </c>
      <c r="K3657" s="51"/>
      <c r="O3657" t="s">
        <v>6</v>
      </c>
      <c r="P3657" t="s">
        <v>40</v>
      </c>
      <c r="Q3657" t="s">
        <v>41</v>
      </c>
      <c r="R3657" t="s">
        <v>23</v>
      </c>
      <c r="S3657" t="s">
        <v>36</v>
      </c>
      <c r="T3657">
        <v>2015</v>
      </c>
      <c r="U3657">
        <v>11</v>
      </c>
      <c r="V3657" s="51">
        <v>42309</v>
      </c>
      <c r="W3657" s="4">
        <v>2254.5</v>
      </c>
      <c r="X3657" s="52">
        <v>2505</v>
      </c>
    </row>
    <row r="3658" spans="2:24" x14ac:dyDescent="0.35">
      <c r="B3658" s="6" t="s">
        <v>7</v>
      </c>
      <c r="C3658" s="6" t="s">
        <v>43</v>
      </c>
      <c r="D3658" s="6" t="s">
        <v>10</v>
      </c>
      <c r="E3658" s="6" t="s">
        <v>23</v>
      </c>
      <c r="F3658" s="6" t="s">
        <v>24</v>
      </c>
      <c r="G3658" s="6">
        <v>2015</v>
      </c>
      <c r="H3658" s="6">
        <v>11</v>
      </c>
      <c r="I3658" s="10">
        <v>42309</v>
      </c>
      <c r="J3658" s="6">
        <v>3297</v>
      </c>
      <c r="K3658" s="51"/>
      <c r="O3658" t="s">
        <v>7</v>
      </c>
      <c r="P3658" t="s">
        <v>43</v>
      </c>
      <c r="Q3658" t="s">
        <v>10</v>
      </c>
      <c r="R3658" t="s">
        <v>23</v>
      </c>
      <c r="S3658" t="s">
        <v>24</v>
      </c>
      <c r="T3658">
        <v>2015</v>
      </c>
      <c r="U3658">
        <v>11</v>
      </c>
      <c r="V3658" s="51">
        <v>42309</v>
      </c>
      <c r="W3658" s="4">
        <v>3099.18</v>
      </c>
      <c r="X3658" s="52">
        <v>3297</v>
      </c>
    </row>
    <row r="3659" spans="2:24" x14ac:dyDescent="0.35">
      <c r="B3659" s="6" t="s">
        <v>7</v>
      </c>
      <c r="C3659" s="6" t="s">
        <v>43</v>
      </c>
      <c r="D3659" s="6" t="s">
        <v>10</v>
      </c>
      <c r="E3659" s="6" t="s">
        <v>23</v>
      </c>
      <c r="F3659" s="6" t="s">
        <v>39</v>
      </c>
      <c r="G3659" s="6">
        <v>2015</v>
      </c>
      <c r="H3659" s="6">
        <v>11</v>
      </c>
      <c r="I3659" s="10">
        <v>42309</v>
      </c>
      <c r="J3659" s="6">
        <v>1946</v>
      </c>
      <c r="K3659" s="51"/>
      <c r="O3659" t="s">
        <v>7</v>
      </c>
      <c r="P3659" t="s">
        <v>43</v>
      </c>
      <c r="Q3659" t="s">
        <v>10</v>
      </c>
      <c r="R3659" t="s">
        <v>23</v>
      </c>
      <c r="S3659" t="s">
        <v>39</v>
      </c>
      <c r="T3659">
        <v>2015</v>
      </c>
      <c r="U3659">
        <v>11</v>
      </c>
      <c r="V3659" s="51">
        <v>42309</v>
      </c>
      <c r="W3659" s="4">
        <v>1751.3999999999999</v>
      </c>
      <c r="X3659" s="52">
        <v>1946</v>
      </c>
    </row>
    <row r="3660" spans="2:24" x14ac:dyDescent="0.35">
      <c r="B3660" s="6" t="s">
        <v>7</v>
      </c>
      <c r="C3660" s="6" t="s">
        <v>32</v>
      </c>
      <c r="D3660" s="6" t="s">
        <v>8</v>
      </c>
      <c r="E3660" s="6" t="s">
        <v>0</v>
      </c>
      <c r="F3660" s="6" t="s">
        <v>26</v>
      </c>
      <c r="G3660" s="6">
        <v>2015</v>
      </c>
      <c r="H3660" s="6">
        <v>11</v>
      </c>
      <c r="I3660" s="10">
        <v>42309</v>
      </c>
      <c r="J3660" s="6">
        <v>4299</v>
      </c>
      <c r="K3660" s="51"/>
      <c r="O3660" t="s">
        <v>7</v>
      </c>
      <c r="P3660" t="s">
        <v>32</v>
      </c>
      <c r="Q3660" t="s">
        <v>8</v>
      </c>
      <c r="R3660" t="s">
        <v>0</v>
      </c>
      <c r="S3660" t="s">
        <v>26</v>
      </c>
      <c r="T3660">
        <v>2015</v>
      </c>
      <c r="U3660">
        <v>11</v>
      </c>
      <c r="V3660" s="51">
        <v>42309</v>
      </c>
      <c r="W3660" s="4">
        <v>3869.0999999999995</v>
      </c>
      <c r="X3660" s="52">
        <v>4299</v>
      </c>
    </row>
    <row r="3661" spans="2:24" x14ac:dyDescent="0.35">
      <c r="B3661" s="6" t="s">
        <v>3</v>
      </c>
      <c r="C3661" s="6" t="s">
        <v>22</v>
      </c>
      <c r="D3661" s="6" t="s">
        <v>5</v>
      </c>
      <c r="E3661" s="6" t="s">
        <v>0</v>
      </c>
      <c r="F3661" s="6" t="s">
        <v>45</v>
      </c>
      <c r="G3661" s="6">
        <v>2015</v>
      </c>
      <c r="H3661" s="6">
        <v>11</v>
      </c>
      <c r="I3661" s="10">
        <v>42309</v>
      </c>
      <c r="J3661" s="6">
        <v>4863</v>
      </c>
      <c r="K3661" s="51"/>
      <c r="O3661" t="s">
        <v>3</v>
      </c>
      <c r="P3661" t="s">
        <v>22</v>
      </c>
      <c r="Q3661" t="s">
        <v>5</v>
      </c>
      <c r="R3661" t="s">
        <v>0</v>
      </c>
      <c r="S3661" t="s">
        <v>45</v>
      </c>
      <c r="T3661">
        <v>2015</v>
      </c>
      <c r="U3661">
        <v>11</v>
      </c>
      <c r="V3661" s="51">
        <v>42309</v>
      </c>
      <c r="W3661" s="4">
        <v>4376.7</v>
      </c>
      <c r="X3661" s="52">
        <v>4863</v>
      </c>
    </row>
    <row r="3662" spans="2:24" x14ac:dyDescent="0.35">
      <c r="B3662" s="6" t="s">
        <v>7</v>
      </c>
      <c r="C3662" s="6" t="s">
        <v>48</v>
      </c>
      <c r="D3662" s="6" t="s">
        <v>9</v>
      </c>
      <c r="E3662" s="6" t="s">
        <v>23</v>
      </c>
      <c r="F3662" s="6" t="s">
        <v>36</v>
      </c>
      <c r="G3662" s="6">
        <v>2015</v>
      </c>
      <c r="H3662" s="6">
        <v>11</v>
      </c>
      <c r="I3662" s="10">
        <v>42309</v>
      </c>
      <c r="J3662" s="6">
        <v>2356</v>
      </c>
      <c r="K3662" s="51"/>
      <c r="O3662" t="s">
        <v>7</v>
      </c>
      <c r="P3662" t="s">
        <v>48</v>
      </c>
      <c r="Q3662" t="s">
        <v>9</v>
      </c>
      <c r="R3662" t="s">
        <v>23</v>
      </c>
      <c r="S3662" t="s">
        <v>36</v>
      </c>
      <c r="T3662">
        <v>2015</v>
      </c>
      <c r="U3662">
        <v>11</v>
      </c>
      <c r="V3662" s="51">
        <v>42309</v>
      </c>
      <c r="W3662" s="4">
        <v>2214.64</v>
      </c>
      <c r="X3662" s="52">
        <v>2356</v>
      </c>
    </row>
    <row r="3663" spans="2:24" x14ac:dyDescent="0.35">
      <c r="B3663" s="6" t="s">
        <v>7</v>
      </c>
      <c r="C3663" s="6" t="s">
        <v>48</v>
      </c>
      <c r="D3663" s="6" t="s">
        <v>9</v>
      </c>
      <c r="E3663" s="6" t="s">
        <v>23</v>
      </c>
      <c r="F3663" s="6" t="s">
        <v>24</v>
      </c>
      <c r="G3663" s="6">
        <v>2015</v>
      </c>
      <c r="H3663" s="6">
        <v>11</v>
      </c>
      <c r="I3663" s="10">
        <v>42309</v>
      </c>
      <c r="J3663" s="6">
        <v>3198</v>
      </c>
      <c r="K3663" s="51"/>
      <c r="O3663" t="s">
        <v>7</v>
      </c>
      <c r="P3663" t="s">
        <v>48</v>
      </c>
      <c r="Q3663" t="s">
        <v>9</v>
      </c>
      <c r="R3663" t="s">
        <v>23</v>
      </c>
      <c r="S3663" t="s">
        <v>24</v>
      </c>
      <c r="T3663">
        <v>2015</v>
      </c>
      <c r="U3663">
        <v>11</v>
      </c>
      <c r="V3663" s="51">
        <v>42309</v>
      </c>
      <c r="W3663" s="4">
        <v>2814.24</v>
      </c>
      <c r="X3663" s="52">
        <v>3198</v>
      </c>
    </row>
    <row r="3664" spans="2:24" x14ac:dyDescent="0.35">
      <c r="B3664" s="6" t="s">
        <v>7</v>
      </c>
      <c r="C3664" s="6" t="s">
        <v>49</v>
      </c>
      <c r="D3664" s="6" t="s">
        <v>11</v>
      </c>
      <c r="E3664" s="6" t="s">
        <v>23</v>
      </c>
      <c r="F3664" s="6" t="s">
        <v>39</v>
      </c>
      <c r="G3664" s="6">
        <v>2015</v>
      </c>
      <c r="H3664" s="6">
        <v>11</v>
      </c>
      <c r="I3664" s="10">
        <v>42309</v>
      </c>
      <c r="J3664" s="6">
        <v>1566</v>
      </c>
      <c r="K3664" s="51"/>
      <c r="O3664" t="s">
        <v>7</v>
      </c>
      <c r="P3664" t="s">
        <v>49</v>
      </c>
      <c r="Q3664" t="s">
        <v>11</v>
      </c>
      <c r="R3664" t="s">
        <v>23</v>
      </c>
      <c r="S3664" t="s">
        <v>39</v>
      </c>
      <c r="T3664">
        <v>2015</v>
      </c>
      <c r="U3664">
        <v>11</v>
      </c>
      <c r="V3664" s="51">
        <v>42309</v>
      </c>
      <c r="W3664" s="4">
        <v>1456.3799999999999</v>
      </c>
      <c r="X3664" s="52">
        <v>1566</v>
      </c>
    </row>
    <row r="3665" spans="2:24" x14ac:dyDescent="0.35">
      <c r="B3665" s="6" t="s">
        <v>7</v>
      </c>
      <c r="C3665" s="6" t="s">
        <v>49</v>
      </c>
      <c r="D3665" s="6" t="s">
        <v>11</v>
      </c>
      <c r="E3665" s="6" t="s">
        <v>0</v>
      </c>
      <c r="F3665" s="6" t="s">
        <v>42</v>
      </c>
      <c r="G3665" s="6">
        <v>2015</v>
      </c>
      <c r="H3665" s="6">
        <v>11</v>
      </c>
      <c r="I3665" s="10">
        <v>42309</v>
      </c>
      <c r="J3665" s="6">
        <v>6713</v>
      </c>
      <c r="K3665" s="51"/>
      <c r="O3665" t="s">
        <v>7</v>
      </c>
      <c r="P3665" t="s">
        <v>49</v>
      </c>
      <c r="Q3665" t="s">
        <v>11</v>
      </c>
      <c r="R3665" t="s">
        <v>0</v>
      </c>
      <c r="S3665" t="s">
        <v>42</v>
      </c>
      <c r="T3665">
        <v>2015</v>
      </c>
      <c r="U3665">
        <v>11</v>
      </c>
      <c r="V3665" s="51">
        <v>42309</v>
      </c>
      <c r="W3665" s="4">
        <v>5974.57</v>
      </c>
      <c r="X3665" s="52">
        <v>6713</v>
      </c>
    </row>
    <row r="3666" spans="2:24" x14ac:dyDescent="0.35">
      <c r="B3666" s="6" t="s">
        <v>12</v>
      </c>
      <c r="C3666" s="6" t="s">
        <v>34</v>
      </c>
      <c r="D3666" s="6" t="s">
        <v>35</v>
      </c>
      <c r="E3666" s="6" t="s">
        <v>0</v>
      </c>
      <c r="F3666" s="6" t="s">
        <v>26</v>
      </c>
      <c r="G3666" s="6">
        <v>2015</v>
      </c>
      <c r="H3666" s="6">
        <v>11</v>
      </c>
      <c r="I3666" s="10">
        <v>42309</v>
      </c>
      <c r="J3666" s="6">
        <v>4645</v>
      </c>
      <c r="K3666" s="51"/>
      <c r="O3666" t="s">
        <v>12</v>
      </c>
      <c r="P3666" t="s">
        <v>34</v>
      </c>
      <c r="Q3666" t="s">
        <v>35</v>
      </c>
      <c r="R3666" t="s">
        <v>0</v>
      </c>
      <c r="S3666" t="s">
        <v>26</v>
      </c>
      <c r="T3666">
        <v>2015</v>
      </c>
      <c r="U3666">
        <v>11</v>
      </c>
      <c r="V3666" s="51">
        <v>42309</v>
      </c>
      <c r="W3666" s="4">
        <v>4319.8499999999995</v>
      </c>
      <c r="X3666" s="52">
        <v>4645</v>
      </c>
    </row>
    <row r="3667" spans="2:24" x14ac:dyDescent="0.35">
      <c r="B3667" s="6" t="s">
        <v>12</v>
      </c>
      <c r="C3667" s="6" t="s">
        <v>34</v>
      </c>
      <c r="D3667" s="6" t="s">
        <v>35</v>
      </c>
      <c r="E3667" s="6" t="s">
        <v>0</v>
      </c>
      <c r="F3667" s="6" t="s">
        <v>45</v>
      </c>
      <c r="G3667" s="6">
        <v>2015</v>
      </c>
      <c r="H3667" s="6">
        <v>11</v>
      </c>
      <c r="I3667" s="10">
        <v>42309</v>
      </c>
      <c r="J3667" s="6">
        <v>2193</v>
      </c>
      <c r="K3667" s="51"/>
      <c r="O3667" t="s">
        <v>12</v>
      </c>
      <c r="P3667" t="s">
        <v>34</v>
      </c>
      <c r="Q3667" t="s">
        <v>35</v>
      </c>
      <c r="R3667" t="s">
        <v>0</v>
      </c>
      <c r="S3667" t="s">
        <v>45</v>
      </c>
      <c r="T3667">
        <v>2015</v>
      </c>
      <c r="U3667">
        <v>11</v>
      </c>
      <c r="V3667" s="51">
        <v>42309</v>
      </c>
      <c r="W3667" s="4">
        <v>1995.6299999999999</v>
      </c>
      <c r="X3667" s="52">
        <v>2193</v>
      </c>
    </row>
    <row r="3668" spans="2:24" x14ac:dyDescent="0.35">
      <c r="B3668" s="6" t="s">
        <v>14</v>
      </c>
      <c r="C3668" s="6" t="s">
        <v>37</v>
      </c>
      <c r="D3668" s="6" t="s">
        <v>38</v>
      </c>
      <c r="E3668" s="6" t="s">
        <v>27</v>
      </c>
      <c r="F3668" s="6" t="s">
        <v>28</v>
      </c>
      <c r="G3668" s="6">
        <v>2015</v>
      </c>
      <c r="H3668" s="6">
        <v>11</v>
      </c>
      <c r="I3668" s="10">
        <v>42309</v>
      </c>
      <c r="J3668" s="6">
        <v>4479</v>
      </c>
      <c r="K3668" s="51"/>
      <c r="O3668" t="s">
        <v>14</v>
      </c>
      <c r="P3668" t="s">
        <v>37</v>
      </c>
      <c r="Q3668" t="s">
        <v>38</v>
      </c>
      <c r="R3668" t="s">
        <v>27</v>
      </c>
      <c r="S3668" t="s">
        <v>28</v>
      </c>
      <c r="T3668">
        <v>2015</v>
      </c>
      <c r="U3668">
        <v>11</v>
      </c>
      <c r="V3668" s="51">
        <v>42309</v>
      </c>
      <c r="W3668" s="4">
        <v>3807.1500000000005</v>
      </c>
      <c r="X3668" s="52">
        <v>4479</v>
      </c>
    </row>
    <row r="3669" spans="2:24" x14ac:dyDescent="0.35">
      <c r="B3669" s="6" t="s">
        <v>14</v>
      </c>
      <c r="C3669" s="6" t="s">
        <v>37</v>
      </c>
      <c r="D3669" s="6" t="s">
        <v>38</v>
      </c>
      <c r="E3669" s="6" t="s">
        <v>27</v>
      </c>
      <c r="F3669" s="6" t="s">
        <v>31</v>
      </c>
      <c r="G3669" s="6">
        <v>2015</v>
      </c>
      <c r="H3669" s="6">
        <v>11</v>
      </c>
      <c r="I3669" s="10">
        <v>42309</v>
      </c>
      <c r="J3669" s="6">
        <v>5055</v>
      </c>
      <c r="K3669" s="51"/>
      <c r="O3669" t="s">
        <v>14</v>
      </c>
      <c r="P3669" t="s">
        <v>37</v>
      </c>
      <c r="Q3669" t="s">
        <v>38</v>
      </c>
      <c r="R3669" t="s">
        <v>27</v>
      </c>
      <c r="S3669" t="s">
        <v>31</v>
      </c>
      <c r="T3669">
        <v>2015</v>
      </c>
      <c r="U3669">
        <v>11</v>
      </c>
      <c r="V3669" s="51">
        <v>42309</v>
      </c>
      <c r="W3669" s="4">
        <v>4347.3</v>
      </c>
      <c r="X3669" s="52">
        <v>5055</v>
      </c>
    </row>
    <row r="3670" spans="2:24" x14ac:dyDescent="0.35">
      <c r="B3670" s="6" t="s">
        <v>12</v>
      </c>
      <c r="C3670" s="6" t="s">
        <v>44</v>
      </c>
      <c r="D3670" s="6" t="s">
        <v>13</v>
      </c>
      <c r="E3670" s="6" t="s">
        <v>23</v>
      </c>
      <c r="F3670" s="6" t="s">
        <v>36</v>
      </c>
      <c r="G3670" s="6">
        <v>2015</v>
      </c>
      <c r="H3670" s="6">
        <v>11</v>
      </c>
      <c r="I3670" s="10">
        <v>42309</v>
      </c>
      <c r="J3670" s="6">
        <v>2114</v>
      </c>
      <c r="K3670" s="51"/>
      <c r="O3670" t="s">
        <v>12</v>
      </c>
      <c r="P3670" t="s">
        <v>44</v>
      </c>
      <c r="Q3670" t="s">
        <v>13</v>
      </c>
      <c r="R3670" t="s">
        <v>23</v>
      </c>
      <c r="S3670" t="s">
        <v>36</v>
      </c>
      <c r="T3670">
        <v>2015</v>
      </c>
      <c r="U3670">
        <v>11</v>
      </c>
      <c r="V3670" s="51">
        <v>42309</v>
      </c>
      <c r="W3670" s="4">
        <v>1818.0400000000002</v>
      </c>
      <c r="X3670" s="52">
        <v>2114</v>
      </c>
    </row>
    <row r="3671" spans="2:24" x14ac:dyDescent="0.35">
      <c r="B3671" s="6" t="s">
        <v>14</v>
      </c>
      <c r="C3671" s="6" t="s">
        <v>46</v>
      </c>
      <c r="D3671" s="6" t="s">
        <v>47</v>
      </c>
      <c r="E3671" s="6" t="s">
        <v>23</v>
      </c>
      <c r="F3671" s="6" t="s">
        <v>24</v>
      </c>
      <c r="G3671" s="6">
        <v>2015</v>
      </c>
      <c r="H3671" s="6">
        <v>11</v>
      </c>
      <c r="I3671" s="10">
        <v>42309</v>
      </c>
      <c r="J3671" s="6">
        <v>2892</v>
      </c>
      <c r="K3671" s="51"/>
      <c r="O3671" t="s">
        <v>14</v>
      </c>
      <c r="P3671" t="s">
        <v>46</v>
      </c>
      <c r="Q3671" t="s">
        <v>47</v>
      </c>
      <c r="R3671" t="s">
        <v>23</v>
      </c>
      <c r="S3671" t="s">
        <v>24</v>
      </c>
      <c r="T3671">
        <v>2015</v>
      </c>
      <c r="U3671">
        <v>11</v>
      </c>
      <c r="V3671" s="51">
        <v>42309</v>
      </c>
      <c r="W3671" s="4">
        <v>2602.7999999999997</v>
      </c>
      <c r="X3671" s="52">
        <v>2892</v>
      </c>
    </row>
    <row r="3672" spans="2:24" x14ac:dyDescent="0.35">
      <c r="B3672" s="6" t="s">
        <v>14</v>
      </c>
      <c r="C3672" s="6" t="s">
        <v>46</v>
      </c>
      <c r="D3672" s="6" t="s">
        <v>47</v>
      </c>
      <c r="E3672" s="6" t="s">
        <v>23</v>
      </c>
      <c r="F3672" s="6" t="s">
        <v>39</v>
      </c>
      <c r="G3672" s="6">
        <v>2015</v>
      </c>
      <c r="H3672" s="6">
        <v>11</v>
      </c>
      <c r="I3672" s="10">
        <v>42309</v>
      </c>
      <c r="J3672" s="6">
        <v>2849</v>
      </c>
      <c r="K3672" s="51"/>
      <c r="O3672" t="s">
        <v>14</v>
      </c>
      <c r="P3672" t="s">
        <v>46</v>
      </c>
      <c r="Q3672" t="s">
        <v>47</v>
      </c>
      <c r="R3672" t="s">
        <v>23</v>
      </c>
      <c r="S3672" t="s">
        <v>39</v>
      </c>
      <c r="T3672">
        <v>2015</v>
      </c>
      <c r="U3672">
        <v>11</v>
      </c>
      <c r="V3672" s="51">
        <v>42309</v>
      </c>
      <c r="W3672" s="4">
        <v>2649.5699999999997</v>
      </c>
      <c r="X3672" s="52">
        <v>2849</v>
      </c>
    </row>
    <row r="3673" spans="2:24" x14ac:dyDescent="0.35">
      <c r="B3673" s="6" t="s">
        <v>7</v>
      </c>
      <c r="C3673" s="6" t="s">
        <v>43</v>
      </c>
      <c r="D3673" s="6" t="s">
        <v>10</v>
      </c>
      <c r="E3673" s="6" t="s">
        <v>0</v>
      </c>
      <c r="F3673" s="6" t="s">
        <v>42</v>
      </c>
      <c r="G3673" s="6">
        <v>2015</v>
      </c>
      <c r="H3673" s="6">
        <v>11</v>
      </c>
      <c r="I3673" s="10">
        <v>42309</v>
      </c>
      <c r="J3673" s="6">
        <v>6816</v>
      </c>
      <c r="K3673" s="51"/>
      <c r="O3673" t="s">
        <v>7</v>
      </c>
      <c r="P3673" t="s">
        <v>43</v>
      </c>
      <c r="Q3673" t="s">
        <v>10</v>
      </c>
      <c r="R3673" t="s">
        <v>0</v>
      </c>
      <c r="S3673" t="s">
        <v>42</v>
      </c>
      <c r="T3673">
        <v>2015</v>
      </c>
      <c r="U3673">
        <v>11</v>
      </c>
      <c r="V3673" s="51">
        <v>42309</v>
      </c>
      <c r="W3673" s="4">
        <v>5929.920000000001</v>
      </c>
      <c r="X3673" s="52">
        <v>6816</v>
      </c>
    </row>
    <row r="3674" spans="2:24" x14ac:dyDescent="0.35">
      <c r="B3674" s="6" t="s">
        <v>6</v>
      </c>
      <c r="C3674" s="6" t="s">
        <v>40</v>
      </c>
      <c r="D3674" s="6" t="s">
        <v>41</v>
      </c>
      <c r="E3674" s="6" t="s">
        <v>27</v>
      </c>
      <c r="F3674" s="6" t="s">
        <v>31</v>
      </c>
      <c r="G3674" s="6">
        <v>2015</v>
      </c>
      <c r="H3674" s="6">
        <v>11</v>
      </c>
      <c r="I3674" s="10">
        <v>42309</v>
      </c>
      <c r="J3674" s="6">
        <v>4009</v>
      </c>
      <c r="K3674" s="51"/>
      <c r="O3674" t="s">
        <v>6</v>
      </c>
      <c r="P3674" t="s">
        <v>40</v>
      </c>
      <c r="Q3674" t="s">
        <v>41</v>
      </c>
      <c r="R3674" t="s">
        <v>27</v>
      </c>
      <c r="S3674" t="s">
        <v>31</v>
      </c>
      <c r="T3674">
        <v>2015</v>
      </c>
      <c r="U3674">
        <v>11</v>
      </c>
      <c r="V3674" s="51">
        <v>42309</v>
      </c>
      <c r="W3674" s="4">
        <v>3728.37</v>
      </c>
      <c r="X3674" s="52">
        <v>4009</v>
      </c>
    </row>
    <row r="3675" spans="2:24" x14ac:dyDescent="0.35">
      <c r="B3675" s="6" t="s">
        <v>3</v>
      </c>
      <c r="C3675" s="6" t="s">
        <v>22</v>
      </c>
      <c r="D3675" s="6" t="s">
        <v>5</v>
      </c>
      <c r="E3675" s="6" t="s">
        <v>23</v>
      </c>
      <c r="F3675" s="6" t="s">
        <v>39</v>
      </c>
      <c r="G3675" s="6">
        <v>2015</v>
      </c>
      <c r="H3675" s="6">
        <v>11</v>
      </c>
      <c r="I3675" s="10">
        <v>42309</v>
      </c>
      <c r="J3675" s="6">
        <v>2412</v>
      </c>
      <c r="K3675" s="51"/>
      <c r="O3675" t="s">
        <v>3</v>
      </c>
      <c r="P3675" t="s">
        <v>22</v>
      </c>
      <c r="Q3675" t="s">
        <v>5</v>
      </c>
      <c r="R3675" t="s">
        <v>23</v>
      </c>
      <c r="S3675" t="s">
        <v>39</v>
      </c>
      <c r="T3675">
        <v>2015</v>
      </c>
      <c r="U3675">
        <v>11</v>
      </c>
      <c r="V3675" s="51">
        <v>42309</v>
      </c>
      <c r="W3675" s="4">
        <v>2194.9199999999996</v>
      </c>
      <c r="X3675" s="52">
        <v>2412</v>
      </c>
    </row>
    <row r="3676" spans="2:24" x14ac:dyDescent="0.35">
      <c r="B3676" s="6" t="s">
        <v>3</v>
      </c>
      <c r="C3676" s="6" t="s">
        <v>22</v>
      </c>
      <c r="D3676" s="6" t="s">
        <v>5</v>
      </c>
      <c r="E3676" s="6" t="s">
        <v>0</v>
      </c>
      <c r="F3676" s="6" t="s">
        <v>42</v>
      </c>
      <c r="G3676" s="6">
        <v>2015</v>
      </c>
      <c r="H3676" s="6">
        <v>11</v>
      </c>
      <c r="I3676" s="10">
        <v>42309</v>
      </c>
      <c r="J3676" s="6">
        <v>4881</v>
      </c>
      <c r="K3676" s="51"/>
      <c r="O3676" t="s">
        <v>3</v>
      </c>
      <c r="P3676" t="s">
        <v>22</v>
      </c>
      <c r="Q3676" t="s">
        <v>5</v>
      </c>
      <c r="R3676" t="s">
        <v>0</v>
      </c>
      <c r="S3676" t="s">
        <v>42</v>
      </c>
      <c r="T3676">
        <v>2015</v>
      </c>
      <c r="U3676">
        <v>11</v>
      </c>
      <c r="V3676" s="51">
        <v>42309</v>
      </c>
      <c r="W3676" s="4">
        <v>4392.8999999999996</v>
      </c>
      <c r="X3676" s="52">
        <v>4881</v>
      </c>
    </row>
    <row r="3677" spans="2:24" x14ac:dyDescent="0.35">
      <c r="B3677" s="6" t="s">
        <v>6</v>
      </c>
      <c r="C3677" s="6" t="s">
        <v>29</v>
      </c>
      <c r="D3677" s="6" t="s">
        <v>30</v>
      </c>
      <c r="E3677" s="6" t="s">
        <v>0</v>
      </c>
      <c r="F3677" s="6" t="s">
        <v>26</v>
      </c>
      <c r="G3677" s="6">
        <v>2015</v>
      </c>
      <c r="H3677" s="6">
        <v>11</v>
      </c>
      <c r="I3677" s="10">
        <v>42309</v>
      </c>
      <c r="J3677" s="6">
        <v>4226</v>
      </c>
      <c r="K3677" s="51"/>
      <c r="O3677" t="s">
        <v>6</v>
      </c>
      <c r="P3677" t="s">
        <v>29</v>
      </c>
      <c r="Q3677" t="s">
        <v>30</v>
      </c>
      <c r="R3677" t="s">
        <v>0</v>
      </c>
      <c r="S3677" t="s">
        <v>26</v>
      </c>
      <c r="T3677">
        <v>2015</v>
      </c>
      <c r="U3677">
        <v>11</v>
      </c>
      <c r="V3677" s="51">
        <v>42309</v>
      </c>
      <c r="W3677" s="4">
        <v>3930.18</v>
      </c>
      <c r="X3677" s="52">
        <v>4226</v>
      </c>
    </row>
    <row r="3678" spans="2:24" x14ac:dyDescent="0.35">
      <c r="B3678" s="6" t="s">
        <v>7</v>
      </c>
      <c r="C3678" s="6" t="s">
        <v>48</v>
      </c>
      <c r="D3678" s="6" t="s">
        <v>9</v>
      </c>
      <c r="E3678" s="6" t="s">
        <v>27</v>
      </c>
      <c r="F3678" s="6" t="s">
        <v>28</v>
      </c>
      <c r="G3678" s="6">
        <v>2015</v>
      </c>
      <c r="H3678" s="6">
        <v>11</v>
      </c>
      <c r="I3678" s="10">
        <v>42309</v>
      </c>
      <c r="J3678" s="6">
        <v>4885</v>
      </c>
      <c r="K3678" s="51"/>
      <c r="O3678" t="s">
        <v>7</v>
      </c>
      <c r="P3678" t="s">
        <v>48</v>
      </c>
      <c r="Q3678" t="s">
        <v>9</v>
      </c>
      <c r="R3678" t="s">
        <v>27</v>
      </c>
      <c r="S3678" t="s">
        <v>28</v>
      </c>
      <c r="T3678">
        <v>2015</v>
      </c>
      <c r="U3678">
        <v>11</v>
      </c>
      <c r="V3678" s="51">
        <v>42309</v>
      </c>
      <c r="W3678" s="4">
        <v>4396.5</v>
      </c>
      <c r="X3678" s="52">
        <v>4885</v>
      </c>
    </row>
    <row r="3679" spans="2:24" x14ac:dyDescent="0.35">
      <c r="B3679" s="6" t="s">
        <v>7</v>
      </c>
      <c r="C3679" s="6" t="s">
        <v>48</v>
      </c>
      <c r="D3679" s="6" t="s">
        <v>9</v>
      </c>
      <c r="E3679" s="6" t="s">
        <v>27</v>
      </c>
      <c r="F3679" s="6" t="s">
        <v>31</v>
      </c>
      <c r="G3679" s="6">
        <v>2015</v>
      </c>
      <c r="H3679" s="6">
        <v>11</v>
      </c>
      <c r="I3679" s="10">
        <v>42309</v>
      </c>
      <c r="J3679" s="6">
        <v>5547</v>
      </c>
      <c r="K3679" s="51"/>
      <c r="O3679" t="s">
        <v>7</v>
      </c>
      <c r="P3679" t="s">
        <v>48</v>
      </c>
      <c r="Q3679" t="s">
        <v>9</v>
      </c>
      <c r="R3679" t="s">
        <v>27</v>
      </c>
      <c r="S3679" t="s">
        <v>31</v>
      </c>
      <c r="T3679">
        <v>2015</v>
      </c>
      <c r="U3679">
        <v>11</v>
      </c>
      <c r="V3679" s="51">
        <v>42309</v>
      </c>
      <c r="W3679" s="4">
        <v>4936.83</v>
      </c>
      <c r="X3679" s="52">
        <v>5547</v>
      </c>
    </row>
    <row r="3680" spans="2:24" x14ac:dyDescent="0.35">
      <c r="B3680" s="6" t="s">
        <v>7</v>
      </c>
      <c r="C3680" s="6" t="s">
        <v>49</v>
      </c>
      <c r="D3680" s="6" t="s">
        <v>11</v>
      </c>
      <c r="E3680" s="6" t="s">
        <v>27</v>
      </c>
      <c r="F3680" s="6" t="s">
        <v>33</v>
      </c>
      <c r="G3680" s="6">
        <v>2015</v>
      </c>
      <c r="H3680" s="6">
        <v>11</v>
      </c>
      <c r="I3680" s="10">
        <v>42309</v>
      </c>
      <c r="J3680" s="6">
        <v>3707</v>
      </c>
      <c r="K3680" s="51"/>
      <c r="O3680" t="s">
        <v>7</v>
      </c>
      <c r="P3680" t="s">
        <v>49</v>
      </c>
      <c r="Q3680" t="s">
        <v>11</v>
      </c>
      <c r="R3680" t="s">
        <v>27</v>
      </c>
      <c r="S3680" t="s">
        <v>33</v>
      </c>
      <c r="T3680">
        <v>2015</v>
      </c>
      <c r="U3680">
        <v>11</v>
      </c>
      <c r="V3680" s="51">
        <v>42309</v>
      </c>
      <c r="W3680" s="4">
        <v>3188.0200000000004</v>
      </c>
      <c r="X3680" s="52">
        <v>3707</v>
      </c>
    </row>
    <row r="3681" spans="2:24" x14ac:dyDescent="0.35">
      <c r="B3681" s="6" t="s">
        <v>7</v>
      </c>
      <c r="C3681" s="6" t="s">
        <v>49</v>
      </c>
      <c r="D3681" s="6" t="s">
        <v>11</v>
      </c>
      <c r="E3681" s="6" t="s">
        <v>23</v>
      </c>
      <c r="F3681" s="6" t="s">
        <v>36</v>
      </c>
      <c r="G3681" s="6">
        <v>2015</v>
      </c>
      <c r="H3681" s="6">
        <v>11</v>
      </c>
      <c r="I3681" s="10">
        <v>42309</v>
      </c>
      <c r="J3681" s="6">
        <v>2544</v>
      </c>
      <c r="K3681" s="51"/>
      <c r="O3681" t="s">
        <v>7</v>
      </c>
      <c r="P3681" t="s">
        <v>49</v>
      </c>
      <c r="Q3681" t="s">
        <v>11</v>
      </c>
      <c r="R3681" t="s">
        <v>23</v>
      </c>
      <c r="S3681" t="s">
        <v>36</v>
      </c>
      <c r="T3681">
        <v>2015</v>
      </c>
      <c r="U3681">
        <v>11</v>
      </c>
      <c r="V3681" s="51">
        <v>42309</v>
      </c>
      <c r="W3681" s="4">
        <v>2264.16</v>
      </c>
      <c r="X3681" s="52">
        <v>2544</v>
      </c>
    </row>
    <row r="3682" spans="2:24" x14ac:dyDescent="0.35">
      <c r="B3682" s="6" t="s">
        <v>7</v>
      </c>
      <c r="C3682" s="6" t="s">
        <v>43</v>
      </c>
      <c r="D3682" s="6" t="s">
        <v>10</v>
      </c>
      <c r="E3682" s="6" t="s">
        <v>23</v>
      </c>
      <c r="F3682" s="6" t="s">
        <v>36</v>
      </c>
      <c r="G3682" s="6">
        <v>2015</v>
      </c>
      <c r="H3682" s="6">
        <v>11</v>
      </c>
      <c r="I3682" s="10">
        <v>42309</v>
      </c>
      <c r="J3682" s="6">
        <v>2032</v>
      </c>
      <c r="K3682" s="51"/>
      <c r="O3682" t="s">
        <v>7</v>
      </c>
      <c r="P3682" t="s">
        <v>43</v>
      </c>
      <c r="Q3682" t="s">
        <v>10</v>
      </c>
      <c r="R3682" t="s">
        <v>23</v>
      </c>
      <c r="S3682" t="s">
        <v>36</v>
      </c>
      <c r="T3682">
        <v>2015</v>
      </c>
      <c r="U3682">
        <v>11</v>
      </c>
      <c r="V3682" s="51">
        <v>42309</v>
      </c>
      <c r="W3682" s="4">
        <v>1889.7599999999998</v>
      </c>
      <c r="X3682" s="52">
        <v>2032</v>
      </c>
    </row>
    <row r="3683" spans="2:24" x14ac:dyDescent="0.35">
      <c r="B3683" s="6" t="s">
        <v>6</v>
      </c>
      <c r="C3683" s="6" t="s">
        <v>40</v>
      </c>
      <c r="D3683" s="6" t="s">
        <v>41</v>
      </c>
      <c r="E3683" s="6" t="s">
        <v>0</v>
      </c>
      <c r="F3683" s="6" t="s">
        <v>45</v>
      </c>
      <c r="G3683" s="6">
        <v>2015</v>
      </c>
      <c r="H3683" s="6">
        <v>11</v>
      </c>
      <c r="I3683" s="10">
        <v>42309</v>
      </c>
      <c r="J3683" s="6">
        <v>2472</v>
      </c>
      <c r="K3683" s="51"/>
      <c r="O3683" t="s">
        <v>6</v>
      </c>
      <c r="P3683" t="s">
        <v>40</v>
      </c>
      <c r="Q3683" t="s">
        <v>41</v>
      </c>
      <c r="R3683" t="s">
        <v>0</v>
      </c>
      <c r="S3683" t="s">
        <v>45</v>
      </c>
      <c r="T3683">
        <v>2015</v>
      </c>
      <c r="U3683">
        <v>11</v>
      </c>
      <c r="V3683" s="51">
        <v>42309</v>
      </c>
      <c r="W3683" s="4">
        <v>2101.2000000000003</v>
      </c>
      <c r="X3683" s="52">
        <v>2472</v>
      </c>
    </row>
    <row r="3684" spans="2:24" x14ac:dyDescent="0.35">
      <c r="B3684" s="6" t="s">
        <v>7</v>
      </c>
      <c r="C3684" s="6" t="s">
        <v>32</v>
      </c>
      <c r="D3684" s="6" t="s">
        <v>8</v>
      </c>
      <c r="E3684" s="6" t="s">
        <v>27</v>
      </c>
      <c r="F3684" s="6" t="s">
        <v>28</v>
      </c>
      <c r="G3684" s="6">
        <v>2015</v>
      </c>
      <c r="H3684" s="6">
        <v>11</v>
      </c>
      <c r="I3684" s="10">
        <v>42309</v>
      </c>
      <c r="J3684" s="6">
        <v>4324</v>
      </c>
      <c r="K3684" s="51"/>
      <c r="O3684" t="s">
        <v>7</v>
      </c>
      <c r="P3684" t="s">
        <v>32</v>
      </c>
      <c r="Q3684" t="s">
        <v>8</v>
      </c>
      <c r="R3684" t="s">
        <v>27</v>
      </c>
      <c r="S3684" t="s">
        <v>28</v>
      </c>
      <c r="T3684">
        <v>2015</v>
      </c>
      <c r="U3684">
        <v>11</v>
      </c>
      <c r="V3684" s="51">
        <v>42309</v>
      </c>
      <c r="W3684" s="4">
        <v>3891.5999999999995</v>
      </c>
      <c r="X3684" s="52">
        <v>4324</v>
      </c>
    </row>
    <row r="3685" spans="2:24" x14ac:dyDescent="0.35">
      <c r="B3685" s="6" t="s">
        <v>7</v>
      </c>
      <c r="C3685" s="6" t="s">
        <v>32</v>
      </c>
      <c r="D3685" s="6" t="s">
        <v>8</v>
      </c>
      <c r="E3685" s="6" t="s">
        <v>27</v>
      </c>
      <c r="F3685" s="6" t="s">
        <v>31</v>
      </c>
      <c r="G3685" s="6">
        <v>2015</v>
      </c>
      <c r="H3685" s="6">
        <v>11</v>
      </c>
      <c r="I3685" s="10">
        <v>42309</v>
      </c>
      <c r="J3685" s="6">
        <v>4195</v>
      </c>
      <c r="K3685" s="51"/>
      <c r="O3685" t="s">
        <v>7</v>
      </c>
      <c r="P3685" t="s">
        <v>32</v>
      </c>
      <c r="Q3685" t="s">
        <v>8</v>
      </c>
      <c r="R3685" t="s">
        <v>27</v>
      </c>
      <c r="S3685" t="s">
        <v>31</v>
      </c>
      <c r="T3685">
        <v>2015</v>
      </c>
      <c r="U3685">
        <v>11</v>
      </c>
      <c r="V3685" s="51">
        <v>42309</v>
      </c>
      <c r="W3685" s="4">
        <v>3859.3999999999996</v>
      </c>
      <c r="X3685" s="52">
        <v>4195</v>
      </c>
    </row>
    <row r="3686" spans="2:24" x14ac:dyDescent="0.35">
      <c r="B3686" s="6" t="s">
        <v>6</v>
      </c>
      <c r="C3686" s="6" t="s">
        <v>29</v>
      </c>
      <c r="D3686" s="6" t="s">
        <v>30</v>
      </c>
      <c r="E3686" s="6" t="s">
        <v>23</v>
      </c>
      <c r="F3686" s="6" t="s">
        <v>24</v>
      </c>
      <c r="G3686" s="6">
        <v>2015</v>
      </c>
      <c r="H3686" s="6">
        <v>11</v>
      </c>
      <c r="I3686" s="10">
        <v>42309</v>
      </c>
      <c r="J3686" s="6">
        <v>2204</v>
      </c>
      <c r="K3686" s="51"/>
      <c r="O3686" t="s">
        <v>6</v>
      </c>
      <c r="P3686" t="s">
        <v>29</v>
      </c>
      <c r="Q3686" t="s">
        <v>30</v>
      </c>
      <c r="R3686" t="s">
        <v>23</v>
      </c>
      <c r="S3686" t="s">
        <v>24</v>
      </c>
      <c r="T3686">
        <v>2015</v>
      </c>
      <c r="U3686">
        <v>11</v>
      </c>
      <c r="V3686" s="51">
        <v>42309</v>
      </c>
      <c r="W3686" s="4">
        <v>2027.6799999999998</v>
      </c>
      <c r="X3686" s="52">
        <v>2204</v>
      </c>
    </row>
    <row r="3687" spans="2:24" x14ac:dyDescent="0.35">
      <c r="B3687" s="6" t="s">
        <v>7</v>
      </c>
      <c r="C3687" s="6" t="s">
        <v>48</v>
      </c>
      <c r="D3687" s="6" t="s">
        <v>9</v>
      </c>
      <c r="E3687" s="6" t="s">
        <v>0</v>
      </c>
      <c r="F3687" s="6" t="s">
        <v>42</v>
      </c>
      <c r="G3687" s="6">
        <v>2015</v>
      </c>
      <c r="H3687" s="6">
        <v>11</v>
      </c>
      <c r="I3687" s="10">
        <v>42309</v>
      </c>
      <c r="J3687" s="6">
        <v>6881</v>
      </c>
      <c r="K3687" s="51"/>
      <c r="O3687" t="s">
        <v>7</v>
      </c>
      <c r="P3687" t="s">
        <v>48</v>
      </c>
      <c r="Q3687" t="s">
        <v>9</v>
      </c>
      <c r="R3687" t="s">
        <v>0</v>
      </c>
      <c r="S3687" t="s">
        <v>42</v>
      </c>
      <c r="T3687">
        <v>2015</v>
      </c>
      <c r="U3687">
        <v>11</v>
      </c>
      <c r="V3687" s="51">
        <v>42309</v>
      </c>
      <c r="W3687" s="4">
        <v>5986.4700000000012</v>
      </c>
      <c r="X3687" s="52">
        <v>6881</v>
      </c>
    </row>
    <row r="3688" spans="2:24" x14ac:dyDescent="0.35">
      <c r="B3688" s="6" t="s">
        <v>7</v>
      </c>
      <c r="C3688" s="6" t="s">
        <v>48</v>
      </c>
      <c r="D3688" s="6" t="s">
        <v>9</v>
      </c>
      <c r="E3688" s="6" t="s">
        <v>0</v>
      </c>
      <c r="F3688" s="6" t="s">
        <v>26</v>
      </c>
      <c r="G3688" s="6">
        <v>2015</v>
      </c>
      <c r="H3688" s="6">
        <v>11</v>
      </c>
      <c r="I3688" s="10">
        <v>42309</v>
      </c>
      <c r="J3688" s="6">
        <v>2652</v>
      </c>
      <c r="K3688" s="51"/>
      <c r="O3688" t="s">
        <v>7</v>
      </c>
      <c r="P3688" t="s">
        <v>48</v>
      </c>
      <c r="Q3688" t="s">
        <v>9</v>
      </c>
      <c r="R3688" t="s">
        <v>0</v>
      </c>
      <c r="S3688" t="s">
        <v>26</v>
      </c>
      <c r="T3688">
        <v>2015</v>
      </c>
      <c r="U3688">
        <v>11</v>
      </c>
      <c r="V3688" s="51">
        <v>42309</v>
      </c>
      <c r="W3688" s="4">
        <v>2333.7599999999998</v>
      </c>
      <c r="X3688" s="52">
        <v>2652</v>
      </c>
    </row>
    <row r="3689" spans="2:24" x14ac:dyDescent="0.35">
      <c r="B3689" s="6" t="s">
        <v>7</v>
      </c>
      <c r="C3689" s="6" t="s">
        <v>49</v>
      </c>
      <c r="D3689" s="6" t="s">
        <v>11</v>
      </c>
      <c r="E3689" s="6" t="s">
        <v>0</v>
      </c>
      <c r="F3689" s="6" t="s">
        <v>45</v>
      </c>
      <c r="G3689" s="6">
        <v>2015</v>
      </c>
      <c r="H3689" s="6">
        <v>11</v>
      </c>
      <c r="I3689" s="10">
        <v>42309</v>
      </c>
      <c r="J3689" s="6">
        <v>3014</v>
      </c>
      <c r="K3689" s="51"/>
      <c r="O3689" t="s">
        <v>7</v>
      </c>
      <c r="P3689" t="s">
        <v>49</v>
      </c>
      <c r="Q3689" t="s">
        <v>11</v>
      </c>
      <c r="R3689" t="s">
        <v>0</v>
      </c>
      <c r="S3689" t="s">
        <v>45</v>
      </c>
      <c r="T3689">
        <v>2015</v>
      </c>
      <c r="U3689">
        <v>11</v>
      </c>
      <c r="V3689" s="51">
        <v>42309</v>
      </c>
      <c r="W3689" s="4">
        <v>2622.1800000000003</v>
      </c>
      <c r="X3689" s="52">
        <v>3014</v>
      </c>
    </row>
    <row r="3690" spans="2:24" x14ac:dyDescent="0.35">
      <c r="B3690" s="6" t="s">
        <v>7</v>
      </c>
      <c r="C3690" s="6" t="s">
        <v>49</v>
      </c>
      <c r="D3690" s="6" t="s">
        <v>11</v>
      </c>
      <c r="E3690" s="6" t="s">
        <v>27</v>
      </c>
      <c r="F3690" s="6" t="s">
        <v>28</v>
      </c>
      <c r="G3690" s="6">
        <v>2015</v>
      </c>
      <c r="H3690" s="6">
        <v>11</v>
      </c>
      <c r="I3690" s="10">
        <v>42309</v>
      </c>
      <c r="J3690" s="6">
        <v>4929</v>
      </c>
      <c r="K3690" s="51"/>
      <c r="O3690" t="s">
        <v>7</v>
      </c>
      <c r="P3690" t="s">
        <v>49</v>
      </c>
      <c r="Q3690" t="s">
        <v>11</v>
      </c>
      <c r="R3690" t="s">
        <v>27</v>
      </c>
      <c r="S3690" t="s">
        <v>28</v>
      </c>
      <c r="T3690">
        <v>2015</v>
      </c>
      <c r="U3690">
        <v>11</v>
      </c>
      <c r="V3690" s="51">
        <v>42309</v>
      </c>
      <c r="W3690" s="4">
        <v>4485.3899999999994</v>
      </c>
      <c r="X3690" s="52">
        <v>4929</v>
      </c>
    </row>
    <row r="3691" spans="2:24" x14ac:dyDescent="0.35">
      <c r="B3691" s="6" t="s">
        <v>12</v>
      </c>
      <c r="C3691" s="6" t="s">
        <v>34</v>
      </c>
      <c r="D3691" s="6" t="s">
        <v>35</v>
      </c>
      <c r="E3691" s="6" t="s">
        <v>27</v>
      </c>
      <c r="F3691" s="6" t="s">
        <v>31</v>
      </c>
      <c r="G3691" s="6">
        <v>2015</v>
      </c>
      <c r="H3691" s="6">
        <v>11</v>
      </c>
      <c r="I3691" s="10">
        <v>42309</v>
      </c>
      <c r="J3691" s="6">
        <v>4184</v>
      </c>
      <c r="K3691" s="51"/>
      <c r="O3691" t="s">
        <v>12</v>
      </c>
      <c r="P3691" t="s">
        <v>34</v>
      </c>
      <c r="Q3691" t="s">
        <v>35</v>
      </c>
      <c r="R3691" t="s">
        <v>27</v>
      </c>
      <c r="S3691" t="s">
        <v>31</v>
      </c>
      <c r="T3691">
        <v>2015</v>
      </c>
      <c r="U3691">
        <v>11</v>
      </c>
      <c r="V3691" s="51">
        <v>42309</v>
      </c>
      <c r="W3691" s="4">
        <v>3556.4000000000005</v>
      </c>
      <c r="X3691" s="52">
        <v>4184</v>
      </c>
    </row>
    <row r="3692" spans="2:24" x14ac:dyDescent="0.35">
      <c r="B3692" s="6" t="s">
        <v>12</v>
      </c>
      <c r="C3692" s="6" t="s">
        <v>34</v>
      </c>
      <c r="D3692" s="6" t="s">
        <v>35</v>
      </c>
      <c r="E3692" s="6" t="s">
        <v>27</v>
      </c>
      <c r="F3692" s="6" t="s">
        <v>33</v>
      </c>
      <c r="G3692" s="6">
        <v>2015</v>
      </c>
      <c r="H3692" s="6">
        <v>11</v>
      </c>
      <c r="I3692" s="10">
        <v>42309</v>
      </c>
      <c r="J3692" s="6">
        <v>3060</v>
      </c>
      <c r="K3692" s="51"/>
      <c r="O3692" t="s">
        <v>12</v>
      </c>
      <c r="P3692" t="s">
        <v>34</v>
      </c>
      <c r="Q3692" t="s">
        <v>35</v>
      </c>
      <c r="R3692" t="s">
        <v>27</v>
      </c>
      <c r="S3692" t="s">
        <v>33</v>
      </c>
      <c r="T3692">
        <v>2015</v>
      </c>
      <c r="U3692">
        <v>11</v>
      </c>
      <c r="V3692" s="51">
        <v>42309</v>
      </c>
      <c r="W3692" s="4">
        <v>2662.2000000000003</v>
      </c>
      <c r="X3692" s="52">
        <v>3060</v>
      </c>
    </row>
    <row r="3693" spans="2:24" x14ac:dyDescent="0.35">
      <c r="B3693" s="6" t="s">
        <v>14</v>
      </c>
      <c r="C3693" s="6" t="s">
        <v>37</v>
      </c>
      <c r="D3693" s="6" t="s">
        <v>38</v>
      </c>
      <c r="E3693" s="6" t="s">
        <v>23</v>
      </c>
      <c r="F3693" s="6" t="s">
        <v>36</v>
      </c>
      <c r="G3693" s="6">
        <v>2015</v>
      </c>
      <c r="H3693" s="6">
        <v>11</v>
      </c>
      <c r="I3693" s="10">
        <v>42309</v>
      </c>
      <c r="J3693" s="6">
        <v>1557</v>
      </c>
      <c r="K3693" s="51"/>
      <c r="O3693" t="s">
        <v>14</v>
      </c>
      <c r="P3693" t="s">
        <v>37</v>
      </c>
      <c r="Q3693" t="s">
        <v>38</v>
      </c>
      <c r="R3693" t="s">
        <v>23</v>
      </c>
      <c r="S3693" t="s">
        <v>36</v>
      </c>
      <c r="T3693">
        <v>2015</v>
      </c>
      <c r="U3693">
        <v>11</v>
      </c>
      <c r="V3693" s="51">
        <v>42309</v>
      </c>
      <c r="W3693" s="4">
        <v>1370.1599999999999</v>
      </c>
      <c r="X3693" s="52">
        <v>1557</v>
      </c>
    </row>
    <row r="3694" spans="2:24" x14ac:dyDescent="0.35">
      <c r="B3694" s="6" t="s">
        <v>12</v>
      </c>
      <c r="C3694" s="6" t="s">
        <v>44</v>
      </c>
      <c r="D3694" s="6" t="s">
        <v>13</v>
      </c>
      <c r="E3694" s="6" t="s">
        <v>23</v>
      </c>
      <c r="F3694" s="6" t="s">
        <v>39</v>
      </c>
      <c r="G3694" s="6">
        <v>2015</v>
      </c>
      <c r="H3694" s="6">
        <v>11</v>
      </c>
      <c r="I3694" s="10">
        <v>42309</v>
      </c>
      <c r="J3694" s="6">
        <v>2341</v>
      </c>
      <c r="K3694" s="51"/>
      <c r="O3694" t="s">
        <v>12</v>
      </c>
      <c r="P3694" t="s">
        <v>44</v>
      </c>
      <c r="Q3694" t="s">
        <v>13</v>
      </c>
      <c r="R3694" t="s">
        <v>23</v>
      </c>
      <c r="S3694" t="s">
        <v>39</v>
      </c>
      <c r="T3694">
        <v>2015</v>
      </c>
      <c r="U3694">
        <v>11</v>
      </c>
      <c r="V3694" s="51">
        <v>42309</v>
      </c>
      <c r="W3694" s="4">
        <v>2013.2600000000002</v>
      </c>
      <c r="X3694" s="52">
        <v>2341</v>
      </c>
    </row>
    <row r="3695" spans="2:24" x14ac:dyDescent="0.35">
      <c r="B3695" s="6" t="s">
        <v>12</v>
      </c>
      <c r="C3695" s="6" t="s">
        <v>44</v>
      </c>
      <c r="D3695" s="6" t="s">
        <v>13</v>
      </c>
      <c r="E3695" s="6" t="s">
        <v>0</v>
      </c>
      <c r="F3695" s="6" t="s">
        <v>42</v>
      </c>
      <c r="G3695" s="6">
        <v>2015</v>
      </c>
      <c r="H3695" s="6">
        <v>11</v>
      </c>
      <c r="I3695" s="10">
        <v>42309</v>
      </c>
      <c r="J3695" s="6">
        <v>6316</v>
      </c>
      <c r="K3695" s="51"/>
      <c r="O3695" t="s">
        <v>12</v>
      </c>
      <c r="P3695" t="s">
        <v>44</v>
      </c>
      <c r="Q3695" t="s">
        <v>13</v>
      </c>
      <c r="R3695" t="s">
        <v>0</v>
      </c>
      <c r="S3695" t="s">
        <v>42</v>
      </c>
      <c r="T3695">
        <v>2015</v>
      </c>
      <c r="U3695">
        <v>11</v>
      </c>
      <c r="V3695" s="51">
        <v>42309</v>
      </c>
      <c r="W3695" s="4">
        <v>5558.079999999999</v>
      </c>
      <c r="X3695" s="52">
        <v>6316</v>
      </c>
    </row>
    <row r="3696" spans="2:24" x14ac:dyDescent="0.35">
      <c r="B3696" s="6" t="s">
        <v>14</v>
      </c>
      <c r="C3696" s="6" t="s">
        <v>46</v>
      </c>
      <c r="D3696" s="6" t="s">
        <v>47</v>
      </c>
      <c r="E3696" s="6" t="s">
        <v>0</v>
      </c>
      <c r="F3696" s="6" t="s">
        <v>26</v>
      </c>
      <c r="G3696" s="6">
        <v>2015</v>
      </c>
      <c r="H3696" s="6">
        <v>11</v>
      </c>
      <c r="I3696" s="10">
        <v>42309</v>
      </c>
      <c r="J3696" s="6">
        <v>4074</v>
      </c>
      <c r="K3696" s="51"/>
      <c r="O3696" t="s">
        <v>14</v>
      </c>
      <c r="P3696" t="s">
        <v>46</v>
      </c>
      <c r="Q3696" t="s">
        <v>47</v>
      </c>
      <c r="R3696" t="s">
        <v>0</v>
      </c>
      <c r="S3696" t="s">
        <v>26</v>
      </c>
      <c r="T3696">
        <v>2015</v>
      </c>
      <c r="U3696">
        <v>11</v>
      </c>
      <c r="V3696" s="51">
        <v>42309</v>
      </c>
      <c r="W3696" s="4">
        <v>3788.8199999999997</v>
      </c>
      <c r="X3696" s="52">
        <v>4074</v>
      </c>
    </row>
    <row r="3697" spans="2:24" x14ac:dyDescent="0.35">
      <c r="B3697" s="6" t="s">
        <v>14</v>
      </c>
      <c r="C3697" s="6" t="s">
        <v>46</v>
      </c>
      <c r="D3697" s="6" t="s">
        <v>47</v>
      </c>
      <c r="E3697" s="6" t="s">
        <v>0</v>
      </c>
      <c r="F3697" s="6" t="s">
        <v>45</v>
      </c>
      <c r="G3697" s="6">
        <v>2015</v>
      </c>
      <c r="H3697" s="6">
        <v>11</v>
      </c>
      <c r="I3697" s="10">
        <v>42309</v>
      </c>
      <c r="J3697" s="6">
        <v>2474</v>
      </c>
      <c r="K3697" s="51"/>
      <c r="O3697" t="s">
        <v>14</v>
      </c>
      <c r="P3697" t="s">
        <v>46</v>
      </c>
      <c r="Q3697" t="s">
        <v>47</v>
      </c>
      <c r="R3697" t="s">
        <v>0</v>
      </c>
      <c r="S3697" t="s">
        <v>45</v>
      </c>
      <c r="T3697">
        <v>2015</v>
      </c>
      <c r="U3697">
        <v>11</v>
      </c>
      <c r="V3697" s="51">
        <v>42309</v>
      </c>
      <c r="W3697" s="4">
        <v>2177.12</v>
      </c>
      <c r="X3697" s="52">
        <v>2474</v>
      </c>
    </row>
    <row r="3698" spans="2:24" x14ac:dyDescent="0.35">
      <c r="B3698" s="6" t="s">
        <v>3</v>
      </c>
      <c r="C3698" s="6" t="s">
        <v>25</v>
      </c>
      <c r="D3698" s="6" t="s">
        <v>4</v>
      </c>
      <c r="E3698" s="6" t="s">
        <v>27</v>
      </c>
      <c r="F3698" s="6" t="s">
        <v>33</v>
      </c>
      <c r="G3698" s="6">
        <v>2015</v>
      </c>
      <c r="H3698" s="6">
        <v>11</v>
      </c>
      <c r="I3698" s="10">
        <v>42309</v>
      </c>
      <c r="J3698" s="6">
        <v>3212</v>
      </c>
      <c r="K3698" s="51"/>
      <c r="O3698" t="s">
        <v>3</v>
      </c>
      <c r="P3698" t="s">
        <v>25</v>
      </c>
      <c r="Q3698" t="s">
        <v>4</v>
      </c>
      <c r="R3698" t="s">
        <v>27</v>
      </c>
      <c r="S3698" t="s">
        <v>33</v>
      </c>
      <c r="T3698">
        <v>2015</v>
      </c>
      <c r="U3698">
        <v>11</v>
      </c>
      <c r="V3698" s="51">
        <v>42309</v>
      </c>
      <c r="W3698" s="4">
        <v>2955.04</v>
      </c>
      <c r="X3698" s="52">
        <v>3212</v>
      </c>
    </row>
    <row r="3699" spans="2:24" x14ac:dyDescent="0.35">
      <c r="B3699" s="6" t="s">
        <v>3</v>
      </c>
      <c r="C3699" s="6" t="s">
        <v>25</v>
      </c>
      <c r="D3699" s="6" t="s">
        <v>4</v>
      </c>
      <c r="E3699" s="6" t="s">
        <v>23</v>
      </c>
      <c r="F3699" s="6" t="s">
        <v>36</v>
      </c>
      <c r="G3699" s="6">
        <v>2015</v>
      </c>
      <c r="H3699" s="6">
        <v>11</v>
      </c>
      <c r="I3699" s="10">
        <v>42309</v>
      </c>
      <c r="J3699" s="6">
        <v>2793</v>
      </c>
      <c r="K3699" s="51"/>
      <c r="O3699" t="s">
        <v>3</v>
      </c>
      <c r="P3699" t="s">
        <v>25</v>
      </c>
      <c r="Q3699" t="s">
        <v>4</v>
      </c>
      <c r="R3699" t="s">
        <v>23</v>
      </c>
      <c r="S3699" t="s">
        <v>36</v>
      </c>
      <c r="T3699">
        <v>2015</v>
      </c>
      <c r="U3699">
        <v>11</v>
      </c>
      <c r="V3699" s="51">
        <v>42309</v>
      </c>
      <c r="W3699" s="4">
        <v>2457.8399999999997</v>
      </c>
      <c r="X3699" s="52">
        <v>2793</v>
      </c>
    </row>
    <row r="3700" spans="2:24" x14ac:dyDescent="0.35">
      <c r="B3700" s="6" t="s">
        <v>6</v>
      </c>
      <c r="C3700" s="6" t="s">
        <v>40</v>
      </c>
      <c r="D3700" s="6" t="s">
        <v>41</v>
      </c>
      <c r="E3700" s="6" t="s">
        <v>23</v>
      </c>
      <c r="F3700" s="6" t="s">
        <v>39</v>
      </c>
      <c r="G3700" s="6">
        <v>2015</v>
      </c>
      <c r="H3700" s="6">
        <v>11</v>
      </c>
      <c r="I3700" s="10">
        <v>42309</v>
      </c>
      <c r="J3700" s="6">
        <v>2789</v>
      </c>
      <c r="K3700" s="51"/>
      <c r="O3700" t="s">
        <v>6</v>
      </c>
      <c r="P3700" t="s">
        <v>40</v>
      </c>
      <c r="Q3700" t="s">
        <v>41</v>
      </c>
      <c r="R3700" t="s">
        <v>23</v>
      </c>
      <c r="S3700" t="s">
        <v>39</v>
      </c>
      <c r="T3700">
        <v>2015</v>
      </c>
      <c r="U3700">
        <v>11</v>
      </c>
      <c r="V3700" s="51">
        <v>42309</v>
      </c>
      <c r="W3700" s="4">
        <v>2482.2099999999996</v>
      </c>
      <c r="X3700" s="52">
        <v>2789</v>
      </c>
    </row>
    <row r="3701" spans="2:24" x14ac:dyDescent="0.35">
      <c r="B3701" s="6" t="s">
        <v>7</v>
      </c>
      <c r="C3701" s="6" t="s">
        <v>48</v>
      </c>
      <c r="D3701" s="6" t="s">
        <v>9</v>
      </c>
      <c r="E3701" s="6" t="s">
        <v>0</v>
      </c>
      <c r="F3701" s="6" t="s">
        <v>45</v>
      </c>
      <c r="G3701" s="6">
        <v>2015</v>
      </c>
      <c r="H3701" s="6">
        <v>11</v>
      </c>
      <c r="I3701" s="10">
        <v>42309</v>
      </c>
      <c r="J3701" s="6">
        <v>3316</v>
      </c>
      <c r="K3701" s="51"/>
      <c r="O3701" t="s">
        <v>7</v>
      </c>
      <c r="P3701" t="s">
        <v>48</v>
      </c>
      <c r="Q3701" t="s">
        <v>9</v>
      </c>
      <c r="R3701" t="s">
        <v>0</v>
      </c>
      <c r="S3701" t="s">
        <v>45</v>
      </c>
      <c r="T3701">
        <v>2015</v>
      </c>
      <c r="U3701">
        <v>11</v>
      </c>
      <c r="V3701" s="51">
        <v>42309</v>
      </c>
      <c r="W3701" s="4">
        <v>2884.9200000000005</v>
      </c>
      <c r="X3701" s="52">
        <v>3316</v>
      </c>
    </row>
    <row r="3702" spans="2:24" x14ac:dyDescent="0.35">
      <c r="B3702" s="6" t="s">
        <v>7</v>
      </c>
      <c r="C3702" s="6" t="s">
        <v>49</v>
      </c>
      <c r="D3702" s="6" t="s">
        <v>11</v>
      </c>
      <c r="E3702" s="6" t="s">
        <v>27</v>
      </c>
      <c r="F3702" s="6" t="s">
        <v>31</v>
      </c>
      <c r="G3702" s="6">
        <v>2015</v>
      </c>
      <c r="H3702" s="6">
        <v>11</v>
      </c>
      <c r="I3702" s="10">
        <v>42309</v>
      </c>
      <c r="J3702" s="6">
        <v>4963</v>
      </c>
      <c r="K3702" s="51"/>
      <c r="O3702" t="s">
        <v>7</v>
      </c>
      <c r="P3702" t="s">
        <v>49</v>
      </c>
      <c r="Q3702" t="s">
        <v>11</v>
      </c>
      <c r="R3702" t="s">
        <v>27</v>
      </c>
      <c r="S3702" t="s">
        <v>31</v>
      </c>
      <c r="T3702">
        <v>2015</v>
      </c>
      <c r="U3702">
        <v>11</v>
      </c>
      <c r="V3702" s="51">
        <v>42309</v>
      </c>
      <c r="W3702" s="4">
        <v>4615.59</v>
      </c>
      <c r="X3702" s="52">
        <v>4963</v>
      </c>
    </row>
    <row r="3703" spans="2:24" x14ac:dyDescent="0.35">
      <c r="B3703" s="6" t="s">
        <v>7</v>
      </c>
      <c r="C3703" s="6" t="s">
        <v>43</v>
      </c>
      <c r="D3703" s="6" t="s">
        <v>10</v>
      </c>
      <c r="E3703" s="6" t="s">
        <v>27</v>
      </c>
      <c r="F3703" s="6" t="s">
        <v>33</v>
      </c>
      <c r="G3703" s="6">
        <v>2015</v>
      </c>
      <c r="H3703" s="6">
        <v>11</v>
      </c>
      <c r="I3703" s="10">
        <v>42309</v>
      </c>
      <c r="J3703" s="6">
        <v>3266</v>
      </c>
      <c r="K3703" s="51"/>
      <c r="O3703" t="s">
        <v>7</v>
      </c>
      <c r="P3703" t="s">
        <v>43</v>
      </c>
      <c r="Q3703" t="s">
        <v>10</v>
      </c>
      <c r="R3703" t="s">
        <v>27</v>
      </c>
      <c r="S3703" t="s">
        <v>33</v>
      </c>
      <c r="T3703">
        <v>2015</v>
      </c>
      <c r="U3703">
        <v>11</v>
      </c>
      <c r="V3703" s="51">
        <v>42309</v>
      </c>
      <c r="W3703" s="4">
        <v>2906.74</v>
      </c>
      <c r="X3703" s="52">
        <v>3266</v>
      </c>
    </row>
    <row r="3704" spans="2:24" x14ac:dyDescent="0.35">
      <c r="B3704" s="6" t="s">
        <v>7</v>
      </c>
      <c r="C3704" s="6" t="s">
        <v>32</v>
      </c>
      <c r="D3704" s="6" t="s">
        <v>8</v>
      </c>
      <c r="E3704" s="6" t="s">
        <v>0</v>
      </c>
      <c r="F3704" s="6" t="s">
        <v>45</v>
      </c>
      <c r="G3704" s="6">
        <v>2015</v>
      </c>
      <c r="H3704" s="6">
        <v>11</v>
      </c>
      <c r="I3704" s="10">
        <v>42309</v>
      </c>
      <c r="J3704" s="6">
        <v>4306</v>
      </c>
      <c r="K3704" s="51"/>
      <c r="O3704" t="s">
        <v>7</v>
      </c>
      <c r="P3704" t="s">
        <v>32</v>
      </c>
      <c r="Q3704" t="s">
        <v>8</v>
      </c>
      <c r="R3704" t="s">
        <v>0</v>
      </c>
      <c r="S3704" t="s">
        <v>45</v>
      </c>
      <c r="T3704">
        <v>2015</v>
      </c>
      <c r="U3704">
        <v>11</v>
      </c>
      <c r="V3704" s="51">
        <v>42309</v>
      </c>
      <c r="W3704" s="4">
        <v>3660.1000000000004</v>
      </c>
      <c r="X3704" s="52">
        <v>4306</v>
      </c>
    </row>
    <row r="3705" spans="2:24" x14ac:dyDescent="0.35">
      <c r="B3705" s="6" t="s">
        <v>7</v>
      </c>
      <c r="C3705" s="6" t="s">
        <v>48</v>
      </c>
      <c r="D3705" s="6" t="s">
        <v>9</v>
      </c>
      <c r="E3705" s="6" t="s">
        <v>23</v>
      </c>
      <c r="F3705" s="6" t="s">
        <v>39</v>
      </c>
      <c r="G3705" s="6">
        <v>2015</v>
      </c>
      <c r="H3705" s="6">
        <v>11</v>
      </c>
      <c r="I3705" s="10">
        <v>42309</v>
      </c>
      <c r="J3705" s="6">
        <v>1276</v>
      </c>
      <c r="K3705" s="51"/>
      <c r="O3705" t="s">
        <v>7</v>
      </c>
      <c r="P3705" t="s">
        <v>48</v>
      </c>
      <c r="Q3705" t="s">
        <v>9</v>
      </c>
      <c r="R3705" t="s">
        <v>23</v>
      </c>
      <c r="S3705" t="s">
        <v>39</v>
      </c>
      <c r="T3705">
        <v>2015</v>
      </c>
      <c r="U3705">
        <v>11</v>
      </c>
      <c r="V3705" s="51">
        <v>42309</v>
      </c>
      <c r="W3705" s="4">
        <v>1186.6799999999998</v>
      </c>
      <c r="X3705" s="52">
        <v>1276</v>
      </c>
    </row>
    <row r="3706" spans="2:24" x14ac:dyDescent="0.35">
      <c r="B3706" s="6" t="s">
        <v>7</v>
      </c>
      <c r="C3706" s="6" t="s">
        <v>49</v>
      </c>
      <c r="D3706" s="6" t="s">
        <v>11</v>
      </c>
      <c r="E3706" s="6" t="s">
        <v>0</v>
      </c>
      <c r="F3706" s="6" t="s">
        <v>26</v>
      </c>
      <c r="G3706" s="6">
        <v>2015</v>
      </c>
      <c r="H3706" s="6">
        <v>11</v>
      </c>
      <c r="I3706" s="10">
        <v>42309</v>
      </c>
      <c r="J3706" s="6">
        <v>3263</v>
      </c>
      <c r="K3706" s="51"/>
      <c r="O3706" t="s">
        <v>7</v>
      </c>
      <c r="P3706" t="s">
        <v>49</v>
      </c>
      <c r="Q3706" t="s">
        <v>11</v>
      </c>
      <c r="R3706" t="s">
        <v>0</v>
      </c>
      <c r="S3706" t="s">
        <v>26</v>
      </c>
      <c r="T3706">
        <v>2015</v>
      </c>
      <c r="U3706">
        <v>11</v>
      </c>
      <c r="V3706" s="51">
        <v>42309</v>
      </c>
      <c r="W3706" s="4">
        <v>2871.4399999999996</v>
      </c>
      <c r="X3706" s="52">
        <v>3263</v>
      </c>
    </row>
    <row r="3707" spans="2:24" x14ac:dyDescent="0.35">
      <c r="B3707" s="6" t="s">
        <v>12</v>
      </c>
      <c r="C3707" s="6" t="s">
        <v>34</v>
      </c>
      <c r="D3707" s="6" t="s">
        <v>35</v>
      </c>
      <c r="E3707" s="6" t="s">
        <v>27</v>
      </c>
      <c r="F3707" s="6" t="s">
        <v>28</v>
      </c>
      <c r="G3707" s="6">
        <v>2015</v>
      </c>
      <c r="H3707" s="6">
        <v>11</v>
      </c>
      <c r="I3707" s="10">
        <v>42309</v>
      </c>
      <c r="J3707" s="6">
        <v>3672</v>
      </c>
      <c r="K3707" s="51"/>
      <c r="O3707" t="s">
        <v>12</v>
      </c>
      <c r="P3707" t="s">
        <v>34</v>
      </c>
      <c r="Q3707" t="s">
        <v>35</v>
      </c>
      <c r="R3707" t="s">
        <v>27</v>
      </c>
      <c r="S3707" t="s">
        <v>28</v>
      </c>
      <c r="T3707">
        <v>2015</v>
      </c>
      <c r="U3707">
        <v>11</v>
      </c>
      <c r="V3707" s="51">
        <v>42309</v>
      </c>
      <c r="W3707" s="4">
        <v>3268.0799999999995</v>
      </c>
      <c r="X3707" s="52">
        <v>3672</v>
      </c>
    </row>
    <row r="3708" spans="2:24" x14ac:dyDescent="0.35">
      <c r="B3708" s="6" t="s">
        <v>14</v>
      </c>
      <c r="C3708" s="6" t="s">
        <v>37</v>
      </c>
      <c r="D3708" s="6" t="s">
        <v>38</v>
      </c>
      <c r="E3708" s="6" t="s">
        <v>27</v>
      </c>
      <c r="F3708" s="6" t="s">
        <v>33</v>
      </c>
      <c r="G3708" s="6">
        <v>2015</v>
      </c>
      <c r="H3708" s="6">
        <v>11</v>
      </c>
      <c r="I3708" s="10">
        <v>42309</v>
      </c>
      <c r="J3708" s="6">
        <v>3455</v>
      </c>
      <c r="K3708" s="51"/>
      <c r="O3708" t="s">
        <v>14</v>
      </c>
      <c r="P3708" t="s">
        <v>37</v>
      </c>
      <c r="Q3708" t="s">
        <v>38</v>
      </c>
      <c r="R3708" t="s">
        <v>27</v>
      </c>
      <c r="S3708" t="s">
        <v>33</v>
      </c>
      <c r="T3708">
        <v>2015</v>
      </c>
      <c r="U3708">
        <v>11</v>
      </c>
      <c r="V3708" s="51">
        <v>42309</v>
      </c>
      <c r="W3708" s="4">
        <v>3109.4999999999995</v>
      </c>
      <c r="X3708" s="52">
        <v>3455</v>
      </c>
    </row>
    <row r="3709" spans="2:24" x14ac:dyDescent="0.35">
      <c r="B3709" s="6" t="s">
        <v>12</v>
      </c>
      <c r="C3709" s="6" t="s">
        <v>44</v>
      </c>
      <c r="D3709" s="6" t="s">
        <v>13</v>
      </c>
      <c r="E3709" s="6" t="s">
        <v>23</v>
      </c>
      <c r="F3709" s="6" t="s">
        <v>24</v>
      </c>
      <c r="G3709" s="6">
        <v>2015</v>
      </c>
      <c r="H3709" s="6">
        <v>11</v>
      </c>
      <c r="I3709" s="10">
        <v>42309</v>
      </c>
      <c r="J3709" s="6">
        <v>1837</v>
      </c>
      <c r="K3709" s="51"/>
      <c r="O3709" t="s">
        <v>12</v>
      </c>
      <c r="P3709" t="s">
        <v>44</v>
      </c>
      <c r="Q3709" t="s">
        <v>13</v>
      </c>
      <c r="R3709" t="s">
        <v>23</v>
      </c>
      <c r="S3709" t="s">
        <v>24</v>
      </c>
      <c r="T3709">
        <v>2015</v>
      </c>
      <c r="U3709">
        <v>11</v>
      </c>
      <c r="V3709" s="51">
        <v>42309</v>
      </c>
      <c r="W3709" s="4">
        <v>1708.4099999999999</v>
      </c>
      <c r="X3709" s="52">
        <v>1837</v>
      </c>
    </row>
    <row r="3710" spans="2:24" x14ac:dyDescent="0.35">
      <c r="B3710" s="6" t="s">
        <v>14</v>
      </c>
      <c r="C3710" s="6" t="s">
        <v>46</v>
      </c>
      <c r="D3710" s="6" t="s">
        <v>47</v>
      </c>
      <c r="E3710" s="6" t="s">
        <v>0</v>
      </c>
      <c r="F3710" s="6" t="s">
        <v>42</v>
      </c>
      <c r="G3710" s="6">
        <v>2015</v>
      </c>
      <c r="H3710" s="6">
        <v>11</v>
      </c>
      <c r="I3710" s="10">
        <v>42309</v>
      </c>
      <c r="J3710" s="6">
        <v>4414</v>
      </c>
      <c r="K3710" s="51"/>
      <c r="O3710" t="s">
        <v>14</v>
      </c>
      <c r="P3710" t="s">
        <v>46</v>
      </c>
      <c r="Q3710" t="s">
        <v>47</v>
      </c>
      <c r="R3710" t="s">
        <v>0</v>
      </c>
      <c r="S3710" t="s">
        <v>42</v>
      </c>
      <c r="T3710">
        <v>2015</v>
      </c>
      <c r="U3710">
        <v>11</v>
      </c>
      <c r="V3710" s="51">
        <v>42309</v>
      </c>
      <c r="W3710" s="4">
        <v>3928.4599999999996</v>
      </c>
      <c r="X3710" s="52">
        <v>4414</v>
      </c>
    </row>
    <row r="3711" spans="2:24" x14ac:dyDescent="0.35">
      <c r="B3711" s="6" t="s">
        <v>7</v>
      </c>
      <c r="C3711" s="6" t="s">
        <v>48</v>
      </c>
      <c r="D3711" s="6" t="s">
        <v>9</v>
      </c>
      <c r="E3711" s="6" t="s">
        <v>27</v>
      </c>
      <c r="F3711" s="6" t="s">
        <v>33</v>
      </c>
      <c r="G3711" s="6">
        <v>2015</v>
      </c>
      <c r="H3711" s="6">
        <v>11</v>
      </c>
      <c r="I3711" s="10">
        <v>42309</v>
      </c>
      <c r="J3711" s="6">
        <v>3503</v>
      </c>
      <c r="K3711" s="51"/>
      <c r="O3711" t="s">
        <v>7</v>
      </c>
      <c r="P3711" t="s">
        <v>48</v>
      </c>
      <c r="Q3711" t="s">
        <v>9</v>
      </c>
      <c r="R3711" t="s">
        <v>27</v>
      </c>
      <c r="S3711" t="s">
        <v>33</v>
      </c>
      <c r="T3711">
        <v>2015</v>
      </c>
      <c r="U3711">
        <v>11</v>
      </c>
      <c r="V3711" s="51">
        <v>42309</v>
      </c>
      <c r="W3711" s="4">
        <v>3152.7</v>
      </c>
      <c r="X3711" s="52">
        <v>3503</v>
      </c>
    </row>
    <row r="3712" spans="2:24" x14ac:dyDescent="0.35">
      <c r="B3712" s="6" t="s">
        <v>7</v>
      </c>
      <c r="C3712" s="6" t="s">
        <v>49</v>
      </c>
      <c r="D3712" s="6" t="s">
        <v>11</v>
      </c>
      <c r="E3712" s="6" t="s">
        <v>23</v>
      </c>
      <c r="F3712" s="6" t="s">
        <v>24</v>
      </c>
      <c r="G3712" s="6">
        <v>2015</v>
      </c>
      <c r="H3712" s="6">
        <v>11</v>
      </c>
      <c r="I3712" s="10">
        <v>42309</v>
      </c>
      <c r="J3712" s="6">
        <v>1503</v>
      </c>
      <c r="K3712" s="51"/>
      <c r="O3712" t="s">
        <v>7</v>
      </c>
      <c r="P3712" t="s">
        <v>49</v>
      </c>
      <c r="Q3712" t="s">
        <v>11</v>
      </c>
      <c r="R3712" t="s">
        <v>23</v>
      </c>
      <c r="S3712" t="s">
        <v>24</v>
      </c>
      <c r="T3712">
        <v>2015</v>
      </c>
      <c r="U3712">
        <v>11</v>
      </c>
      <c r="V3712" s="51">
        <v>42309</v>
      </c>
      <c r="W3712" s="4">
        <v>1292.5800000000002</v>
      </c>
      <c r="X3712" s="52">
        <v>1503</v>
      </c>
    </row>
    <row r="3713" spans="2:24" x14ac:dyDescent="0.35">
      <c r="B3713" s="6" t="s">
        <v>3</v>
      </c>
      <c r="C3713" s="6" t="s">
        <v>22</v>
      </c>
      <c r="D3713" s="6" t="s">
        <v>5</v>
      </c>
      <c r="E3713" s="6" t="s">
        <v>23</v>
      </c>
      <c r="F3713" s="6" t="s">
        <v>24</v>
      </c>
      <c r="G3713" s="6">
        <v>2015</v>
      </c>
      <c r="H3713" s="6">
        <v>12</v>
      </c>
      <c r="I3713" s="10">
        <v>42339</v>
      </c>
      <c r="J3713" s="6">
        <v>2187</v>
      </c>
      <c r="K3713" s="51"/>
      <c r="O3713" t="s">
        <v>3</v>
      </c>
      <c r="P3713" t="s">
        <v>22</v>
      </c>
      <c r="Q3713" t="s">
        <v>5</v>
      </c>
      <c r="R3713" t="s">
        <v>23</v>
      </c>
      <c r="S3713" t="s">
        <v>24</v>
      </c>
      <c r="T3713">
        <v>2015</v>
      </c>
      <c r="U3713">
        <v>12</v>
      </c>
      <c r="V3713" s="51">
        <v>42339</v>
      </c>
      <c r="W3713" s="4">
        <v>1990.1699999999998</v>
      </c>
      <c r="X3713" s="52">
        <v>2187</v>
      </c>
    </row>
    <row r="3714" spans="2:24" x14ac:dyDescent="0.35">
      <c r="B3714" s="6" t="s">
        <v>3</v>
      </c>
      <c r="C3714" s="6" t="s">
        <v>25</v>
      </c>
      <c r="D3714" s="6" t="s">
        <v>4</v>
      </c>
      <c r="E3714" s="6" t="s">
        <v>23</v>
      </c>
      <c r="F3714" s="6" t="s">
        <v>24</v>
      </c>
      <c r="G3714" s="6">
        <v>2015</v>
      </c>
      <c r="H3714" s="6">
        <v>12</v>
      </c>
      <c r="I3714" s="10">
        <v>42339</v>
      </c>
      <c r="J3714" s="6">
        <v>2125</v>
      </c>
      <c r="K3714" s="51"/>
      <c r="O3714" t="s">
        <v>3</v>
      </c>
      <c r="P3714" t="s">
        <v>25</v>
      </c>
      <c r="Q3714" t="s">
        <v>4</v>
      </c>
      <c r="R3714" t="s">
        <v>23</v>
      </c>
      <c r="S3714" t="s">
        <v>24</v>
      </c>
      <c r="T3714">
        <v>2015</v>
      </c>
      <c r="U3714">
        <v>12</v>
      </c>
      <c r="V3714" s="51">
        <v>42339</v>
      </c>
      <c r="W3714" s="4">
        <v>1848.7500000000002</v>
      </c>
      <c r="X3714" s="52">
        <v>2125</v>
      </c>
    </row>
    <row r="3715" spans="2:24" x14ac:dyDescent="0.35">
      <c r="B3715" s="6" t="s">
        <v>3</v>
      </c>
      <c r="C3715" s="6" t="s">
        <v>25</v>
      </c>
      <c r="D3715" s="6" t="s">
        <v>4</v>
      </c>
      <c r="E3715" s="6" t="s">
        <v>0</v>
      </c>
      <c r="F3715" s="6" t="s">
        <v>26</v>
      </c>
      <c r="G3715" s="6">
        <v>2015</v>
      </c>
      <c r="H3715" s="6">
        <v>12</v>
      </c>
      <c r="I3715" s="10">
        <v>42339</v>
      </c>
      <c r="J3715" s="6">
        <v>4055</v>
      </c>
      <c r="K3715" s="51"/>
      <c r="O3715" t="s">
        <v>3</v>
      </c>
      <c r="P3715" t="s">
        <v>25</v>
      </c>
      <c r="Q3715" t="s">
        <v>4</v>
      </c>
      <c r="R3715" t="s">
        <v>0</v>
      </c>
      <c r="S3715" t="s">
        <v>26</v>
      </c>
      <c r="T3715">
        <v>2015</v>
      </c>
      <c r="U3715">
        <v>12</v>
      </c>
      <c r="V3715" s="51">
        <v>42339</v>
      </c>
      <c r="W3715" s="4">
        <v>3690.0499999999997</v>
      </c>
      <c r="X3715" s="52">
        <v>4055</v>
      </c>
    </row>
    <row r="3716" spans="2:24" x14ac:dyDescent="0.35">
      <c r="B3716" s="6" t="s">
        <v>3</v>
      </c>
      <c r="C3716" s="6" t="s">
        <v>22</v>
      </c>
      <c r="D3716" s="6" t="s">
        <v>5</v>
      </c>
      <c r="E3716" s="6" t="s">
        <v>0</v>
      </c>
      <c r="F3716" s="6" t="s">
        <v>26</v>
      </c>
      <c r="G3716" s="6">
        <v>2015</v>
      </c>
      <c r="H3716" s="6">
        <v>12</v>
      </c>
      <c r="I3716" s="10">
        <v>42339</v>
      </c>
      <c r="J3716" s="6">
        <v>3256</v>
      </c>
      <c r="K3716" s="51"/>
      <c r="O3716" t="s">
        <v>3</v>
      </c>
      <c r="P3716" t="s">
        <v>22</v>
      </c>
      <c r="Q3716" t="s">
        <v>5</v>
      </c>
      <c r="R3716" t="s">
        <v>0</v>
      </c>
      <c r="S3716" t="s">
        <v>26</v>
      </c>
      <c r="T3716">
        <v>2015</v>
      </c>
      <c r="U3716">
        <v>12</v>
      </c>
      <c r="V3716" s="51">
        <v>42339</v>
      </c>
      <c r="W3716" s="4">
        <v>2800.1600000000003</v>
      </c>
      <c r="X3716" s="52">
        <v>3256</v>
      </c>
    </row>
    <row r="3717" spans="2:24" x14ac:dyDescent="0.35">
      <c r="B3717" s="6" t="s">
        <v>3</v>
      </c>
      <c r="C3717" s="6" t="s">
        <v>22</v>
      </c>
      <c r="D3717" s="6" t="s">
        <v>5</v>
      </c>
      <c r="E3717" s="6" t="s">
        <v>27</v>
      </c>
      <c r="F3717" s="6" t="s">
        <v>28</v>
      </c>
      <c r="G3717" s="6">
        <v>2015</v>
      </c>
      <c r="H3717" s="6">
        <v>12</v>
      </c>
      <c r="I3717" s="10">
        <v>42339</v>
      </c>
      <c r="J3717" s="6">
        <v>4542</v>
      </c>
      <c r="K3717" s="51"/>
      <c r="O3717" t="s">
        <v>3</v>
      </c>
      <c r="P3717" t="s">
        <v>22</v>
      </c>
      <c r="Q3717" t="s">
        <v>5</v>
      </c>
      <c r="R3717" t="s">
        <v>27</v>
      </c>
      <c r="S3717" t="s">
        <v>28</v>
      </c>
      <c r="T3717">
        <v>2015</v>
      </c>
      <c r="U3717">
        <v>12</v>
      </c>
      <c r="V3717" s="51">
        <v>42339</v>
      </c>
      <c r="W3717" s="4">
        <v>3860.7000000000003</v>
      </c>
      <c r="X3717" s="52">
        <v>4542</v>
      </c>
    </row>
    <row r="3718" spans="2:24" x14ac:dyDescent="0.35">
      <c r="B3718" s="6" t="s">
        <v>6</v>
      </c>
      <c r="C3718" s="6" t="s">
        <v>29</v>
      </c>
      <c r="D3718" s="6" t="s">
        <v>30</v>
      </c>
      <c r="E3718" s="6" t="s">
        <v>27</v>
      </c>
      <c r="F3718" s="6" t="s">
        <v>31</v>
      </c>
      <c r="G3718" s="6">
        <v>2015</v>
      </c>
      <c r="H3718" s="6">
        <v>12</v>
      </c>
      <c r="I3718" s="10">
        <v>42339</v>
      </c>
      <c r="J3718" s="6">
        <v>5060</v>
      </c>
      <c r="K3718" s="51"/>
      <c r="O3718" t="s">
        <v>6</v>
      </c>
      <c r="P3718" t="s">
        <v>29</v>
      </c>
      <c r="Q3718" t="s">
        <v>30</v>
      </c>
      <c r="R3718" t="s">
        <v>27</v>
      </c>
      <c r="S3718" t="s">
        <v>31</v>
      </c>
      <c r="T3718">
        <v>2015</v>
      </c>
      <c r="U3718">
        <v>12</v>
      </c>
      <c r="V3718" s="51">
        <v>42339</v>
      </c>
      <c r="W3718" s="4">
        <v>4402.2000000000007</v>
      </c>
      <c r="X3718" s="52">
        <v>5060</v>
      </c>
    </row>
    <row r="3719" spans="2:24" x14ac:dyDescent="0.35">
      <c r="B3719" s="6" t="s">
        <v>7</v>
      </c>
      <c r="C3719" s="6" t="s">
        <v>32</v>
      </c>
      <c r="D3719" s="6" t="s">
        <v>8</v>
      </c>
      <c r="E3719" s="6" t="s">
        <v>27</v>
      </c>
      <c r="F3719" s="6" t="s">
        <v>33</v>
      </c>
      <c r="G3719" s="6">
        <v>2015</v>
      </c>
      <c r="H3719" s="6">
        <v>12</v>
      </c>
      <c r="I3719" s="10">
        <v>42339</v>
      </c>
      <c r="J3719" s="6">
        <v>3284</v>
      </c>
      <c r="K3719" s="51"/>
      <c r="O3719" t="s">
        <v>7</v>
      </c>
      <c r="P3719" t="s">
        <v>32</v>
      </c>
      <c r="Q3719" t="s">
        <v>8</v>
      </c>
      <c r="R3719" t="s">
        <v>27</v>
      </c>
      <c r="S3719" t="s">
        <v>33</v>
      </c>
      <c r="T3719">
        <v>2015</v>
      </c>
      <c r="U3719">
        <v>12</v>
      </c>
      <c r="V3719" s="51">
        <v>42339</v>
      </c>
      <c r="W3719" s="4">
        <v>2988.4399999999996</v>
      </c>
      <c r="X3719" s="52">
        <v>3284</v>
      </c>
    </row>
    <row r="3720" spans="2:24" x14ac:dyDescent="0.35">
      <c r="B3720" s="6" t="s">
        <v>12</v>
      </c>
      <c r="C3720" s="6" t="s">
        <v>34</v>
      </c>
      <c r="D3720" s="6" t="s">
        <v>35</v>
      </c>
      <c r="E3720" s="6" t="s">
        <v>23</v>
      </c>
      <c r="F3720" s="6" t="s">
        <v>36</v>
      </c>
      <c r="G3720" s="6">
        <v>2015</v>
      </c>
      <c r="H3720" s="6">
        <v>12</v>
      </c>
      <c r="I3720" s="10">
        <v>42339</v>
      </c>
      <c r="J3720" s="6">
        <v>2865</v>
      </c>
      <c r="K3720" s="51"/>
      <c r="O3720" t="s">
        <v>12</v>
      </c>
      <c r="P3720" t="s">
        <v>34</v>
      </c>
      <c r="Q3720" t="s">
        <v>35</v>
      </c>
      <c r="R3720" t="s">
        <v>23</v>
      </c>
      <c r="S3720" t="s">
        <v>36</v>
      </c>
      <c r="T3720">
        <v>2015</v>
      </c>
      <c r="U3720">
        <v>12</v>
      </c>
      <c r="V3720" s="51">
        <v>42339</v>
      </c>
      <c r="W3720" s="4">
        <v>2607.1499999999996</v>
      </c>
      <c r="X3720" s="52">
        <v>2865</v>
      </c>
    </row>
    <row r="3721" spans="2:24" x14ac:dyDescent="0.35">
      <c r="B3721" s="6" t="s">
        <v>14</v>
      </c>
      <c r="C3721" s="6" t="s">
        <v>37</v>
      </c>
      <c r="D3721" s="6" t="s">
        <v>38</v>
      </c>
      <c r="E3721" s="6" t="s">
        <v>23</v>
      </c>
      <c r="F3721" s="6" t="s">
        <v>24</v>
      </c>
      <c r="G3721" s="6">
        <v>2015</v>
      </c>
      <c r="H3721" s="6">
        <v>12</v>
      </c>
      <c r="I3721" s="10">
        <v>42339</v>
      </c>
      <c r="J3721" s="6">
        <v>2776</v>
      </c>
      <c r="K3721" s="51"/>
      <c r="O3721" t="s">
        <v>14</v>
      </c>
      <c r="P3721" t="s">
        <v>37</v>
      </c>
      <c r="Q3721" t="s">
        <v>38</v>
      </c>
      <c r="R3721" t="s">
        <v>23</v>
      </c>
      <c r="S3721" t="s">
        <v>24</v>
      </c>
      <c r="T3721">
        <v>2015</v>
      </c>
      <c r="U3721">
        <v>12</v>
      </c>
      <c r="V3721" s="51">
        <v>42339</v>
      </c>
      <c r="W3721" s="4">
        <v>2387.36</v>
      </c>
      <c r="X3721" s="52">
        <v>2776</v>
      </c>
    </row>
    <row r="3722" spans="2:24" x14ac:dyDescent="0.35">
      <c r="B3722" s="6" t="s">
        <v>3</v>
      </c>
      <c r="C3722" s="6" t="s">
        <v>25</v>
      </c>
      <c r="D3722" s="6" t="s">
        <v>4</v>
      </c>
      <c r="E3722" s="6" t="s">
        <v>23</v>
      </c>
      <c r="F3722" s="6" t="s">
        <v>39</v>
      </c>
      <c r="G3722" s="6">
        <v>2015</v>
      </c>
      <c r="H3722" s="6">
        <v>12</v>
      </c>
      <c r="I3722" s="10">
        <v>42339</v>
      </c>
      <c r="J3722" s="6">
        <v>1839</v>
      </c>
      <c r="K3722" s="51"/>
      <c r="O3722" t="s">
        <v>3</v>
      </c>
      <c r="P3722" t="s">
        <v>25</v>
      </c>
      <c r="Q3722" t="s">
        <v>4</v>
      </c>
      <c r="R3722" t="s">
        <v>23</v>
      </c>
      <c r="S3722" t="s">
        <v>39</v>
      </c>
      <c r="T3722">
        <v>2015</v>
      </c>
      <c r="U3722">
        <v>12</v>
      </c>
      <c r="V3722" s="51">
        <v>42339</v>
      </c>
      <c r="W3722" s="4">
        <v>1636.7099999999998</v>
      </c>
      <c r="X3722" s="52">
        <v>1839</v>
      </c>
    </row>
    <row r="3723" spans="2:24" x14ac:dyDescent="0.35">
      <c r="B3723" s="6" t="s">
        <v>6</v>
      </c>
      <c r="C3723" s="6" t="s">
        <v>40</v>
      </c>
      <c r="D3723" s="6" t="s">
        <v>41</v>
      </c>
      <c r="E3723" s="6" t="s">
        <v>0</v>
      </c>
      <c r="F3723" s="6" t="s">
        <v>42</v>
      </c>
      <c r="G3723" s="6">
        <v>2015</v>
      </c>
      <c r="H3723" s="6">
        <v>12</v>
      </c>
      <c r="I3723" s="10">
        <v>42339</v>
      </c>
      <c r="J3723" s="6">
        <v>5460</v>
      </c>
      <c r="K3723" s="51"/>
      <c r="O3723" t="s">
        <v>6</v>
      </c>
      <c r="P3723" t="s">
        <v>40</v>
      </c>
      <c r="Q3723" t="s">
        <v>41</v>
      </c>
      <c r="R3723" t="s">
        <v>0</v>
      </c>
      <c r="S3723" t="s">
        <v>42</v>
      </c>
      <c r="T3723">
        <v>2015</v>
      </c>
      <c r="U3723">
        <v>12</v>
      </c>
      <c r="V3723" s="51">
        <v>42339</v>
      </c>
      <c r="W3723" s="4">
        <v>4804.7999999999993</v>
      </c>
      <c r="X3723" s="52">
        <v>5460</v>
      </c>
    </row>
    <row r="3724" spans="2:24" x14ac:dyDescent="0.35">
      <c r="B3724" s="6" t="s">
        <v>7</v>
      </c>
      <c r="C3724" s="6" t="s">
        <v>43</v>
      </c>
      <c r="D3724" s="6" t="s">
        <v>10</v>
      </c>
      <c r="E3724" s="6" t="s">
        <v>0</v>
      </c>
      <c r="F3724" s="6" t="s">
        <v>26</v>
      </c>
      <c r="G3724" s="6">
        <v>2015</v>
      </c>
      <c r="H3724" s="6">
        <v>12</v>
      </c>
      <c r="I3724" s="10">
        <v>42339</v>
      </c>
      <c r="J3724" s="6">
        <v>3215</v>
      </c>
      <c r="K3724" s="51"/>
      <c r="O3724" t="s">
        <v>7</v>
      </c>
      <c r="P3724" t="s">
        <v>43</v>
      </c>
      <c r="Q3724" t="s">
        <v>10</v>
      </c>
      <c r="R3724" t="s">
        <v>0</v>
      </c>
      <c r="S3724" t="s">
        <v>26</v>
      </c>
      <c r="T3724">
        <v>2015</v>
      </c>
      <c r="U3724">
        <v>12</v>
      </c>
      <c r="V3724" s="51">
        <v>42339</v>
      </c>
      <c r="W3724" s="4">
        <v>2989.95</v>
      </c>
      <c r="X3724" s="52">
        <v>3215</v>
      </c>
    </row>
    <row r="3725" spans="2:24" x14ac:dyDescent="0.35">
      <c r="B3725" s="6" t="s">
        <v>12</v>
      </c>
      <c r="C3725" s="6" t="s">
        <v>44</v>
      </c>
      <c r="D3725" s="6" t="s">
        <v>13</v>
      </c>
      <c r="E3725" s="6" t="s">
        <v>0</v>
      </c>
      <c r="F3725" s="6" t="s">
        <v>45</v>
      </c>
      <c r="G3725" s="6">
        <v>2015</v>
      </c>
      <c r="H3725" s="6">
        <v>12</v>
      </c>
      <c r="I3725" s="10">
        <v>42339</v>
      </c>
      <c r="J3725" s="6">
        <v>4319</v>
      </c>
      <c r="K3725" s="51"/>
      <c r="O3725" t="s">
        <v>12</v>
      </c>
      <c r="P3725" t="s">
        <v>44</v>
      </c>
      <c r="Q3725" t="s">
        <v>13</v>
      </c>
      <c r="R3725" t="s">
        <v>0</v>
      </c>
      <c r="S3725" t="s">
        <v>45</v>
      </c>
      <c r="T3725">
        <v>2015</v>
      </c>
      <c r="U3725">
        <v>12</v>
      </c>
      <c r="V3725" s="51">
        <v>42339</v>
      </c>
      <c r="W3725" s="4">
        <v>3757.5300000000007</v>
      </c>
      <c r="X3725" s="52">
        <v>4319</v>
      </c>
    </row>
    <row r="3726" spans="2:24" x14ac:dyDescent="0.35">
      <c r="B3726" s="6" t="s">
        <v>14</v>
      </c>
      <c r="C3726" s="6" t="s">
        <v>46</v>
      </c>
      <c r="D3726" s="6" t="s">
        <v>47</v>
      </c>
      <c r="E3726" s="6" t="s">
        <v>27</v>
      </c>
      <c r="F3726" s="6" t="s">
        <v>28</v>
      </c>
      <c r="G3726" s="6">
        <v>2015</v>
      </c>
      <c r="H3726" s="6">
        <v>12</v>
      </c>
      <c r="I3726" s="10">
        <v>42339</v>
      </c>
      <c r="J3726" s="6">
        <v>3914</v>
      </c>
      <c r="K3726" s="51"/>
      <c r="O3726" t="s">
        <v>14</v>
      </c>
      <c r="P3726" t="s">
        <v>46</v>
      </c>
      <c r="Q3726" t="s">
        <v>47</v>
      </c>
      <c r="R3726" t="s">
        <v>27</v>
      </c>
      <c r="S3726" t="s">
        <v>28</v>
      </c>
      <c r="T3726">
        <v>2015</v>
      </c>
      <c r="U3726">
        <v>12</v>
      </c>
      <c r="V3726" s="51">
        <v>42339</v>
      </c>
      <c r="W3726" s="4">
        <v>3600.8799999999997</v>
      </c>
      <c r="X3726" s="52">
        <v>3914</v>
      </c>
    </row>
    <row r="3727" spans="2:24" x14ac:dyDescent="0.35">
      <c r="B3727" s="6" t="s">
        <v>3</v>
      </c>
      <c r="C3727" s="6" t="s">
        <v>22</v>
      </c>
      <c r="D3727" s="6" t="s">
        <v>5</v>
      </c>
      <c r="E3727" s="6" t="s">
        <v>27</v>
      </c>
      <c r="F3727" s="6" t="s">
        <v>31</v>
      </c>
      <c r="G3727" s="6">
        <v>2015</v>
      </c>
      <c r="H3727" s="6">
        <v>12</v>
      </c>
      <c r="I3727" s="10">
        <v>42339</v>
      </c>
      <c r="J3727" s="6">
        <v>4608</v>
      </c>
      <c r="K3727" s="51"/>
      <c r="O3727" t="s">
        <v>3</v>
      </c>
      <c r="P3727" t="s">
        <v>22</v>
      </c>
      <c r="Q3727" t="s">
        <v>5</v>
      </c>
      <c r="R3727" t="s">
        <v>27</v>
      </c>
      <c r="S3727" t="s">
        <v>31</v>
      </c>
      <c r="T3727">
        <v>2015</v>
      </c>
      <c r="U3727">
        <v>12</v>
      </c>
      <c r="V3727" s="51">
        <v>42339</v>
      </c>
      <c r="W3727" s="4">
        <v>4331.5199999999995</v>
      </c>
      <c r="X3727" s="52">
        <v>4608</v>
      </c>
    </row>
    <row r="3728" spans="2:24" x14ac:dyDescent="0.35">
      <c r="B3728" s="6" t="s">
        <v>6</v>
      </c>
      <c r="C3728" s="6" t="s">
        <v>29</v>
      </c>
      <c r="D3728" s="6" t="s">
        <v>30</v>
      </c>
      <c r="E3728" s="6" t="s">
        <v>27</v>
      </c>
      <c r="F3728" s="6" t="s">
        <v>33</v>
      </c>
      <c r="G3728" s="6">
        <v>2015</v>
      </c>
      <c r="H3728" s="6">
        <v>12</v>
      </c>
      <c r="I3728" s="10">
        <v>42339</v>
      </c>
      <c r="J3728" s="6">
        <v>2930</v>
      </c>
      <c r="K3728" s="51"/>
      <c r="O3728" t="s">
        <v>6</v>
      </c>
      <c r="P3728" t="s">
        <v>29</v>
      </c>
      <c r="Q3728" t="s">
        <v>30</v>
      </c>
      <c r="R3728" t="s">
        <v>27</v>
      </c>
      <c r="S3728" t="s">
        <v>33</v>
      </c>
      <c r="T3728">
        <v>2015</v>
      </c>
      <c r="U3728">
        <v>12</v>
      </c>
      <c r="V3728" s="51">
        <v>42339</v>
      </c>
      <c r="W3728" s="4">
        <v>2549.1000000000004</v>
      </c>
      <c r="X3728" s="52">
        <v>2930</v>
      </c>
    </row>
    <row r="3729" spans="2:24" x14ac:dyDescent="0.35">
      <c r="B3729" s="6" t="s">
        <v>7</v>
      </c>
      <c r="C3729" s="6" t="s">
        <v>32</v>
      </c>
      <c r="D3729" s="6" t="s">
        <v>8</v>
      </c>
      <c r="E3729" s="6" t="s">
        <v>23</v>
      </c>
      <c r="F3729" s="6" t="s">
        <v>36</v>
      </c>
      <c r="G3729" s="6">
        <v>2015</v>
      </c>
      <c r="H3729" s="6">
        <v>12</v>
      </c>
      <c r="I3729" s="10">
        <v>42339</v>
      </c>
      <c r="J3729" s="6">
        <v>2154</v>
      </c>
      <c r="K3729" s="51"/>
      <c r="O3729" t="s">
        <v>7</v>
      </c>
      <c r="P3729" t="s">
        <v>32</v>
      </c>
      <c r="Q3729" t="s">
        <v>8</v>
      </c>
      <c r="R3729" t="s">
        <v>23</v>
      </c>
      <c r="S3729" t="s">
        <v>36</v>
      </c>
      <c r="T3729">
        <v>2015</v>
      </c>
      <c r="U3729">
        <v>12</v>
      </c>
      <c r="V3729" s="51">
        <v>42339</v>
      </c>
      <c r="W3729" s="4">
        <v>2024.7599999999998</v>
      </c>
      <c r="X3729" s="52">
        <v>2154</v>
      </c>
    </row>
    <row r="3730" spans="2:24" x14ac:dyDescent="0.35">
      <c r="B3730" s="6" t="s">
        <v>12</v>
      </c>
      <c r="C3730" s="6" t="s">
        <v>34</v>
      </c>
      <c r="D3730" s="6" t="s">
        <v>35</v>
      </c>
      <c r="E3730" s="6" t="s">
        <v>23</v>
      </c>
      <c r="F3730" s="6" t="s">
        <v>24</v>
      </c>
      <c r="G3730" s="6">
        <v>2015</v>
      </c>
      <c r="H3730" s="6">
        <v>12</v>
      </c>
      <c r="I3730" s="10">
        <v>42339</v>
      </c>
      <c r="J3730" s="6">
        <v>1586</v>
      </c>
      <c r="K3730" s="51"/>
      <c r="O3730" t="s">
        <v>12</v>
      </c>
      <c r="P3730" t="s">
        <v>34</v>
      </c>
      <c r="Q3730" t="s">
        <v>35</v>
      </c>
      <c r="R3730" t="s">
        <v>23</v>
      </c>
      <c r="S3730" t="s">
        <v>24</v>
      </c>
      <c r="T3730">
        <v>2015</v>
      </c>
      <c r="U3730">
        <v>12</v>
      </c>
      <c r="V3730" s="51">
        <v>42339</v>
      </c>
      <c r="W3730" s="4">
        <v>1348.1000000000001</v>
      </c>
      <c r="X3730" s="52">
        <v>1586</v>
      </c>
    </row>
    <row r="3731" spans="2:24" x14ac:dyDescent="0.35">
      <c r="B3731" s="6" t="s">
        <v>14</v>
      </c>
      <c r="C3731" s="6" t="s">
        <v>37</v>
      </c>
      <c r="D3731" s="6" t="s">
        <v>38</v>
      </c>
      <c r="E3731" s="6" t="s">
        <v>23</v>
      </c>
      <c r="F3731" s="6" t="s">
        <v>39</v>
      </c>
      <c r="G3731" s="6">
        <v>2015</v>
      </c>
      <c r="H3731" s="6">
        <v>12</v>
      </c>
      <c r="I3731" s="10">
        <v>42339</v>
      </c>
      <c r="J3731" s="6">
        <v>2878</v>
      </c>
      <c r="K3731" s="51"/>
      <c r="O3731" t="s">
        <v>14</v>
      </c>
      <c r="P3731" t="s">
        <v>37</v>
      </c>
      <c r="Q3731" t="s">
        <v>38</v>
      </c>
      <c r="R3731" t="s">
        <v>23</v>
      </c>
      <c r="S3731" t="s">
        <v>39</v>
      </c>
      <c r="T3731">
        <v>2015</v>
      </c>
      <c r="U3731">
        <v>12</v>
      </c>
      <c r="V3731" s="51">
        <v>42339</v>
      </c>
      <c r="W3731" s="4">
        <v>2618.9799999999996</v>
      </c>
      <c r="X3731" s="52">
        <v>2878</v>
      </c>
    </row>
    <row r="3732" spans="2:24" x14ac:dyDescent="0.35">
      <c r="B3732" s="6" t="s">
        <v>3</v>
      </c>
      <c r="C3732" s="6" t="s">
        <v>25</v>
      </c>
      <c r="D3732" s="6" t="s">
        <v>4</v>
      </c>
      <c r="E3732" s="6" t="s">
        <v>0</v>
      </c>
      <c r="F3732" s="6" t="s">
        <v>42</v>
      </c>
      <c r="G3732" s="6">
        <v>2015</v>
      </c>
      <c r="H3732" s="6">
        <v>12</v>
      </c>
      <c r="I3732" s="10">
        <v>42339</v>
      </c>
      <c r="J3732" s="6">
        <v>4400</v>
      </c>
      <c r="K3732" s="51"/>
      <c r="O3732" t="s">
        <v>3</v>
      </c>
      <c r="P3732" t="s">
        <v>25</v>
      </c>
      <c r="Q3732" t="s">
        <v>4</v>
      </c>
      <c r="R3732" t="s">
        <v>0</v>
      </c>
      <c r="S3732" t="s">
        <v>42</v>
      </c>
      <c r="T3732">
        <v>2015</v>
      </c>
      <c r="U3732">
        <v>12</v>
      </c>
      <c r="V3732" s="51">
        <v>42339</v>
      </c>
      <c r="W3732" s="4">
        <v>3871.9999999999995</v>
      </c>
      <c r="X3732" s="52">
        <v>4400</v>
      </c>
    </row>
    <row r="3733" spans="2:24" x14ac:dyDescent="0.35">
      <c r="B3733" s="6" t="s">
        <v>6</v>
      </c>
      <c r="C3733" s="6" t="s">
        <v>40</v>
      </c>
      <c r="D3733" s="6" t="s">
        <v>41</v>
      </c>
      <c r="E3733" s="6" t="s">
        <v>0</v>
      </c>
      <c r="F3733" s="6" t="s">
        <v>26</v>
      </c>
      <c r="G3733" s="6">
        <v>2015</v>
      </c>
      <c r="H3733" s="6">
        <v>12</v>
      </c>
      <c r="I3733" s="10">
        <v>42339</v>
      </c>
      <c r="J3733" s="6">
        <v>4948</v>
      </c>
      <c r="K3733" s="51"/>
      <c r="O3733" t="s">
        <v>6</v>
      </c>
      <c r="P3733" t="s">
        <v>40</v>
      </c>
      <c r="Q3733" t="s">
        <v>41</v>
      </c>
      <c r="R3733" t="s">
        <v>0</v>
      </c>
      <c r="S3733" t="s">
        <v>26</v>
      </c>
      <c r="T3733">
        <v>2015</v>
      </c>
      <c r="U3733">
        <v>12</v>
      </c>
      <c r="V3733" s="51">
        <v>42339</v>
      </c>
      <c r="W3733" s="4">
        <v>4304.76</v>
      </c>
      <c r="X3733" s="52">
        <v>4948</v>
      </c>
    </row>
    <row r="3734" spans="2:24" x14ac:dyDescent="0.35">
      <c r="B3734" s="6" t="s">
        <v>7</v>
      </c>
      <c r="C3734" s="6" t="s">
        <v>43</v>
      </c>
      <c r="D3734" s="6" t="s">
        <v>10</v>
      </c>
      <c r="E3734" s="6" t="s">
        <v>0</v>
      </c>
      <c r="F3734" s="6" t="s">
        <v>45</v>
      </c>
      <c r="G3734" s="6">
        <v>2015</v>
      </c>
      <c r="H3734" s="6">
        <v>12</v>
      </c>
      <c r="I3734" s="10">
        <v>42339</v>
      </c>
      <c r="J3734" s="6">
        <v>4196</v>
      </c>
      <c r="K3734" s="51"/>
      <c r="O3734" t="s">
        <v>7</v>
      </c>
      <c r="P3734" t="s">
        <v>43</v>
      </c>
      <c r="Q3734" t="s">
        <v>10</v>
      </c>
      <c r="R3734" t="s">
        <v>0</v>
      </c>
      <c r="S3734" t="s">
        <v>45</v>
      </c>
      <c r="T3734">
        <v>2015</v>
      </c>
      <c r="U3734">
        <v>12</v>
      </c>
      <c r="V3734" s="51">
        <v>42339</v>
      </c>
      <c r="W3734" s="4">
        <v>3566.6000000000004</v>
      </c>
      <c r="X3734" s="52">
        <v>4196</v>
      </c>
    </row>
    <row r="3735" spans="2:24" x14ac:dyDescent="0.35">
      <c r="B3735" s="6" t="s">
        <v>12</v>
      </c>
      <c r="C3735" s="6" t="s">
        <v>44</v>
      </c>
      <c r="D3735" s="6" t="s">
        <v>13</v>
      </c>
      <c r="E3735" s="6" t="s">
        <v>27</v>
      </c>
      <c r="F3735" s="6" t="s">
        <v>28</v>
      </c>
      <c r="G3735" s="6">
        <v>2015</v>
      </c>
      <c r="H3735" s="6">
        <v>12</v>
      </c>
      <c r="I3735" s="10">
        <v>42339</v>
      </c>
      <c r="J3735" s="6">
        <v>5097</v>
      </c>
      <c r="K3735" s="51"/>
      <c r="O3735" t="s">
        <v>12</v>
      </c>
      <c r="P3735" t="s">
        <v>44</v>
      </c>
      <c r="Q3735" t="s">
        <v>13</v>
      </c>
      <c r="R3735" t="s">
        <v>27</v>
      </c>
      <c r="S3735" t="s">
        <v>28</v>
      </c>
      <c r="T3735">
        <v>2015</v>
      </c>
      <c r="U3735">
        <v>12</v>
      </c>
      <c r="V3735" s="51">
        <v>42339</v>
      </c>
      <c r="W3735" s="4">
        <v>4434.3900000000003</v>
      </c>
      <c r="X3735" s="52">
        <v>5097</v>
      </c>
    </row>
    <row r="3736" spans="2:24" x14ac:dyDescent="0.35">
      <c r="B3736" s="6" t="s">
        <v>14</v>
      </c>
      <c r="C3736" s="6" t="s">
        <v>46</v>
      </c>
      <c r="D3736" s="6" t="s">
        <v>47</v>
      </c>
      <c r="E3736" s="6" t="s">
        <v>27</v>
      </c>
      <c r="F3736" s="6" t="s">
        <v>31</v>
      </c>
      <c r="G3736" s="6">
        <v>2015</v>
      </c>
      <c r="H3736" s="6">
        <v>12</v>
      </c>
      <c r="I3736" s="10">
        <v>42339</v>
      </c>
      <c r="J3736" s="6">
        <v>5419</v>
      </c>
      <c r="K3736" s="51"/>
      <c r="O3736" t="s">
        <v>14</v>
      </c>
      <c r="P3736" t="s">
        <v>46</v>
      </c>
      <c r="Q3736" t="s">
        <v>47</v>
      </c>
      <c r="R3736" t="s">
        <v>27</v>
      </c>
      <c r="S3736" t="s">
        <v>31</v>
      </c>
      <c r="T3736">
        <v>2015</v>
      </c>
      <c r="U3736">
        <v>12</v>
      </c>
      <c r="V3736" s="51">
        <v>42339</v>
      </c>
      <c r="W3736" s="4">
        <v>5039.67</v>
      </c>
      <c r="X3736" s="52">
        <v>5419</v>
      </c>
    </row>
    <row r="3737" spans="2:24" x14ac:dyDescent="0.35">
      <c r="B3737" s="6" t="s">
        <v>3</v>
      </c>
      <c r="C3737" s="6" t="s">
        <v>22</v>
      </c>
      <c r="D3737" s="6" t="s">
        <v>5</v>
      </c>
      <c r="E3737" s="6" t="s">
        <v>27</v>
      </c>
      <c r="F3737" s="6" t="s">
        <v>33</v>
      </c>
      <c r="G3737" s="6">
        <v>2015</v>
      </c>
      <c r="H3737" s="6">
        <v>12</v>
      </c>
      <c r="I3737" s="10">
        <v>42339</v>
      </c>
      <c r="J3737" s="6">
        <v>3645</v>
      </c>
      <c r="K3737" s="51"/>
      <c r="O3737" t="s">
        <v>3</v>
      </c>
      <c r="P3737" t="s">
        <v>22</v>
      </c>
      <c r="Q3737" t="s">
        <v>5</v>
      </c>
      <c r="R3737" t="s">
        <v>27</v>
      </c>
      <c r="S3737" t="s">
        <v>33</v>
      </c>
      <c r="T3737">
        <v>2015</v>
      </c>
      <c r="U3737">
        <v>12</v>
      </c>
      <c r="V3737" s="51">
        <v>42339</v>
      </c>
      <c r="W3737" s="4">
        <v>3207.5999999999995</v>
      </c>
      <c r="X3737" s="52">
        <v>3645</v>
      </c>
    </row>
    <row r="3738" spans="2:24" x14ac:dyDescent="0.35">
      <c r="B3738" s="6" t="s">
        <v>6</v>
      </c>
      <c r="C3738" s="6" t="s">
        <v>29</v>
      </c>
      <c r="D3738" s="6" t="s">
        <v>30</v>
      </c>
      <c r="E3738" s="6" t="s">
        <v>23</v>
      </c>
      <c r="F3738" s="6" t="s">
        <v>36</v>
      </c>
      <c r="G3738" s="6">
        <v>2015</v>
      </c>
      <c r="H3738" s="6">
        <v>12</v>
      </c>
      <c r="I3738" s="10">
        <v>42339</v>
      </c>
      <c r="J3738" s="6">
        <v>2172</v>
      </c>
      <c r="K3738" s="51"/>
      <c r="O3738" t="s">
        <v>6</v>
      </c>
      <c r="P3738" t="s">
        <v>29</v>
      </c>
      <c r="Q3738" t="s">
        <v>30</v>
      </c>
      <c r="R3738" t="s">
        <v>23</v>
      </c>
      <c r="S3738" t="s">
        <v>36</v>
      </c>
      <c r="T3738">
        <v>2015</v>
      </c>
      <c r="U3738">
        <v>12</v>
      </c>
      <c r="V3738" s="51">
        <v>42339</v>
      </c>
      <c r="W3738" s="4">
        <v>1867.92</v>
      </c>
      <c r="X3738" s="52">
        <v>2172</v>
      </c>
    </row>
    <row r="3739" spans="2:24" x14ac:dyDescent="0.35">
      <c r="B3739" s="6" t="s">
        <v>7</v>
      </c>
      <c r="C3739" s="6" t="s">
        <v>32</v>
      </c>
      <c r="D3739" s="6" t="s">
        <v>8</v>
      </c>
      <c r="E3739" s="6" t="s">
        <v>23</v>
      </c>
      <c r="F3739" s="6" t="s">
        <v>24</v>
      </c>
      <c r="G3739" s="6">
        <v>2015</v>
      </c>
      <c r="H3739" s="6">
        <v>12</v>
      </c>
      <c r="I3739" s="10">
        <v>42339</v>
      </c>
      <c r="J3739" s="6">
        <v>2256</v>
      </c>
      <c r="K3739" s="51"/>
      <c r="O3739" t="s">
        <v>7</v>
      </c>
      <c r="P3739" t="s">
        <v>32</v>
      </c>
      <c r="Q3739" t="s">
        <v>8</v>
      </c>
      <c r="R3739" t="s">
        <v>23</v>
      </c>
      <c r="S3739" t="s">
        <v>24</v>
      </c>
      <c r="T3739">
        <v>2015</v>
      </c>
      <c r="U3739">
        <v>12</v>
      </c>
      <c r="V3739" s="51">
        <v>42339</v>
      </c>
      <c r="W3739" s="4">
        <v>2120.64</v>
      </c>
      <c r="X3739" s="52">
        <v>2256</v>
      </c>
    </row>
    <row r="3740" spans="2:24" x14ac:dyDescent="0.35">
      <c r="B3740" s="6" t="s">
        <v>12</v>
      </c>
      <c r="C3740" s="6" t="s">
        <v>34</v>
      </c>
      <c r="D3740" s="6" t="s">
        <v>35</v>
      </c>
      <c r="E3740" s="6" t="s">
        <v>23</v>
      </c>
      <c r="F3740" s="6" t="s">
        <v>39</v>
      </c>
      <c r="G3740" s="6">
        <v>2015</v>
      </c>
      <c r="H3740" s="6">
        <v>12</v>
      </c>
      <c r="I3740" s="10">
        <v>42339</v>
      </c>
      <c r="J3740" s="6">
        <v>2741</v>
      </c>
      <c r="K3740" s="51"/>
      <c r="O3740" t="s">
        <v>12</v>
      </c>
      <c r="P3740" t="s">
        <v>34</v>
      </c>
      <c r="Q3740" t="s">
        <v>35</v>
      </c>
      <c r="R3740" t="s">
        <v>23</v>
      </c>
      <c r="S3740" t="s">
        <v>39</v>
      </c>
      <c r="T3740">
        <v>2015</v>
      </c>
      <c r="U3740">
        <v>12</v>
      </c>
      <c r="V3740" s="51">
        <v>42339</v>
      </c>
      <c r="W3740" s="4">
        <v>2549.1299999999997</v>
      </c>
      <c r="X3740" s="52">
        <v>2741</v>
      </c>
    </row>
    <row r="3741" spans="2:24" x14ac:dyDescent="0.35">
      <c r="B3741" s="6" t="s">
        <v>14</v>
      </c>
      <c r="C3741" s="6" t="s">
        <v>37</v>
      </c>
      <c r="D3741" s="6" t="s">
        <v>38</v>
      </c>
      <c r="E3741" s="6" t="s">
        <v>0</v>
      </c>
      <c r="F3741" s="6" t="s">
        <v>42</v>
      </c>
      <c r="G3741" s="6">
        <v>2015</v>
      </c>
      <c r="H3741" s="6">
        <v>12</v>
      </c>
      <c r="I3741" s="10">
        <v>42339</v>
      </c>
      <c r="J3741" s="6">
        <v>5137</v>
      </c>
      <c r="K3741" s="51"/>
      <c r="O3741" t="s">
        <v>14</v>
      </c>
      <c r="P3741" t="s">
        <v>37</v>
      </c>
      <c r="Q3741" t="s">
        <v>38</v>
      </c>
      <c r="R3741" t="s">
        <v>0</v>
      </c>
      <c r="S3741" t="s">
        <v>42</v>
      </c>
      <c r="T3741">
        <v>2015</v>
      </c>
      <c r="U3741">
        <v>12</v>
      </c>
      <c r="V3741" s="51">
        <v>42339</v>
      </c>
      <c r="W3741" s="4">
        <v>4726.04</v>
      </c>
      <c r="X3741" s="52">
        <v>5137</v>
      </c>
    </row>
    <row r="3742" spans="2:24" x14ac:dyDescent="0.35">
      <c r="B3742" s="6" t="s">
        <v>6</v>
      </c>
      <c r="C3742" s="6" t="s">
        <v>29</v>
      </c>
      <c r="D3742" s="6" t="s">
        <v>30</v>
      </c>
      <c r="E3742" s="6" t="s">
        <v>0</v>
      </c>
      <c r="F3742" s="6" t="s">
        <v>45</v>
      </c>
      <c r="G3742" s="6">
        <v>2015</v>
      </c>
      <c r="H3742" s="6">
        <v>12</v>
      </c>
      <c r="I3742" s="10">
        <v>42339</v>
      </c>
      <c r="J3742" s="6">
        <v>2505</v>
      </c>
      <c r="K3742" s="51"/>
      <c r="O3742" t="s">
        <v>6</v>
      </c>
      <c r="P3742" t="s">
        <v>29</v>
      </c>
      <c r="Q3742" t="s">
        <v>30</v>
      </c>
      <c r="R3742" t="s">
        <v>0</v>
      </c>
      <c r="S3742" t="s">
        <v>45</v>
      </c>
      <c r="T3742">
        <v>2015</v>
      </c>
      <c r="U3742">
        <v>12</v>
      </c>
      <c r="V3742" s="51">
        <v>42339</v>
      </c>
      <c r="W3742" s="4">
        <v>2304.6</v>
      </c>
      <c r="X3742" s="52">
        <v>2505</v>
      </c>
    </row>
    <row r="3743" spans="2:24" x14ac:dyDescent="0.35">
      <c r="B3743" s="6" t="s">
        <v>7</v>
      </c>
      <c r="C3743" s="6" t="s">
        <v>43</v>
      </c>
      <c r="D3743" s="6" t="s">
        <v>10</v>
      </c>
      <c r="E3743" s="6" t="s">
        <v>27</v>
      </c>
      <c r="F3743" s="6" t="s">
        <v>28</v>
      </c>
      <c r="G3743" s="6">
        <v>2015</v>
      </c>
      <c r="H3743" s="6">
        <v>12</v>
      </c>
      <c r="I3743" s="10">
        <v>42339</v>
      </c>
      <c r="J3743" s="6">
        <v>3288</v>
      </c>
      <c r="K3743" s="51"/>
      <c r="O3743" t="s">
        <v>7</v>
      </c>
      <c r="P3743" t="s">
        <v>43</v>
      </c>
      <c r="Q3743" t="s">
        <v>10</v>
      </c>
      <c r="R3743" t="s">
        <v>27</v>
      </c>
      <c r="S3743" t="s">
        <v>28</v>
      </c>
      <c r="T3743">
        <v>2015</v>
      </c>
      <c r="U3743">
        <v>12</v>
      </c>
      <c r="V3743" s="51">
        <v>42339</v>
      </c>
      <c r="W3743" s="4">
        <v>3024.9599999999996</v>
      </c>
      <c r="X3743" s="52">
        <v>3288</v>
      </c>
    </row>
    <row r="3744" spans="2:24" x14ac:dyDescent="0.35">
      <c r="B3744" s="6" t="s">
        <v>12</v>
      </c>
      <c r="C3744" s="6" t="s">
        <v>44</v>
      </c>
      <c r="D3744" s="6" t="s">
        <v>13</v>
      </c>
      <c r="E3744" s="6" t="s">
        <v>27</v>
      </c>
      <c r="F3744" s="6" t="s">
        <v>31</v>
      </c>
      <c r="G3744" s="6">
        <v>2015</v>
      </c>
      <c r="H3744" s="6">
        <v>12</v>
      </c>
      <c r="I3744" s="10">
        <v>42339</v>
      </c>
      <c r="J3744" s="6">
        <v>3228</v>
      </c>
      <c r="K3744" s="51"/>
      <c r="O3744" t="s">
        <v>12</v>
      </c>
      <c r="P3744" t="s">
        <v>44</v>
      </c>
      <c r="Q3744" t="s">
        <v>13</v>
      </c>
      <c r="R3744" t="s">
        <v>27</v>
      </c>
      <c r="S3744" t="s">
        <v>31</v>
      </c>
      <c r="T3744">
        <v>2015</v>
      </c>
      <c r="U3744">
        <v>12</v>
      </c>
      <c r="V3744" s="51">
        <v>42339</v>
      </c>
      <c r="W3744" s="4">
        <v>2937.4799999999996</v>
      </c>
      <c r="X3744" s="52">
        <v>3228</v>
      </c>
    </row>
    <row r="3745" spans="2:24" x14ac:dyDescent="0.35">
      <c r="B3745" s="6" t="s">
        <v>14</v>
      </c>
      <c r="C3745" s="6" t="s">
        <v>46</v>
      </c>
      <c r="D3745" s="6" t="s">
        <v>47</v>
      </c>
      <c r="E3745" s="6" t="s">
        <v>27</v>
      </c>
      <c r="F3745" s="6" t="s">
        <v>33</v>
      </c>
      <c r="G3745" s="6">
        <v>2015</v>
      </c>
      <c r="H3745" s="6">
        <v>12</v>
      </c>
      <c r="I3745" s="10">
        <v>42339</v>
      </c>
      <c r="J3745" s="6">
        <v>3791</v>
      </c>
      <c r="K3745" s="51"/>
      <c r="O3745" t="s">
        <v>14</v>
      </c>
      <c r="P3745" t="s">
        <v>46</v>
      </c>
      <c r="Q3745" t="s">
        <v>47</v>
      </c>
      <c r="R3745" t="s">
        <v>27</v>
      </c>
      <c r="S3745" t="s">
        <v>33</v>
      </c>
      <c r="T3745">
        <v>2015</v>
      </c>
      <c r="U3745">
        <v>12</v>
      </c>
      <c r="V3745" s="51">
        <v>42339</v>
      </c>
      <c r="W3745" s="4">
        <v>3373.99</v>
      </c>
      <c r="X3745" s="52">
        <v>3791</v>
      </c>
    </row>
    <row r="3746" spans="2:24" x14ac:dyDescent="0.35">
      <c r="B3746" s="6" t="s">
        <v>3</v>
      </c>
      <c r="C3746" s="6" t="s">
        <v>22</v>
      </c>
      <c r="D3746" s="6" t="s">
        <v>5</v>
      </c>
      <c r="E3746" s="6" t="s">
        <v>23</v>
      </c>
      <c r="F3746" s="6" t="s">
        <v>36</v>
      </c>
      <c r="G3746" s="6">
        <v>2015</v>
      </c>
      <c r="H3746" s="6">
        <v>12</v>
      </c>
      <c r="I3746" s="10">
        <v>42339</v>
      </c>
      <c r="J3746" s="6">
        <v>2395</v>
      </c>
      <c r="K3746" s="51"/>
      <c r="O3746" t="s">
        <v>3</v>
      </c>
      <c r="P3746" t="s">
        <v>22</v>
      </c>
      <c r="Q3746" t="s">
        <v>5</v>
      </c>
      <c r="R3746" t="s">
        <v>23</v>
      </c>
      <c r="S3746" t="s">
        <v>36</v>
      </c>
      <c r="T3746">
        <v>2015</v>
      </c>
      <c r="U3746">
        <v>12</v>
      </c>
      <c r="V3746" s="51">
        <v>42339</v>
      </c>
      <c r="W3746" s="4">
        <v>2251.2999999999997</v>
      </c>
      <c r="X3746" s="52">
        <v>2395</v>
      </c>
    </row>
    <row r="3747" spans="2:24" x14ac:dyDescent="0.35">
      <c r="B3747" s="6" t="s">
        <v>6</v>
      </c>
      <c r="C3747" s="6" t="s">
        <v>40</v>
      </c>
      <c r="D3747" s="6" t="s">
        <v>41</v>
      </c>
      <c r="E3747" s="6" t="s">
        <v>23</v>
      </c>
      <c r="F3747" s="6" t="s">
        <v>24</v>
      </c>
      <c r="G3747" s="6">
        <v>2015</v>
      </c>
      <c r="H3747" s="6">
        <v>12</v>
      </c>
      <c r="I3747" s="10">
        <v>42339</v>
      </c>
      <c r="J3747" s="6">
        <v>2262</v>
      </c>
      <c r="K3747" s="51"/>
      <c r="O3747" t="s">
        <v>6</v>
      </c>
      <c r="P3747" t="s">
        <v>40</v>
      </c>
      <c r="Q3747" t="s">
        <v>41</v>
      </c>
      <c r="R3747" t="s">
        <v>23</v>
      </c>
      <c r="S3747" t="s">
        <v>24</v>
      </c>
      <c r="T3747">
        <v>2015</v>
      </c>
      <c r="U3747">
        <v>12</v>
      </c>
      <c r="V3747" s="51">
        <v>42339</v>
      </c>
      <c r="W3747" s="4">
        <v>2035.7999999999997</v>
      </c>
      <c r="X3747" s="52">
        <v>2262</v>
      </c>
    </row>
    <row r="3748" spans="2:24" x14ac:dyDescent="0.35">
      <c r="B3748" s="6" t="s">
        <v>7</v>
      </c>
      <c r="C3748" s="6" t="s">
        <v>32</v>
      </c>
      <c r="D3748" s="6" t="s">
        <v>8</v>
      </c>
      <c r="E3748" s="6" t="s">
        <v>23</v>
      </c>
      <c r="F3748" s="6" t="s">
        <v>39</v>
      </c>
      <c r="G3748" s="6">
        <v>2015</v>
      </c>
      <c r="H3748" s="6">
        <v>12</v>
      </c>
      <c r="I3748" s="10">
        <v>42339</v>
      </c>
      <c r="J3748" s="6">
        <v>2350</v>
      </c>
      <c r="K3748" s="51"/>
      <c r="O3748" t="s">
        <v>7</v>
      </c>
      <c r="P3748" t="s">
        <v>32</v>
      </c>
      <c r="Q3748" t="s">
        <v>8</v>
      </c>
      <c r="R3748" t="s">
        <v>23</v>
      </c>
      <c r="S3748" t="s">
        <v>39</v>
      </c>
      <c r="T3748">
        <v>2015</v>
      </c>
      <c r="U3748">
        <v>12</v>
      </c>
      <c r="V3748" s="51">
        <v>42339</v>
      </c>
      <c r="W3748" s="4">
        <v>2115</v>
      </c>
      <c r="X3748" s="52">
        <v>2350</v>
      </c>
    </row>
    <row r="3749" spans="2:24" x14ac:dyDescent="0.35">
      <c r="B3749" s="6" t="s">
        <v>12</v>
      </c>
      <c r="C3749" s="6" t="s">
        <v>34</v>
      </c>
      <c r="D3749" s="6" t="s">
        <v>35</v>
      </c>
      <c r="E3749" s="6" t="s">
        <v>0</v>
      </c>
      <c r="F3749" s="6" t="s">
        <v>42</v>
      </c>
      <c r="G3749" s="6">
        <v>2015</v>
      </c>
      <c r="H3749" s="6">
        <v>12</v>
      </c>
      <c r="I3749" s="10">
        <v>42339</v>
      </c>
      <c r="J3749" s="6">
        <v>4637</v>
      </c>
      <c r="K3749" s="51"/>
      <c r="O3749" t="s">
        <v>12</v>
      </c>
      <c r="P3749" t="s">
        <v>34</v>
      </c>
      <c r="Q3749" t="s">
        <v>35</v>
      </c>
      <c r="R3749" t="s">
        <v>0</v>
      </c>
      <c r="S3749" t="s">
        <v>42</v>
      </c>
      <c r="T3749">
        <v>2015</v>
      </c>
      <c r="U3749">
        <v>12</v>
      </c>
      <c r="V3749" s="51">
        <v>42339</v>
      </c>
      <c r="W3749" s="4">
        <v>3987.8200000000006</v>
      </c>
      <c r="X3749" s="52">
        <v>4637</v>
      </c>
    </row>
    <row r="3750" spans="2:24" x14ac:dyDescent="0.35">
      <c r="B3750" s="6" t="s">
        <v>14</v>
      </c>
      <c r="C3750" s="6" t="s">
        <v>37</v>
      </c>
      <c r="D3750" s="6" t="s">
        <v>38</v>
      </c>
      <c r="E3750" s="6" t="s">
        <v>0</v>
      </c>
      <c r="F3750" s="6" t="s">
        <v>26</v>
      </c>
      <c r="G3750" s="6">
        <v>2015</v>
      </c>
      <c r="H3750" s="6">
        <v>12</v>
      </c>
      <c r="I3750" s="10">
        <v>42339</v>
      </c>
      <c r="J3750" s="6">
        <v>5124</v>
      </c>
      <c r="K3750" s="51"/>
      <c r="O3750" t="s">
        <v>14</v>
      </c>
      <c r="P3750" t="s">
        <v>37</v>
      </c>
      <c r="Q3750" t="s">
        <v>38</v>
      </c>
      <c r="R3750" t="s">
        <v>0</v>
      </c>
      <c r="S3750" t="s">
        <v>26</v>
      </c>
      <c r="T3750">
        <v>2015</v>
      </c>
      <c r="U3750">
        <v>12</v>
      </c>
      <c r="V3750" s="51">
        <v>42339</v>
      </c>
      <c r="W3750" s="4">
        <v>4765.32</v>
      </c>
      <c r="X3750" s="52">
        <v>5124</v>
      </c>
    </row>
    <row r="3751" spans="2:24" x14ac:dyDescent="0.35">
      <c r="B3751" s="6" t="s">
        <v>3</v>
      </c>
      <c r="C3751" s="6" t="s">
        <v>25</v>
      </c>
      <c r="D3751" s="6" t="s">
        <v>4</v>
      </c>
      <c r="E3751" s="6" t="s">
        <v>0</v>
      </c>
      <c r="F3751" s="6" t="s">
        <v>45</v>
      </c>
      <c r="G3751" s="6">
        <v>2015</v>
      </c>
      <c r="H3751" s="6">
        <v>12</v>
      </c>
      <c r="I3751" s="10">
        <v>42339</v>
      </c>
      <c r="J3751" s="6">
        <v>4776</v>
      </c>
      <c r="K3751" s="51"/>
      <c r="O3751" t="s">
        <v>3</v>
      </c>
      <c r="P3751" t="s">
        <v>25</v>
      </c>
      <c r="Q3751" t="s">
        <v>4</v>
      </c>
      <c r="R3751" t="s">
        <v>0</v>
      </c>
      <c r="S3751" t="s">
        <v>45</v>
      </c>
      <c r="T3751">
        <v>2015</v>
      </c>
      <c r="U3751">
        <v>12</v>
      </c>
      <c r="V3751" s="51">
        <v>42339</v>
      </c>
      <c r="W3751" s="4">
        <v>4250.6399999999994</v>
      </c>
      <c r="X3751" s="52">
        <v>4776</v>
      </c>
    </row>
    <row r="3752" spans="2:24" x14ac:dyDescent="0.35">
      <c r="B3752" s="6" t="s">
        <v>6</v>
      </c>
      <c r="C3752" s="6" t="s">
        <v>29</v>
      </c>
      <c r="D3752" s="6" t="s">
        <v>30</v>
      </c>
      <c r="E3752" s="6" t="s">
        <v>27</v>
      </c>
      <c r="F3752" s="6" t="s">
        <v>28</v>
      </c>
      <c r="G3752" s="6">
        <v>2015</v>
      </c>
      <c r="H3752" s="6">
        <v>12</v>
      </c>
      <c r="I3752" s="10">
        <v>42339</v>
      </c>
      <c r="J3752" s="6">
        <v>3571</v>
      </c>
      <c r="K3752" s="51"/>
      <c r="O3752" t="s">
        <v>6</v>
      </c>
      <c r="P3752" t="s">
        <v>29</v>
      </c>
      <c r="Q3752" t="s">
        <v>30</v>
      </c>
      <c r="R3752" t="s">
        <v>27</v>
      </c>
      <c r="S3752" t="s">
        <v>28</v>
      </c>
      <c r="T3752">
        <v>2015</v>
      </c>
      <c r="U3752">
        <v>12</v>
      </c>
      <c r="V3752" s="51">
        <v>42339</v>
      </c>
      <c r="W3752" s="4">
        <v>3178.1899999999996</v>
      </c>
      <c r="X3752" s="52">
        <v>3571</v>
      </c>
    </row>
    <row r="3753" spans="2:24" x14ac:dyDescent="0.35">
      <c r="B3753" s="6" t="s">
        <v>7</v>
      </c>
      <c r="C3753" s="6" t="s">
        <v>43</v>
      </c>
      <c r="D3753" s="6" t="s">
        <v>10</v>
      </c>
      <c r="E3753" s="6" t="s">
        <v>27</v>
      </c>
      <c r="F3753" s="6" t="s">
        <v>31</v>
      </c>
      <c r="G3753" s="6">
        <v>2015</v>
      </c>
      <c r="H3753" s="6">
        <v>12</v>
      </c>
      <c r="I3753" s="10">
        <v>42339</v>
      </c>
      <c r="J3753" s="6">
        <v>3652</v>
      </c>
      <c r="K3753" s="51"/>
      <c r="O3753" t="s">
        <v>7</v>
      </c>
      <c r="P3753" t="s">
        <v>43</v>
      </c>
      <c r="Q3753" t="s">
        <v>10</v>
      </c>
      <c r="R3753" t="s">
        <v>27</v>
      </c>
      <c r="S3753" t="s">
        <v>31</v>
      </c>
      <c r="T3753">
        <v>2015</v>
      </c>
      <c r="U3753">
        <v>12</v>
      </c>
      <c r="V3753" s="51">
        <v>42339</v>
      </c>
      <c r="W3753" s="4">
        <v>3140.7200000000003</v>
      </c>
      <c r="X3753" s="52">
        <v>3652</v>
      </c>
    </row>
    <row r="3754" spans="2:24" x14ac:dyDescent="0.35">
      <c r="B3754" s="6" t="s">
        <v>12</v>
      </c>
      <c r="C3754" s="6" t="s">
        <v>44</v>
      </c>
      <c r="D3754" s="6" t="s">
        <v>13</v>
      </c>
      <c r="E3754" s="6" t="s">
        <v>27</v>
      </c>
      <c r="F3754" s="6" t="s">
        <v>33</v>
      </c>
      <c r="G3754" s="6">
        <v>2015</v>
      </c>
      <c r="H3754" s="6">
        <v>12</v>
      </c>
      <c r="I3754" s="10">
        <v>42339</v>
      </c>
      <c r="J3754" s="6">
        <v>3127</v>
      </c>
      <c r="K3754" s="51"/>
      <c r="O3754" t="s">
        <v>12</v>
      </c>
      <c r="P3754" t="s">
        <v>44</v>
      </c>
      <c r="Q3754" t="s">
        <v>13</v>
      </c>
      <c r="R3754" t="s">
        <v>27</v>
      </c>
      <c r="S3754" t="s">
        <v>33</v>
      </c>
      <c r="T3754">
        <v>2015</v>
      </c>
      <c r="U3754">
        <v>12</v>
      </c>
      <c r="V3754" s="51">
        <v>42339</v>
      </c>
      <c r="W3754" s="4">
        <v>2845.5699999999997</v>
      </c>
      <c r="X3754" s="52">
        <v>3127</v>
      </c>
    </row>
    <row r="3755" spans="2:24" x14ac:dyDescent="0.35">
      <c r="B3755" s="6" t="s">
        <v>14</v>
      </c>
      <c r="C3755" s="6" t="s">
        <v>46</v>
      </c>
      <c r="D3755" s="6" t="s">
        <v>47</v>
      </c>
      <c r="E3755" s="6" t="s">
        <v>23</v>
      </c>
      <c r="F3755" s="6" t="s">
        <v>36</v>
      </c>
      <c r="G3755" s="6">
        <v>2015</v>
      </c>
      <c r="H3755" s="6">
        <v>12</v>
      </c>
      <c r="I3755" s="10">
        <v>42339</v>
      </c>
      <c r="J3755" s="6">
        <v>2770</v>
      </c>
      <c r="K3755" s="51"/>
      <c r="O3755" t="s">
        <v>14</v>
      </c>
      <c r="P3755" t="s">
        <v>46</v>
      </c>
      <c r="Q3755" t="s">
        <v>47</v>
      </c>
      <c r="R3755" t="s">
        <v>23</v>
      </c>
      <c r="S3755" t="s">
        <v>36</v>
      </c>
      <c r="T3755">
        <v>2015</v>
      </c>
      <c r="U3755">
        <v>12</v>
      </c>
      <c r="V3755" s="51">
        <v>42339</v>
      </c>
      <c r="W3755" s="4">
        <v>2493</v>
      </c>
      <c r="X3755" s="52">
        <v>2770</v>
      </c>
    </row>
    <row r="3756" spans="2:24" x14ac:dyDescent="0.35">
      <c r="B3756" s="6" t="s">
        <v>6</v>
      </c>
      <c r="C3756" s="6" t="s">
        <v>29</v>
      </c>
      <c r="D3756" s="6" t="s">
        <v>30</v>
      </c>
      <c r="E3756" s="6" t="s">
        <v>23</v>
      </c>
      <c r="F3756" s="6" t="s">
        <v>39</v>
      </c>
      <c r="G3756" s="6">
        <v>2015</v>
      </c>
      <c r="H3756" s="6">
        <v>12</v>
      </c>
      <c r="I3756" s="10">
        <v>42339</v>
      </c>
      <c r="J3756" s="6">
        <v>2279</v>
      </c>
      <c r="K3756" s="51"/>
      <c r="O3756" t="s">
        <v>6</v>
      </c>
      <c r="P3756" t="s">
        <v>29</v>
      </c>
      <c r="Q3756" t="s">
        <v>30</v>
      </c>
      <c r="R3756" t="s">
        <v>23</v>
      </c>
      <c r="S3756" t="s">
        <v>39</v>
      </c>
      <c r="T3756">
        <v>2015</v>
      </c>
      <c r="U3756">
        <v>12</v>
      </c>
      <c r="V3756" s="51">
        <v>42339</v>
      </c>
      <c r="W3756" s="4">
        <v>2051.1</v>
      </c>
      <c r="X3756" s="52">
        <v>2279</v>
      </c>
    </row>
    <row r="3757" spans="2:24" x14ac:dyDescent="0.35">
      <c r="B3757" s="6" t="s">
        <v>7</v>
      </c>
      <c r="C3757" s="6" t="s">
        <v>32</v>
      </c>
      <c r="D3757" s="6" t="s">
        <v>8</v>
      </c>
      <c r="E3757" s="6" t="s">
        <v>0</v>
      </c>
      <c r="F3757" s="6" t="s">
        <v>42</v>
      </c>
      <c r="G3757" s="6">
        <v>2015</v>
      </c>
      <c r="H3757" s="6">
        <v>12</v>
      </c>
      <c r="I3757" s="10">
        <v>42339</v>
      </c>
      <c r="J3757" s="6">
        <v>4241</v>
      </c>
      <c r="K3757" s="51"/>
      <c r="O3757" t="s">
        <v>7</v>
      </c>
      <c r="P3757" t="s">
        <v>32</v>
      </c>
      <c r="Q3757" t="s">
        <v>8</v>
      </c>
      <c r="R3757" t="s">
        <v>0</v>
      </c>
      <c r="S3757" t="s">
        <v>42</v>
      </c>
      <c r="T3757">
        <v>2015</v>
      </c>
      <c r="U3757">
        <v>12</v>
      </c>
      <c r="V3757" s="51">
        <v>42339</v>
      </c>
      <c r="W3757" s="4">
        <v>3689.6700000000005</v>
      </c>
      <c r="X3757" s="52">
        <v>4241</v>
      </c>
    </row>
    <row r="3758" spans="2:24" x14ac:dyDescent="0.35">
      <c r="B3758" s="6" t="s">
        <v>12</v>
      </c>
      <c r="C3758" s="6" t="s">
        <v>44</v>
      </c>
      <c r="D3758" s="6" t="s">
        <v>13</v>
      </c>
      <c r="E3758" s="6" t="s">
        <v>0</v>
      </c>
      <c r="F3758" s="6" t="s">
        <v>26</v>
      </c>
      <c r="G3758" s="6">
        <v>2015</v>
      </c>
      <c r="H3758" s="6">
        <v>12</v>
      </c>
      <c r="I3758" s="10">
        <v>42339</v>
      </c>
      <c r="J3758" s="6">
        <v>3946</v>
      </c>
      <c r="K3758" s="51"/>
      <c r="O3758" t="s">
        <v>12</v>
      </c>
      <c r="P3758" t="s">
        <v>44</v>
      </c>
      <c r="Q3758" t="s">
        <v>13</v>
      </c>
      <c r="R3758" t="s">
        <v>0</v>
      </c>
      <c r="S3758" t="s">
        <v>26</v>
      </c>
      <c r="T3758">
        <v>2015</v>
      </c>
      <c r="U3758">
        <v>12</v>
      </c>
      <c r="V3758" s="51">
        <v>42339</v>
      </c>
      <c r="W3758" s="4">
        <v>3472.4799999999996</v>
      </c>
      <c r="X3758" s="52">
        <v>3946</v>
      </c>
    </row>
    <row r="3759" spans="2:24" x14ac:dyDescent="0.35">
      <c r="B3759" s="6" t="s">
        <v>14</v>
      </c>
      <c r="C3759" s="6" t="s">
        <v>37</v>
      </c>
      <c r="D3759" s="6" t="s">
        <v>38</v>
      </c>
      <c r="E3759" s="6" t="s">
        <v>0</v>
      </c>
      <c r="F3759" s="6" t="s">
        <v>45</v>
      </c>
      <c r="G3759" s="6">
        <v>2015</v>
      </c>
      <c r="H3759" s="6">
        <v>12</v>
      </c>
      <c r="I3759" s="10">
        <v>42339</v>
      </c>
      <c r="J3759" s="6">
        <v>4267</v>
      </c>
      <c r="K3759" s="51"/>
      <c r="O3759" t="s">
        <v>14</v>
      </c>
      <c r="P3759" t="s">
        <v>37</v>
      </c>
      <c r="Q3759" t="s">
        <v>38</v>
      </c>
      <c r="R3759" t="s">
        <v>0</v>
      </c>
      <c r="S3759" t="s">
        <v>45</v>
      </c>
      <c r="T3759">
        <v>2015</v>
      </c>
      <c r="U3759">
        <v>12</v>
      </c>
      <c r="V3759" s="51">
        <v>42339</v>
      </c>
      <c r="W3759" s="4">
        <v>3968.3099999999995</v>
      </c>
      <c r="X3759" s="52">
        <v>4267</v>
      </c>
    </row>
    <row r="3760" spans="2:24" x14ac:dyDescent="0.35">
      <c r="B3760" s="6" t="s">
        <v>3</v>
      </c>
      <c r="C3760" s="6" t="s">
        <v>25</v>
      </c>
      <c r="D3760" s="6" t="s">
        <v>4</v>
      </c>
      <c r="E3760" s="6" t="s">
        <v>27</v>
      </c>
      <c r="F3760" s="6" t="s">
        <v>28</v>
      </c>
      <c r="G3760" s="6">
        <v>2015</v>
      </c>
      <c r="H3760" s="6">
        <v>12</v>
      </c>
      <c r="I3760" s="10">
        <v>42339</v>
      </c>
      <c r="J3760" s="6">
        <v>4332</v>
      </c>
      <c r="K3760" s="51"/>
      <c r="O3760" t="s">
        <v>3</v>
      </c>
      <c r="P3760" t="s">
        <v>25</v>
      </c>
      <c r="Q3760" t="s">
        <v>4</v>
      </c>
      <c r="R3760" t="s">
        <v>27</v>
      </c>
      <c r="S3760" t="s">
        <v>28</v>
      </c>
      <c r="T3760">
        <v>2015</v>
      </c>
      <c r="U3760">
        <v>12</v>
      </c>
      <c r="V3760" s="51">
        <v>42339</v>
      </c>
      <c r="W3760" s="4">
        <v>4028.7599999999998</v>
      </c>
      <c r="X3760" s="52">
        <v>4332</v>
      </c>
    </row>
    <row r="3761" spans="2:24" x14ac:dyDescent="0.35">
      <c r="B3761" s="6" t="s">
        <v>3</v>
      </c>
      <c r="C3761" s="6" t="s">
        <v>25</v>
      </c>
      <c r="D3761" s="6" t="s">
        <v>4</v>
      </c>
      <c r="E3761" s="6" t="s">
        <v>27</v>
      </c>
      <c r="F3761" s="6" t="s">
        <v>31</v>
      </c>
      <c r="G3761" s="6">
        <v>2015</v>
      </c>
      <c r="H3761" s="6">
        <v>12</v>
      </c>
      <c r="I3761" s="10">
        <v>42339</v>
      </c>
      <c r="J3761" s="6">
        <v>3020</v>
      </c>
      <c r="K3761" s="51"/>
      <c r="O3761" t="s">
        <v>3</v>
      </c>
      <c r="P3761" t="s">
        <v>25</v>
      </c>
      <c r="Q3761" t="s">
        <v>4</v>
      </c>
      <c r="R3761" t="s">
        <v>27</v>
      </c>
      <c r="S3761" t="s">
        <v>31</v>
      </c>
      <c r="T3761">
        <v>2015</v>
      </c>
      <c r="U3761">
        <v>12</v>
      </c>
      <c r="V3761" s="51">
        <v>42339</v>
      </c>
      <c r="W3761" s="4">
        <v>2687.7999999999997</v>
      </c>
      <c r="X3761" s="52">
        <v>3020</v>
      </c>
    </row>
    <row r="3762" spans="2:24" x14ac:dyDescent="0.35">
      <c r="B3762" s="6" t="s">
        <v>6</v>
      </c>
      <c r="C3762" s="6" t="s">
        <v>40</v>
      </c>
      <c r="D3762" s="6" t="s">
        <v>41</v>
      </c>
      <c r="E3762" s="6" t="s">
        <v>27</v>
      </c>
      <c r="F3762" s="6" t="s">
        <v>33</v>
      </c>
      <c r="G3762" s="6">
        <v>2015</v>
      </c>
      <c r="H3762" s="6">
        <v>12</v>
      </c>
      <c r="I3762" s="10">
        <v>42339</v>
      </c>
      <c r="J3762" s="6">
        <v>3380</v>
      </c>
      <c r="K3762" s="51"/>
      <c r="O3762" t="s">
        <v>6</v>
      </c>
      <c r="P3762" t="s">
        <v>40</v>
      </c>
      <c r="Q3762" t="s">
        <v>41</v>
      </c>
      <c r="R3762" t="s">
        <v>27</v>
      </c>
      <c r="S3762" t="s">
        <v>33</v>
      </c>
      <c r="T3762">
        <v>2015</v>
      </c>
      <c r="U3762">
        <v>12</v>
      </c>
      <c r="V3762" s="51">
        <v>42339</v>
      </c>
      <c r="W3762" s="4">
        <v>3041.9999999999995</v>
      </c>
      <c r="X3762" s="52">
        <v>3380</v>
      </c>
    </row>
    <row r="3763" spans="2:24" x14ac:dyDescent="0.35">
      <c r="B3763" s="6" t="s">
        <v>6</v>
      </c>
      <c r="C3763" s="6" t="s">
        <v>40</v>
      </c>
      <c r="D3763" s="6" t="s">
        <v>41</v>
      </c>
      <c r="E3763" s="6" t="s">
        <v>23</v>
      </c>
      <c r="F3763" s="6" t="s">
        <v>36</v>
      </c>
      <c r="G3763" s="6">
        <v>2015</v>
      </c>
      <c r="H3763" s="6">
        <v>12</v>
      </c>
      <c r="I3763" s="10">
        <v>42339</v>
      </c>
      <c r="J3763" s="6">
        <v>2866</v>
      </c>
      <c r="K3763" s="51"/>
      <c r="O3763" t="s">
        <v>6</v>
      </c>
      <c r="P3763" t="s">
        <v>40</v>
      </c>
      <c r="Q3763" t="s">
        <v>41</v>
      </c>
      <c r="R3763" t="s">
        <v>23</v>
      </c>
      <c r="S3763" t="s">
        <v>36</v>
      </c>
      <c r="T3763">
        <v>2015</v>
      </c>
      <c r="U3763">
        <v>12</v>
      </c>
      <c r="V3763" s="51">
        <v>42339</v>
      </c>
      <c r="W3763" s="4">
        <v>2579.3999999999996</v>
      </c>
      <c r="X3763" s="52">
        <v>2866</v>
      </c>
    </row>
    <row r="3764" spans="2:24" x14ac:dyDescent="0.35">
      <c r="B3764" s="6" t="s">
        <v>7</v>
      </c>
      <c r="C3764" s="6" t="s">
        <v>43</v>
      </c>
      <c r="D3764" s="6" t="s">
        <v>10</v>
      </c>
      <c r="E3764" s="6" t="s">
        <v>23</v>
      </c>
      <c r="F3764" s="6" t="s">
        <v>24</v>
      </c>
      <c r="G3764" s="6">
        <v>2015</v>
      </c>
      <c r="H3764" s="6">
        <v>12</v>
      </c>
      <c r="I3764" s="10">
        <v>42339</v>
      </c>
      <c r="J3764" s="6">
        <v>2195</v>
      </c>
      <c r="K3764" s="51"/>
      <c r="O3764" t="s">
        <v>7</v>
      </c>
      <c r="P3764" t="s">
        <v>43</v>
      </c>
      <c r="Q3764" t="s">
        <v>10</v>
      </c>
      <c r="R3764" t="s">
        <v>23</v>
      </c>
      <c r="S3764" t="s">
        <v>24</v>
      </c>
      <c r="T3764">
        <v>2015</v>
      </c>
      <c r="U3764">
        <v>12</v>
      </c>
      <c r="V3764" s="51">
        <v>42339</v>
      </c>
      <c r="W3764" s="4">
        <v>2019.3999999999999</v>
      </c>
      <c r="X3764" s="52">
        <v>2195</v>
      </c>
    </row>
    <row r="3765" spans="2:24" x14ac:dyDescent="0.35">
      <c r="B3765" s="6" t="s">
        <v>7</v>
      </c>
      <c r="C3765" s="6" t="s">
        <v>43</v>
      </c>
      <c r="D3765" s="6" t="s">
        <v>10</v>
      </c>
      <c r="E3765" s="6" t="s">
        <v>23</v>
      </c>
      <c r="F3765" s="6" t="s">
        <v>39</v>
      </c>
      <c r="G3765" s="6">
        <v>2015</v>
      </c>
      <c r="H3765" s="6">
        <v>12</v>
      </c>
      <c r="I3765" s="10">
        <v>42339</v>
      </c>
      <c r="J3765" s="6">
        <v>1678</v>
      </c>
      <c r="K3765" s="51"/>
      <c r="O3765" t="s">
        <v>7</v>
      </c>
      <c r="P3765" t="s">
        <v>43</v>
      </c>
      <c r="Q3765" t="s">
        <v>10</v>
      </c>
      <c r="R3765" t="s">
        <v>23</v>
      </c>
      <c r="S3765" t="s">
        <v>39</v>
      </c>
      <c r="T3765">
        <v>2015</v>
      </c>
      <c r="U3765">
        <v>12</v>
      </c>
      <c r="V3765" s="51">
        <v>42339</v>
      </c>
      <c r="W3765" s="4">
        <v>1443.0800000000002</v>
      </c>
      <c r="X3765" s="52">
        <v>1678</v>
      </c>
    </row>
    <row r="3766" spans="2:24" x14ac:dyDescent="0.35">
      <c r="B3766" s="6" t="s">
        <v>7</v>
      </c>
      <c r="C3766" s="6" t="s">
        <v>32</v>
      </c>
      <c r="D3766" s="6" t="s">
        <v>8</v>
      </c>
      <c r="E3766" s="6" t="s">
        <v>0</v>
      </c>
      <c r="F3766" s="6" t="s">
        <v>26</v>
      </c>
      <c r="G3766" s="6">
        <v>2015</v>
      </c>
      <c r="H3766" s="6">
        <v>12</v>
      </c>
      <c r="I3766" s="10">
        <v>42339</v>
      </c>
      <c r="J3766" s="6">
        <v>5389</v>
      </c>
      <c r="K3766" s="51"/>
      <c r="O3766" t="s">
        <v>7</v>
      </c>
      <c r="P3766" t="s">
        <v>32</v>
      </c>
      <c r="Q3766" t="s">
        <v>8</v>
      </c>
      <c r="R3766" t="s">
        <v>0</v>
      </c>
      <c r="S3766" t="s">
        <v>26</v>
      </c>
      <c r="T3766">
        <v>2015</v>
      </c>
      <c r="U3766">
        <v>12</v>
      </c>
      <c r="V3766" s="51">
        <v>42339</v>
      </c>
      <c r="W3766" s="4">
        <v>4957.8799999999992</v>
      </c>
      <c r="X3766" s="52">
        <v>5389</v>
      </c>
    </row>
    <row r="3767" spans="2:24" x14ac:dyDescent="0.35">
      <c r="B3767" s="6" t="s">
        <v>3</v>
      </c>
      <c r="C3767" s="6" t="s">
        <v>22</v>
      </c>
      <c r="D3767" s="6" t="s">
        <v>5</v>
      </c>
      <c r="E3767" s="6" t="s">
        <v>0</v>
      </c>
      <c r="F3767" s="6" t="s">
        <v>45</v>
      </c>
      <c r="G3767" s="6">
        <v>2015</v>
      </c>
      <c r="H3767" s="6">
        <v>12</v>
      </c>
      <c r="I3767" s="10">
        <v>42339</v>
      </c>
      <c r="J3767" s="6">
        <v>2842</v>
      </c>
      <c r="K3767" s="51"/>
      <c r="O3767" t="s">
        <v>3</v>
      </c>
      <c r="P3767" t="s">
        <v>22</v>
      </c>
      <c r="Q3767" t="s">
        <v>5</v>
      </c>
      <c r="R3767" t="s">
        <v>0</v>
      </c>
      <c r="S3767" t="s">
        <v>45</v>
      </c>
      <c r="T3767">
        <v>2015</v>
      </c>
      <c r="U3767">
        <v>12</v>
      </c>
      <c r="V3767" s="51">
        <v>42339</v>
      </c>
      <c r="W3767" s="4">
        <v>2557.7999999999997</v>
      </c>
      <c r="X3767" s="52">
        <v>2842</v>
      </c>
    </row>
    <row r="3768" spans="2:24" x14ac:dyDescent="0.35">
      <c r="B3768" s="6" t="s">
        <v>7</v>
      </c>
      <c r="C3768" s="6" t="s">
        <v>48</v>
      </c>
      <c r="D3768" s="6" t="s">
        <v>9</v>
      </c>
      <c r="E3768" s="6" t="s">
        <v>23</v>
      </c>
      <c r="F3768" s="6" t="s">
        <v>36</v>
      </c>
      <c r="G3768" s="6">
        <v>2015</v>
      </c>
      <c r="H3768" s="6">
        <v>12</v>
      </c>
      <c r="I3768" s="10">
        <v>42339</v>
      </c>
      <c r="J3768" s="6">
        <v>1663</v>
      </c>
      <c r="K3768" s="51"/>
      <c r="O3768" t="s">
        <v>7</v>
      </c>
      <c r="P3768" t="s">
        <v>48</v>
      </c>
      <c r="Q3768" t="s">
        <v>9</v>
      </c>
      <c r="R3768" t="s">
        <v>23</v>
      </c>
      <c r="S3768" t="s">
        <v>36</v>
      </c>
      <c r="T3768">
        <v>2015</v>
      </c>
      <c r="U3768">
        <v>12</v>
      </c>
      <c r="V3768" s="51">
        <v>42339</v>
      </c>
      <c r="W3768" s="4">
        <v>1563.2199999999998</v>
      </c>
      <c r="X3768" s="52">
        <v>1663</v>
      </c>
    </row>
    <row r="3769" spans="2:24" x14ac:dyDescent="0.35">
      <c r="B3769" s="6" t="s">
        <v>7</v>
      </c>
      <c r="C3769" s="6" t="s">
        <v>48</v>
      </c>
      <c r="D3769" s="6" t="s">
        <v>9</v>
      </c>
      <c r="E3769" s="6" t="s">
        <v>23</v>
      </c>
      <c r="F3769" s="6" t="s">
        <v>24</v>
      </c>
      <c r="G3769" s="6">
        <v>2015</v>
      </c>
      <c r="H3769" s="6">
        <v>12</v>
      </c>
      <c r="I3769" s="10">
        <v>42339</v>
      </c>
      <c r="J3769" s="6">
        <v>2571</v>
      </c>
      <c r="K3769" s="51"/>
      <c r="O3769" t="s">
        <v>7</v>
      </c>
      <c r="P3769" t="s">
        <v>48</v>
      </c>
      <c r="Q3769" t="s">
        <v>9</v>
      </c>
      <c r="R3769" t="s">
        <v>23</v>
      </c>
      <c r="S3769" t="s">
        <v>24</v>
      </c>
      <c r="T3769">
        <v>2015</v>
      </c>
      <c r="U3769">
        <v>12</v>
      </c>
      <c r="V3769" s="51">
        <v>42339</v>
      </c>
      <c r="W3769" s="4">
        <v>2313.8999999999996</v>
      </c>
      <c r="X3769" s="52">
        <v>2571</v>
      </c>
    </row>
    <row r="3770" spans="2:24" x14ac:dyDescent="0.35">
      <c r="B3770" s="6" t="s">
        <v>7</v>
      </c>
      <c r="C3770" s="6" t="s">
        <v>49</v>
      </c>
      <c r="D3770" s="6" t="s">
        <v>11</v>
      </c>
      <c r="E3770" s="6" t="s">
        <v>23</v>
      </c>
      <c r="F3770" s="6" t="s">
        <v>39</v>
      </c>
      <c r="G3770" s="6">
        <v>2015</v>
      </c>
      <c r="H3770" s="6">
        <v>12</v>
      </c>
      <c r="I3770" s="10">
        <v>42339</v>
      </c>
      <c r="J3770" s="6">
        <v>2574</v>
      </c>
      <c r="K3770" s="51"/>
      <c r="O3770" t="s">
        <v>7</v>
      </c>
      <c r="P3770" t="s">
        <v>49</v>
      </c>
      <c r="Q3770" t="s">
        <v>11</v>
      </c>
      <c r="R3770" t="s">
        <v>23</v>
      </c>
      <c r="S3770" t="s">
        <v>39</v>
      </c>
      <c r="T3770">
        <v>2015</v>
      </c>
      <c r="U3770">
        <v>12</v>
      </c>
      <c r="V3770" s="51">
        <v>42339</v>
      </c>
      <c r="W3770" s="4">
        <v>2368.08</v>
      </c>
      <c r="X3770" s="52">
        <v>2574</v>
      </c>
    </row>
    <row r="3771" spans="2:24" x14ac:dyDescent="0.35">
      <c r="B3771" s="6" t="s">
        <v>7</v>
      </c>
      <c r="C3771" s="6" t="s">
        <v>49</v>
      </c>
      <c r="D3771" s="6" t="s">
        <v>11</v>
      </c>
      <c r="E3771" s="6" t="s">
        <v>0</v>
      </c>
      <c r="F3771" s="6" t="s">
        <v>42</v>
      </c>
      <c r="G3771" s="6">
        <v>2015</v>
      </c>
      <c r="H3771" s="6">
        <v>12</v>
      </c>
      <c r="I3771" s="10">
        <v>42339</v>
      </c>
      <c r="J3771" s="6">
        <v>4633</v>
      </c>
      <c r="K3771" s="51"/>
      <c r="O3771" t="s">
        <v>7</v>
      </c>
      <c r="P3771" t="s">
        <v>49</v>
      </c>
      <c r="Q3771" t="s">
        <v>11</v>
      </c>
      <c r="R3771" t="s">
        <v>0</v>
      </c>
      <c r="S3771" t="s">
        <v>42</v>
      </c>
      <c r="T3771">
        <v>2015</v>
      </c>
      <c r="U3771">
        <v>12</v>
      </c>
      <c r="V3771" s="51">
        <v>42339</v>
      </c>
      <c r="W3771" s="4">
        <v>4169.7</v>
      </c>
      <c r="X3771" s="52">
        <v>4633</v>
      </c>
    </row>
    <row r="3772" spans="2:24" x14ac:dyDescent="0.35">
      <c r="B3772" s="6" t="s">
        <v>12</v>
      </c>
      <c r="C3772" s="6" t="s">
        <v>34</v>
      </c>
      <c r="D3772" s="6" t="s">
        <v>35</v>
      </c>
      <c r="E3772" s="6" t="s">
        <v>0</v>
      </c>
      <c r="F3772" s="6" t="s">
        <v>26</v>
      </c>
      <c r="G3772" s="6">
        <v>2015</v>
      </c>
      <c r="H3772" s="6">
        <v>12</v>
      </c>
      <c r="I3772" s="10">
        <v>42339</v>
      </c>
      <c r="J3772" s="6">
        <v>3524</v>
      </c>
      <c r="K3772" s="51"/>
      <c r="O3772" t="s">
        <v>12</v>
      </c>
      <c r="P3772" t="s">
        <v>34</v>
      </c>
      <c r="Q3772" t="s">
        <v>35</v>
      </c>
      <c r="R3772" t="s">
        <v>0</v>
      </c>
      <c r="S3772" t="s">
        <v>26</v>
      </c>
      <c r="T3772">
        <v>2015</v>
      </c>
      <c r="U3772">
        <v>12</v>
      </c>
      <c r="V3772" s="51">
        <v>42339</v>
      </c>
      <c r="W3772" s="4">
        <v>3065.8800000000006</v>
      </c>
      <c r="X3772" s="52">
        <v>3524</v>
      </c>
    </row>
    <row r="3773" spans="2:24" x14ac:dyDescent="0.35">
      <c r="B3773" s="6" t="s">
        <v>12</v>
      </c>
      <c r="C3773" s="6" t="s">
        <v>34</v>
      </c>
      <c r="D3773" s="6" t="s">
        <v>35</v>
      </c>
      <c r="E3773" s="6" t="s">
        <v>0</v>
      </c>
      <c r="F3773" s="6" t="s">
        <v>45</v>
      </c>
      <c r="G3773" s="6">
        <v>2015</v>
      </c>
      <c r="H3773" s="6">
        <v>12</v>
      </c>
      <c r="I3773" s="10">
        <v>42339</v>
      </c>
      <c r="J3773" s="6">
        <v>2258</v>
      </c>
      <c r="K3773" s="51"/>
      <c r="O3773" t="s">
        <v>12</v>
      </c>
      <c r="P3773" t="s">
        <v>34</v>
      </c>
      <c r="Q3773" t="s">
        <v>35</v>
      </c>
      <c r="R3773" t="s">
        <v>0</v>
      </c>
      <c r="S3773" t="s">
        <v>45</v>
      </c>
      <c r="T3773">
        <v>2015</v>
      </c>
      <c r="U3773">
        <v>12</v>
      </c>
      <c r="V3773" s="51">
        <v>42339</v>
      </c>
      <c r="W3773" s="4">
        <v>1964.4600000000003</v>
      </c>
      <c r="X3773" s="52">
        <v>2258</v>
      </c>
    </row>
    <row r="3774" spans="2:24" x14ac:dyDescent="0.35">
      <c r="B3774" s="6" t="s">
        <v>14</v>
      </c>
      <c r="C3774" s="6" t="s">
        <v>37</v>
      </c>
      <c r="D3774" s="6" t="s">
        <v>38</v>
      </c>
      <c r="E3774" s="6" t="s">
        <v>27</v>
      </c>
      <c r="F3774" s="6" t="s">
        <v>28</v>
      </c>
      <c r="G3774" s="6">
        <v>2015</v>
      </c>
      <c r="H3774" s="6">
        <v>12</v>
      </c>
      <c r="I3774" s="10">
        <v>42339</v>
      </c>
      <c r="J3774" s="6">
        <v>3642</v>
      </c>
      <c r="K3774" s="51"/>
      <c r="O3774" t="s">
        <v>14</v>
      </c>
      <c r="P3774" t="s">
        <v>37</v>
      </c>
      <c r="Q3774" t="s">
        <v>38</v>
      </c>
      <c r="R3774" t="s">
        <v>27</v>
      </c>
      <c r="S3774" t="s">
        <v>28</v>
      </c>
      <c r="T3774">
        <v>2015</v>
      </c>
      <c r="U3774">
        <v>12</v>
      </c>
      <c r="V3774" s="51">
        <v>42339</v>
      </c>
      <c r="W3774" s="4">
        <v>3350.64</v>
      </c>
      <c r="X3774" s="52">
        <v>3642</v>
      </c>
    </row>
    <row r="3775" spans="2:24" x14ac:dyDescent="0.35">
      <c r="B3775" s="6" t="s">
        <v>14</v>
      </c>
      <c r="C3775" s="6" t="s">
        <v>37</v>
      </c>
      <c r="D3775" s="6" t="s">
        <v>38</v>
      </c>
      <c r="E3775" s="6" t="s">
        <v>27</v>
      </c>
      <c r="F3775" s="6" t="s">
        <v>31</v>
      </c>
      <c r="G3775" s="6">
        <v>2015</v>
      </c>
      <c r="H3775" s="6">
        <v>12</v>
      </c>
      <c r="I3775" s="10">
        <v>42339</v>
      </c>
      <c r="J3775" s="6">
        <v>2961</v>
      </c>
      <c r="K3775" s="51"/>
      <c r="O3775" t="s">
        <v>14</v>
      </c>
      <c r="P3775" t="s">
        <v>37</v>
      </c>
      <c r="Q3775" t="s">
        <v>38</v>
      </c>
      <c r="R3775" t="s">
        <v>27</v>
      </c>
      <c r="S3775" t="s">
        <v>31</v>
      </c>
      <c r="T3775">
        <v>2015</v>
      </c>
      <c r="U3775">
        <v>12</v>
      </c>
      <c r="V3775" s="51">
        <v>42339</v>
      </c>
      <c r="W3775" s="4">
        <v>2664.8999999999996</v>
      </c>
      <c r="X3775" s="52">
        <v>2961</v>
      </c>
    </row>
    <row r="3776" spans="2:24" x14ac:dyDescent="0.35">
      <c r="B3776" s="6" t="s">
        <v>12</v>
      </c>
      <c r="C3776" s="6" t="s">
        <v>44</v>
      </c>
      <c r="D3776" s="6" t="s">
        <v>13</v>
      </c>
      <c r="E3776" s="6" t="s">
        <v>23</v>
      </c>
      <c r="F3776" s="6" t="s">
        <v>36</v>
      </c>
      <c r="G3776" s="6">
        <v>2015</v>
      </c>
      <c r="H3776" s="6">
        <v>12</v>
      </c>
      <c r="I3776" s="10">
        <v>42339</v>
      </c>
      <c r="J3776" s="6">
        <v>1581</v>
      </c>
      <c r="K3776" s="51"/>
      <c r="O3776" t="s">
        <v>12</v>
      </c>
      <c r="P3776" t="s">
        <v>44</v>
      </c>
      <c r="Q3776" t="s">
        <v>13</v>
      </c>
      <c r="R3776" t="s">
        <v>23</v>
      </c>
      <c r="S3776" t="s">
        <v>36</v>
      </c>
      <c r="T3776">
        <v>2015</v>
      </c>
      <c r="U3776">
        <v>12</v>
      </c>
      <c r="V3776" s="51">
        <v>42339</v>
      </c>
      <c r="W3776" s="4">
        <v>1470.33</v>
      </c>
      <c r="X3776" s="52">
        <v>1581</v>
      </c>
    </row>
    <row r="3777" spans="2:24" x14ac:dyDescent="0.35">
      <c r="B3777" s="6" t="s">
        <v>14</v>
      </c>
      <c r="C3777" s="6" t="s">
        <v>46</v>
      </c>
      <c r="D3777" s="6" t="s">
        <v>47</v>
      </c>
      <c r="E3777" s="6" t="s">
        <v>23</v>
      </c>
      <c r="F3777" s="6" t="s">
        <v>24</v>
      </c>
      <c r="G3777" s="6">
        <v>2015</v>
      </c>
      <c r="H3777" s="6">
        <v>12</v>
      </c>
      <c r="I3777" s="10">
        <v>42339</v>
      </c>
      <c r="J3777" s="6">
        <v>2161</v>
      </c>
      <c r="K3777" s="51"/>
      <c r="O3777" t="s">
        <v>14</v>
      </c>
      <c r="P3777" t="s">
        <v>46</v>
      </c>
      <c r="Q3777" t="s">
        <v>47</v>
      </c>
      <c r="R3777" t="s">
        <v>23</v>
      </c>
      <c r="S3777" t="s">
        <v>24</v>
      </c>
      <c r="T3777">
        <v>2015</v>
      </c>
      <c r="U3777">
        <v>12</v>
      </c>
      <c r="V3777" s="51">
        <v>42339</v>
      </c>
      <c r="W3777" s="4">
        <v>1944.8999999999999</v>
      </c>
      <c r="X3777" s="52">
        <v>2161</v>
      </c>
    </row>
    <row r="3778" spans="2:24" x14ac:dyDescent="0.35">
      <c r="B3778" s="6" t="s">
        <v>14</v>
      </c>
      <c r="C3778" s="6" t="s">
        <v>46</v>
      </c>
      <c r="D3778" s="6" t="s">
        <v>47</v>
      </c>
      <c r="E3778" s="6" t="s">
        <v>23</v>
      </c>
      <c r="F3778" s="6" t="s">
        <v>39</v>
      </c>
      <c r="G3778" s="6">
        <v>2015</v>
      </c>
      <c r="H3778" s="6">
        <v>12</v>
      </c>
      <c r="I3778" s="10">
        <v>42339</v>
      </c>
      <c r="J3778" s="6">
        <v>2006</v>
      </c>
      <c r="K3778" s="51"/>
      <c r="O3778" t="s">
        <v>14</v>
      </c>
      <c r="P3778" t="s">
        <v>46</v>
      </c>
      <c r="Q3778" t="s">
        <v>47</v>
      </c>
      <c r="R3778" t="s">
        <v>23</v>
      </c>
      <c r="S3778" t="s">
        <v>39</v>
      </c>
      <c r="T3778">
        <v>2015</v>
      </c>
      <c r="U3778">
        <v>12</v>
      </c>
      <c r="V3778" s="51">
        <v>42339</v>
      </c>
      <c r="W3778" s="4">
        <v>1785.3399999999997</v>
      </c>
      <c r="X3778" s="52">
        <v>2006</v>
      </c>
    </row>
    <row r="3779" spans="2:24" x14ac:dyDescent="0.35">
      <c r="B3779" s="6" t="s">
        <v>7</v>
      </c>
      <c r="C3779" s="6" t="s">
        <v>43</v>
      </c>
      <c r="D3779" s="6" t="s">
        <v>10</v>
      </c>
      <c r="E3779" s="6" t="s">
        <v>0</v>
      </c>
      <c r="F3779" s="6" t="s">
        <v>42</v>
      </c>
      <c r="G3779" s="6">
        <v>2015</v>
      </c>
      <c r="H3779" s="6">
        <v>12</v>
      </c>
      <c r="I3779" s="10">
        <v>42339</v>
      </c>
      <c r="J3779" s="6">
        <v>5661</v>
      </c>
      <c r="K3779" s="51"/>
      <c r="O3779" t="s">
        <v>7</v>
      </c>
      <c r="P3779" t="s">
        <v>43</v>
      </c>
      <c r="Q3779" t="s">
        <v>10</v>
      </c>
      <c r="R3779" t="s">
        <v>0</v>
      </c>
      <c r="S3779" t="s">
        <v>42</v>
      </c>
      <c r="T3779">
        <v>2015</v>
      </c>
      <c r="U3779">
        <v>12</v>
      </c>
      <c r="V3779" s="51">
        <v>42339</v>
      </c>
      <c r="W3779" s="4">
        <v>5151.5099999999993</v>
      </c>
      <c r="X3779" s="52">
        <v>5661</v>
      </c>
    </row>
    <row r="3780" spans="2:24" x14ac:dyDescent="0.35">
      <c r="B3780" s="6" t="s">
        <v>6</v>
      </c>
      <c r="C3780" s="6" t="s">
        <v>40</v>
      </c>
      <c r="D3780" s="6" t="s">
        <v>41</v>
      </c>
      <c r="E3780" s="6" t="s">
        <v>27</v>
      </c>
      <c r="F3780" s="6" t="s">
        <v>31</v>
      </c>
      <c r="G3780" s="6">
        <v>2015</v>
      </c>
      <c r="H3780" s="6">
        <v>12</v>
      </c>
      <c r="I3780" s="10">
        <v>42339</v>
      </c>
      <c r="J3780" s="6">
        <v>3340</v>
      </c>
      <c r="K3780" s="51"/>
      <c r="O3780" t="s">
        <v>6</v>
      </c>
      <c r="P3780" t="s">
        <v>40</v>
      </c>
      <c r="Q3780" t="s">
        <v>41</v>
      </c>
      <c r="R3780" t="s">
        <v>27</v>
      </c>
      <c r="S3780" t="s">
        <v>31</v>
      </c>
      <c r="T3780">
        <v>2015</v>
      </c>
      <c r="U3780">
        <v>12</v>
      </c>
      <c r="V3780" s="51">
        <v>42339</v>
      </c>
      <c r="W3780" s="4">
        <v>2939.2</v>
      </c>
      <c r="X3780" s="52">
        <v>3340</v>
      </c>
    </row>
    <row r="3781" spans="2:24" x14ac:dyDescent="0.35">
      <c r="B3781" s="6" t="s">
        <v>3</v>
      </c>
      <c r="C3781" s="6" t="s">
        <v>22</v>
      </c>
      <c r="D3781" s="6" t="s">
        <v>5</v>
      </c>
      <c r="E3781" s="6" t="s">
        <v>23</v>
      </c>
      <c r="F3781" s="6" t="s">
        <v>39</v>
      </c>
      <c r="G3781" s="6">
        <v>2015</v>
      </c>
      <c r="H3781" s="6">
        <v>12</v>
      </c>
      <c r="I3781" s="10">
        <v>42339</v>
      </c>
      <c r="J3781" s="6">
        <v>1526</v>
      </c>
      <c r="K3781" s="51"/>
      <c r="O3781" t="s">
        <v>3</v>
      </c>
      <c r="P3781" t="s">
        <v>22</v>
      </c>
      <c r="Q3781" t="s">
        <v>5</v>
      </c>
      <c r="R3781" t="s">
        <v>23</v>
      </c>
      <c r="S3781" t="s">
        <v>39</v>
      </c>
      <c r="T3781">
        <v>2015</v>
      </c>
      <c r="U3781">
        <v>12</v>
      </c>
      <c r="V3781" s="51">
        <v>42339</v>
      </c>
      <c r="W3781" s="4">
        <v>1312.3600000000001</v>
      </c>
      <c r="X3781" s="52">
        <v>1526</v>
      </c>
    </row>
    <row r="3782" spans="2:24" x14ac:dyDescent="0.35">
      <c r="B3782" s="6" t="s">
        <v>3</v>
      </c>
      <c r="C3782" s="6" t="s">
        <v>22</v>
      </c>
      <c r="D3782" s="6" t="s">
        <v>5</v>
      </c>
      <c r="E3782" s="6" t="s">
        <v>0</v>
      </c>
      <c r="F3782" s="6" t="s">
        <v>42</v>
      </c>
      <c r="G3782" s="6">
        <v>2015</v>
      </c>
      <c r="H3782" s="6">
        <v>12</v>
      </c>
      <c r="I3782" s="10">
        <v>42339</v>
      </c>
      <c r="J3782" s="6">
        <v>4061</v>
      </c>
      <c r="K3782" s="51"/>
      <c r="O3782" t="s">
        <v>3</v>
      </c>
      <c r="P3782" t="s">
        <v>22</v>
      </c>
      <c r="Q3782" t="s">
        <v>5</v>
      </c>
      <c r="R3782" t="s">
        <v>0</v>
      </c>
      <c r="S3782" t="s">
        <v>42</v>
      </c>
      <c r="T3782">
        <v>2015</v>
      </c>
      <c r="U3782">
        <v>12</v>
      </c>
      <c r="V3782" s="51">
        <v>42339</v>
      </c>
      <c r="W3782" s="4">
        <v>3451.8500000000004</v>
      </c>
      <c r="X3782" s="52">
        <v>4061</v>
      </c>
    </row>
    <row r="3783" spans="2:24" x14ac:dyDescent="0.35">
      <c r="B3783" s="6" t="s">
        <v>6</v>
      </c>
      <c r="C3783" s="6" t="s">
        <v>29</v>
      </c>
      <c r="D3783" s="6" t="s">
        <v>30</v>
      </c>
      <c r="E3783" s="6" t="s">
        <v>0</v>
      </c>
      <c r="F3783" s="6" t="s">
        <v>26</v>
      </c>
      <c r="G3783" s="6">
        <v>2015</v>
      </c>
      <c r="H3783" s="6">
        <v>12</v>
      </c>
      <c r="I3783" s="10">
        <v>42339</v>
      </c>
      <c r="J3783" s="6">
        <v>3392</v>
      </c>
      <c r="K3783" s="51"/>
      <c r="O3783" t="s">
        <v>6</v>
      </c>
      <c r="P3783" t="s">
        <v>29</v>
      </c>
      <c r="Q3783" t="s">
        <v>30</v>
      </c>
      <c r="R3783" t="s">
        <v>0</v>
      </c>
      <c r="S3783" t="s">
        <v>26</v>
      </c>
      <c r="T3783">
        <v>2015</v>
      </c>
      <c r="U3783">
        <v>12</v>
      </c>
      <c r="V3783" s="51">
        <v>42339</v>
      </c>
      <c r="W3783" s="4">
        <v>2883.2000000000003</v>
      </c>
      <c r="X3783" s="52">
        <v>3392</v>
      </c>
    </row>
    <row r="3784" spans="2:24" x14ac:dyDescent="0.35">
      <c r="B3784" s="6" t="s">
        <v>7</v>
      </c>
      <c r="C3784" s="6" t="s">
        <v>48</v>
      </c>
      <c r="D3784" s="6" t="s">
        <v>9</v>
      </c>
      <c r="E3784" s="6" t="s">
        <v>27</v>
      </c>
      <c r="F3784" s="6" t="s">
        <v>28</v>
      </c>
      <c r="G3784" s="6">
        <v>2015</v>
      </c>
      <c r="H3784" s="6">
        <v>12</v>
      </c>
      <c r="I3784" s="10">
        <v>42339</v>
      </c>
      <c r="J3784" s="6">
        <v>4090</v>
      </c>
      <c r="K3784" s="51"/>
      <c r="O3784" t="s">
        <v>7</v>
      </c>
      <c r="P3784" t="s">
        <v>48</v>
      </c>
      <c r="Q3784" t="s">
        <v>9</v>
      </c>
      <c r="R3784" t="s">
        <v>27</v>
      </c>
      <c r="S3784" t="s">
        <v>28</v>
      </c>
      <c r="T3784">
        <v>2015</v>
      </c>
      <c r="U3784">
        <v>12</v>
      </c>
      <c r="V3784" s="51">
        <v>42339</v>
      </c>
      <c r="W3784" s="4">
        <v>3517.4000000000005</v>
      </c>
      <c r="X3784" s="52">
        <v>4090</v>
      </c>
    </row>
    <row r="3785" spans="2:24" x14ac:dyDescent="0.35">
      <c r="B3785" s="6" t="s">
        <v>7</v>
      </c>
      <c r="C3785" s="6" t="s">
        <v>48</v>
      </c>
      <c r="D3785" s="6" t="s">
        <v>9</v>
      </c>
      <c r="E3785" s="6" t="s">
        <v>27</v>
      </c>
      <c r="F3785" s="6" t="s">
        <v>31</v>
      </c>
      <c r="G3785" s="6">
        <v>2015</v>
      </c>
      <c r="H3785" s="6">
        <v>12</v>
      </c>
      <c r="I3785" s="10">
        <v>42339</v>
      </c>
      <c r="J3785" s="6">
        <v>3229</v>
      </c>
      <c r="K3785" s="51"/>
      <c r="O3785" t="s">
        <v>7</v>
      </c>
      <c r="P3785" t="s">
        <v>48</v>
      </c>
      <c r="Q3785" t="s">
        <v>9</v>
      </c>
      <c r="R3785" t="s">
        <v>27</v>
      </c>
      <c r="S3785" t="s">
        <v>31</v>
      </c>
      <c r="T3785">
        <v>2015</v>
      </c>
      <c r="U3785">
        <v>12</v>
      </c>
      <c r="V3785" s="51">
        <v>42339</v>
      </c>
      <c r="W3785" s="4">
        <v>2873.8099999999995</v>
      </c>
      <c r="X3785" s="52">
        <v>3229</v>
      </c>
    </row>
    <row r="3786" spans="2:24" x14ac:dyDescent="0.35">
      <c r="B3786" s="6" t="s">
        <v>7</v>
      </c>
      <c r="C3786" s="6" t="s">
        <v>49</v>
      </c>
      <c r="D3786" s="6" t="s">
        <v>11</v>
      </c>
      <c r="E3786" s="6" t="s">
        <v>27</v>
      </c>
      <c r="F3786" s="6" t="s">
        <v>33</v>
      </c>
      <c r="G3786" s="6">
        <v>2015</v>
      </c>
      <c r="H3786" s="6">
        <v>12</v>
      </c>
      <c r="I3786" s="10">
        <v>42339</v>
      </c>
      <c r="J3786" s="6">
        <v>2807</v>
      </c>
      <c r="K3786" s="51"/>
      <c r="O3786" t="s">
        <v>7</v>
      </c>
      <c r="P3786" t="s">
        <v>49</v>
      </c>
      <c r="Q3786" t="s">
        <v>11</v>
      </c>
      <c r="R3786" t="s">
        <v>27</v>
      </c>
      <c r="S3786" t="s">
        <v>33</v>
      </c>
      <c r="T3786">
        <v>2015</v>
      </c>
      <c r="U3786">
        <v>12</v>
      </c>
      <c r="V3786" s="51">
        <v>42339</v>
      </c>
      <c r="W3786" s="4">
        <v>2414.0200000000004</v>
      </c>
      <c r="X3786" s="52">
        <v>2807</v>
      </c>
    </row>
    <row r="3787" spans="2:24" x14ac:dyDescent="0.35">
      <c r="B3787" s="6" t="s">
        <v>7</v>
      </c>
      <c r="C3787" s="6" t="s">
        <v>49</v>
      </c>
      <c r="D3787" s="6" t="s">
        <v>11</v>
      </c>
      <c r="E3787" s="6" t="s">
        <v>23</v>
      </c>
      <c r="F3787" s="6" t="s">
        <v>36</v>
      </c>
      <c r="G3787" s="6">
        <v>2015</v>
      </c>
      <c r="H3787" s="6">
        <v>12</v>
      </c>
      <c r="I3787" s="10">
        <v>42339</v>
      </c>
      <c r="J3787" s="6">
        <v>2615</v>
      </c>
      <c r="K3787" s="51"/>
      <c r="O3787" t="s">
        <v>7</v>
      </c>
      <c r="P3787" t="s">
        <v>49</v>
      </c>
      <c r="Q3787" t="s">
        <v>11</v>
      </c>
      <c r="R3787" t="s">
        <v>23</v>
      </c>
      <c r="S3787" t="s">
        <v>36</v>
      </c>
      <c r="T3787">
        <v>2015</v>
      </c>
      <c r="U3787">
        <v>12</v>
      </c>
      <c r="V3787" s="51">
        <v>42339</v>
      </c>
      <c r="W3787" s="4">
        <v>2431.9499999999998</v>
      </c>
      <c r="X3787" s="52">
        <v>2615</v>
      </c>
    </row>
    <row r="3788" spans="2:24" x14ac:dyDescent="0.35">
      <c r="B3788" s="6" t="s">
        <v>7</v>
      </c>
      <c r="C3788" s="6" t="s">
        <v>43</v>
      </c>
      <c r="D3788" s="6" t="s">
        <v>10</v>
      </c>
      <c r="E3788" s="6" t="s">
        <v>23</v>
      </c>
      <c r="F3788" s="6" t="s">
        <v>36</v>
      </c>
      <c r="G3788" s="6">
        <v>2015</v>
      </c>
      <c r="H3788" s="6">
        <v>12</v>
      </c>
      <c r="I3788" s="10">
        <v>42339</v>
      </c>
      <c r="J3788" s="6">
        <v>2751</v>
      </c>
      <c r="K3788" s="51"/>
      <c r="O3788" t="s">
        <v>7</v>
      </c>
      <c r="P3788" t="s">
        <v>43</v>
      </c>
      <c r="Q3788" t="s">
        <v>10</v>
      </c>
      <c r="R3788" t="s">
        <v>23</v>
      </c>
      <c r="S3788" t="s">
        <v>36</v>
      </c>
      <c r="T3788">
        <v>2015</v>
      </c>
      <c r="U3788">
        <v>12</v>
      </c>
      <c r="V3788" s="51">
        <v>42339</v>
      </c>
      <c r="W3788" s="4">
        <v>2585.94</v>
      </c>
      <c r="X3788" s="52">
        <v>2751</v>
      </c>
    </row>
    <row r="3789" spans="2:24" x14ac:dyDescent="0.35">
      <c r="B3789" s="6" t="s">
        <v>6</v>
      </c>
      <c r="C3789" s="6" t="s">
        <v>40</v>
      </c>
      <c r="D3789" s="6" t="s">
        <v>41</v>
      </c>
      <c r="E3789" s="6" t="s">
        <v>0</v>
      </c>
      <c r="F3789" s="6" t="s">
        <v>45</v>
      </c>
      <c r="G3789" s="6">
        <v>2015</v>
      </c>
      <c r="H3789" s="6">
        <v>12</v>
      </c>
      <c r="I3789" s="10">
        <v>42339</v>
      </c>
      <c r="J3789" s="6">
        <v>2315</v>
      </c>
      <c r="K3789" s="51"/>
      <c r="O3789" t="s">
        <v>6</v>
      </c>
      <c r="P3789" t="s">
        <v>40</v>
      </c>
      <c r="Q3789" t="s">
        <v>41</v>
      </c>
      <c r="R3789" t="s">
        <v>0</v>
      </c>
      <c r="S3789" t="s">
        <v>45</v>
      </c>
      <c r="T3789">
        <v>2015</v>
      </c>
      <c r="U3789">
        <v>12</v>
      </c>
      <c r="V3789" s="51">
        <v>42339</v>
      </c>
      <c r="W3789" s="4">
        <v>2106.6499999999996</v>
      </c>
      <c r="X3789" s="52">
        <v>2315</v>
      </c>
    </row>
    <row r="3790" spans="2:24" x14ac:dyDescent="0.35">
      <c r="B3790" s="6" t="s">
        <v>7</v>
      </c>
      <c r="C3790" s="6" t="s">
        <v>32</v>
      </c>
      <c r="D3790" s="6" t="s">
        <v>8</v>
      </c>
      <c r="E3790" s="6" t="s">
        <v>27</v>
      </c>
      <c r="F3790" s="6" t="s">
        <v>28</v>
      </c>
      <c r="G3790" s="6">
        <v>2015</v>
      </c>
      <c r="H3790" s="6">
        <v>12</v>
      </c>
      <c r="I3790" s="10">
        <v>42339</v>
      </c>
      <c r="J3790" s="6">
        <v>4261</v>
      </c>
      <c r="K3790" s="51"/>
      <c r="O3790" t="s">
        <v>7</v>
      </c>
      <c r="P3790" t="s">
        <v>32</v>
      </c>
      <c r="Q3790" t="s">
        <v>8</v>
      </c>
      <c r="R3790" t="s">
        <v>27</v>
      </c>
      <c r="S3790" t="s">
        <v>28</v>
      </c>
      <c r="T3790">
        <v>2015</v>
      </c>
      <c r="U3790">
        <v>12</v>
      </c>
      <c r="V3790" s="51">
        <v>42339</v>
      </c>
      <c r="W3790" s="4">
        <v>3877.5099999999998</v>
      </c>
      <c r="X3790" s="52">
        <v>4261</v>
      </c>
    </row>
    <row r="3791" spans="2:24" x14ac:dyDescent="0.35">
      <c r="B3791" s="6" t="s">
        <v>7</v>
      </c>
      <c r="C3791" s="6" t="s">
        <v>32</v>
      </c>
      <c r="D3791" s="6" t="s">
        <v>8</v>
      </c>
      <c r="E3791" s="6" t="s">
        <v>27</v>
      </c>
      <c r="F3791" s="6" t="s">
        <v>31</v>
      </c>
      <c r="G3791" s="6">
        <v>2015</v>
      </c>
      <c r="H3791" s="6">
        <v>12</v>
      </c>
      <c r="I3791" s="10">
        <v>42339</v>
      </c>
      <c r="J3791" s="6">
        <v>4601</v>
      </c>
      <c r="K3791" s="51"/>
      <c r="O3791" t="s">
        <v>7</v>
      </c>
      <c r="P3791" t="s">
        <v>32</v>
      </c>
      <c r="Q3791" t="s">
        <v>8</v>
      </c>
      <c r="R3791" t="s">
        <v>27</v>
      </c>
      <c r="S3791" t="s">
        <v>31</v>
      </c>
      <c r="T3791">
        <v>2015</v>
      </c>
      <c r="U3791">
        <v>12</v>
      </c>
      <c r="V3791" s="51">
        <v>42339</v>
      </c>
      <c r="W3791" s="4">
        <v>4232.92</v>
      </c>
      <c r="X3791" s="52">
        <v>4601</v>
      </c>
    </row>
    <row r="3792" spans="2:24" x14ac:dyDescent="0.35">
      <c r="B3792" s="6" t="s">
        <v>6</v>
      </c>
      <c r="C3792" s="6" t="s">
        <v>29</v>
      </c>
      <c r="D3792" s="6" t="s">
        <v>30</v>
      </c>
      <c r="E3792" s="6" t="s">
        <v>23</v>
      </c>
      <c r="F3792" s="6" t="s">
        <v>24</v>
      </c>
      <c r="G3792" s="6">
        <v>2015</v>
      </c>
      <c r="H3792" s="6">
        <v>12</v>
      </c>
      <c r="I3792" s="10">
        <v>42339</v>
      </c>
      <c r="J3792" s="6">
        <v>3089</v>
      </c>
      <c r="K3792" s="51"/>
      <c r="O3792" t="s">
        <v>6</v>
      </c>
      <c r="P3792" t="s">
        <v>29</v>
      </c>
      <c r="Q3792" t="s">
        <v>30</v>
      </c>
      <c r="R3792" t="s">
        <v>23</v>
      </c>
      <c r="S3792" t="s">
        <v>24</v>
      </c>
      <c r="T3792">
        <v>2015</v>
      </c>
      <c r="U3792">
        <v>12</v>
      </c>
      <c r="V3792" s="51">
        <v>42339</v>
      </c>
      <c r="W3792" s="4">
        <v>2625.65</v>
      </c>
      <c r="X3792" s="52">
        <v>3089</v>
      </c>
    </row>
    <row r="3793" spans="2:24" x14ac:dyDescent="0.35">
      <c r="B3793" s="6" t="s">
        <v>7</v>
      </c>
      <c r="C3793" s="6" t="s">
        <v>48</v>
      </c>
      <c r="D3793" s="6" t="s">
        <v>9</v>
      </c>
      <c r="E3793" s="6" t="s">
        <v>0</v>
      </c>
      <c r="F3793" s="6" t="s">
        <v>42</v>
      </c>
      <c r="G3793" s="6">
        <v>2015</v>
      </c>
      <c r="H3793" s="6">
        <v>12</v>
      </c>
      <c r="I3793" s="10">
        <v>42339</v>
      </c>
      <c r="J3793" s="6">
        <v>4912</v>
      </c>
      <c r="K3793" s="51"/>
      <c r="O3793" t="s">
        <v>7</v>
      </c>
      <c r="P3793" t="s">
        <v>48</v>
      </c>
      <c r="Q3793" t="s">
        <v>9</v>
      </c>
      <c r="R3793" t="s">
        <v>0</v>
      </c>
      <c r="S3793" t="s">
        <v>42</v>
      </c>
      <c r="T3793">
        <v>2015</v>
      </c>
      <c r="U3793">
        <v>12</v>
      </c>
      <c r="V3793" s="51">
        <v>42339</v>
      </c>
      <c r="W3793" s="4">
        <v>4175.2000000000007</v>
      </c>
      <c r="X3793" s="52">
        <v>4912</v>
      </c>
    </row>
    <row r="3794" spans="2:24" x14ac:dyDescent="0.35">
      <c r="B3794" s="6" t="s">
        <v>7</v>
      </c>
      <c r="C3794" s="6" t="s">
        <v>48</v>
      </c>
      <c r="D3794" s="6" t="s">
        <v>9</v>
      </c>
      <c r="E3794" s="6" t="s">
        <v>0</v>
      </c>
      <c r="F3794" s="6" t="s">
        <v>26</v>
      </c>
      <c r="G3794" s="6">
        <v>2015</v>
      </c>
      <c r="H3794" s="6">
        <v>12</v>
      </c>
      <c r="I3794" s="10">
        <v>42339</v>
      </c>
      <c r="J3794" s="6">
        <v>3945</v>
      </c>
      <c r="K3794" s="51"/>
      <c r="O3794" t="s">
        <v>7</v>
      </c>
      <c r="P3794" t="s">
        <v>48</v>
      </c>
      <c r="Q3794" t="s">
        <v>9</v>
      </c>
      <c r="R3794" t="s">
        <v>0</v>
      </c>
      <c r="S3794" t="s">
        <v>26</v>
      </c>
      <c r="T3794">
        <v>2015</v>
      </c>
      <c r="U3794">
        <v>12</v>
      </c>
      <c r="V3794" s="51">
        <v>42339</v>
      </c>
      <c r="W3794" s="4">
        <v>3392.7000000000003</v>
      </c>
      <c r="X3794" s="52">
        <v>3945</v>
      </c>
    </row>
    <row r="3795" spans="2:24" x14ac:dyDescent="0.35">
      <c r="B3795" s="6" t="s">
        <v>7</v>
      </c>
      <c r="C3795" s="6" t="s">
        <v>49</v>
      </c>
      <c r="D3795" s="6" t="s">
        <v>11</v>
      </c>
      <c r="E3795" s="6" t="s">
        <v>0</v>
      </c>
      <c r="F3795" s="6" t="s">
        <v>45</v>
      </c>
      <c r="G3795" s="6">
        <v>2015</v>
      </c>
      <c r="H3795" s="6">
        <v>12</v>
      </c>
      <c r="I3795" s="10">
        <v>42339</v>
      </c>
      <c r="J3795" s="6">
        <v>3077</v>
      </c>
      <c r="K3795" s="51"/>
      <c r="O3795" t="s">
        <v>7</v>
      </c>
      <c r="P3795" t="s">
        <v>49</v>
      </c>
      <c r="Q3795" t="s">
        <v>11</v>
      </c>
      <c r="R3795" t="s">
        <v>0</v>
      </c>
      <c r="S3795" t="s">
        <v>45</v>
      </c>
      <c r="T3795">
        <v>2015</v>
      </c>
      <c r="U3795">
        <v>12</v>
      </c>
      <c r="V3795" s="51">
        <v>42339</v>
      </c>
      <c r="W3795" s="4">
        <v>2800.0699999999997</v>
      </c>
      <c r="X3795" s="52">
        <v>3077</v>
      </c>
    </row>
    <row r="3796" spans="2:24" x14ac:dyDescent="0.35">
      <c r="B3796" s="6" t="s">
        <v>7</v>
      </c>
      <c r="C3796" s="6" t="s">
        <v>49</v>
      </c>
      <c r="D3796" s="6" t="s">
        <v>11</v>
      </c>
      <c r="E3796" s="6" t="s">
        <v>27</v>
      </c>
      <c r="F3796" s="6" t="s">
        <v>28</v>
      </c>
      <c r="G3796" s="6">
        <v>2015</v>
      </c>
      <c r="H3796" s="6">
        <v>12</v>
      </c>
      <c r="I3796" s="10">
        <v>42339</v>
      </c>
      <c r="J3796" s="6">
        <v>5049</v>
      </c>
      <c r="K3796" s="51"/>
      <c r="O3796" t="s">
        <v>7</v>
      </c>
      <c r="P3796" t="s">
        <v>49</v>
      </c>
      <c r="Q3796" t="s">
        <v>11</v>
      </c>
      <c r="R3796" t="s">
        <v>27</v>
      </c>
      <c r="S3796" t="s">
        <v>28</v>
      </c>
      <c r="T3796">
        <v>2015</v>
      </c>
      <c r="U3796">
        <v>12</v>
      </c>
      <c r="V3796" s="51">
        <v>42339</v>
      </c>
      <c r="W3796" s="4">
        <v>4291.6500000000005</v>
      </c>
      <c r="X3796" s="52">
        <v>5049</v>
      </c>
    </row>
    <row r="3797" spans="2:24" x14ac:dyDescent="0.35">
      <c r="B3797" s="6" t="s">
        <v>12</v>
      </c>
      <c r="C3797" s="6" t="s">
        <v>34</v>
      </c>
      <c r="D3797" s="6" t="s">
        <v>35</v>
      </c>
      <c r="E3797" s="6" t="s">
        <v>27</v>
      </c>
      <c r="F3797" s="6" t="s">
        <v>31</v>
      </c>
      <c r="G3797" s="6">
        <v>2015</v>
      </c>
      <c r="H3797" s="6">
        <v>12</v>
      </c>
      <c r="I3797" s="10">
        <v>42339</v>
      </c>
      <c r="J3797" s="6">
        <v>4524</v>
      </c>
      <c r="K3797" s="51"/>
      <c r="O3797" t="s">
        <v>12</v>
      </c>
      <c r="P3797" t="s">
        <v>34</v>
      </c>
      <c r="Q3797" t="s">
        <v>35</v>
      </c>
      <c r="R3797" t="s">
        <v>27</v>
      </c>
      <c r="S3797" t="s">
        <v>31</v>
      </c>
      <c r="T3797">
        <v>2015</v>
      </c>
      <c r="U3797">
        <v>12</v>
      </c>
      <c r="V3797" s="51">
        <v>42339</v>
      </c>
      <c r="W3797" s="4">
        <v>3845.4000000000005</v>
      </c>
      <c r="X3797" s="52">
        <v>4524</v>
      </c>
    </row>
    <row r="3798" spans="2:24" x14ac:dyDescent="0.35">
      <c r="B3798" s="6" t="s">
        <v>12</v>
      </c>
      <c r="C3798" s="6" t="s">
        <v>34</v>
      </c>
      <c r="D3798" s="6" t="s">
        <v>35</v>
      </c>
      <c r="E3798" s="6" t="s">
        <v>27</v>
      </c>
      <c r="F3798" s="6" t="s">
        <v>33</v>
      </c>
      <c r="G3798" s="6">
        <v>2015</v>
      </c>
      <c r="H3798" s="6">
        <v>12</v>
      </c>
      <c r="I3798" s="10">
        <v>42339</v>
      </c>
      <c r="J3798" s="6">
        <v>2901</v>
      </c>
      <c r="K3798" s="51"/>
      <c r="O3798" t="s">
        <v>12</v>
      </c>
      <c r="P3798" t="s">
        <v>34</v>
      </c>
      <c r="Q3798" t="s">
        <v>35</v>
      </c>
      <c r="R3798" t="s">
        <v>27</v>
      </c>
      <c r="S3798" t="s">
        <v>33</v>
      </c>
      <c r="T3798">
        <v>2015</v>
      </c>
      <c r="U3798">
        <v>12</v>
      </c>
      <c r="V3798" s="51">
        <v>42339</v>
      </c>
      <c r="W3798" s="4">
        <v>2726.94</v>
      </c>
      <c r="X3798" s="52">
        <v>2901</v>
      </c>
    </row>
    <row r="3799" spans="2:24" x14ac:dyDescent="0.35">
      <c r="B3799" s="6" t="s">
        <v>14</v>
      </c>
      <c r="C3799" s="6" t="s">
        <v>37</v>
      </c>
      <c r="D3799" s="6" t="s">
        <v>38</v>
      </c>
      <c r="E3799" s="6" t="s">
        <v>23</v>
      </c>
      <c r="F3799" s="6" t="s">
        <v>36</v>
      </c>
      <c r="G3799" s="6">
        <v>2015</v>
      </c>
      <c r="H3799" s="6">
        <v>12</v>
      </c>
      <c r="I3799" s="10">
        <v>42339</v>
      </c>
      <c r="J3799" s="6">
        <v>2948</v>
      </c>
      <c r="K3799" s="51"/>
      <c r="O3799" t="s">
        <v>14</v>
      </c>
      <c r="P3799" t="s">
        <v>37</v>
      </c>
      <c r="Q3799" t="s">
        <v>38</v>
      </c>
      <c r="R3799" t="s">
        <v>23</v>
      </c>
      <c r="S3799" t="s">
        <v>36</v>
      </c>
      <c r="T3799">
        <v>2015</v>
      </c>
      <c r="U3799">
        <v>12</v>
      </c>
      <c r="V3799" s="51">
        <v>42339</v>
      </c>
      <c r="W3799" s="4">
        <v>2594.2399999999998</v>
      </c>
      <c r="X3799" s="52">
        <v>2948</v>
      </c>
    </row>
    <row r="3800" spans="2:24" x14ac:dyDescent="0.35">
      <c r="B3800" s="6" t="s">
        <v>12</v>
      </c>
      <c r="C3800" s="6" t="s">
        <v>44</v>
      </c>
      <c r="D3800" s="6" t="s">
        <v>13</v>
      </c>
      <c r="E3800" s="6" t="s">
        <v>23</v>
      </c>
      <c r="F3800" s="6" t="s">
        <v>39</v>
      </c>
      <c r="G3800" s="6">
        <v>2015</v>
      </c>
      <c r="H3800" s="6">
        <v>12</v>
      </c>
      <c r="I3800" s="10">
        <v>42339</v>
      </c>
      <c r="J3800" s="6">
        <v>1502</v>
      </c>
      <c r="K3800" s="51"/>
      <c r="O3800" t="s">
        <v>12</v>
      </c>
      <c r="P3800" t="s">
        <v>44</v>
      </c>
      <c r="Q3800" t="s">
        <v>13</v>
      </c>
      <c r="R3800" t="s">
        <v>23</v>
      </c>
      <c r="S3800" t="s">
        <v>39</v>
      </c>
      <c r="T3800">
        <v>2015</v>
      </c>
      <c r="U3800">
        <v>12</v>
      </c>
      <c r="V3800" s="51">
        <v>42339</v>
      </c>
      <c r="W3800" s="4">
        <v>1351.8</v>
      </c>
      <c r="X3800" s="52">
        <v>1502</v>
      </c>
    </row>
    <row r="3801" spans="2:24" x14ac:dyDescent="0.35">
      <c r="B3801" s="6" t="s">
        <v>12</v>
      </c>
      <c r="C3801" s="6" t="s">
        <v>44</v>
      </c>
      <c r="D3801" s="6" t="s">
        <v>13</v>
      </c>
      <c r="E3801" s="6" t="s">
        <v>0</v>
      </c>
      <c r="F3801" s="6" t="s">
        <v>42</v>
      </c>
      <c r="G3801" s="6">
        <v>2015</v>
      </c>
      <c r="H3801" s="6">
        <v>12</v>
      </c>
      <c r="I3801" s="10">
        <v>42339</v>
      </c>
      <c r="J3801" s="6">
        <v>6705</v>
      </c>
      <c r="K3801" s="51"/>
      <c r="O3801" t="s">
        <v>12</v>
      </c>
      <c r="P3801" t="s">
        <v>44</v>
      </c>
      <c r="Q3801" t="s">
        <v>13</v>
      </c>
      <c r="R3801" t="s">
        <v>0</v>
      </c>
      <c r="S3801" t="s">
        <v>42</v>
      </c>
      <c r="T3801">
        <v>2015</v>
      </c>
      <c r="U3801">
        <v>12</v>
      </c>
      <c r="V3801" s="51">
        <v>42339</v>
      </c>
      <c r="W3801" s="4">
        <v>6034.4999999999991</v>
      </c>
      <c r="X3801" s="52">
        <v>6705</v>
      </c>
    </row>
    <row r="3802" spans="2:24" x14ac:dyDescent="0.35">
      <c r="B3802" s="6" t="s">
        <v>14</v>
      </c>
      <c r="C3802" s="6" t="s">
        <v>46</v>
      </c>
      <c r="D3802" s="6" t="s">
        <v>47</v>
      </c>
      <c r="E3802" s="6" t="s">
        <v>0</v>
      </c>
      <c r="F3802" s="6" t="s">
        <v>26</v>
      </c>
      <c r="G3802" s="6">
        <v>2015</v>
      </c>
      <c r="H3802" s="6">
        <v>12</v>
      </c>
      <c r="I3802" s="10">
        <v>42339</v>
      </c>
      <c r="J3802" s="6">
        <v>3289</v>
      </c>
      <c r="K3802" s="51"/>
      <c r="O3802" t="s">
        <v>14</v>
      </c>
      <c r="P3802" t="s">
        <v>46</v>
      </c>
      <c r="Q3802" t="s">
        <v>47</v>
      </c>
      <c r="R3802" t="s">
        <v>0</v>
      </c>
      <c r="S3802" t="s">
        <v>26</v>
      </c>
      <c r="T3802">
        <v>2015</v>
      </c>
      <c r="U3802">
        <v>12</v>
      </c>
      <c r="V3802" s="51">
        <v>42339</v>
      </c>
      <c r="W3802" s="4">
        <v>2927.2099999999996</v>
      </c>
      <c r="X3802" s="52">
        <v>3289</v>
      </c>
    </row>
    <row r="3803" spans="2:24" x14ac:dyDescent="0.35">
      <c r="B3803" s="6" t="s">
        <v>14</v>
      </c>
      <c r="C3803" s="6" t="s">
        <v>46</v>
      </c>
      <c r="D3803" s="6" t="s">
        <v>47</v>
      </c>
      <c r="E3803" s="6" t="s">
        <v>0</v>
      </c>
      <c r="F3803" s="6" t="s">
        <v>45</v>
      </c>
      <c r="G3803" s="6">
        <v>2015</v>
      </c>
      <c r="H3803" s="6">
        <v>12</v>
      </c>
      <c r="I3803" s="10">
        <v>42339</v>
      </c>
      <c r="J3803" s="6">
        <v>3226</v>
      </c>
      <c r="K3803" s="51"/>
      <c r="O3803" t="s">
        <v>14</v>
      </c>
      <c r="P3803" t="s">
        <v>46</v>
      </c>
      <c r="Q3803" t="s">
        <v>47</v>
      </c>
      <c r="R3803" t="s">
        <v>0</v>
      </c>
      <c r="S3803" t="s">
        <v>45</v>
      </c>
      <c r="T3803">
        <v>2015</v>
      </c>
      <c r="U3803">
        <v>12</v>
      </c>
      <c r="V3803" s="51">
        <v>42339</v>
      </c>
      <c r="W3803" s="4">
        <v>3000.18</v>
      </c>
      <c r="X3803" s="52">
        <v>3226</v>
      </c>
    </row>
    <row r="3804" spans="2:24" x14ac:dyDescent="0.35">
      <c r="B3804" s="6" t="s">
        <v>3</v>
      </c>
      <c r="C3804" s="6" t="s">
        <v>25</v>
      </c>
      <c r="D3804" s="6" t="s">
        <v>4</v>
      </c>
      <c r="E3804" s="6" t="s">
        <v>27</v>
      </c>
      <c r="F3804" s="6" t="s">
        <v>33</v>
      </c>
      <c r="G3804" s="6">
        <v>2015</v>
      </c>
      <c r="H3804" s="6">
        <v>12</v>
      </c>
      <c r="I3804" s="10">
        <v>42339</v>
      </c>
      <c r="J3804" s="6">
        <v>3783</v>
      </c>
      <c r="K3804" s="51"/>
      <c r="O3804" t="s">
        <v>3</v>
      </c>
      <c r="P3804" t="s">
        <v>25</v>
      </c>
      <c r="Q3804" t="s">
        <v>4</v>
      </c>
      <c r="R3804" t="s">
        <v>27</v>
      </c>
      <c r="S3804" t="s">
        <v>33</v>
      </c>
      <c r="T3804">
        <v>2015</v>
      </c>
      <c r="U3804">
        <v>12</v>
      </c>
      <c r="V3804" s="51">
        <v>42339</v>
      </c>
      <c r="W3804" s="4">
        <v>3556.02</v>
      </c>
      <c r="X3804" s="52">
        <v>3783</v>
      </c>
    </row>
    <row r="3805" spans="2:24" x14ac:dyDescent="0.35">
      <c r="B3805" s="6" t="s">
        <v>3</v>
      </c>
      <c r="C3805" s="6" t="s">
        <v>25</v>
      </c>
      <c r="D3805" s="6" t="s">
        <v>4</v>
      </c>
      <c r="E3805" s="6" t="s">
        <v>23</v>
      </c>
      <c r="F3805" s="6" t="s">
        <v>36</v>
      </c>
      <c r="G3805" s="6">
        <v>2015</v>
      </c>
      <c r="H3805" s="6">
        <v>12</v>
      </c>
      <c r="I3805" s="10">
        <v>42339</v>
      </c>
      <c r="J3805" s="6">
        <v>2848</v>
      </c>
      <c r="K3805" s="51"/>
      <c r="O3805" t="s">
        <v>3</v>
      </c>
      <c r="P3805" t="s">
        <v>25</v>
      </c>
      <c r="Q3805" t="s">
        <v>4</v>
      </c>
      <c r="R3805" t="s">
        <v>23</v>
      </c>
      <c r="S3805" t="s">
        <v>36</v>
      </c>
      <c r="T3805">
        <v>2015</v>
      </c>
      <c r="U3805">
        <v>12</v>
      </c>
      <c r="V3805" s="51">
        <v>42339</v>
      </c>
      <c r="W3805" s="4">
        <v>2648.64</v>
      </c>
      <c r="X3805" s="52">
        <v>2848</v>
      </c>
    </row>
    <row r="3806" spans="2:24" x14ac:dyDescent="0.35">
      <c r="B3806" s="6" t="s">
        <v>6</v>
      </c>
      <c r="C3806" s="6" t="s">
        <v>40</v>
      </c>
      <c r="D3806" s="6" t="s">
        <v>41</v>
      </c>
      <c r="E3806" s="6" t="s">
        <v>23</v>
      </c>
      <c r="F3806" s="6" t="s">
        <v>39</v>
      </c>
      <c r="G3806" s="6">
        <v>2015</v>
      </c>
      <c r="H3806" s="6">
        <v>12</v>
      </c>
      <c r="I3806" s="10">
        <v>42339</v>
      </c>
      <c r="J3806" s="6">
        <v>2778</v>
      </c>
      <c r="K3806" s="51"/>
      <c r="O3806" t="s">
        <v>6</v>
      </c>
      <c r="P3806" t="s">
        <v>40</v>
      </c>
      <c r="Q3806" t="s">
        <v>41</v>
      </c>
      <c r="R3806" t="s">
        <v>23</v>
      </c>
      <c r="S3806" t="s">
        <v>39</v>
      </c>
      <c r="T3806">
        <v>2015</v>
      </c>
      <c r="U3806">
        <v>12</v>
      </c>
      <c r="V3806" s="51">
        <v>42339</v>
      </c>
      <c r="W3806" s="4">
        <v>2444.64</v>
      </c>
      <c r="X3806" s="52">
        <v>2778</v>
      </c>
    </row>
    <row r="3807" spans="2:24" x14ac:dyDescent="0.35">
      <c r="B3807" s="6" t="s">
        <v>7</v>
      </c>
      <c r="C3807" s="6" t="s">
        <v>48</v>
      </c>
      <c r="D3807" s="6" t="s">
        <v>9</v>
      </c>
      <c r="E3807" s="6" t="s">
        <v>0</v>
      </c>
      <c r="F3807" s="6" t="s">
        <v>45</v>
      </c>
      <c r="G3807" s="6">
        <v>2015</v>
      </c>
      <c r="H3807" s="6">
        <v>12</v>
      </c>
      <c r="I3807" s="10">
        <v>42339</v>
      </c>
      <c r="J3807" s="6">
        <v>4040</v>
      </c>
      <c r="K3807" s="51"/>
      <c r="O3807" t="s">
        <v>7</v>
      </c>
      <c r="P3807" t="s">
        <v>48</v>
      </c>
      <c r="Q3807" t="s">
        <v>9</v>
      </c>
      <c r="R3807" t="s">
        <v>0</v>
      </c>
      <c r="S3807" t="s">
        <v>45</v>
      </c>
      <c r="T3807">
        <v>2015</v>
      </c>
      <c r="U3807">
        <v>12</v>
      </c>
      <c r="V3807" s="51">
        <v>42339</v>
      </c>
      <c r="W3807" s="4">
        <v>3595.5999999999995</v>
      </c>
      <c r="X3807" s="52">
        <v>4040</v>
      </c>
    </row>
    <row r="3808" spans="2:24" x14ac:dyDescent="0.35">
      <c r="B3808" s="6" t="s">
        <v>7</v>
      </c>
      <c r="C3808" s="6" t="s">
        <v>49</v>
      </c>
      <c r="D3808" s="6" t="s">
        <v>11</v>
      </c>
      <c r="E3808" s="6" t="s">
        <v>27</v>
      </c>
      <c r="F3808" s="6" t="s">
        <v>31</v>
      </c>
      <c r="G3808" s="6">
        <v>2015</v>
      </c>
      <c r="H3808" s="6">
        <v>12</v>
      </c>
      <c r="I3808" s="10">
        <v>42339</v>
      </c>
      <c r="J3808" s="6">
        <v>3457</v>
      </c>
      <c r="K3808" s="51"/>
      <c r="O3808" t="s">
        <v>7</v>
      </c>
      <c r="P3808" t="s">
        <v>49</v>
      </c>
      <c r="Q3808" t="s">
        <v>11</v>
      </c>
      <c r="R3808" t="s">
        <v>27</v>
      </c>
      <c r="S3808" t="s">
        <v>31</v>
      </c>
      <c r="T3808">
        <v>2015</v>
      </c>
      <c r="U3808">
        <v>12</v>
      </c>
      <c r="V3808" s="51">
        <v>42339</v>
      </c>
      <c r="W3808" s="4">
        <v>3145.87</v>
      </c>
      <c r="X3808" s="52">
        <v>3457</v>
      </c>
    </row>
    <row r="3809" spans="2:24" x14ac:dyDescent="0.35">
      <c r="B3809" s="6" t="s">
        <v>7</v>
      </c>
      <c r="C3809" s="6" t="s">
        <v>43</v>
      </c>
      <c r="D3809" s="6" t="s">
        <v>10</v>
      </c>
      <c r="E3809" s="6" t="s">
        <v>27</v>
      </c>
      <c r="F3809" s="6" t="s">
        <v>33</v>
      </c>
      <c r="G3809" s="6">
        <v>2015</v>
      </c>
      <c r="H3809" s="6">
        <v>12</v>
      </c>
      <c r="I3809" s="10">
        <v>42339</v>
      </c>
      <c r="J3809" s="6">
        <v>3860</v>
      </c>
      <c r="K3809" s="51"/>
      <c r="O3809" t="s">
        <v>7</v>
      </c>
      <c r="P3809" t="s">
        <v>43</v>
      </c>
      <c r="Q3809" t="s">
        <v>10</v>
      </c>
      <c r="R3809" t="s">
        <v>27</v>
      </c>
      <c r="S3809" t="s">
        <v>33</v>
      </c>
      <c r="T3809">
        <v>2015</v>
      </c>
      <c r="U3809">
        <v>12</v>
      </c>
      <c r="V3809" s="51">
        <v>42339</v>
      </c>
      <c r="W3809" s="4">
        <v>3551.2</v>
      </c>
      <c r="X3809" s="52">
        <v>3860</v>
      </c>
    </row>
    <row r="3810" spans="2:24" x14ac:dyDescent="0.35">
      <c r="B3810" s="6" t="s">
        <v>7</v>
      </c>
      <c r="C3810" s="6" t="s">
        <v>32</v>
      </c>
      <c r="D3810" s="6" t="s">
        <v>8</v>
      </c>
      <c r="E3810" s="6" t="s">
        <v>0</v>
      </c>
      <c r="F3810" s="6" t="s">
        <v>45</v>
      </c>
      <c r="G3810" s="6">
        <v>2015</v>
      </c>
      <c r="H3810" s="6">
        <v>12</v>
      </c>
      <c r="I3810" s="10">
        <v>42339</v>
      </c>
      <c r="J3810" s="6">
        <v>3405</v>
      </c>
      <c r="K3810" s="51"/>
      <c r="O3810" t="s">
        <v>7</v>
      </c>
      <c r="P3810" t="s">
        <v>32</v>
      </c>
      <c r="Q3810" t="s">
        <v>8</v>
      </c>
      <c r="R3810" t="s">
        <v>0</v>
      </c>
      <c r="S3810" t="s">
        <v>45</v>
      </c>
      <c r="T3810">
        <v>2015</v>
      </c>
      <c r="U3810">
        <v>12</v>
      </c>
      <c r="V3810" s="51">
        <v>42339</v>
      </c>
      <c r="W3810" s="4">
        <v>3166.6499999999996</v>
      </c>
      <c r="X3810" s="52">
        <v>3405</v>
      </c>
    </row>
    <row r="3811" spans="2:24" x14ac:dyDescent="0.35">
      <c r="B3811" s="6" t="s">
        <v>7</v>
      </c>
      <c r="C3811" s="6" t="s">
        <v>48</v>
      </c>
      <c r="D3811" s="6" t="s">
        <v>9</v>
      </c>
      <c r="E3811" s="6" t="s">
        <v>23</v>
      </c>
      <c r="F3811" s="6" t="s">
        <v>39</v>
      </c>
      <c r="G3811" s="6">
        <v>2015</v>
      </c>
      <c r="H3811" s="6">
        <v>12</v>
      </c>
      <c r="I3811" s="10">
        <v>42339</v>
      </c>
      <c r="J3811" s="6">
        <v>2503</v>
      </c>
      <c r="K3811" s="51"/>
      <c r="O3811" t="s">
        <v>7</v>
      </c>
      <c r="P3811" t="s">
        <v>48</v>
      </c>
      <c r="Q3811" t="s">
        <v>9</v>
      </c>
      <c r="R3811" t="s">
        <v>23</v>
      </c>
      <c r="S3811" t="s">
        <v>39</v>
      </c>
      <c r="T3811">
        <v>2015</v>
      </c>
      <c r="U3811">
        <v>12</v>
      </c>
      <c r="V3811" s="51">
        <v>42339</v>
      </c>
      <c r="W3811" s="4">
        <v>2152.5800000000004</v>
      </c>
      <c r="X3811" s="52">
        <v>2503</v>
      </c>
    </row>
    <row r="3812" spans="2:24" x14ac:dyDescent="0.35">
      <c r="B3812" s="6" t="s">
        <v>7</v>
      </c>
      <c r="C3812" s="6" t="s">
        <v>49</v>
      </c>
      <c r="D3812" s="6" t="s">
        <v>11</v>
      </c>
      <c r="E3812" s="6" t="s">
        <v>0</v>
      </c>
      <c r="F3812" s="6" t="s">
        <v>26</v>
      </c>
      <c r="G3812" s="6">
        <v>2015</v>
      </c>
      <c r="H3812" s="6">
        <v>12</v>
      </c>
      <c r="I3812" s="10">
        <v>42339</v>
      </c>
      <c r="J3812" s="6">
        <v>2958</v>
      </c>
      <c r="K3812" s="51"/>
      <c r="O3812" t="s">
        <v>7</v>
      </c>
      <c r="P3812" t="s">
        <v>49</v>
      </c>
      <c r="Q3812" t="s">
        <v>11</v>
      </c>
      <c r="R3812" t="s">
        <v>0</v>
      </c>
      <c r="S3812" t="s">
        <v>26</v>
      </c>
      <c r="T3812">
        <v>2015</v>
      </c>
      <c r="U3812">
        <v>12</v>
      </c>
      <c r="V3812" s="51">
        <v>42339</v>
      </c>
      <c r="W3812" s="4">
        <v>2632.62</v>
      </c>
      <c r="X3812" s="52">
        <v>2958</v>
      </c>
    </row>
    <row r="3813" spans="2:24" x14ac:dyDescent="0.35">
      <c r="B3813" s="6" t="s">
        <v>12</v>
      </c>
      <c r="C3813" s="6" t="s">
        <v>34</v>
      </c>
      <c r="D3813" s="6" t="s">
        <v>35</v>
      </c>
      <c r="E3813" s="6" t="s">
        <v>27</v>
      </c>
      <c r="F3813" s="6" t="s">
        <v>28</v>
      </c>
      <c r="G3813" s="6">
        <v>2015</v>
      </c>
      <c r="H3813" s="6">
        <v>12</v>
      </c>
      <c r="I3813" s="10">
        <v>42339</v>
      </c>
      <c r="J3813" s="6">
        <v>3298</v>
      </c>
      <c r="K3813" s="51"/>
      <c r="O3813" t="s">
        <v>12</v>
      </c>
      <c r="P3813" t="s">
        <v>34</v>
      </c>
      <c r="Q3813" t="s">
        <v>35</v>
      </c>
      <c r="R3813" t="s">
        <v>27</v>
      </c>
      <c r="S3813" t="s">
        <v>28</v>
      </c>
      <c r="T3813">
        <v>2015</v>
      </c>
      <c r="U3813">
        <v>12</v>
      </c>
      <c r="V3813" s="51">
        <v>42339</v>
      </c>
      <c r="W3813" s="4">
        <v>2836.28</v>
      </c>
      <c r="X3813" s="52">
        <v>3298</v>
      </c>
    </row>
    <row r="3814" spans="2:24" x14ac:dyDescent="0.35">
      <c r="B3814" s="6" t="s">
        <v>14</v>
      </c>
      <c r="C3814" s="6" t="s">
        <v>37</v>
      </c>
      <c r="D3814" s="6" t="s">
        <v>38</v>
      </c>
      <c r="E3814" s="6" t="s">
        <v>27</v>
      </c>
      <c r="F3814" s="6" t="s">
        <v>33</v>
      </c>
      <c r="G3814" s="6">
        <v>2015</v>
      </c>
      <c r="H3814" s="6">
        <v>12</v>
      </c>
      <c r="I3814" s="10">
        <v>42339</v>
      </c>
      <c r="J3814" s="6">
        <v>3678</v>
      </c>
      <c r="K3814" s="51"/>
      <c r="O3814" t="s">
        <v>14</v>
      </c>
      <c r="P3814" t="s">
        <v>37</v>
      </c>
      <c r="Q3814" t="s">
        <v>38</v>
      </c>
      <c r="R3814" t="s">
        <v>27</v>
      </c>
      <c r="S3814" t="s">
        <v>33</v>
      </c>
      <c r="T3814">
        <v>2015</v>
      </c>
      <c r="U3814">
        <v>12</v>
      </c>
      <c r="V3814" s="51">
        <v>42339</v>
      </c>
      <c r="W3814" s="4">
        <v>3346.9799999999996</v>
      </c>
      <c r="X3814" s="52">
        <v>3678</v>
      </c>
    </row>
    <row r="3815" spans="2:24" x14ac:dyDescent="0.35">
      <c r="B3815" s="6" t="s">
        <v>12</v>
      </c>
      <c r="C3815" s="6" t="s">
        <v>44</v>
      </c>
      <c r="D3815" s="6" t="s">
        <v>13</v>
      </c>
      <c r="E3815" s="6" t="s">
        <v>23</v>
      </c>
      <c r="F3815" s="6" t="s">
        <v>24</v>
      </c>
      <c r="G3815" s="6">
        <v>2015</v>
      </c>
      <c r="H3815" s="6">
        <v>12</v>
      </c>
      <c r="I3815" s="10">
        <v>42339</v>
      </c>
      <c r="J3815" s="6">
        <v>1575</v>
      </c>
      <c r="K3815" s="51"/>
      <c r="O3815" t="s">
        <v>12</v>
      </c>
      <c r="P3815" t="s">
        <v>44</v>
      </c>
      <c r="Q3815" t="s">
        <v>13</v>
      </c>
      <c r="R3815" t="s">
        <v>23</v>
      </c>
      <c r="S3815" t="s">
        <v>24</v>
      </c>
      <c r="T3815">
        <v>2015</v>
      </c>
      <c r="U3815">
        <v>12</v>
      </c>
      <c r="V3815" s="51">
        <v>42339</v>
      </c>
      <c r="W3815" s="4">
        <v>1449</v>
      </c>
      <c r="X3815" s="52">
        <v>1575</v>
      </c>
    </row>
    <row r="3816" spans="2:24" x14ac:dyDescent="0.35">
      <c r="B3816" s="6" t="s">
        <v>14</v>
      </c>
      <c r="C3816" s="6" t="s">
        <v>46</v>
      </c>
      <c r="D3816" s="6" t="s">
        <v>47</v>
      </c>
      <c r="E3816" s="6" t="s">
        <v>0</v>
      </c>
      <c r="F3816" s="6" t="s">
        <v>42</v>
      </c>
      <c r="G3816" s="6">
        <v>2015</v>
      </c>
      <c r="H3816" s="6">
        <v>12</v>
      </c>
      <c r="I3816" s="10">
        <v>42339</v>
      </c>
      <c r="J3816" s="6">
        <v>6532</v>
      </c>
      <c r="K3816" s="51"/>
      <c r="O3816" t="s">
        <v>14</v>
      </c>
      <c r="P3816" t="s">
        <v>46</v>
      </c>
      <c r="Q3816" t="s">
        <v>47</v>
      </c>
      <c r="R3816" t="s">
        <v>0</v>
      </c>
      <c r="S3816" t="s">
        <v>42</v>
      </c>
      <c r="T3816">
        <v>2015</v>
      </c>
      <c r="U3816">
        <v>12</v>
      </c>
      <c r="V3816" s="51">
        <v>42339</v>
      </c>
      <c r="W3816" s="4">
        <v>6074.7599999999993</v>
      </c>
      <c r="X3816" s="52">
        <v>6532</v>
      </c>
    </row>
    <row r="3817" spans="2:24" x14ac:dyDescent="0.35">
      <c r="B3817" s="6" t="s">
        <v>7</v>
      </c>
      <c r="C3817" s="6" t="s">
        <v>48</v>
      </c>
      <c r="D3817" s="6" t="s">
        <v>9</v>
      </c>
      <c r="E3817" s="6" t="s">
        <v>27</v>
      </c>
      <c r="F3817" s="6" t="s">
        <v>33</v>
      </c>
      <c r="G3817" s="6">
        <v>2015</v>
      </c>
      <c r="H3817" s="6">
        <v>12</v>
      </c>
      <c r="I3817" s="10">
        <v>42339</v>
      </c>
      <c r="J3817" s="6">
        <v>3797</v>
      </c>
      <c r="K3817" s="51"/>
      <c r="O3817" t="s">
        <v>7</v>
      </c>
      <c r="P3817" t="s">
        <v>48</v>
      </c>
      <c r="Q3817" t="s">
        <v>9</v>
      </c>
      <c r="R3817" t="s">
        <v>27</v>
      </c>
      <c r="S3817" t="s">
        <v>33</v>
      </c>
      <c r="T3817">
        <v>2015</v>
      </c>
      <c r="U3817">
        <v>12</v>
      </c>
      <c r="V3817" s="51">
        <v>42339</v>
      </c>
      <c r="W3817" s="4">
        <v>3455.2699999999995</v>
      </c>
      <c r="X3817" s="52">
        <v>3797</v>
      </c>
    </row>
    <row r="3818" spans="2:24" x14ac:dyDescent="0.35">
      <c r="B3818" s="6" t="s">
        <v>7</v>
      </c>
      <c r="C3818" s="6" t="s">
        <v>49</v>
      </c>
      <c r="D3818" s="6" t="s">
        <v>11</v>
      </c>
      <c r="E3818" s="6" t="s">
        <v>23</v>
      </c>
      <c r="F3818" s="6" t="s">
        <v>24</v>
      </c>
      <c r="G3818" s="6">
        <v>2015</v>
      </c>
      <c r="H3818" s="6">
        <v>12</v>
      </c>
      <c r="I3818" s="10">
        <v>42339</v>
      </c>
      <c r="J3818" s="6">
        <v>2918</v>
      </c>
      <c r="K3818" s="51"/>
      <c r="O3818" t="s">
        <v>7</v>
      </c>
      <c r="P3818" t="s">
        <v>49</v>
      </c>
      <c r="Q3818" t="s">
        <v>11</v>
      </c>
      <c r="R3818" t="s">
        <v>23</v>
      </c>
      <c r="S3818" t="s">
        <v>24</v>
      </c>
      <c r="T3818">
        <v>2015</v>
      </c>
      <c r="U3818">
        <v>12</v>
      </c>
      <c r="V3818" s="51">
        <v>42339</v>
      </c>
      <c r="W3818" s="4">
        <v>2742.92</v>
      </c>
      <c r="X3818" s="52">
        <v>2918</v>
      </c>
    </row>
  </sheetData>
  <autoFilter ref="B2:J3818" xr:uid="{356FA592-D002-4F49-A563-7DBFB80C1615}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419A53-4943-4032-8400-603E394410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Інтерактивна таблиця</vt:lpstr>
      <vt:lpstr>Зведена таблиця</vt:lpstr>
      <vt:lpstr>Аркуш2</vt:lpstr>
      <vt:lpstr>Dashboard</vt:lpstr>
      <vt:lpstr>тех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Aleksey Voschak</dc:creator>
  <cp:keywords/>
  <dc:description/>
  <cp:lastModifiedBy>Анна Саєнко</cp:lastModifiedBy>
  <cp:revision/>
  <dcterms:created xsi:type="dcterms:W3CDTF">2018-01-07T21:26:17Z</dcterms:created>
  <dcterms:modified xsi:type="dcterms:W3CDTF">2026-02-02T17:21:01Z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0bbd62-8f66-428f-b368-631d7d28f661_Enabled">
    <vt:lpwstr>true</vt:lpwstr>
  </property>
  <property fmtid="{D5CDD505-2E9C-101B-9397-08002B2CF9AE}" pid="3" name="MSIP_Label_ba0bbd62-8f66-428f-b368-631d7d28f661_SetDate">
    <vt:lpwstr>2024-09-12T17:47:34Z</vt:lpwstr>
  </property>
  <property fmtid="{D5CDD505-2E9C-101B-9397-08002B2CF9AE}" pid="4" name="MSIP_Label_ba0bbd62-8f66-428f-b368-631d7d28f661_Method">
    <vt:lpwstr>Standard</vt:lpwstr>
  </property>
  <property fmtid="{D5CDD505-2E9C-101B-9397-08002B2CF9AE}" pid="5" name="MSIP_Label_ba0bbd62-8f66-428f-b368-631d7d28f661_Name">
    <vt:lpwstr>Конфіденційно_Confidential</vt:lpwstr>
  </property>
  <property fmtid="{D5CDD505-2E9C-101B-9397-08002B2CF9AE}" pid="6" name="MSIP_Label_ba0bbd62-8f66-428f-b368-631d7d28f661_SiteId">
    <vt:lpwstr>f8f9bd57-3bba-4300-a6ec-3b8e70a30986</vt:lpwstr>
  </property>
  <property fmtid="{D5CDD505-2E9C-101B-9397-08002B2CF9AE}" pid="7" name="MSIP_Label_ba0bbd62-8f66-428f-b368-631d7d28f661_ActionId">
    <vt:lpwstr>82860ba7-5fd9-496b-a8ac-b4c6b0fc689b</vt:lpwstr>
  </property>
  <property fmtid="{D5CDD505-2E9C-101B-9397-08002B2CF9AE}" pid="8" name="MSIP_Label_ba0bbd62-8f66-428f-b368-631d7d28f661_ContentBits">
    <vt:lpwstr>1</vt:lpwstr>
  </property>
</Properties>
</file>